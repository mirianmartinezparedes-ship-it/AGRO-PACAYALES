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MOVIMIENTOS" sheetId="1" state="visible" r:id="rId3"/>
    <sheet name="SALDO DIARIO" sheetId="2" state="visible" r:id="rId4"/>
    <sheet name="KARDEX" sheetId="3" state="visible" r:id="rId5"/>
    <sheet name="LISTAS" sheetId="4" state="visible" r:id="rId6"/>
  </sheets>
  <definedNames>
    <definedName function="false" hidden="true" localSheetId="2" name="_xlnm._FilterDatabase" vbProcedure="false">KARDEX!$A$5:$F$401</definedName>
    <definedName function="false" hidden="true" localSheetId="0" name="_xlnm._FilterDatabase" vbProcedure="false">MOVIMIENTOS!$A$4:$H$400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<sst xmlns="http://schemas.openxmlformats.org/spreadsheetml/2006/main" count="774" uniqueCount="94">
  <si>
    <t xml:space="preserve">AGRO PACAYALES · PLANTA CAMOTE 2026  |  MOVIMIENTOS — registra aquí un evento por fila</t>
  </si>
  <si>
    <t xml:space="preserve"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</si>
  <si>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 xml:space="preserve">Fecha</t>
  </si>
  <si>
    <t xml:space="preserve">Tipo</t>
  </si>
  <si>
    <t xml:space="preserve">Calidad</t>
  </si>
  <si>
    <t xml:space="preserve">Unidad</t>
  </si>
  <si>
    <t xml:space="preserve">Cantidad</t>
  </si>
  <si>
    <t xml:space="preserve">Kg</t>
  </si>
  <si>
    <t xml:space="preserve">N° Guía / Ticket</t>
  </si>
  <si>
    <t xml:space="preserve">Observación</t>
  </si>
  <si>
    <t xml:space="preserve">AJUSTE</t>
  </si>
  <si>
    <t xml:space="preserve">A</t>
  </si>
  <si>
    <t xml:space="preserve">jabas</t>
  </si>
  <si>
    <t xml:space="preserve">Ajuste de saldo inicial: conteo fisico real al 11/07 tenia 2 jabas mas de calidad A de lo registrado</t>
  </si>
  <si>
    <t xml:space="preserve">M</t>
  </si>
  <si>
    <t xml:space="preserve">Ajuste de saldo inicial: conteo fisico real al 11/07 tenia 1 jaba mas de calidad M de lo registrado</t>
  </si>
  <si>
    <t xml:space="preserve">SALDO INICIAL</t>
  </si>
  <si>
    <t xml:space="preserve">Saldo semana anterior</t>
  </si>
  <si>
    <t xml:space="preserve">Chancho</t>
  </si>
  <si>
    <t xml:space="preserve">sacos</t>
  </si>
  <si>
    <t xml:space="preserve">COMPRA</t>
  </si>
  <si>
    <t xml:space="preserve">—</t>
  </si>
  <si>
    <t xml:space="preserve">peso aprox 95 kg/saco</t>
  </si>
  <si>
    <t xml:space="preserve">PROCESO</t>
  </si>
  <si>
    <t xml:space="preserve">P</t>
  </si>
  <si>
    <t xml:space="preserve">C</t>
  </si>
  <si>
    <t xml:space="preserve">ENVÍO A SUPESA</t>
  </si>
  <si>
    <t xml:space="preserve">2977</t>
  </si>
  <si>
    <t xml:space="preserve">2980</t>
  </si>
  <si>
    <t xml:space="preserve">2984</t>
  </si>
  <si>
    <t xml:space="preserve">2986</t>
  </si>
  <si>
    <t xml:space="preserve">VENTA CHANCHO</t>
  </si>
  <si>
    <t xml:space="preserve">TCK002-724</t>
  </si>
  <si>
    <t xml:space="preserve">2992</t>
  </si>
  <si>
    <t xml:space="preserve">2994</t>
  </si>
  <si>
    <t xml:space="preserve">TCK002-725</t>
  </si>
  <si>
    <t xml:space="preserve">2996</t>
  </si>
  <si>
    <t xml:space="preserve">TRASIEGO</t>
  </si>
  <si>
    <t xml:space="preserve">Compra del sabado 18/07 (33 sacos)</t>
  </si>
  <si>
    <t xml:space="preserve">2998</t>
  </si>
  <si>
    <t xml:space="preserve">Compra del domingo 19/07 (17 sacos)</t>
  </si>
  <si>
    <t xml:space="preserve">TOTAL 70 SACOS, LUNES PROCESO 48</t>
  </si>
  <si>
    <t xml:space="preserve">3001</t>
  </si>
  <si>
    <t xml:space="preserve">TCK002-726</t>
  </si>
  <si>
    <t xml:space="preserve">3004</t>
  </si>
  <si>
    <t xml:space="preserve">RECHAZO</t>
  </si>
  <si>
    <t xml:space="preserve">REPROCESO</t>
  </si>
  <si>
    <t xml:space="preserve">kg</t>
  </si>
  <si>
    <t xml:space="preserve">kg recuperados de jabas rechazadas</t>
  </si>
  <si>
    <t xml:space="preserve">MALOGRADO</t>
  </si>
  <si>
    <t xml:space="preserve">3006</t>
  </si>
  <si>
    <t xml:space="preserve">S/T</t>
  </si>
  <si>
    <t xml:space="preserve">DEVOLUCIÓN</t>
  </si>
  <si>
    <t xml:space="preserve">Envio de mas por error (guia 3006); jabas retornaron intactas, no se reprocesaron</t>
  </si>
  <si>
    <t xml:space="preserve">kg recuperados de la jaba de A rechazada (las 9 jabas de M devueltas no se reprocesaron)</t>
  </si>
  <si>
    <t xml:space="preserve">3008</t>
  </si>
  <si>
    <t xml:space="preserve">EN TOTAL SE COMPRARON 80 SACOS, 43 PROCESARON 24-07 Y 37 PROCESARAN SABADO 25</t>
  </si>
  <si>
    <t xml:space="preserve">3011</t>
  </si>
  <si>
    <t xml:space="preserve">TCK002-729</t>
  </si>
  <si>
    <t xml:space="preserve">No hicieron ticket</t>
  </si>
  <si>
    <t xml:space="preserve">ENVIO A TOTTUS</t>
  </si>
  <si>
    <t xml:space="preserve">Primera</t>
  </si>
  <si>
    <t xml:space="preserve">Se envió como muestra.</t>
  </si>
  <si>
    <t xml:space="preserve">Se procesó del saldo de los 37 sacos del jue23</t>
  </si>
  <si>
    <t xml:space="preserve">Se compraron 100 sacos , solo se procesó 45</t>
  </si>
  <si>
    <t xml:space="preserve">informó Anthony</t>
  </si>
  <si>
    <t xml:space="preserve">Falta regularizar</t>
  </si>
  <si>
    <t xml:space="preserve">TCK002-730</t>
  </si>
  <si>
    <t xml:space="preserve">AGRO PACAYALES · PLANTA CAMOTE 2026  |  SALDO DIARIO — lo que queda en almacén al cierre de cada día</t>
  </si>
  <si>
    <t xml:space="preserve">Automático. Cada fila = cierre del día: jabas por calidad para contar el almacén, sacos de chancho y kg del kardex. RECHAZO no suma (va a reproceso); DEVOLUCIÓN sí suma completo. La última fila con datos es tu stock de HOY.</t>
  </si>
  <si>
    <t xml:space="preserve">A
(jabas)</t>
  </si>
  <si>
    <t xml:space="preserve">P
(jabas)</t>
  </si>
  <si>
    <t xml:space="preserve">C
(jabas)</t>
  </si>
  <si>
    <t xml:space="preserve">M
(jabas)</t>
  </si>
  <si>
    <t xml:space="preserve">Chancho
(sacos)</t>
  </si>
  <si>
    <t xml:space="preserve">TOTAL
jabas</t>
  </si>
  <si>
    <t xml:space="preserve">Stock
Kg</t>
  </si>
  <si>
    <t xml:space="preserve">AGRO PACAYALES · PLANTA CAMOTE 2026  |  KARDEX — Entradas / Salidas y Stock (kg)</t>
  </si>
  <si>
    <t xml:space="preserve">Automático desde MOVIMIENTOS. Entradas: saldo inicial, compras, reprocesos, devoluciones. Salidas: envíos, chancho del proceso, malogrado, trasiegos, ventas/regalos y otras salidas. RECHAZO es solo informativo (jabas rechazadas en el envío que se reprocesan; NO suman de vuelta al stock) — su Nota muestra la merma real vs. lo recuperado en REPROCESO. DEVOLUCIÓN sí suma completo (producto que regresa intacto, sin reprocesar).</t>
  </si>
  <si>
    <t xml:space="preserve">ENTRADAS</t>
  </si>
  <si>
    <t xml:space="preserve">SALIDAS</t>
  </si>
  <si>
    <t xml:space="preserve">Detalle</t>
  </si>
  <si>
    <t xml:space="preserve">Ingresos Kg</t>
  </si>
  <si>
    <t xml:space="preserve">Salidas Kg</t>
  </si>
  <si>
    <t xml:space="preserve">N. Guía / Nota</t>
  </si>
  <si>
    <t xml:space="preserve">Stock Kg</t>
  </si>
  <si>
    <t xml:space="preserve">Tipos</t>
  </si>
  <si>
    <t xml:space="preserve">Calidades</t>
  </si>
  <si>
    <t xml:space="preserve">Unidades</t>
  </si>
  <si>
    <t xml:space="preserve">VENTA</t>
  </si>
  <si>
    <t xml:space="preserve">REGALO</t>
  </si>
  <si>
    <t xml:space="preserve">(Agrega aquí nuevas calidades con su factor kg por jaba para que los Kg salgan solos)</t>
  </si>
  <si>
    <t xml:space="preserve">Segunda</t>
  </si>
  <si>
    <t xml:space="preserve">OTRA SALIDA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</si>
</sst>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C0A]ddd\ dd\-mm"/>
    <numFmt numFmtId="166" formatCode="#,##0.#;\(#,##0.#\);\-"/>
    <numFmt numFmtId="167" formatCode="#,##0.#;\(#,##0.#\)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57F17"/>
      <name val="Arial"/>
      <family val="0"/>
      <charset val="1"/>
    </font>
    <font>
      <b val="true"/>
      <sz val="10"/>
      <color rgb="FF5D4037"/>
      <name val="Arial"/>
      <family val="0"/>
      <charset val="1"/>
    </font>
    <font>
      <b val="true"/>
      <sz val="10"/>
      <color rgb="FF0D47A1"/>
      <name val="Arial"/>
      <family val="0"/>
      <charset val="1"/>
    </font>
    <font>
      <sz val="10"/>
      <color rgb="FF1B5E20"/>
      <name val="Arial"/>
      <family val="0"/>
      <charset val="1"/>
    </font>
    <font>
      <sz val="10"/>
      <color rgb="FF311B92"/>
      <name val="Arial"/>
      <family val="0"/>
      <charset val="1"/>
    </font>
    <font>
      <b val="true"/>
      <sz val="10"/>
      <color rgb="FF4E342E"/>
      <name val="Arial"/>
      <family val="0"/>
      <charset val="1"/>
    </font>
    <font>
      <sz val="10"/>
      <color rgb="FF01579B"/>
      <name val="Arial"/>
      <family val="0"/>
      <charset val="1"/>
    </font>
    <font>
      <b val="true"/>
      <sz val="10"/>
      <color rgb="FFBF360C"/>
      <name val="Arial"/>
      <family val="0"/>
      <charset val="1"/>
    </font>
    <font>
      <b val="true"/>
      <sz val="10"/>
      <color rgb="FF00695C"/>
      <name val="Arial"/>
      <family val="0"/>
      <charset val="1"/>
    </font>
    <font>
      <b val="true"/>
      <sz val="10"/>
      <color rgb="FFB71C1C"/>
      <name val="Arial"/>
      <family val="0"/>
      <charset val="1"/>
    </font>
    <font>
      <sz val="10"/>
      <color rgb="FFE65100"/>
      <name val="Arial"/>
      <family val="0"/>
      <charset val="1"/>
    </font>
    <font>
      <sz val="10"/>
      <color rgb="FF37474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888888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263238"/>
        <bgColor rgb="FF37474F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FEBE9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FF8E1"/>
      </patternFill>
    </fill>
    <fill>
      <patternFill patternType="solid">
        <fgColor rgb="FF1565C0"/>
        <bgColor rgb="FF01579B"/>
      </patternFill>
    </fill>
    <fill>
      <patternFill patternType="solid">
        <fgColor rgb="FF8E24AA"/>
        <bgColor rgb="FF800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7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1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7">
    <dxf>
      <fill>
        <patternFill patternType="solid">
          <fgColor rgb="FF37474F"/>
          <bgColor rgb="FF000000"/>
        </patternFill>
      </fill>
    </dxf>
    <dxf>
      <fill>
        <patternFill patternType="solid">
          <fgColor rgb="FFE0F2F1"/>
          <bgColor rgb="FF000000"/>
        </patternFill>
      </fill>
    </dxf>
    <dxf>
      <fill>
        <patternFill patternType="solid">
          <fgColor rgb="FFE1F5FE"/>
          <bgColor rgb="FF000000"/>
        </patternFill>
      </fill>
    </dxf>
    <dxf>
      <fill>
        <patternFill patternType="solid">
          <fgColor rgb="FFE3F2FD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DE7F6"/>
          <bgColor rgb="FF000000"/>
        </patternFill>
      </fill>
    </dxf>
    <dxf>
      <fill>
        <patternFill patternType="solid">
          <fgColor rgb="FFEFEBE9"/>
          <bgColor rgb="FF000000"/>
        </patternFill>
      </fill>
    </dxf>
    <dxf>
      <fill>
        <patternFill patternType="solid">
          <fgColor rgb="FFFFEBEE"/>
          <bgColor rgb="FF000000"/>
        </patternFill>
      </fill>
    </dxf>
    <dxf>
      <fill>
        <patternFill patternType="solid">
          <fgColor rgb="FFFFF3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95C"/>
          <bgColor rgb="FF000000"/>
        </patternFill>
      </fill>
    </dxf>
    <dxf>
      <fill>
        <patternFill patternType="solid">
          <fgColor rgb="FF01579B"/>
          <bgColor rgb="FF000000"/>
        </patternFill>
      </fill>
    </dxf>
    <dxf>
      <fill>
        <patternFill patternType="solid">
          <fgColor rgb="FF0D47A1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311B92"/>
          <bgColor rgb="FF000000"/>
        </patternFill>
      </fill>
    </dxf>
    <dxf>
      <fill>
        <patternFill patternType="solid">
          <fgColor rgb="FF4E342E"/>
          <bgColor rgb="FF000000"/>
        </patternFill>
      </fill>
    </dxf>
    <dxf>
      <fill>
        <patternFill patternType="solid">
          <fgColor rgb="FF5D4037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BF360C"/>
          <bgColor rgb="FF000000"/>
        </patternFill>
      </fill>
    </dxf>
    <dxf>
      <fill>
        <patternFill patternType="solid">
          <fgColor rgb="FFE65100"/>
          <bgColor rgb="FF000000"/>
        </patternFill>
      </fill>
    </dxf>
    <dxf>
      <fill>
        <patternFill patternType="solid">
          <fgColor rgb="FFF57F17"/>
          <bgColor rgb="FF000000"/>
        </patternFill>
      </fill>
    </dxf>
    <dxf>
      <font>
        <b val="1"/>
        <color rgb="FF0D47A1"/>
      </font>
      <fill>
        <patternFill>
          <bgColor rgb="FFE3F2FD"/>
        </patternFill>
      </fill>
    </dxf>
    <dxf>
      <font>
        <color rgb="FF1B5E20"/>
      </font>
      <fill>
        <patternFill>
          <bgColor rgb="FFE8F5E9"/>
        </patternFill>
      </fill>
    </dxf>
    <dxf>
      <font>
        <color rgb="FF311B92"/>
      </font>
      <fill>
        <patternFill>
          <bgColor rgb="FFEDE7F6"/>
        </patternFill>
      </fill>
    </dxf>
    <dxf>
      <font>
        <b val="1"/>
        <color rgb="FF4527A0"/>
      </font>
      <fill>
        <patternFill>
          <bgColor rgb="FFD1C4E9"/>
        </patternFill>
      </fill>
    </dxf>
    <dxf>
      <font>
        <b val="1"/>
        <color rgb="FF4E342E"/>
      </font>
      <fill>
        <patternFill>
          <bgColor rgb="FFEFEBE9"/>
        </patternFill>
      </fill>
    </dxf>
    <dxf>
      <font>
        <color rgb="FFE65100"/>
      </font>
      <fill>
        <patternFill>
          <bgColor rgb="FFFFF3E0"/>
        </patternFill>
      </fill>
    </dxf>
    <dxf>
      <font>
        <b val="1"/>
        <color rgb="FF00695C"/>
      </font>
      <fill>
        <patternFill>
          <bgColor rgb="FFE0F2F1"/>
        </patternFill>
      </fill>
    </dxf>
    <dxf>
      <font>
        <b val="1"/>
        <color rgb="FFB71C1C"/>
      </font>
      <fill>
        <patternFill>
          <bgColor rgb="FFFFEBEE"/>
        </patternFill>
      </fill>
    </dxf>
    <dxf>
      <font>
        <b val="1"/>
        <color rgb="FF455A64"/>
      </font>
      <fill>
        <patternFill>
          <bgColor rgb="FFECEFF1"/>
        </patternFill>
      </fill>
    </dxf>
    <dxf>
      <font>
        <color rgb="FF01579B"/>
      </font>
      <fill>
        <patternFill>
          <bgColor rgb="FFE1F5FE"/>
        </patternFill>
      </fill>
    </dxf>
    <dxf>
      <font>
        <b val="1"/>
        <color rgb="FFF57F17"/>
      </font>
      <fill>
        <patternFill>
          <bgColor rgb="FFFFF8E1"/>
        </patternFill>
      </fill>
    </dxf>
    <dxf>
      <font>
        <b val="1"/>
        <color rgb="FF880E4F"/>
      </font>
      <fill>
        <patternFill>
          <bgColor rgb="FFFCE4EC"/>
        </patternFill>
      </fill>
    </dxf>
    <dxf>
      <font>
        <b val="1"/>
        <color rgb="FF5D4037"/>
      </font>
      <fill>
        <patternFill>
          <bgColor rgb="FFFFF8E1"/>
        </patternFill>
      </fill>
    </dxf>
    <dxf>
      <font>
        <b val="1"/>
        <color rgb="FF33691E"/>
      </font>
      <fill>
        <patternFill>
          <bgColor rgb="FFFFF9C4"/>
        </patternFill>
      </fill>
      <border diagonalUp="false" diagonalDown="false">
        <left/>
        <right/>
        <top/>
        <bottom style="thin">
          <color rgb="FFDDDDDD"/>
        </bottom>
        <diagonal/>
      </border>
    </dxf>
    <dxf>
      <fill>
        <patternFill>
          <bgColor rgb="FFFFF8E1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E0F2F1"/>
        </patternFill>
      </fill>
    </dxf>
    <dxf>
      <fill>
        <patternFill>
          <bgColor rgb="FFFFEBEE"/>
        </patternFill>
      </fill>
    </dxf>
    <dxf>
      <fill>
        <patternFill>
          <bgColor rgb="FFEDE7F6"/>
        </patternFill>
      </fill>
    </dxf>
    <dxf>
      <fill>
        <patternFill>
          <bgColor rgb="FFEFEBE9"/>
        </patternFill>
      </fill>
    </dxf>
    <dxf>
      <fill>
        <patternFill>
          <bgColor rgb="FFD1C4E9"/>
        </patternFill>
      </fill>
    </dxf>
    <dxf>
      <fill>
        <patternFill>
          <bgColor rgb="FFFCE4EC"/>
        </patternFill>
      </fill>
    </dxf>
    <dxf>
      <fill>
        <patternFill>
          <bgColor rgb="FFE1F5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B5E20"/>
      <rgbColor rgb="FF311B92"/>
      <rgbColor rgb="FF555555"/>
      <rgbColor rgb="FF880E4F"/>
      <rgbColor rgb="FF00695C"/>
      <rgbColor rgb="FFDDDDDD"/>
      <rgbColor rgb="FF888888"/>
      <rgbColor rgb="FFEFEBE9"/>
      <rgbColor rgb="FF8E24AA"/>
      <rgbColor rgb="FFFFF9C4"/>
      <rgbColor rgb="FFE1F5FE"/>
      <rgbColor rgb="FF5D4037"/>
      <rgbColor rgb="FFFF8080"/>
      <rgbColor rgb="FF1565C0"/>
      <rgbColor rgb="FFD1C4E9"/>
      <rgbColor rgb="FF000080"/>
      <rgbColor rgb="FFFF00FF"/>
      <rgbColor rgb="FFFFEBEE"/>
      <rgbColor rgb="FF00FFFF"/>
      <rgbColor rgb="FF800080"/>
      <rgbColor rgb="FF800000"/>
      <rgbColor rgb="FF01579B"/>
      <rgbColor rgb="FF0000FF"/>
      <rgbColor rgb="FF00CCFF"/>
      <rgbColor rgb="FFE0F2F1"/>
      <rgbColor rgb="FFE8F5E9"/>
      <rgbColor rgb="FFFFF8E1"/>
      <rgbColor rgb="FFE3F2FD"/>
      <rgbColor rgb="FFFCE4EC"/>
      <rgbColor rgb="FFEDE7F6"/>
      <rgbColor rgb="FFFAC090"/>
      <rgbColor rgb="FF3366FF"/>
      <rgbColor rgb="FF33CCCC"/>
      <rgbColor rgb="FF99CC00"/>
      <rgbColor rgb="FFECEFF1"/>
      <rgbColor rgb="FFF57F17"/>
      <rgbColor rgb="FFE65100"/>
      <rgbColor rgb="FF455A64"/>
      <rgbColor rgb="FF969696"/>
      <rgbColor rgb="FF0D47A1"/>
      <rgbColor rgb="FF33691E"/>
      <rgbColor rgb="FF37474F"/>
      <rgbColor rgb="FF4E342E"/>
      <rgbColor rgb="FFBF360C"/>
      <rgbColor rgb="FFB71C1C"/>
      <rgbColor rgb="FF4527A0"/>
      <rgbColor rgb="FF2632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79" activePane="bottomLeft" state="frozen"/>
      <selection pane="topLeft" activeCell="A1" activeCellId="0" sqref="A1"/>
      <selection pane="bottomLeft" activeCell="G212" activeCellId="0" sqref="G212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40.67"/>
    <col collapsed="false" customWidth="true" hidden="true" outlineLevel="0" max="9" min="9" style="1" width="13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30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n">
        <v>46214</v>
      </c>
      <c r="B5" s="6" t="s">
        <v>10</v>
      </c>
      <c r="C5" s="6" t="s">
        <v>11</v>
      </c>
      <c r="D5" s="6" t="s">
        <v>12</v>
      </c>
      <c r="E5" s="7" t="n">
        <v>2</v>
      </c>
      <c r="F5" s="7" t="n">
        <f aca="false">IF($B5="","",IF($D5="kg",N($E5),IF($D5="sacos",N($E5)*95,IF($D5="jabas",N($E5)*IFERROR(VLOOKUP($C5,LISTAS!$A$2:$B$12,2,0),0),""))))</f>
        <v>30</v>
      </c>
      <c r="G5" s="6"/>
      <c r="H5" s="6" t="s">
        <v>13</v>
      </c>
      <c r="I5" s="1" t="n">
        <f aca="false">N($F5)</f>
        <v>30</v>
      </c>
    </row>
    <row r="6" customFormat="false" ht="15" hidden="false" customHeight="true" outlineLevel="0" collapsed="false">
      <c r="A6" s="5" t="n">
        <v>46214</v>
      </c>
      <c r="B6" s="6" t="s">
        <v>10</v>
      </c>
      <c r="C6" s="6" t="s">
        <v>14</v>
      </c>
      <c r="D6" s="6" t="s">
        <v>12</v>
      </c>
      <c r="E6" s="7" t="n">
        <v>1</v>
      </c>
      <c r="F6" s="7" t="n">
        <f aca="false">IF($B6="","",IF($D6="kg",N($E6),IF($D6="sacos",N($E6)*95,IF($D6="jabas",N($E6)*IFERROR(VLOOKUP($C6,LISTAS!$A$2:$B$12,2,0),0),""))))</f>
        <v>17</v>
      </c>
      <c r="G6" s="6"/>
      <c r="H6" s="6" t="s">
        <v>15</v>
      </c>
      <c r="I6" s="1" t="n">
        <f aca="false">N($F6)</f>
        <v>17</v>
      </c>
    </row>
    <row r="7" customFormat="false" ht="15" hidden="false" customHeight="true" outlineLevel="0" collapsed="false">
      <c r="A7" s="8" t="n">
        <v>46214</v>
      </c>
      <c r="B7" s="9" t="s">
        <v>16</v>
      </c>
      <c r="C7" s="9" t="s">
        <v>14</v>
      </c>
      <c r="D7" s="9" t="s">
        <v>12</v>
      </c>
      <c r="E7" s="10" t="n">
        <v>7</v>
      </c>
      <c r="F7" s="10" t="n">
        <f aca="false">IF($B7="","",IF($D7="kg",N($E7),IF($D7="sacos",N($E7)*95,IF($D7="jabas",N($E7)*IFERROR(VLOOKUP($C7,LISTAS!$A$2:$B$12,2,0),0),""))))</f>
        <v>119</v>
      </c>
      <c r="G7" s="9"/>
      <c r="H7" s="9" t="s">
        <v>17</v>
      </c>
      <c r="I7" s="1" t="n">
        <f aca="false">N($F7)</f>
        <v>119</v>
      </c>
    </row>
    <row r="8" customFormat="false" ht="15" hidden="false" customHeight="true" outlineLevel="0" collapsed="false">
      <c r="A8" s="8" t="n">
        <v>46214</v>
      </c>
      <c r="B8" s="9" t="s">
        <v>16</v>
      </c>
      <c r="C8" s="9" t="s">
        <v>18</v>
      </c>
      <c r="D8" s="9" t="s">
        <v>19</v>
      </c>
      <c r="E8" s="10" t="n">
        <v>20</v>
      </c>
      <c r="F8" s="10" t="n">
        <f aca="false">IF($B8="","",IF($D8="kg",N($E8),IF($D8="sacos",N($E8)*95,IF($D8="jabas",N($E8)*IFERROR(VLOOKUP($C8,LISTAS!$A$2:$B$12,2,0),0),""))))</f>
        <v>1900</v>
      </c>
      <c r="G8" s="9"/>
      <c r="H8" s="9" t="s">
        <v>17</v>
      </c>
      <c r="I8" s="1" t="n">
        <f aca="false">N($F8)</f>
        <v>1900</v>
      </c>
    </row>
    <row r="9" customFormat="false" ht="15" hidden="false" customHeight="true" outlineLevel="0" collapsed="false">
      <c r="A9" s="11" t="n">
        <v>46215</v>
      </c>
      <c r="B9" s="12" t="s">
        <v>20</v>
      </c>
      <c r="C9" s="12" t="s">
        <v>21</v>
      </c>
      <c r="D9" s="12" t="s">
        <v>19</v>
      </c>
      <c r="E9" s="13" t="n">
        <v>30</v>
      </c>
      <c r="F9" s="13" t="n">
        <f aca="false">IF($B9="","",IF($D9="kg",N($E9),IF($D9="sacos",N($E9)*95,IF($D9="jabas",N($E9)*IFERROR(VLOOKUP($C9,LISTAS!$A$2:$B$12,2,0),0),""))))</f>
        <v>2850</v>
      </c>
      <c r="G9" s="12"/>
      <c r="H9" s="12" t="s">
        <v>22</v>
      </c>
      <c r="I9" s="1" t="n">
        <f aca="false">N($F9)</f>
        <v>2850</v>
      </c>
    </row>
    <row r="10" customFormat="false" ht="15" hidden="false" customHeight="true" outlineLevel="0" collapsed="false">
      <c r="A10" s="14" t="n">
        <v>46215</v>
      </c>
      <c r="B10" s="15" t="s">
        <v>23</v>
      </c>
      <c r="C10" s="15" t="s">
        <v>11</v>
      </c>
      <c r="D10" s="15" t="s">
        <v>12</v>
      </c>
      <c r="E10" s="16" t="n">
        <v>59</v>
      </c>
      <c r="F10" s="16" t="n">
        <f aca="false">IF($B10="","",IF($D10="kg",N($E10),IF($D10="sacos",N($E10)*95,IF($D10="jabas",N($E10)*IFERROR(VLOOKUP($C10,LISTAS!$A$2:$B$12,2,0),0),""))))</f>
        <v>885</v>
      </c>
      <c r="G10" s="15"/>
      <c r="H10" s="15"/>
      <c r="I10" s="1" t="n">
        <f aca="false">N($F10)</f>
        <v>885</v>
      </c>
    </row>
    <row r="11" customFormat="false" ht="15" hidden="false" customHeight="true" outlineLevel="0" collapsed="false">
      <c r="A11" s="14" t="n">
        <v>46215</v>
      </c>
      <c r="B11" s="15" t="s">
        <v>23</v>
      </c>
      <c r="C11" s="15" t="s">
        <v>24</v>
      </c>
      <c r="D11" s="15" t="s">
        <v>12</v>
      </c>
      <c r="E11" s="16" t="n">
        <v>11</v>
      </c>
      <c r="F11" s="16" t="n">
        <f aca="false">IF($B11="","",IF($D11="kg",N($E11),IF($D11="sacos",N($E11)*95,IF($D11="jabas",N($E11)*IFERROR(VLOOKUP($C11,LISTAS!$A$2:$B$12,2,0),0),""))))</f>
        <v>198</v>
      </c>
      <c r="G11" s="15"/>
      <c r="H11" s="15"/>
      <c r="I11" s="1" t="n">
        <f aca="false">N($F11)</f>
        <v>198</v>
      </c>
    </row>
    <row r="12" customFormat="false" ht="15" hidden="false" customHeight="true" outlineLevel="0" collapsed="false">
      <c r="A12" s="14" t="n">
        <v>46215</v>
      </c>
      <c r="B12" s="15" t="s">
        <v>23</v>
      </c>
      <c r="C12" s="15" t="s">
        <v>25</v>
      </c>
      <c r="D12" s="15" t="s">
        <v>12</v>
      </c>
      <c r="E12" s="16" t="n">
        <v>12</v>
      </c>
      <c r="F12" s="16" t="n">
        <f aca="false">IF($B12="","",IF($D12="kg",N($E12),IF($D12="sacos",N($E12)*95,IF($D12="jabas",N($E12)*IFERROR(VLOOKUP($C12,LISTAS!$A$2:$B$12,2,0),0),""))))</f>
        <v>204</v>
      </c>
      <c r="G12" s="15"/>
      <c r="H12" s="15"/>
      <c r="I12" s="1" t="n">
        <f aca="false">N($F12)</f>
        <v>204</v>
      </c>
    </row>
    <row r="13" customFormat="false" ht="15" hidden="false" customHeight="true" outlineLevel="0" collapsed="false">
      <c r="A13" s="14" t="n">
        <v>46215</v>
      </c>
      <c r="B13" s="15" t="s">
        <v>23</v>
      </c>
      <c r="C13" s="15" t="s">
        <v>14</v>
      </c>
      <c r="D13" s="15" t="s">
        <v>12</v>
      </c>
      <c r="E13" s="16" t="n">
        <v>64</v>
      </c>
      <c r="F13" s="16" t="n">
        <f aca="false">IF($B13="","",IF($D13="kg",N($E13),IF($D13="sacos",N($E13)*95,IF($D13="jabas",N($E13)*IFERROR(VLOOKUP($C13,LISTAS!$A$2:$B$12,2,0),0),""))))</f>
        <v>1088</v>
      </c>
      <c r="G13" s="15"/>
      <c r="H13" s="15"/>
      <c r="I13" s="1" t="n">
        <f aca="false">N($F13)</f>
        <v>1088</v>
      </c>
    </row>
    <row r="14" customFormat="false" ht="15" hidden="false" customHeight="true" outlineLevel="0" collapsed="false">
      <c r="A14" s="14" t="n">
        <v>46215</v>
      </c>
      <c r="B14" s="15" t="s">
        <v>23</v>
      </c>
      <c r="C14" s="15" t="s">
        <v>18</v>
      </c>
      <c r="D14" s="15" t="s">
        <v>19</v>
      </c>
      <c r="E14" s="16" t="n">
        <v>6</v>
      </c>
      <c r="F14" s="16" t="n">
        <f aca="false">IF($B14="","",IF($D14="kg",N($E14),IF($D14="sacos",N($E14)*95,IF($D14="jabas",N($E14)*IFERROR(VLOOKUP($C14,LISTAS!$A$2:$B$12,2,0),0),""))))</f>
        <v>570</v>
      </c>
      <c r="G14" s="15"/>
      <c r="H14" s="15"/>
      <c r="I14" s="1" t="n">
        <f aca="false">N($F14)</f>
        <v>570</v>
      </c>
    </row>
    <row r="15" customFormat="false" ht="15" hidden="false" customHeight="true" outlineLevel="0" collapsed="false">
      <c r="A15" s="17" t="n">
        <v>46215</v>
      </c>
      <c r="B15" s="18" t="s">
        <v>26</v>
      </c>
      <c r="C15" s="18" t="s">
        <v>11</v>
      </c>
      <c r="D15" s="18" t="s">
        <v>12</v>
      </c>
      <c r="E15" s="19" t="n">
        <v>67</v>
      </c>
      <c r="F15" s="19" t="n">
        <f aca="false">IF($B15="","",IF($D15="kg",N($E15),IF($D15="sacos",N($E15)*95,IF($D15="jabas",N($E15)*IFERROR(VLOOKUP($C15,LISTAS!$A$2:$B$12,2,0),0),""))))</f>
        <v>1005</v>
      </c>
      <c r="G15" s="18" t="s">
        <v>27</v>
      </c>
      <c r="H15" s="18"/>
      <c r="I15" s="1" t="n">
        <f aca="false">N($F15)</f>
        <v>1005</v>
      </c>
    </row>
    <row r="16" customFormat="false" ht="15" hidden="false" customHeight="true" outlineLevel="0" collapsed="false">
      <c r="A16" s="17" t="n">
        <v>46215</v>
      </c>
      <c r="B16" s="18" t="s">
        <v>26</v>
      </c>
      <c r="C16" s="18" t="s">
        <v>24</v>
      </c>
      <c r="D16" s="18" t="s">
        <v>12</v>
      </c>
      <c r="E16" s="19" t="n">
        <v>11</v>
      </c>
      <c r="F16" s="19" t="n">
        <f aca="false">IF($B16="","",IF($D16="kg",N($E16),IF($D16="sacos",N($E16)*95,IF($D16="jabas",N($E16)*IFERROR(VLOOKUP($C16,LISTAS!$A$2:$B$12,2,0),0),""))))</f>
        <v>198</v>
      </c>
      <c r="G16" s="18" t="s">
        <v>27</v>
      </c>
      <c r="H16" s="18"/>
      <c r="I16" s="1" t="n">
        <f aca="false">N($F16)</f>
        <v>198</v>
      </c>
    </row>
    <row r="17" customFormat="false" ht="15" hidden="false" customHeight="true" outlineLevel="0" collapsed="false">
      <c r="A17" s="17" t="n">
        <v>46215</v>
      </c>
      <c r="B17" s="18" t="s">
        <v>26</v>
      </c>
      <c r="C17" s="18" t="s">
        <v>25</v>
      </c>
      <c r="D17" s="18" t="s">
        <v>12</v>
      </c>
      <c r="E17" s="19" t="n">
        <v>12</v>
      </c>
      <c r="F17" s="19" t="n">
        <f aca="false">IF($B17="","",IF($D17="kg",N($E17),IF($D17="sacos",N($E17)*95,IF($D17="jabas",N($E17)*IFERROR(VLOOKUP($C17,LISTAS!$A$2:$B$12,2,0),0),""))))</f>
        <v>204</v>
      </c>
      <c r="G17" s="18" t="s">
        <v>27</v>
      </c>
      <c r="H17" s="18"/>
      <c r="I17" s="1" t="n">
        <f aca="false">N($F17)</f>
        <v>204</v>
      </c>
    </row>
    <row r="18" customFormat="false" ht="15" hidden="false" customHeight="true" outlineLevel="0" collapsed="false">
      <c r="A18" s="17" t="n">
        <v>46215</v>
      </c>
      <c r="B18" s="18" t="s">
        <v>26</v>
      </c>
      <c r="C18" s="18" t="s">
        <v>14</v>
      </c>
      <c r="D18" s="18" t="s">
        <v>12</v>
      </c>
      <c r="E18" s="19" t="n">
        <v>42</v>
      </c>
      <c r="F18" s="19" t="n">
        <f aca="false">IF($B18="","",IF($D18="kg",N($E18),IF($D18="sacos",N($E18)*95,IF($D18="jabas",N($E18)*IFERROR(VLOOKUP($C18,LISTAS!$A$2:$B$12,2,0),0),""))))</f>
        <v>714</v>
      </c>
      <c r="G18" s="18" t="s">
        <v>27</v>
      </c>
      <c r="H18" s="18"/>
      <c r="I18" s="1" t="n">
        <f aca="false">N($F18)</f>
        <v>714</v>
      </c>
    </row>
    <row r="19" customFormat="false" ht="15" hidden="false" customHeight="true" outlineLevel="0" collapsed="false">
      <c r="A19" s="11" t="n">
        <v>46216</v>
      </c>
      <c r="B19" s="12" t="s">
        <v>20</v>
      </c>
      <c r="C19" s="12" t="s">
        <v>21</v>
      </c>
      <c r="D19" s="12" t="s">
        <v>19</v>
      </c>
      <c r="E19" s="13" t="n">
        <v>40</v>
      </c>
      <c r="F19" s="13" t="n">
        <f aca="false">IF($B19="","",IF($D19="kg",N($E19),IF($D19="sacos",N($E19)*95,IF($D19="jabas",N($E19)*IFERROR(VLOOKUP($C19,LISTAS!$A$2:$B$12,2,0),0),""))))</f>
        <v>3800</v>
      </c>
      <c r="G19" s="12"/>
      <c r="H19" s="12" t="s">
        <v>22</v>
      </c>
      <c r="I19" s="1" t="n">
        <f aca="false">N($F19)</f>
        <v>3800</v>
      </c>
    </row>
    <row r="20" customFormat="false" ht="15" hidden="false" customHeight="true" outlineLevel="0" collapsed="false">
      <c r="A20" s="14" t="n">
        <v>46216</v>
      </c>
      <c r="B20" s="15" t="s">
        <v>23</v>
      </c>
      <c r="C20" s="15" t="s">
        <v>11</v>
      </c>
      <c r="D20" s="15" t="s">
        <v>12</v>
      </c>
      <c r="E20" s="16" t="n">
        <v>107</v>
      </c>
      <c r="F20" s="16" t="n">
        <f aca="false">IF($B20="","",IF($D20="kg",N($E20),IF($D20="sacos",N($E20)*95,IF($D20="jabas",N($E20)*IFERROR(VLOOKUP($C20,LISTAS!$A$2:$B$12,2,0),0),""))))</f>
        <v>1605</v>
      </c>
      <c r="G20" s="15"/>
      <c r="H20" s="15"/>
      <c r="I20" s="1" t="n">
        <f aca="false">N($F20)</f>
        <v>1605</v>
      </c>
    </row>
    <row r="21" customFormat="false" ht="15" hidden="false" customHeight="true" outlineLevel="0" collapsed="false">
      <c r="A21" s="14" t="n">
        <v>46216</v>
      </c>
      <c r="B21" s="15" t="s">
        <v>23</v>
      </c>
      <c r="C21" s="15" t="s">
        <v>24</v>
      </c>
      <c r="D21" s="15" t="s">
        <v>12</v>
      </c>
      <c r="E21" s="16" t="n">
        <v>11</v>
      </c>
      <c r="F21" s="16" t="n">
        <f aca="false">IF($B21="","",IF($D21="kg",N($E21),IF($D21="sacos",N($E21)*95,IF($D21="jabas",N($E21)*IFERROR(VLOOKUP($C21,LISTAS!$A$2:$B$12,2,0),0),""))))</f>
        <v>198</v>
      </c>
      <c r="G21" s="15"/>
      <c r="H21" s="15"/>
      <c r="I21" s="1" t="n">
        <f aca="false">N($F21)</f>
        <v>198</v>
      </c>
    </row>
    <row r="22" customFormat="false" ht="15" hidden="false" customHeight="true" outlineLevel="0" collapsed="false">
      <c r="A22" s="14" t="n">
        <v>46216</v>
      </c>
      <c r="B22" s="15" t="s">
        <v>23</v>
      </c>
      <c r="C22" s="15" t="s">
        <v>25</v>
      </c>
      <c r="D22" s="15" t="s">
        <v>12</v>
      </c>
      <c r="E22" s="16" t="n">
        <v>12</v>
      </c>
      <c r="F22" s="16" t="n">
        <f aca="false">IF($B22="","",IF($D22="kg",N($E22),IF($D22="sacos",N($E22)*95,IF($D22="jabas",N($E22)*IFERROR(VLOOKUP($C22,LISTAS!$A$2:$B$12,2,0),0),""))))</f>
        <v>204</v>
      </c>
      <c r="G22" s="15"/>
      <c r="H22" s="15"/>
      <c r="I22" s="1" t="n">
        <f aca="false">N($F22)</f>
        <v>204</v>
      </c>
    </row>
    <row r="23" customFormat="false" ht="15" hidden="false" customHeight="true" outlineLevel="0" collapsed="false">
      <c r="A23" s="14" t="n">
        <v>46216</v>
      </c>
      <c r="B23" s="15" t="s">
        <v>23</v>
      </c>
      <c r="C23" s="15" t="s">
        <v>14</v>
      </c>
      <c r="D23" s="15" t="s">
        <v>12</v>
      </c>
      <c r="E23" s="16" t="n">
        <v>110</v>
      </c>
      <c r="F23" s="16" t="n">
        <f aca="false">IF($B23="","",IF($D23="kg",N($E23),IF($D23="sacos",N($E23)*95,IF($D23="jabas",N($E23)*IFERROR(VLOOKUP($C23,LISTAS!$A$2:$B$12,2,0),0),""))))</f>
        <v>1870</v>
      </c>
      <c r="G23" s="15"/>
      <c r="H23" s="15"/>
      <c r="I23" s="1" t="n">
        <f aca="false">N($F23)</f>
        <v>1870</v>
      </c>
    </row>
    <row r="24" customFormat="false" ht="15" hidden="false" customHeight="true" outlineLevel="0" collapsed="false">
      <c r="A24" s="14" t="n">
        <v>46216</v>
      </c>
      <c r="B24" s="15" t="s">
        <v>23</v>
      </c>
      <c r="C24" s="15" t="s">
        <v>18</v>
      </c>
      <c r="D24" s="15" t="s">
        <v>19</v>
      </c>
      <c r="E24" s="16" t="n">
        <v>2</v>
      </c>
      <c r="F24" s="16" t="n">
        <f aca="false">IF($B24="","",IF($D24="kg",N($E24),IF($D24="sacos",N($E24)*95,IF($D24="jabas",N($E24)*IFERROR(VLOOKUP($C24,LISTAS!$A$2:$B$12,2,0),0),""))))</f>
        <v>190</v>
      </c>
      <c r="G24" s="15"/>
      <c r="H24" s="15"/>
      <c r="I24" s="1" t="n">
        <f aca="false">N($F24)</f>
        <v>190</v>
      </c>
    </row>
    <row r="25" customFormat="false" ht="15" hidden="false" customHeight="true" outlineLevel="0" collapsed="false">
      <c r="A25" s="17" t="n">
        <v>46216</v>
      </c>
      <c r="B25" s="18" t="s">
        <v>26</v>
      </c>
      <c r="C25" s="18" t="s">
        <v>11</v>
      </c>
      <c r="D25" s="18" t="s">
        <v>12</v>
      </c>
      <c r="E25" s="19" t="n">
        <v>67</v>
      </c>
      <c r="F25" s="19" t="n">
        <f aca="false">IF($B25="","",IF($D25="kg",N($E25),IF($D25="sacos",N($E25)*95,IF($D25="jabas",N($E25)*IFERROR(VLOOKUP($C25,LISTAS!$A$2:$B$12,2,0),0),""))))</f>
        <v>1005</v>
      </c>
      <c r="G25" s="18" t="s">
        <v>28</v>
      </c>
      <c r="H25" s="18"/>
      <c r="I25" s="1" t="n">
        <f aca="false">N($F25)</f>
        <v>1005</v>
      </c>
    </row>
    <row r="26" customFormat="false" ht="15" hidden="false" customHeight="true" outlineLevel="0" collapsed="false">
      <c r="A26" s="17" t="n">
        <v>46216</v>
      </c>
      <c r="B26" s="18" t="s">
        <v>26</v>
      </c>
      <c r="C26" s="18" t="s">
        <v>24</v>
      </c>
      <c r="D26" s="18" t="s">
        <v>12</v>
      </c>
      <c r="E26" s="19" t="n">
        <v>11</v>
      </c>
      <c r="F26" s="19" t="n">
        <f aca="false">IF($B26="","",IF($D26="kg",N($E26),IF($D26="sacos",N($E26)*95,IF($D26="jabas",N($E26)*IFERROR(VLOOKUP($C26,LISTAS!$A$2:$B$12,2,0),0),""))))</f>
        <v>198</v>
      </c>
      <c r="G26" s="18" t="s">
        <v>28</v>
      </c>
      <c r="H26" s="18"/>
      <c r="I26" s="1" t="n">
        <f aca="false">N($F26)</f>
        <v>198</v>
      </c>
    </row>
    <row r="27" customFormat="false" ht="15" hidden="false" customHeight="true" outlineLevel="0" collapsed="false">
      <c r="A27" s="17" t="n">
        <v>46216</v>
      </c>
      <c r="B27" s="18" t="s">
        <v>26</v>
      </c>
      <c r="C27" s="18" t="s">
        <v>25</v>
      </c>
      <c r="D27" s="18" t="s">
        <v>12</v>
      </c>
      <c r="E27" s="19" t="n">
        <v>12</v>
      </c>
      <c r="F27" s="19" t="n">
        <f aca="false">IF($B27="","",IF($D27="kg",N($E27),IF($D27="sacos",N($E27)*95,IF($D27="jabas",N($E27)*IFERROR(VLOOKUP($C27,LISTAS!$A$2:$B$12,2,0),0),""))))</f>
        <v>204</v>
      </c>
      <c r="G27" s="18" t="s">
        <v>28</v>
      </c>
      <c r="H27" s="18"/>
      <c r="I27" s="1" t="n">
        <f aca="false">N($F27)</f>
        <v>204</v>
      </c>
    </row>
    <row r="28" customFormat="false" ht="15" hidden="false" customHeight="true" outlineLevel="0" collapsed="false">
      <c r="A28" s="17" t="n">
        <v>46216</v>
      </c>
      <c r="B28" s="18" t="s">
        <v>26</v>
      </c>
      <c r="C28" s="18" t="s">
        <v>14</v>
      </c>
      <c r="D28" s="18" t="s">
        <v>12</v>
      </c>
      <c r="E28" s="19" t="n">
        <v>97</v>
      </c>
      <c r="F28" s="19" t="n">
        <f aca="false">IF($B28="","",IF($D28="kg",N($E28),IF($D28="sacos",N($E28)*95,IF($D28="jabas",N($E28)*IFERROR(VLOOKUP($C28,LISTAS!$A$2:$B$12,2,0),0),""))))</f>
        <v>1649</v>
      </c>
      <c r="G28" s="18" t="s">
        <v>28</v>
      </c>
      <c r="H28" s="18"/>
      <c r="I28" s="1" t="n">
        <f aca="false">N($F28)</f>
        <v>1649</v>
      </c>
    </row>
    <row r="29" customFormat="false" ht="15" hidden="false" customHeight="true" outlineLevel="0" collapsed="false">
      <c r="A29" s="11" t="n">
        <v>46217</v>
      </c>
      <c r="B29" s="12" t="s">
        <v>20</v>
      </c>
      <c r="C29" s="12" t="s">
        <v>21</v>
      </c>
      <c r="D29" s="12" t="s">
        <v>19</v>
      </c>
      <c r="E29" s="13" t="n">
        <v>40</v>
      </c>
      <c r="F29" s="13" t="n">
        <f aca="false">IF($B29="","",IF($D29="kg",N($E29),IF($D29="sacos",N($E29)*95,IF($D29="jabas",N($E29)*IFERROR(VLOOKUP($C29,LISTAS!$A$2:$B$12,2,0),0),""))))</f>
        <v>3800</v>
      </c>
      <c r="G29" s="12"/>
      <c r="H29" s="12" t="s">
        <v>22</v>
      </c>
      <c r="I29" s="1" t="n">
        <f aca="false">N($F29)</f>
        <v>3800</v>
      </c>
    </row>
    <row r="30" customFormat="false" ht="15" hidden="false" customHeight="true" outlineLevel="0" collapsed="false">
      <c r="A30" s="14" t="n">
        <v>46217</v>
      </c>
      <c r="B30" s="15" t="s">
        <v>23</v>
      </c>
      <c r="C30" s="15" t="s">
        <v>11</v>
      </c>
      <c r="D30" s="15" t="s">
        <v>12</v>
      </c>
      <c r="E30" s="16" t="n">
        <v>45</v>
      </c>
      <c r="F30" s="16" t="n">
        <f aca="false">IF($B30="","",IF($D30="kg",N($E30),IF($D30="sacos",N($E30)*95,IF($D30="jabas",N($E30)*IFERROR(VLOOKUP($C30,LISTAS!$A$2:$B$12,2,0),0),""))))</f>
        <v>675</v>
      </c>
      <c r="G30" s="15"/>
      <c r="H30" s="15"/>
      <c r="I30" s="1" t="n">
        <f aca="false">N($F30)</f>
        <v>675</v>
      </c>
    </row>
    <row r="31" customFormat="false" ht="15" hidden="false" customHeight="true" outlineLevel="0" collapsed="false">
      <c r="A31" s="14" t="n">
        <v>46217</v>
      </c>
      <c r="B31" s="15" t="s">
        <v>23</v>
      </c>
      <c r="C31" s="15" t="s">
        <v>24</v>
      </c>
      <c r="D31" s="15" t="s">
        <v>12</v>
      </c>
      <c r="E31" s="16" t="n">
        <v>11</v>
      </c>
      <c r="F31" s="16" t="n">
        <f aca="false">IF($B31="","",IF($D31="kg",N($E31),IF($D31="sacos",N($E31)*95,IF($D31="jabas",N($E31)*IFERROR(VLOOKUP($C31,LISTAS!$A$2:$B$12,2,0),0),""))))</f>
        <v>198</v>
      </c>
      <c r="G31" s="15"/>
      <c r="H31" s="15"/>
      <c r="I31" s="1" t="n">
        <f aca="false">N($F31)</f>
        <v>198</v>
      </c>
    </row>
    <row r="32" customFormat="false" ht="15" hidden="false" customHeight="true" outlineLevel="0" collapsed="false">
      <c r="A32" s="14" t="n">
        <v>46217</v>
      </c>
      <c r="B32" s="15" t="s">
        <v>23</v>
      </c>
      <c r="C32" s="15" t="s">
        <v>25</v>
      </c>
      <c r="D32" s="15" t="s">
        <v>12</v>
      </c>
      <c r="E32" s="16" t="n">
        <v>12</v>
      </c>
      <c r="F32" s="16" t="n">
        <f aca="false">IF($B32="","",IF($D32="kg",N($E32),IF($D32="sacos",N($E32)*95,IF($D32="jabas",N($E32)*IFERROR(VLOOKUP($C32,LISTAS!$A$2:$B$12,2,0),0),""))))</f>
        <v>204</v>
      </c>
      <c r="G32" s="15"/>
      <c r="H32" s="15"/>
      <c r="I32" s="1" t="n">
        <f aca="false">N($F32)</f>
        <v>204</v>
      </c>
    </row>
    <row r="33" customFormat="false" ht="15" hidden="false" customHeight="true" outlineLevel="0" collapsed="false">
      <c r="A33" s="14" t="n">
        <v>46217</v>
      </c>
      <c r="B33" s="15" t="s">
        <v>23</v>
      </c>
      <c r="C33" s="15" t="s">
        <v>14</v>
      </c>
      <c r="D33" s="15" t="s">
        <v>12</v>
      </c>
      <c r="E33" s="16" t="n">
        <v>121</v>
      </c>
      <c r="F33" s="16" t="n">
        <f aca="false">IF($B33="","",IF($D33="kg",N($E33),IF($D33="sacos",N($E33)*95,IF($D33="jabas",N($E33)*IFERROR(VLOOKUP($C33,LISTAS!$A$2:$B$12,2,0),0),""))))</f>
        <v>2057</v>
      </c>
      <c r="G33" s="15"/>
      <c r="H33" s="15"/>
      <c r="I33" s="1" t="n">
        <f aca="false">N($F33)</f>
        <v>2057</v>
      </c>
    </row>
    <row r="34" customFormat="false" ht="15" hidden="false" customHeight="true" outlineLevel="0" collapsed="false">
      <c r="A34" s="14" t="n">
        <v>46217</v>
      </c>
      <c r="B34" s="15" t="s">
        <v>23</v>
      </c>
      <c r="C34" s="15" t="s">
        <v>18</v>
      </c>
      <c r="D34" s="15" t="s">
        <v>19</v>
      </c>
      <c r="E34" s="16" t="n">
        <v>7</v>
      </c>
      <c r="F34" s="16" t="n">
        <f aca="false">IF($B34="","",IF($D34="kg",N($E34),IF($D34="sacos",N($E34)*95,IF($D34="jabas",N($E34)*IFERROR(VLOOKUP($C34,LISTAS!$A$2:$B$12,2,0),0),""))))</f>
        <v>665</v>
      </c>
      <c r="G34" s="15"/>
      <c r="H34" s="15"/>
      <c r="I34" s="1" t="n">
        <f aca="false">N($F34)</f>
        <v>665</v>
      </c>
    </row>
    <row r="35" customFormat="false" ht="15" hidden="false" customHeight="true" outlineLevel="0" collapsed="false">
      <c r="A35" s="17" t="n">
        <v>46217</v>
      </c>
      <c r="B35" s="18" t="s">
        <v>26</v>
      </c>
      <c r="C35" s="18" t="s">
        <v>11</v>
      </c>
      <c r="D35" s="18" t="s">
        <v>12</v>
      </c>
      <c r="E35" s="19" t="n">
        <v>67</v>
      </c>
      <c r="F35" s="19" t="n">
        <f aca="false">IF($B35="","",IF($D35="kg",N($E35),IF($D35="sacos",N($E35)*95,IF($D35="jabas",N($E35)*IFERROR(VLOOKUP($C35,LISTAS!$A$2:$B$12,2,0),0),""))))</f>
        <v>1005</v>
      </c>
      <c r="G35" s="18" t="s">
        <v>29</v>
      </c>
      <c r="H35" s="18"/>
      <c r="I35" s="1" t="n">
        <f aca="false">N($F35)</f>
        <v>1005</v>
      </c>
    </row>
    <row r="36" customFormat="false" ht="15" hidden="false" customHeight="true" outlineLevel="0" collapsed="false">
      <c r="A36" s="17" t="n">
        <v>46217</v>
      </c>
      <c r="B36" s="18" t="s">
        <v>26</v>
      </c>
      <c r="C36" s="18" t="s">
        <v>24</v>
      </c>
      <c r="D36" s="18" t="s">
        <v>12</v>
      </c>
      <c r="E36" s="19" t="n">
        <v>11</v>
      </c>
      <c r="F36" s="19" t="n">
        <f aca="false">IF($B36="","",IF($D36="kg",N($E36),IF($D36="sacos",N($E36)*95,IF($D36="jabas",N($E36)*IFERROR(VLOOKUP($C36,LISTAS!$A$2:$B$12,2,0),0),""))))</f>
        <v>198</v>
      </c>
      <c r="G36" s="18" t="s">
        <v>29</v>
      </c>
      <c r="H36" s="18"/>
      <c r="I36" s="1" t="n">
        <f aca="false">N($F36)</f>
        <v>198</v>
      </c>
    </row>
    <row r="37" customFormat="false" ht="15" hidden="false" customHeight="true" outlineLevel="0" collapsed="false">
      <c r="A37" s="17" t="n">
        <v>46217</v>
      </c>
      <c r="B37" s="18" t="s">
        <v>26</v>
      </c>
      <c r="C37" s="18" t="s">
        <v>25</v>
      </c>
      <c r="D37" s="18" t="s">
        <v>12</v>
      </c>
      <c r="E37" s="19" t="n">
        <v>12</v>
      </c>
      <c r="F37" s="19" t="n">
        <f aca="false">IF($B37="","",IF($D37="kg",N($E37),IF($D37="sacos",N($E37)*95,IF($D37="jabas",N($E37)*IFERROR(VLOOKUP($C37,LISTAS!$A$2:$B$12,2,0),0),""))))</f>
        <v>204</v>
      </c>
      <c r="G37" s="18" t="s">
        <v>29</v>
      </c>
      <c r="H37" s="18"/>
      <c r="I37" s="1" t="n">
        <f aca="false">N($F37)</f>
        <v>204</v>
      </c>
    </row>
    <row r="38" customFormat="false" ht="15" hidden="false" customHeight="true" outlineLevel="0" collapsed="false">
      <c r="A38" s="17" t="n">
        <v>46217</v>
      </c>
      <c r="B38" s="18" t="s">
        <v>26</v>
      </c>
      <c r="C38" s="18" t="s">
        <v>14</v>
      </c>
      <c r="D38" s="18" t="s">
        <v>12</v>
      </c>
      <c r="E38" s="19" t="n">
        <v>116</v>
      </c>
      <c r="F38" s="19" t="n">
        <f aca="false">IF($B38="","",IF($D38="kg",N($E38),IF($D38="sacos",N($E38)*95,IF($D38="jabas",N($E38)*IFERROR(VLOOKUP($C38,LISTAS!$A$2:$B$12,2,0),0),""))))</f>
        <v>1972</v>
      </c>
      <c r="G38" s="18" t="s">
        <v>29</v>
      </c>
      <c r="H38" s="18"/>
      <c r="I38" s="1" t="n">
        <f aca="false">N($F38)</f>
        <v>1972</v>
      </c>
    </row>
    <row r="39" customFormat="false" ht="15" hidden="false" customHeight="true" outlineLevel="0" collapsed="false">
      <c r="A39" s="11" t="n">
        <v>46218</v>
      </c>
      <c r="B39" s="12" t="s">
        <v>20</v>
      </c>
      <c r="C39" s="12" t="s">
        <v>21</v>
      </c>
      <c r="D39" s="12" t="s">
        <v>19</v>
      </c>
      <c r="E39" s="13" t="n">
        <v>40</v>
      </c>
      <c r="F39" s="13" t="n">
        <f aca="false">IF($B39="","",IF($D39="kg",N($E39),IF($D39="sacos",N($E39)*95,IF($D39="jabas",N($E39)*IFERROR(VLOOKUP($C39,LISTAS!$A$2:$B$12,2,0),0),""))))</f>
        <v>3800</v>
      </c>
      <c r="G39" s="12"/>
      <c r="H39" s="12" t="s">
        <v>22</v>
      </c>
      <c r="I39" s="1" t="n">
        <f aca="false">N($F39)</f>
        <v>3800</v>
      </c>
    </row>
    <row r="40" customFormat="false" ht="15" hidden="false" customHeight="true" outlineLevel="0" collapsed="false">
      <c r="A40" s="14" t="n">
        <v>46218</v>
      </c>
      <c r="B40" s="15" t="s">
        <v>23</v>
      </c>
      <c r="C40" s="15" t="s">
        <v>11</v>
      </c>
      <c r="D40" s="15" t="s">
        <v>12</v>
      </c>
      <c r="E40" s="16" t="n">
        <v>79</v>
      </c>
      <c r="F40" s="16" t="n">
        <f aca="false">IF($B40="","",IF($D40="kg",N($E40),IF($D40="sacos",N($E40)*95,IF($D40="jabas",N($E40)*IFERROR(VLOOKUP($C40,LISTAS!$A$2:$B$12,2,0),0),""))))</f>
        <v>1185</v>
      </c>
      <c r="G40" s="15"/>
      <c r="H40" s="15"/>
      <c r="I40" s="1" t="n">
        <f aca="false">N($F40)</f>
        <v>1185</v>
      </c>
    </row>
    <row r="41" customFormat="false" ht="15" hidden="false" customHeight="true" outlineLevel="0" collapsed="false">
      <c r="A41" s="14" t="n">
        <v>46218</v>
      </c>
      <c r="B41" s="15" t="s">
        <v>23</v>
      </c>
      <c r="C41" s="15" t="s">
        <v>24</v>
      </c>
      <c r="D41" s="15" t="s">
        <v>12</v>
      </c>
      <c r="E41" s="16" t="n">
        <v>22</v>
      </c>
      <c r="F41" s="16" t="n">
        <f aca="false">IF($B41="","",IF($D41="kg",N($E41),IF($D41="sacos",N($E41)*95,IF($D41="jabas",N($E41)*IFERROR(VLOOKUP($C41,LISTAS!$A$2:$B$12,2,0),0),""))))</f>
        <v>396</v>
      </c>
      <c r="G41" s="15"/>
      <c r="H41" s="15"/>
      <c r="I41" s="1" t="n">
        <f aca="false">N($F41)</f>
        <v>396</v>
      </c>
    </row>
    <row r="42" customFormat="false" ht="15" hidden="false" customHeight="true" outlineLevel="0" collapsed="false">
      <c r="A42" s="14" t="n">
        <v>46218</v>
      </c>
      <c r="B42" s="15" t="s">
        <v>23</v>
      </c>
      <c r="C42" s="15" t="s">
        <v>25</v>
      </c>
      <c r="D42" s="15" t="s">
        <v>12</v>
      </c>
      <c r="E42" s="16" t="n">
        <v>21</v>
      </c>
      <c r="F42" s="16" t="n">
        <f aca="false">IF($B42="","",IF($D42="kg",N($E42),IF($D42="sacos",N($E42)*95,IF($D42="jabas",N($E42)*IFERROR(VLOOKUP($C42,LISTAS!$A$2:$B$12,2,0),0),""))))</f>
        <v>357</v>
      </c>
      <c r="G42" s="15"/>
      <c r="H42" s="15"/>
      <c r="I42" s="1" t="n">
        <f aca="false">N($F42)</f>
        <v>357</v>
      </c>
    </row>
    <row r="43" customFormat="false" ht="15" hidden="false" customHeight="true" outlineLevel="0" collapsed="false">
      <c r="A43" s="14" t="n">
        <v>46218</v>
      </c>
      <c r="B43" s="15" t="s">
        <v>23</v>
      </c>
      <c r="C43" s="15" t="s">
        <v>14</v>
      </c>
      <c r="D43" s="15" t="s">
        <v>12</v>
      </c>
      <c r="E43" s="16" t="n">
        <v>83</v>
      </c>
      <c r="F43" s="16" t="n">
        <f aca="false">IF($B43="","",IF($D43="kg",N($E43),IF($D43="sacos",N($E43)*95,IF($D43="jabas",N($E43)*IFERROR(VLOOKUP($C43,LISTAS!$A$2:$B$12,2,0),0),""))))</f>
        <v>1411</v>
      </c>
      <c r="G43" s="15"/>
      <c r="H43" s="15"/>
      <c r="I43" s="1" t="n">
        <f aca="false">N($F43)</f>
        <v>1411</v>
      </c>
    </row>
    <row r="44" customFormat="false" ht="15" hidden="false" customHeight="true" outlineLevel="0" collapsed="false">
      <c r="A44" s="14" t="n">
        <v>46218</v>
      </c>
      <c r="B44" s="15" t="s">
        <v>23</v>
      </c>
      <c r="C44" s="15" t="s">
        <v>18</v>
      </c>
      <c r="D44" s="15" t="s">
        <v>19</v>
      </c>
      <c r="E44" s="16" t="n">
        <v>5</v>
      </c>
      <c r="F44" s="16" t="n">
        <f aca="false">IF($B44="","",IF($D44="kg",N($E44),IF($D44="sacos",N($E44)*95,IF($D44="jabas",N($E44)*IFERROR(VLOOKUP($C44,LISTAS!$A$2:$B$12,2,0),0),""))))</f>
        <v>475</v>
      </c>
      <c r="G44" s="15"/>
      <c r="H44" s="15"/>
      <c r="I44" s="1" t="n">
        <f aca="false">N($F44)</f>
        <v>475</v>
      </c>
    </row>
    <row r="45" customFormat="false" ht="15" hidden="false" customHeight="true" outlineLevel="0" collapsed="false">
      <c r="A45" s="17" t="n">
        <v>46218</v>
      </c>
      <c r="B45" s="18" t="s">
        <v>26</v>
      </c>
      <c r="C45" s="18" t="s">
        <v>11</v>
      </c>
      <c r="D45" s="18" t="s">
        <v>12</v>
      </c>
      <c r="E45" s="19" t="n">
        <v>67</v>
      </c>
      <c r="F45" s="19" t="n">
        <f aca="false">IF($B45="","",IF($D45="kg",N($E45),IF($D45="sacos",N($E45)*95,IF($D45="jabas",N($E45)*IFERROR(VLOOKUP($C45,LISTAS!$A$2:$B$12,2,0),0),""))))</f>
        <v>1005</v>
      </c>
      <c r="G45" s="18" t="s">
        <v>30</v>
      </c>
      <c r="H45" s="18"/>
      <c r="I45" s="1" t="n">
        <f aca="false">N($F45)</f>
        <v>1005</v>
      </c>
    </row>
    <row r="46" customFormat="false" ht="15" hidden="false" customHeight="true" outlineLevel="0" collapsed="false">
      <c r="A46" s="17" t="n">
        <v>46218</v>
      </c>
      <c r="B46" s="18" t="s">
        <v>26</v>
      </c>
      <c r="C46" s="18" t="s">
        <v>24</v>
      </c>
      <c r="D46" s="18" t="s">
        <v>12</v>
      </c>
      <c r="E46" s="19" t="n">
        <v>11</v>
      </c>
      <c r="F46" s="19" t="n">
        <f aca="false">IF($B46="","",IF($D46="kg",N($E46),IF($D46="sacos",N($E46)*95,IF($D46="jabas",N($E46)*IFERROR(VLOOKUP($C46,LISTAS!$A$2:$B$12,2,0),0),""))))</f>
        <v>198</v>
      </c>
      <c r="G46" s="18" t="s">
        <v>30</v>
      </c>
      <c r="H46" s="18"/>
      <c r="I46" s="1" t="n">
        <f aca="false">N($F46)</f>
        <v>198</v>
      </c>
    </row>
    <row r="47" customFormat="false" ht="15" hidden="false" customHeight="true" outlineLevel="0" collapsed="false">
      <c r="A47" s="17" t="n">
        <v>46218</v>
      </c>
      <c r="B47" s="18" t="s">
        <v>26</v>
      </c>
      <c r="C47" s="18" t="s">
        <v>25</v>
      </c>
      <c r="D47" s="18" t="s">
        <v>12</v>
      </c>
      <c r="E47" s="19" t="n">
        <v>9</v>
      </c>
      <c r="F47" s="19" t="n">
        <f aca="false">IF($B47="","",IF($D47="kg",N($E47),IF($D47="sacos",N($E47)*95,IF($D47="jabas",N($E47)*IFERROR(VLOOKUP($C47,LISTAS!$A$2:$B$12,2,0),0),""))))</f>
        <v>153</v>
      </c>
      <c r="G47" s="18" t="s">
        <v>30</v>
      </c>
      <c r="H47" s="18"/>
      <c r="I47" s="1" t="n">
        <f aca="false">N($F47)</f>
        <v>153</v>
      </c>
    </row>
    <row r="48" customFormat="false" ht="15" hidden="false" customHeight="true" outlineLevel="0" collapsed="false">
      <c r="A48" s="17" t="n">
        <v>46218</v>
      </c>
      <c r="B48" s="18" t="s">
        <v>26</v>
      </c>
      <c r="C48" s="18" t="s">
        <v>14</v>
      </c>
      <c r="D48" s="18" t="s">
        <v>12</v>
      </c>
      <c r="E48" s="19" t="n">
        <v>95</v>
      </c>
      <c r="F48" s="19" t="n">
        <f aca="false">IF($B48="","",IF($D48="kg",N($E48),IF($D48="sacos",N($E48)*95,IF($D48="jabas",N($E48)*IFERROR(VLOOKUP($C48,LISTAS!$A$2:$B$12,2,0),0),""))))</f>
        <v>1615</v>
      </c>
      <c r="G48" s="18" t="s">
        <v>30</v>
      </c>
      <c r="H48" s="18"/>
      <c r="I48" s="1" t="n">
        <f aca="false">N($F48)</f>
        <v>1615</v>
      </c>
    </row>
    <row r="49" customFormat="false" ht="15" hidden="false" customHeight="true" outlineLevel="0" collapsed="false">
      <c r="A49" s="20" t="n">
        <v>46218</v>
      </c>
      <c r="B49" s="21" t="s">
        <v>31</v>
      </c>
      <c r="C49" s="21" t="s">
        <v>18</v>
      </c>
      <c r="D49" s="21" t="s">
        <v>19</v>
      </c>
      <c r="E49" s="22" t="n">
        <v>35</v>
      </c>
      <c r="F49" s="22" t="n">
        <f aca="false">IF($B49="","",IF($D49="kg",N($E49),IF($D49="sacos",N($E49)*95,IF($D49="jabas",N($E49)*IFERROR(VLOOKUP($C49,LISTAS!$A$2:$B$12,2,0),0),""))))</f>
        <v>3325</v>
      </c>
      <c r="G49" s="21" t="s">
        <v>32</v>
      </c>
      <c r="H49" s="21"/>
      <c r="I49" s="1" t="n">
        <f aca="false">N($F49)</f>
        <v>3325</v>
      </c>
    </row>
    <row r="50" customFormat="false" ht="15" hidden="false" customHeight="true" outlineLevel="0" collapsed="false">
      <c r="A50" s="11" t="n">
        <v>46219</v>
      </c>
      <c r="B50" s="12" t="s">
        <v>20</v>
      </c>
      <c r="C50" s="12" t="s">
        <v>21</v>
      </c>
      <c r="D50" s="12" t="s">
        <v>19</v>
      </c>
      <c r="E50" s="13" t="n">
        <v>40</v>
      </c>
      <c r="F50" s="13" t="n">
        <f aca="false">IF($B50="","",IF($D50="kg",N($E50),IF($D50="sacos",N($E50)*95,IF($D50="jabas",N($E50)*IFERROR(VLOOKUP($C50,LISTAS!$A$2:$B$12,2,0),0),""))))</f>
        <v>3800</v>
      </c>
      <c r="G50" s="12"/>
      <c r="H50" s="12" t="s">
        <v>22</v>
      </c>
      <c r="I50" s="1" t="n">
        <f aca="false">N($F50)</f>
        <v>3800</v>
      </c>
    </row>
    <row r="51" customFormat="false" ht="15" hidden="false" customHeight="true" outlineLevel="0" collapsed="false">
      <c r="A51" s="14" t="n">
        <v>46219</v>
      </c>
      <c r="B51" s="15" t="s">
        <v>23</v>
      </c>
      <c r="C51" s="15" t="s">
        <v>11</v>
      </c>
      <c r="D51" s="15" t="s">
        <v>12</v>
      </c>
      <c r="E51" s="16" t="n">
        <v>68</v>
      </c>
      <c r="F51" s="16" t="n">
        <f aca="false">IF($B51="","",IF($D51="kg",N($E51),IF($D51="sacos",N($E51)*95,IF($D51="jabas",N($E51)*IFERROR(VLOOKUP($C51,LISTAS!$A$2:$B$12,2,0),0),""))))</f>
        <v>1020</v>
      </c>
      <c r="G51" s="15"/>
      <c r="H51" s="15"/>
      <c r="I51" s="1" t="n">
        <f aca="false">N($F51)</f>
        <v>1020</v>
      </c>
    </row>
    <row r="52" customFormat="false" ht="15" hidden="false" customHeight="true" outlineLevel="0" collapsed="false">
      <c r="A52" s="14" t="n">
        <v>46219</v>
      </c>
      <c r="B52" s="15" t="s">
        <v>23</v>
      </c>
      <c r="C52" s="15" t="s">
        <v>24</v>
      </c>
      <c r="D52" s="15" t="s">
        <v>12</v>
      </c>
      <c r="E52" s="16" t="n">
        <v>11</v>
      </c>
      <c r="F52" s="16" t="n">
        <f aca="false">IF($B52="","",IF($D52="kg",N($E52),IF($D52="sacos",N($E52)*95,IF($D52="jabas",N($E52)*IFERROR(VLOOKUP($C52,LISTAS!$A$2:$B$12,2,0),0),""))))</f>
        <v>198</v>
      </c>
      <c r="G52" s="15"/>
      <c r="H52" s="15"/>
      <c r="I52" s="1" t="n">
        <f aca="false">N($F52)</f>
        <v>198</v>
      </c>
    </row>
    <row r="53" customFormat="false" ht="15" hidden="false" customHeight="true" outlineLevel="0" collapsed="false">
      <c r="A53" s="14" t="n">
        <v>46219</v>
      </c>
      <c r="B53" s="15" t="s">
        <v>23</v>
      </c>
      <c r="C53" s="15" t="s">
        <v>25</v>
      </c>
      <c r="D53" s="15" t="s">
        <v>12</v>
      </c>
      <c r="E53" s="16" t="n">
        <v>12</v>
      </c>
      <c r="F53" s="16" t="n">
        <f aca="false">IF($B53="","",IF($D53="kg",N($E53),IF($D53="sacos",N($E53)*95,IF($D53="jabas",N($E53)*IFERROR(VLOOKUP($C53,LISTAS!$A$2:$B$12,2,0),0),""))))</f>
        <v>204</v>
      </c>
      <c r="G53" s="15"/>
      <c r="H53" s="15"/>
      <c r="I53" s="1" t="n">
        <f aca="false">N($F53)</f>
        <v>204</v>
      </c>
    </row>
    <row r="54" customFormat="false" ht="15" hidden="false" customHeight="true" outlineLevel="0" collapsed="false">
      <c r="A54" s="14" t="n">
        <v>46219</v>
      </c>
      <c r="B54" s="15" t="s">
        <v>23</v>
      </c>
      <c r="C54" s="15" t="s">
        <v>14</v>
      </c>
      <c r="D54" s="15" t="s">
        <v>12</v>
      </c>
      <c r="E54" s="16" t="n">
        <v>116</v>
      </c>
      <c r="F54" s="16" t="n">
        <f aca="false">IF($B54="","",IF($D54="kg",N($E54),IF($D54="sacos",N($E54)*95,IF($D54="jabas",N($E54)*IFERROR(VLOOKUP($C54,LISTAS!$A$2:$B$12,2,0),0),""))))</f>
        <v>1972</v>
      </c>
      <c r="G54" s="15"/>
      <c r="H54" s="15"/>
      <c r="I54" s="1" t="n">
        <f aca="false">N($F54)</f>
        <v>1972</v>
      </c>
    </row>
    <row r="55" customFormat="false" ht="15" hidden="false" customHeight="true" outlineLevel="0" collapsed="false">
      <c r="A55" s="14" t="n">
        <v>46219</v>
      </c>
      <c r="B55" s="15" t="s">
        <v>23</v>
      </c>
      <c r="C55" s="15" t="s">
        <v>18</v>
      </c>
      <c r="D55" s="15" t="s">
        <v>19</v>
      </c>
      <c r="E55" s="16" t="n">
        <v>4</v>
      </c>
      <c r="F55" s="16" t="n">
        <f aca="false">IF($B55="","",IF($D55="kg",N($E55),IF($D55="sacos",N($E55)*95,IF($D55="jabas",N($E55)*IFERROR(VLOOKUP($C55,LISTAS!$A$2:$B$12,2,0),0),""))))</f>
        <v>380</v>
      </c>
      <c r="G55" s="15"/>
      <c r="H55" s="15"/>
      <c r="I55" s="1" t="n">
        <f aca="false">N($F55)</f>
        <v>380</v>
      </c>
    </row>
    <row r="56" customFormat="false" ht="15" hidden="false" customHeight="true" outlineLevel="0" collapsed="false">
      <c r="A56" s="17" t="n">
        <v>46219</v>
      </c>
      <c r="B56" s="18" t="s">
        <v>26</v>
      </c>
      <c r="C56" s="18" t="s">
        <v>11</v>
      </c>
      <c r="D56" s="18" t="s">
        <v>12</v>
      </c>
      <c r="E56" s="19" t="n">
        <v>63</v>
      </c>
      <c r="F56" s="19" t="n">
        <f aca="false">IF($B56="","",IF($D56="kg",N($E56),IF($D56="sacos",N($E56)*95,IF($D56="jabas",N($E56)*IFERROR(VLOOKUP($C56,LISTAS!$A$2:$B$12,2,0),0),""))))</f>
        <v>945</v>
      </c>
      <c r="G56" s="18" t="s">
        <v>33</v>
      </c>
      <c r="H56" s="18"/>
      <c r="I56" s="1" t="n">
        <f aca="false">N($F56)</f>
        <v>945</v>
      </c>
    </row>
    <row r="57" customFormat="false" ht="15" hidden="false" customHeight="true" outlineLevel="0" collapsed="false">
      <c r="A57" s="17" t="n">
        <v>46219</v>
      </c>
      <c r="B57" s="18" t="s">
        <v>26</v>
      </c>
      <c r="C57" s="18" t="s">
        <v>24</v>
      </c>
      <c r="D57" s="18" t="s">
        <v>12</v>
      </c>
      <c r="E57" s="19" t="n">
        <v>11</v>
      </c>
      <c r="F57" s="19" t="n">
        <f aca="false">IF($B57="","",IF($D57="kg",N($E57),IF($D57="sacos",N($E57)*95,IF($D57="jabas",N($E57)*IFERROR(VLOOKUP($C57,LISTAS!$A$2:$B$12,2,0),0),""))))</f>
        <v>198</v>
      </c>
      <c r="G57" s="18" t="s">
        <v>33</v>
      </c>
      <c r="H57" s="18"/>
      <c r="I57" s="1" t="n">
        <f aca="false">N($F57)</f>
        <v>198</v>
      </c>
    </row>
    <row r="58" customFormat="false" ht="15" hidden="false" customHeight="true" outlineLevel="0" collapsed="false">
      <c r="A58" s="17" t="n">
        <v>46219</v>
      </c>
      <c r="B58" s="18" t="s">
        <v>26</v>
      </c>
      <c r="C58" s="18" t="s">
        <v>25</v>
      </c>
      <c r="D58" s="18" t="s">
        <v>12</v>
      </c>
      <c r="E58" s="19" t="n">
        <v>12</v>
      </c>
      <c r="F58" s="19" t="n">
        <f aca="false">IF($B58="","",IF($D58="kg",N($E58),IF($D58="sacos",N($E58)*95,IF($D58="jabas",N($E58)*IFERROR(VLOOKUP($C58,LISTAS!$A$2:$B$12,2,0),0),""))))</f>
        <v>204</v>
      </c>
      <c r="G58" s="18" t="s">
        <v>33</v>
      </c>
      <c r="H58" s="18"/>
      <c r="I58" s="1" t="n">
        <f aca="false">N($F58)</f>
        <v>204</v>
      </c>
    </row>
    <row r="59" customFormat="false" ht="15" hidden="false" customHeight="true" outlineLevel="0" collapsed="false">
      <c r="A59" s="17" t="n">
        <v>46219</v>
      </c>
      <c r="B59" s="18" t="s">
        <v>26</v>
      </c>
      <c r="C59" s="18" t="s">
        <v>14</v>
      </c>
      <c r="D59" s="18" t="s">
        <v>12</v>
      </c>
      <c r="E59" s="19" t="n">
        <v>115</v>
      </c>
      <c r="F59" s="19" t="n">
        <f aca="false">IF($B59="","",IF($D59="kg",N($E59),IF($D59="sacos",N($E59)*95,IF($D59="jabas",N($E59)*IFERROR(VLOOKUP($C59,LISTAS!$A$2:$B$12,2,0),0),""))))</f>
        <v>1955</v>
      </c>
      <c r="G59" s="18" t="s">
        <v>33</v>
      </c>
      <c r="H59" s="18"/>
      <c r="I59" s="1" t="n">
        <f aca="false">N($F59)</f>
        <v>1955</v>
      </c>
    </row>
    <row r="60" customFormat="false" ht="15" hidden="false" customHeight="true" outlineLevel="0" collapsed="false">
      <c r="A60" s="11" t="n">
        <v>46220</v>
      </c>
      <c r="B60" s="12" t="s">
        <v>20</v>
      </c>
      <c r="C60" s="12" t="s">
        <v>21</v>
      </c>
      <c r="D60" s="12" t="s">
        <v>19</v>
      </c>
      <c r="E60" s="13" t="n">
        <v>60</v>
      </c>
      <c r="F60" s="13" t="n">
        <f aca="false">IF($B60="","",IF($D60="kg",N($E60),IF($D60="sacos",N($E60)*95,IF($D60="jabas",N($E60)*IFERROR(VLOOKUP($C60,LISTAS!$A$2:$B$12,2,0),0),""))))</f>
        <v>5700</v>
      </c>
      <c r="G60" s="12"/>
      <c r="H60" s="12" t="s">
        <v>22</v>
      </c>
      <c r="I60" s="1" t="n">
        <f aca="false">N($F60)</f>
        <v>5700</v>
      </c>
    </row>
    <row r="61" customFormat="false" ht="15" hidden="false" customHeight="true" outlineLevel="0" collapsed="false">
      <c r="A61" s="14" t="n">
        <v>46220</v>
      </c>
      <c r="B61" s="15" t="s">
        <v>23</v>
      </c>
      <c r="C61" s="15" t="s">
        <v>11</v>
      </c>
      <c r="D61" s="15" t="s">
        <v>12</v>
      </c>
      <c r="E61" s="16" t="n">
        <v>99</v>
      </c>
      <c r="F61" s="16" t="n">
        <f aca="false">IF($B61="","",IF($D61="kg",N($E61),IF($D61="sacos",N($E61)*95,IF($D61="jabas",N($E61)*IFERROR(VLOOKUP($C61,LISTAS!$A$2:$B$12,2,0),0),""))))</f>
        <v>1485</v>
      </c>
      <c r="G61" s="15"/>
      <c r="H61" s="15"/>
      <c r="I61" s="1" t="n">
        <f aca="false">N($F61)</f>
        <v>1485</v>
      </c>
    </row>
    <row r="62" customFormat="false" ht="15" hidden="false" customHeight="true" outlineLevel="0" collapsed="false">
      <c r="A62" s="14" t="n">
        <v>46220</v>
      </c>
      <c r="B62" s="15" t="s">
        <v>23</v>
      </c>
      <c r="C62" s="15" t="s">
        <v>24</v>
      </c>
      <c r="D62" s="15" t="s">
        <v>12</v>
      </c>
      <c r="E62" s="16" t="n">
        <v>4</v>
      </c>
      <c r="F62" s="16" t="n">
        <f aca="false">IF($B62="","",IF($D62="kg",N($E62),IF($D62="sacos",N($E62)*95,IF($D62="jabas",N($E62)*IFERROR(VLOOKUP($C62,LISTAS!$A$2:$B$12,2,0),0),""))))</f>
        <v>72</v>
      </c>
      <c r="G62" s="15"/>
      <c r="H62" s="15"/>
      <c r="I62" s="1" t="n">
        <f aca="false">N($F62)</f>
        <v>72</v>
      </c>
    </row>
    <row r="63" customFormat="false" ht="15" hidden="false" customHeight="true" outlineLevel="0" collapsed="false">
      <c r="A63" s="14" t="n">
        <v>46220</v>
      </c>
      <c r="B63" s="15" t="s">
        <v>23</v>
      </c>
      <c r="C63" s="15" t="s">
        <v>25</v>
      </c>
      <c r="D63" s="15" t="s">
        <v>12</v>
      </c>
      <c r="E63" s="16" t="n">
        <v>9</v>
      </c>
      <c r="F63" s="16" t="n">
        <f aca="false">IF($B63="","",IF($D63="kg",N($E63),IF($D63="sacos",N($E63)*95,IF($D63="jabas",N($E63)*IFERROR(VLOOKUP($C63,LISTAS!$A$2:$B$12,2,0),0),""))))</f>
        <v>153</v>
      </c>
      <c r="G63" s="15"/>
      <c r="H63" s="15"/>
      <c r="I63" s="1" t="n">
        <f aca="false">N($F63)</f>
        <v>153</v>
      </c>
    </row>
    <row r="64" customFormat="false" ht="15" hidden="false" customHeight="true" outlineLevel="0" collapsed="false">
      <c r="A64" s="14" t="n">
        <v>46220</v>
      </c>
      <c r="B64" s="15" t="s">
        <v>23</v>
      </c>
      <c r="C64" s="15" t="s">
        <v>14</v>
      </c>
      <c r="D64" s="15" t="s">
        <v>12</v>
      </c>
      <c r="E64" s="16" t="n">
        <v>178</v>
      </c>
      <c r="F64" s="16" t="n">
        <f aca="false">IF($B64="","",IF($D64="kg",N($E64),IF($D64="sacos",N($E64)*95,IF($D64="jabas",N($E64)*IFERROR(VLOOKUP($C64,LISTAS!$A$2:$B$12,2,0),0),""))))</f>
        <v>3026</v>
      </c>
      <c r="G64" s="15"/>
      <c r="H64" s="15"/>
      <c r="I64" s="1" t="n">
        <f aca="false">N($F64)</f>
        <v>3026</v>
      </c>
    </row>
    <row r="65" customFormat="false" ht="15" hidden="false" customHeight="true" outlineLevel="0" collapsed="false">
      <c r="A65" s="14" t="n">
        <v>46220</v>
      </c>
      <c r="B65" s="15" t="s">
        <v>23</v>
      </c>
      <c r="C65" s="15" t="s">
        <v>18</v>
      </c>
      <c r="D65" s="15" t="s">
        <v>19</v>
      </c>
      <c r="E65" s="16" t="n">
        <v>10</v>
      </c>
      <c r="F65" s="16" t="n">
        <f aca="false">IF($B65="","",IF($D65="kg",N($E65),IF($D65="sacos",N($E65)*95,IF($D65="jabas",N($E65)*IFERROR(VLOOKUP($C65,LISTAS!$A$2:$B$12,2,0),0),""))))</f>
        <v>950</v>
      </c>
      <c r="G65" s="15"/>
      <c r="H65" s="15"/>
      <c r="I65" s="1" t="n">
        <f aca="false">N($F65)</f>
        <v>950</v>
      </c>
    </row>
    <row r="66" customFormat="false" ht="15" hidden="false" customHeight="true" outlineLevel="0" collapsed="false">
      <c r="A66" s="17" t="n">
        <v>46220</v>
      </c>
      <c r="B66" s="18" t="s">
        <v>26</v>
      </c>
      <c r="C66" s="18" t="s">
        <v>11</v>
      </c>
      <c r="D66" s="18" t="s">
        <v>12</v>
      </c>
      <c r="E66" s="19" t="n">
        <v>67</v>
      </c>
      <c r="F66" s="19" t="n">
        <f aca="false">IF($B66="","",IF($D66="kg",N($E66),IF($D66="sacos",N($E66)*95,IF($D66="jabas",N($E66)*IFERROR(VLOOKUP($C66,LISTAS!$A$2:$B$12,2,0),0),""))))</f>
        <v>1005</v>
      </c>
      <c r="G66" s="18" t="s">
        <v>34</v>
      </c>
      <c r="H66" s="18"/>
      <c r="I66" s="1" t="n">
        <f aca="false">N($F66)</f>
        <v>1005</v>
      </c>
    </row>
    <row r="67" customFormat="false" ht="15" hidden="false" customHeight="true" outlineLevel="0" collapsed="false">
      <c r="A67" s="17" t="n">
        <v>46220</v>
      </c>
      <c r="B67" s="18" t="s">
        <v>26</v>
      </c>
      <c r="C67" s="18" t="s">
        <v>24</v>
      </c>
      <c r="D67" s="18" t="s">
        <v>12</v>
      </c>
      <c r="E67" s="19" t="n">
        <v>11</v>
      </c>
      <c r="F67" s="19" t="n">
        <f aca="false">IF($B67="","",IF($D67="kg",N($E67),IF($D67="sacos",N($E67)*95,IF($D67="jabas",N($E67)*IFERROR(VLOOKUP($C67,LISTAS!$A$2:$B$12,2,0),0),""))))</f>
        <v>198</v>
      </c>
      <c r="G67" s="18" t="s">
        <v>34</v>
      </c>
      <c r="H67" s="18"/>
      <c r="I67" s="1" t="n">
        <f aca="false">N($F67)</f>
        <v>198</v>
      </c>
    </row>
    <row r="68" customFormat="false" ht="15" hidden="false" customHeight="true" outlineLevel="0" collapsed="false">
      <c r="A68" s="17" t="n">
        <v>46220</v>
      </c>
      <c r="B68" s="18" t="s">
        <v>26</v>
      </c>
      <c r="C68" s="18" t="s">
        <v>25</v>
      </c>
      <c r="D68" s="18" t="s">
        <v>12</v>
      </c>
      <c r="E68" s="19" t="n">
        <v>12</v>
      </c>
      <c r="F68" s="19" t="n">
        <f aca="false">IF($B68="","",IF($D68="kg",N($E68),IF($D68="sacos",N($E68)*95,IF($D68="jabas",N($E68)*IFERROR(VLOOKUP($C68,LISTAS!$A$2:$B$12,2,0),0),""))))</f>
        <v>204</v>
      </c>
      <c r="G68" s="18" t="s">
        <v>34</v>
      </c>
      <c r="H68" s="18"/>
      <c r="I68" s="1" t="n">
        <f aca="false">N($F68)</f>
        <v>204</v>
      </c>
    </row>
    <row r="69" customFormat="false" ht="15" hidden="false" customHeight="true" outlineLevel="0" collapsed="false">
      <c r="A69" s="17" t="n">
        <v>46220</v>
      </c>
      <c r="B69" s="18" t="s">
        <v>26</v>
      </c>
      <c r="C69" s="18" t="s">
        <v>14</v>
      </c>
      <c r="D69" s="18" t="s">
        <v>12</v>
      </c>
      <c r="E69" s="19" t="n">
        <v>118</v>
      </c>
      <c r="F69" s="19" t="n">
        <f aca="false">IF($B69="","",IF($D69="kg",N($E69),IF($D69="sacos",N($E69)*95,IF($D69="jabas",N($E69)*IFERROR(VLOOKUP($C69,LISTAS!$A$2:$B$12,2,0),0),""))))</f>
        <v>2006</v>
      </c>
      <c r="G69" s="18" t="s">
        <v>34</v>
      </c>
      <c r="H69" s="18"/>
      <c r="I69" s="1" t="n">
        <f aca="false">N($F69)</f>
        <v>2006</v>
      </c>
    </row>
    <row r="70" customFormat="false" ht="15" hidden="false" customHeight="true" outlineLevel="0" collapsed="false">
      <c r="A70" s="20" t="n">
        <v>46220</v>
      </c>
      <c r="B70" s="21" t="s">
        <v>31</v>
      </c>
      <c r="C70" s="21" t="s">
        <v>18</v>
      </c>
      <c r="D70" s="21" t="s">
        <v>19</v>
      </c>
      <c r="E70" s="22" t="n">
        <v>15</v>
      </c>
      <c r="F70" s="22" t="n">
        <f aca="false">IF($B70="","",IF($D70="kg",N($E70),IF($D70="sacos",N($E70)*95,IF($D70="jabas",N($E70)*IFERROR(VLOOKUP($C70,LISTAS!$A$2:$B$12,2,0),0),""))))</f>
        <v>1425</v>
      </c>
      <c r="G70" s="21" t="s">
        <v>35</v>
      </c>
      <c r="H70" s="21"/>
      <c r="I70" s="1" t="n">
        <f aca="false">N($F70)</f>
        <v>1425</v>
      </c>
    </row>
    <row r="71" customFormat="false" ht="15" hidden="false" customHeight="true" outlineLevel="0" collapsed="false">
      <c r="A71" s="11" t="n">
        <v>46220</v>
      </c>
      <c r="B71" s="12" t="s">
        <v>20</v>
      </c>
      <c r="C71" s="12" t="s">
        <v>21</v>
      </c>
      <c r="D71" s="12" t="s">
        <v>19</v>
      </c>
      <c r="E71" s="13" t="n">
        <v>5</v>
      </c>
      <c r="F71" s="13" t="n">
        <f aca="false">IF($B71="","",IF($D71="kg",N($E71),IF($D71="sacos",N($E71)*95,IF($D71="jabas",N($E71)*IFERROR(VLOOKUP($C71,LISTAS!$A$2:$B$12,2,0),0),""))))</f>
        <v>475</v>
      </c>
      <c r="G71" s="12"/>
      <c r="H71" s="12" t="s">
        <v>22</v>
      </c>
      <c r="I71" s="1" t="n">
        <f aca="false">N($F71)</f>
        <v>475</v>
      </c>
    </row>
    <row r="72" customFormat="false" ht="15" hidden="false" customHeight="true" outlineLevel="0" collapsed="false">
      <c r="A72" s="14" t="n">
        <v>46220</v>
      </c>
      <c r="B72" s="15" t="s">
        <v>23</v>
      </c>
      <c r="C72" s="15" t="s">
        <v>11</v>
      </c>
      <c r="D72" s="15" t="s">
        <v>12</v>
      </c>
      <c r="E72" s="16" t="n">
        <v>4</v>
      </c>
      <c r="F72" s="16" t="n">
        <f aca="false">IF($B72="","",IF($D72="kg",N($E72),IF($D72="sacos",N($E72)*95,IF($D72="jabas",N($E72)*IFERROR(VLOOKUP($C72,LISTAS!$A$2:$B$12,2,0),0),""))))</f>
        <v>60</v>
      </c>
      <c r="G72" s="15"/>
      <c r="H72" s="15"/>
      <c r="I72" s="1" t="n">
        <f aca="false">N($F72)</f>
        <v>60</v>
      </c>
    </row>
    <row r="73" customFormat="false" ht="15" hidden="false" customHeight="true" outlineLevel="0" collapsed="false">
      <c r="A73" s="14" t="n">
        <v>46220</v>
      </c>
      <c r="B73" s="15" t="s">
        <v>23</v>
      </c>
      <c r="C73" s="15" t="s">
        <v>14</v>
      </c>
      <c r="D73" s="15" t="s">
        <v>12</v>
      </c>
      <c r="E73" s="16" t="n">
        <v>18</v>
      </c>
      <c r="F73" s="16" t="n">
        <f aca="false">IF($B73="","",IF($D73="kg",N($E73),IF($D73="sacos",N($E73)*95,IF($D73="jabas",N($E73)*IFERROR(VLOOKUP($C73,LISTAS!$A$2:$B$12,2,0),0),""))))</f>
        <v>306</v>
      </c>
      <c r="G73" s="15"/>
      <c r="H73" s="15"/>
      <c r="I73" s="1" t="n">
        <f aca="false">N($F73)</f>
        <v>306</v>
      </c>
    </row>
    <row r="74" customFormat="false" ht="15" hidden="false" customHeight="true" outlineLevel="0" collapsed="false">
      <c r="A74" s="14" t="n">
        <v>46220</v>
      </c>
      <c r="B74" s="15" t="s">
        <v>23</v>
      </c>
      <c r="C74" s="15" t="s">
        <v>18</v>
      </c>
      <c r="D74" s="15" t="s">
        <v>19</v>
      </c>
      <c r="E74" s="16" t="n">
        <v>1</v>
      </c>
      <c r="F74" s="16" t="n">
        <f aca="false">IF($B74="","",IF($D74="kg",N($E74),IF($D74="sacos",N($E74)*95,IF($D74="jabas",N($E74)*IFERROR(VLOOKUP($C74,LISTAS!$A$2:$B$12,2,0),0),""))))</f>
        <v>95</v>
      </c>
      <c r="G74" s="15"/>
      <c r="H74" s="15"/>
      <c r="I74" s="1" t="n">
        <f aca="false">N($F74)</f>
        <v>95</v>
      </c>
    </row>
    <row r="75" customFormat="false" ht="15" hidden="false" customHeight="true" outlineLevel="0" collapsed="false">
      <c r="A75" s="17" t="n">
        <v>46221</v>
      </c>
      <c r="B75" s="18" t="s">
        <v>26</v>
      </c>
      <c r="C75" s="18" t="s">
        <v>11</v>
      </c>
      <c r="D75" s="18" t="s">
        <v>12</v>
      </c>
      <c r="E75" s="19" t="n">
        <v>67</v>
      </c>
      <c r="F75" s="19" t="n">
        <f aca="false">IF($B75="","",IF($D75="kg",N($E75),IF($D75="sacos",N($E75)*95,IF($D75="jabas",N($E75)*IFERROR(VLOOKUP($C75,LISTAS!$A$2:$B$12,2,0),0),""))))</f>
        <v>1005</v>
      </c>
      <c r="G75" s="18" t="s">
        <v>36</v>
      </c>
      <c r="H75" s="18"/>
      <c r="I75" s="1" t="n">
        <f aca="false">N($F75)</f>
        <v>1005</v>
      </c>
    </row>
    <row r="76" customFormat="false" ht="15" hidden="false" customHeight="true" outlineLevel="0" collapsed="false">
      <c r="A76" s="17" t="n">
        <v>46221</v>
      </c>
      <c r="B76" s="18" t="s">
        <v>26</v>
      </c>
      <c r="C76" s="18" t="s">
        <v>24</v>
      </c>
      <c r="D76" s="18" t="s">
        <v>12</v>
      </c>
      <c r="E76" s="19" t="n">
        <v>4</v>
      </c>
      <c r="F76" s="19" t="n">
        <f aca="false">IF($B76="","",IF($D76="kg",N($E76),IF($D76="sacos",N($E76)*95,IF($D76="jabas",N($E76)*IFERROR(VLOOKUP($C76,LISTAS!$A$2:$B$12,2,0),0),""))))</f>
        <v>72</v>
      </c>
      <c r="G76" s="18" t="s">
        <v>36</v>
      </c>
      <c r="H76" s="18"/>
      <c r="I76" s="1" t="n">
        <f aca="false">N($F76)</f>
        <v>72</v>
      </c>
    </row>
    <row r="77" customFormat="false" ht="15" hidden="false" customHeight="true" outlineLevel="0" collapsed="false">
      <c r="A77" s="17" t="n">
        <v>46221</v>
      </c>
      <c r="B77" s="18" t="s">
        <v>26</v>
      </c>
      <c r="C77" s="18" t="s">
        <v>25</v>
      </c>
      <c r="D77" s="18" t="s">
        <v>12</v>
      </c>
      <c r="E77" s="19" t="n">
        <v>9</v>
      </c>
      <c r="F77" s="19" t="n">
        <f aca="false">IF($B77="","",IF($D77="kg",N($E77),IF($D77="sacos",N($E77)*95,IF($D77="jabas",N($E77)*IFERROR(VLOOKUP($C77,LISTAS!$A$2:$B$12,2,0),0),""))))</f>
        <v>153</v>
      </c>
      <c r="G77" s="18" t="s">
        <v>36</v>
      </c>
      <c r="H77" s="18"/>
      <c r="I77" s="1" t="n">
        <f aca="false">N($F77)</f>
        <v>153</v>
      </c>
    </row>
    <row r="78" customFormat="false" ht="15" hidden="false" customHeight="true" outlineLevel="0" collapsed="false">
      <c r="A78" s="17" t="n">
        <v>46221</v>
      </c>
      <c r="B78" s="18" t="s">
        <v>26</v>
      </c>
      <c r="C78" s="18" t="s">
        <v>14</v>
      </c>
      <c r="D78" s="18" t="s">
        <v>12</v>
      </c>
      <c r="E78" s="19" t="n">
        <v>114</v>
      </c>
      <c r="F78" s="19" t="n">
        <f aca="false">IF($B78="","",IF($D78="kg",N($E78),IF($D78="sacos",N($E78)*95,IF($D78="jabas",N($E78)*IFERROR(VLOOKUP($C78,LISTAS!$A$2:$B$12,2,0),0),""))))</f>
        <v>1938</v>
      </c>
      <c r="G78" s="18" t="s">
        <v>36</v>
      </c>
      <c r="H78" s="18"/>
      <c r="I78" s="1" t="n">
        <f aca="false">N($F78)</f>
        <v>1938</v>
      </c>
    </row>
    <row r="79" customFormat="false" ht="15" hidden="false" customHeight="true" outlineLevel="0" collapsed="false">
      <c r="A79" s="14" t="n">
        <v>46221</v>
      </c>
      <c r="B79" s="15" t="s">
        <v>23</v>
      </c>
      <c r="C79" s="15" t="s">
        <v>11</v>
      </c>
      <c r="D79" s="15" t="s">
        <v>12</v>
      </c>
      <c r="E79" s="16" t="n">
        <v>67</v>
      </c>
      <c r="F79" s="16" t="n">
        <f aca="false">IF($B79="","",IF($D79="kg",N($E79),IF($D79="sacos",N($E79)*95,IF($D79="jabas",N($E79)*IFERROR(VLOOKUP($C79,LISTAS!$A$2:$B$12,2,0),0),""))))</f>
        <v>1005</v>
      </c>
      <c r="G79" s="15"/>
      <c r="H79" s="15"/>
      <c r="I79" s="1" t="n">
        <f aca="false">N($F79)</f>
        <v>1005</v>
      </c>
    </row>
    <row r="80" customFormat="false" ht="15" hidden="false" customHeight="true" outlineLevel="0" collapsed="false">
      <c r="A80" s="14" t="n">
        <v>46221</v>
      </c>
      <c r="B80" s="15" t="s">
        <v>23</v>
      </c>
      <c r="C80" s="15" t="s">
        <v>24</v>
      </c>
      <c r="D80" s="15" t="s">
        <v>12</v>
      </c>
      <c r="E80" s="16" t="n">
        <v>11</v>
      </c>
      <c r="F80" s="16" t="n">
        <f aca="false">IF($B80="","",IF($D80="kg",N($E80),IF($D80="sacos",N($E80)*95,IF($D80="jabas",N($E80)*IFERROR(VLOOKUP($C80,LISTAS!$A$2:$B$12,2,0),0),""))))</f>
        <v>198</v>
      </c>
      <c r="G80" s="15"/>
      <c r="H80" s="15"/>
      <c r="I80" s="1" t="n">
        <f aca="false">N($F80)</f>
        <v>198</v>
      </c>
    </row>
    <row r="81" customFormat="false" ht="15" hidden="false" customHeight="true" outlineLevel="0" collapsed="false">
      <c r="A81" s="14" t="n">
        <v>46221</v>
      </c>
      <c r="B81" s="15" t="s">
        <v>23</v>
      </c>
      <c r="C81" s="15" t="s">
        <v>25</v>
      </c>
      <c r="D81" s="15" t="s">
        <v>12</v>
      </c>
      <c r="E81" s="16" t="n">
        <v>12</v>
      </c>
      <c r="F81" s="16" t="n">
        <f aca="false">IF($B81="","",IF($D81="kg",N($E81),IF($D81="sacos",N($E81)*95,IF($D81="jabas",N($E81)*IFERROR(VLOOKUP($C81,LISTAS!$A$2:$B$12,2,0),0),""))))</f>
        <v>204</v>
      </c>
      <c r="G81" s="15"/>
      <c r="H81" s="15"/>
      <c r="I81" s="1" t="n">
        <f aca="false">N($F81)</f>
        <v>204</v>
      </c>
    </row>
    <row r="82" customFormat="false" ht="15" hidden="false" customHeight="true" outlineLevel="0" collapsed="false">
      <c r="A82" s="14" t="n">
        <v>46221</v>
      </c>
      <c r="B82" s="15" t="s">
        <v>23</v>
      </c>
      <c r="C82" s="15" t="s">
        <v>14</v>
      </c>
      <c r="D82" s="15" t="s">
        <v>12</v>
      </c>
      <c r="E82" s="16" t="n">
        <v>54</v>
      </c>
      <c r="F82" s="16" t="n">
        <f aca="false">IF($B82="","",IF($D82="kg",N($E82),IF($D82="sacos",N($E82)*95,IF($D82="jabas",N($E82)*IFERROR(VLOOKUP($C82,LISTAS!$A$2:$B$12,2,0),0),""))))</f>
        <v>918</v>
      </c>
      <c r="G82" s="15"/>
      <c r="H82" s="15"/>
      <c r="I82" s="1" t="n">
        <f aca="false">N($F82)</f>
        <v>918</v>
      </c>
    </row>
    <row r="83" customFormat="false" ht="15" hidden="false" customHeight="true" outlineLevel="0" collapsed="false">
      <c r="A83" s="14" t="n">
        <v>46221</v>
      </c>
      <c r="B83" s="15" t="s">
        <v>23</v>
      </c>
      <c r="C83" s="15" t="s">
        <v>18</v>
      </c>
      <c r="D83" s="15" t="s">
        <v>19</v>
      </c>
      <c r="E83" s="16" t="n">
        <v>10</v>
      </c>
      <c r="F83" s="16" t="n">
        <f aca="false">IF($B83="","",IF($D83="kg",N($E83),IF($D83="sacos",N($E83)*95,IF($D83="jabas",N($E83)*IFERROR(VLOOKUP($C83,LISTAS!$A$2:$B$12,2,0),0),""))))</f>
        <v>950</v>
      </c>
      <c r="G83" s="15"/>
      <c r="H83" s="15"/>
      <c r="I83" s="1" t="n">
        <f aca="false">N($F83)</f>
        <v>950</v>
      </c>
    </row>
    <row r="84" customFormat="false" ht="15" hidden="false" customHeight="true" outlineLevel="0" collapsed="false">
      <c r="A84" s="23" t="n">
        <v>46221</v>
      </c>
      <c r="B84" s="24" t="s">
        <v>37</v>
      </c>
      <c r="C84" s="24" t="s">
        <v>11</v>
      </c>
      <c r="D84" s="24" t="s">
        <v>12</v>
      </c>
      <c r="E84" s="25" t="n">
        <v>1</v>
      </c>
      <c r="F84" s="25" t="n">
        <f aca="false">IF($B84="","",IF($D84="kg",N($E84),IF($D84="sacos",N($E84)*95,IF($D84="jabas",N($E84)*IFERROR(VLOOKUP($C84,LISTAS!$A$2:$B$12,2,0),0),""))))</f>
        <v>15</v>
      </c>
      <c r="G84" s="24"/>
      <c r="H84" s="24"/>
      <c r="I84" s="1" t="n">
        <f aca="false">N($F84)</f>
        <v>15</v>
      </c>
    </row>
    <row r="85" customFormat="false" ht="15" hidden="false" customHeight="true" outlineLevel="0" collapsed="false">
      <c r="A85" s="11" t="n">
        <v>46221</v>
      </c>
      <c r="B85" s="12" t="s">
        <v>20</v>
      </c>
      <c r="C85" s="12" t="s">
        <v>21</v>
      </c>
      <c r="D85" s="12" t="s">
        <v>19</v>
      </c>
      <c r="E85" s="13" t="n">
        <v>33</v>
      </c>
      <c r="F85" s="13" t="n">
        <f aca="false">IF($B85="","",IF($D85="kg",N($E85),IF($D85="sacos",N($E85)*95,IF($D85="jabas",N($E85)*IFERROR(VLOOKUP($C85,LISTAS!$A$2:$B$12,2,0),0),""))))</f>
        <v>3135</v>
      </c>
      <c r="G85" s="12"/>
      <c r="H85" s="12" t="s">
        <v>38</v>
      </c>
      <c r="I85" s="1" t="n">
        <f aca="false">N($F85)</f>
        <v>3135</v>
      </c>
    </row>
    <row r="86" customFormat="false" ht="15" hidden="false" customHeight="true" outlineLevel="0" collapsed="false">
      <c r="A86" s="14" t="n">
        <v>46222</v>
      </c>
      <c r="B86" s="15" t="s">
        <v>23</v>
      </c>
      <c r="C86" s="15" t="s">
        <v>11</v>
      </c>
      <c r="D86" s="15" t="s">
        <v>12</v>
      </c>
      <c r="E86" s="16" t="n">
        <v>40</v>
      </c>
      <c r="F86" s="16" t="n">
        <f aca="false">IF($B86="","",IF($D86="kg",N($E86),IF($D86="sacos",N($E86)*95,IF($D86="jabas",N($E86)*IFERROR(VLOOKUP($C86,LISTAS!$A$2:$B$12,2,0),0),""))))</f>
        <v>600</v>
      </c>
      <c r="G86" s="15"/>
      <c r="H86" s="15"/>
      <c r="I86" s="1" t="n">
        <f aca="false">N($F86)</f>
        <v>600</v>
      </c>
    </row>
    <row r="87" customFormat="false" ht="15" hidden="false" customHeight="true" outlineLevel="0" collapsed="false">
      <c r="A87" s="14" t="n">
        <v>46222</v>
      </c>
      <c r="B87" s="15" t="s">
        <v>23</v>
      </c>
      <c r="C87" s="15" t="s">
        <v>24</v>
      </c>
      <c r="D87" s="15" t="s">
        <v>12</v>
      </c>
      <c r="E87" s="16" t="n">
        <v>0</v>
      </c>
      <c r="F87" s="16" t="n">
        <f aca="false">IF($B87="","",IF($D87="kg",N($E87),IF($D87="sacos",N($E87)*95,IF($D87="jabas",N($E87)*IFERROR(VLOOKUP($C87,LISTAS!$A$2:$B$12,2,0),0),""))))</f>
        <v>0</v>
      </c>
      <c r="G87" s="15"/>
      <c r="H87" s="15"/>
      <c r="I87" s="1" t="n">
        <f aca="false">N($F87)</f>
        <v>0</v>
      </c>
    </row>
    <row r="88" customFormat="false" ht="15" hidden="false" customHeight="true" outlineLevel="0" collapsed="false">
      <c r="A88" s="14" t="n">
        <v>46222</v>
      </c>
      <c r="B88" s="15" t="s">
        <v>23</v>
      </c>
      <c r="C88" s="15" t="s">
        <v>25</v>
      </c>
      <c r="D88" s="15" t="s">
        <v>12</v>
      </c>
      <c r="E88" s="16" t="n">
        <v>0</v>
      </c>
      <c r="F88" s="16" t="n">
        <f aca="false">IF($B88="","",IF($D88="kg",N($E88),IF($D88="sacos",N($E88)*95,IF($D88="jabas",N($E88)*IFERROR(VLOOKUP($C88,LISTAS!$A$2:$B$12,2,0),0),""))))</f>
        <v>0</v>
      </c>
      <c r="G88" s="15"/>
      <c r="H88" s="15"/>
      <c r="I88" s="1" t="n">
        <f aca="false">N($F88)</f>
        <v>0</v>
      </c>
    </row>
    <row r="89" customFormat="false" ht="15" hidden="false" customHeight="true" outlineLevel="0" collapsed="false">
      <c r="A89" s="14" t="n">
        <v>46222</v>
      </c>
      <c r="B89" s="15" t="s">
        <v>23</v>
      </c>
      <c r="C89" s="15" t="s">
        <v>14</v>
      </c>
      <c r="D89" s="15" t="s">
        <v>12</v>
      </c>
      <c r="E89" s="16" t="n">
        <v>34</v>
      </c>
      <c r="F89" s="16" t="n">
        <f aca="false">IF($B89="","",IF($D89="kg",N($E89),IF($D89="sacos",N($E89)*95,IF($D89="jabas",N($E89)*IFERROR(VLOOKUP($C89,LISTAS!$A$2:$B$12,2,0),0),""))))</f>
        <v>578</v>
      </c>
      <c r="G89" s="15"/>
      <c r="H89" s="15"/>
      <c r="I89" s="1" t="n">
        <f aca="false">N($F89)</f>
        <v>578</v>
      </c>
    </row>
    <row r="90" customFormat="false" ht="15" hidden="false" customHeight="true" outlineLevel="0" collapsed="false">
      <c r="A90" s="14" t="n">
        <v>46222</v>
      </c>
      <c r="B90" s="15" t="s">
        <v>23</v>
      </c>
      <c r="C90" s="15" t="s">
        <v>18</v>
      </c>
      <c r="D90" s="15" t="s">
        <v>19</v>
      </c>
      <c r="E90" s="16" t="n">
        <v>3</v>
      </c>
      <c r="F90" s="16" t="n">
        <f aca="false">IF($B90="","",IF($D90="kg",N($E90),IF($D90="sacos",N($E90)*95,IF($D90="jabas",N($E90)*IFERROR(VLOOKUP($C90,LISTAS!$A$2:$B$12,2,0),0),""))))</f>
        <v>285</v>
      </c>
      <c r="G90" s="15"/>
      <c r="H90" s="15"/>
      <c r="I90" s="1" t="n">
        <f aca="false">N($F90)</f>
        <v>285</v>
      </c>
    </row>
    <row r="91" customFormat="false" ht="15" hidden="false" customHeight="true" outlineLevel="0" collapsed="false">
      <c r="A91" s="17" t="n">
        <v>46222</v>
      </c>
      <c r="B91" s="18" t="s">
        <v>26</v>
      </c>
      <c r="C91" s="18" t="s">
        <v>11</v>
      </c>
      <c r="D91" s="18" t="s">
        <v>12</v>
      </c>
      <c r="E91" s="19" t="n">
        <v>67</v>
      </c>
      <c r="F91" s="19" t="n">
        <f aca="false">IF($B91="","",IF($D91="kg",N($E91),IF($D91="sacos",N($E91)*95,IF($D91="jabas",N($E91)*IFERROR(VLOOKUP($C91,LISTAS!$A$2:$B$12,2,0),0),""))))</f>
        <v>1005</v>
      </c>
      <c r="G91" s="18" t="s">
        <v>39</v>
      </c>
      <c r="H91" s="18"/>
      <c r="I91" s="1" t="n">
        <f aca="false">N($F91)</f>
        <v>1005</v>
      </c>
    </row>
    <row r="92" customFormat="false" ht="15" hidden="false" customHeight="true" outlineLevel="0" collapsed="false">
      <c r="A92" s="17" t="n">
        <v>46222</v>
      </c>
      <c r="B92" s="18" t="s">
        <v>26</v>
      </c>
      <c r="C92" s="18" t="s">
        <v>24</v>
      </c>
      <c r="D92" s="18" t="s">
        <v>12</v>
      </c>
      <c r="E92" s="19" t="n">
        <v>11</v>
      </c>
      <c r="F92" s="19" t="n">
        <f aca="false">IF($B92="","",IF($D92="kg",N($E92),IF($D92="sacos",N($E92)*95,IF($D92="jabas",N($E92)*IFERROR(VLOOKUP($C92,LISTAS!$A$2:$B$12,2,0),0),""))))</f>
        <v>198</v>
      </c>
      <c r="G92" s="18" t="s">
        <v>39</v>
      </c>
      <c r="H92" s="18"/>
      <c r="I92" s="1" t="n">
        <f aca="false">N($F92)</f>
        <v>198</v>
      </c>
    </row>
    <row r="93" customFormat="false" ht="15" hidden="false" customHeight="true" outlineLevel="0" collapsed="false">
      <c r="A93" s="17" t="n">
        <v>46222</v>
      </c>
      <c r="B93" s="18" t="s">
        <v>26</v>
      </c>
      <c r="C93" s="18" t="s">
        <v>25</v>
      </c>
      <c r="D93" s="18" t="s">
        <v>12</v>
      </c>
      <c r="E93" s="19" t="n">
        <v>12</v>
      </c>
      <c r="F93" s="19" t="n">
        <f aca="false">IF($B93="","",IF($D93="kg",N($E93),IF($D93="sacos",N($E93)*95,IF($D93="jabas",N($E93)*IFERROR(VLOOKUP($C93,LISTAS!$A$2:$B$12,2,0),0),""))))</f>
        <v>204</v>
      </c>
      <c r="G93" s="18" t="s">
        <v>39</v>
      </c>
      <c r="H93" s="18"/>
      <c r="I93" s="1" t="n">
        <f aca="false">N($F93)</f>
        <v>204</v>
      </c>
    </row>
    <row r="94" customFormat="false" ht="15" hidden="false" customHeight="true" outlineLevel="0" collapsed="false">
      <c r="A94" s="17" t="n">
        <v>46222</v>
      </c>
      <c r="B94" s="18" t="s">
        <v>26</v>
      </c>
      <c r="C94" s="18" t="s">
        <v>14</v>
      </c>
      <c r="D94" s="18" t="s">
        <v>12</v>
      </c>
      <c r="E94" s="19" t="n">
        <v>28</v>
      </c>
      <c r="F94" s="19" t="n">
        <f aca="false">IF($B94="","",IF($D94="kg",N($E94),IF($D94="sacos",N($E94)*95,IF($D94="jabas",N($E94)*IFERROR(VLOOKUP($C94,LISTAS!$A$2:$B$12,2,0),0),""))))</f>
        <v>476</v>
      </c>
      <c r="G94" s="18" t="s">
        <v>39</v>
      </c>
      <c r="H94" s="18"/>
      <c r="I94" s="1" t="n">
        <f aca="false">N($F94)</f>
        <v>476</v>
      </c>
    </row>
    <row r="95" customFormat="false" ht="15" hidden="false" customHeight="true" outlineLevel="0" collapsed="false">
      <c r="A95" s="11" t="n">
        <v>46222</v>
      </c>
      <c r="B95" s="12" t="s">
        <v>20</v>
      </c>
      <c r="C95" s="12" t="s">
        <v>21</v>
      </c>
      <c r="D95" s="12" t="s">
        <v>19</v>
      </c>
      <c r="E95" s="13" t="n">
        <v>17</v>
      </c>
      <c r="F95" s="13" t="n">
        <f aca="false">IF($B95="","",IF($D95="kg",N($E95),IF($D95="sacos",N($E95)*95,IF($D95="jabas",N($E95)*IFERROR(VLOOKUP($C95,LISTAS!$A$2:$B$12,2,0),0),""))))</f>
        <v>1615</v>
      </c>
      <c r="G95" s="12"/>
      <c r="H95" s="12" t="s">
        <v>40</v>
      </c>
      <c r="I95" s="1" t="n">
        <f aca="false">N($F95)</f>
        <v>1615</v>
      </c>
    </row>
    <row r="96" customFormat="false" ht="15" hidden="false" customHeight="true" outlineLevel="0" collapsed="false">
      <c r="A96" s="11" t="n">
        <v>46223</v>
      </c>
      <c r="B96" s="12" t="s">
        <v>20</v>
      </c>
      <c r="C96" s="12" t="s">
        <v>21</v>
      </c>
      <c r="D96" s="12" t="s">
        <v>19</v>
      </c>
      <c r="E96" s="13" t="n">
        <v>48</v>
      </c>
      <c r="F96" s="13" t="n">
        <f aca="false">IF($B96="","",IF($D96="kg",N($E96),IF($D96="sacos",N($E96)*95,IF($D96="jabas",N($E96)*IFERROR(VLOOKUP($C96,LISTAS!$A$2:$B$12,2,0),0),""))))</f>
        <v>4560</v>
      </c>
      <c r="G96" s="12"/>
      <c r="H96" s="12" t="s">
        <v>41</v>
      </c>
      <c r="I96" s="1" t="n">
        <f aca="false">N($F96)</f>
        <v>4560</v>
      </c>
    </row>
    <row r="97" customFormat="false" ht="15" hidden="false" customHeight="true" outlineLevel="0" collapsed="false">
      <c r="A97" s="14" t="n">
        <v>46223</v>
      </c>
      <c r="B97" s="15" t="s">
        <v>23</v>
      </c>
      <c r="C97" s="15" t="s">
        <v>11</v>
      </c>
      <c r="D97" s="15" t="s">
        <v>12</v>
      </c>
      <c r="E97" s="16" t="n">
        <v>68</v>
      </c>
      <c r="F97" s="16" t="n">
        <f aca="false">IF($B97="","",IF($D97="kg",N($E97),IF($D97="sacos",N($E97)*95,IF($D97="jabas",N($E97)*IFERROR(VLOOKUP($C97,LISTAS!$A$2:$B$12,2,0),0),""))))</f>
        <v>1020</v>
      </c>
      <c r="G97" s="15"/>
      <c r="H97" s="15"/>
      <c r="I97" s="1" t="n">
        <f aca="false">N($F97)</f>
        <v>1020</v>
      </c>
    </row>
    <row r="98" customFormat="false" ht="15" hidden="false" customHeight="true" outlineLevel="0" collapsed="false">
      <c r="A98" s="14" t="n">
        <v>46223</v>
      </c>
      <c r="B98" s="15" t="s">
        <v>23</v>
      </c>
      <c r="C98" s="15" t="s">
        <v>24</v>
      </c>
      <c r="D98" s="15" t="s">
        <v>12</v>
      </c>
      <c r="E98" s="16" t="n">
        <v>23</v>
      </c>
      <c r="F98" s="16" t="n">
        <f aca="false">IF($B98="","",IF($D98="kg",N($E98),IF($D98="sacos",N($E98)*95,IF($D98="jabas",N($E98)*IFERROR(VLOOKUP($C98,LISTAS!$A$2:$B$12,2,0),0),""))))</f>
        <v>414</v>
      </c>
      <c r="G98" s="15"/>
      <c r="H98" s="15"/>
      <c r="I98" s="1" t="n">
        <f aca="false">N($F98)</f>
        <v>414</v>
      </c>
    </row>
    <row r="99" customFormat="false" ht="15" hidden="false" customHeight="true" outlineLevel="0" collapsed="false">
      <c r="A99" s="14" t="n">
        <v>46223</v>
      </c>
      <c r="B99" s="15" t="s">
        <v>23</v>
      </c>
      <c r="C99" s="15" t="s">
        <v>25</v>
      </c>
      <c r="D99" s="15" t="s">
        <v>12</v>
      </c>
      <c r="E99" s="16" t="n">
        <v>23</v>
      </c>
      <c r="F99" s="16" t="n">
        <f aca="false">IF($B99="","",IF($D99="kg",N($E99),IF($D99="sacos",N($E99)*95,IF($D99="jabas",N($E99)*IFERROR(VLOOKUP($C99,LISTAS!$A$2:$B$12,2,0),0),""))))</f>
        <v>391</v>
      </c>
      <c r="G99" s="15"/>
      <c r="H99" s="15"/>
      <c r="I99" s="1" t="n">
        <f aca="false">N($F99)</f>
        <v>391</v>
      </c>
    </row>
    <row r="100" customFormat="false" ht="15" hidden="false" customHeight="true" outlineLevel="0" collapsed="false">
      <c r="A100" s="14" t="n">
        <v>46223</v>
      </c>
      <c r="B100" s="15" t="s">
        <v>23</v>
      </c>
      <c r="C100" s="15" t="s">
        <v>14</v>
      </c>
      <c r="D100" s="15" t="s">
        <v>12</v>
      </c>
      <c r="E100" s="16" t="n">
        <v>129</v>
      </c>
      <c r="F100" s="16" t="n">
        <f aca="false">IF($B100="","",IF($D100="kg",N($E100),IF($D100="sacos",N($E100)*95,IF($D100="jabas",N($E100)*IFERROR(VLOOKUP($C100,LISTAS!$A$2:$B$12,2,0),0),""))))</f>
        <v>2193</v>
      </c>
      <c r="G100" s="15"/>
      <c r="H100" s="15"/>
      <c r="I100" s="1" t="n">
        <f aca="false">N($F100)</f>
        <v>2193</v>
      </c>
    </row>
    <row r="101" customFormat="false" ht="15" hidden="false" customHeight="true" outlineLevel="0" collapsed="false">
      <c r="A101" s="14" t="n">
        <v>46223</v>
      </c>
      <c r="B101" s="15" t="s">
        <v>23</v>
      </c>
      <c r="C101" s="15" t="s">
        <v>18</v>
      </c>
      <c r="D101" s="15" t="s">
        <v>19</v>
      </c>
      <c r="E101" s="16" t="n">
        <v>6.5</v>
      </c>
      <c r="F101" s="16" t="n">
        <f aca="false">IF($B101="","",IF($D101="kg",N($E101),IF($D101="sacos",N($E101)*95,IF($D101="jabas",N($E101)*IFERROR(VLOOKUP($C101,LISTAS!$A$2:$B$12,2,0),0),""))))</f>
        <v>617.5</v>
      </c>
      <c r="G101" s="15"/>
      <c r="H101" s="15"/>
      <c r="I101" s="1" t="n">
        <f aca="false">N($F101)</f>
        <v>617.5</v>
      </c>
    </row>
    <row r="102" customFormat="false" ht="15" hidden="false" customHeight="true" outlineLevel="0" collapsed="false">
      <c r="A102" s="17" t="n">
        <v>46223</v>
      </c>
      <c r="B102" s="18" t="s">
        <v>26</v>
      </c>
      <c r="C102" s="18" t="s">
        <v>11</v>
      </c>
      <c r="D102" s="18" t="s">
        <v>12</v>
      </c>
      <c r="E102" s="19" t="n">
        <v>67</v>
      </c>
      <c r="F102" s="19" t="n">
        <f aca="false">IF($B102="","",IF($D102="kg",N($E102),IF($D102="sacos",N($E102)*95,IF($D102="jabas",N($E102)*IFERROR(VLOOKUP($C102,LISTAS!$A$2:$B$12,2,0),0),""))))</f>
        <v>1005</v>
      </c>
      <c r="G102" s="18" t="s">
        <v>42</v>
      </c>
      <c r="H102" s="18"/>
      <c r="I102" s="1" t="n">
        <f aca="false">N($F102)</f>
        <v>1005</v>
      </c>
    </row>
    <row r="103" customFormat="false" ht="15" hidden="false" customHeight="true" outlineLevel="0" collapsed="false">
      <c r="A103" s="17" t="n">
        <v>46223</v>
      </c>
      <c r="B103" s="18" t="s">
        <v>26</v>
      </c>
      <c r="C103" s="18" t="s">
        <v>24</v>
      </c>
      <c r="D103" s="18" t="s">
        <v>12</v>
      </c>
      <c r="E103" s="19" t="n">
        <v>11</v>
      </c>
      <c r="F103" s="19" t="n">
        <f aca="false">IF($B103="","",IF($D103="kg",N($E103),IF($D103="sacos",N($E103)*95,IF($D103="jabas",N($E103)*IFERROR(VLOOKUP($C103,LISTAS!$A$2:$B$12,2,0),0),""))))</f>
        <v>198</v>
      </c>
      <c r="G103" s="18" t="s">
        <v>42</v>
      </c>
      <c r="H103" s="18"/>
      <c r="I103" s="1" t="n">
        <f aca="false">N($F103)</f>
        <v>198</v>
      </c>
    </row>
    <row r="104" customFormat="false" ht="15" hidden="false" customHeight="true" outlineLevel="0" collapsed="false">
      <c r="A104" s="17" t="n">
        <v>46223</v>
      </c>
      <c r="B104" s="18" t="s">
        <v>26</v>
      </c>
      <c r="C104" s="18" t="s">
        <v>25</v>
      </c>
      <c r="D104" s="18" t="s">
        <v>12</v>
      </c>
      <c r="E104" s="19" t="n">
        <v>12</v>
      </c>
      <c r="F104" s="19" t="n">
        <f aca="false">IF($B104="","",IF($D104="kg",N($E104),IF($D104="sacos",N($E104)*95,IF($D104="jabas",N($E104)*IFERROR(VLOOKUP($C104,LISTAS!$A$2:$B$12,2,0),0),""))))</f>
        <v>204</v>
      </c>
      <c r="G104" s="18" t="s">
        <v>42</v>
      </c>
      <c r="H104" s="18"/>
      <c r="I104" s="1" t="n">
        <f aca="false">N($F104)</f>
        <v>204</v>
      </c>
    </row>
    <row r="105" customFormat="false" ht="15" hidden="false" customHeight="true" outlineLevel="0" collapsed="false">
      <c r="A105" s="17" t="n">
        <v>46223</v>
      </c>
      <c r="B105" s="18" t="s">
        <v>26</v>
      </c>
      <c r="C105" s="18" t="s">
        <v>14</v>
      </c>
      <c r="D105" s="18" t="s">
        <v>12</v>
      </c>
      <c r="E105" s="19" t="n">
        <v>111</v>
      </c>
      <c r="F105" s="19" t="n">
        <f aca="false">IF($B105="","",IF($D105="kg",N($E105),IF($D105="sacos",N($E105)*95,IF($D105="jabas",N($E105)*IFERROR(VLOOKUP($C105,LISTAS!$A$2:$B$12,2,0),0),""))))</f>
        <v>1887</v>
      </c>
      <c r="G105" s="18" t="s">
        <v>42</v>
      </c>
      <c r="H105" s="18"/>
      <c r="I105" s="1" t="n">
        <f aca="false">N($F105)</f>
        <v>1887</v>
      </c>
    </row>
    <row r="106" customFormat="false" ht="15" hidden="false" customHeight="true" outlineLevel="0" collapsed="false">
      <c r="A106" s="20" t="n">
        <v>46223</v>
      </c>
      <c r="B106" s="21" t="s">
        <v>31</v>
      </c>
      <c r="C106" s="21" t="s">
        <v>18</v>
      </c>
      <c r="D106" s="21" t="s">
        <v>19</v>
      </c>
      <c r="E106" s="22" t="n">
        <v>18</v>
      </c>
      <c r="F106" s="22" t="n">
        <f aca="false">IF($B106="","",IF($D106="kg",N($E106),IF($D106="sacos",N($E106)*95,IF($D106="jabas",N($E106)*IFERROR(VLOOKUP($C106,LISTAS!$A$2:$B$12,2,0),0),""))))</f>
        <v>1710</v>
      </c>
      <c r="G106" s="21" t="s">
        <v>43</v>
      </c>
      <c r="H106" s="21"/>
      <c r="I106" s="1" t="n">
        <f aca="false">N($F106)</f>
        <v>1710</v>
      </c>
    </row>
    <row r="107" customFormat="false" ht="15" hidden="false" customHeight="true" outlineLevel="0" collapsed="false">
      <c r="A107" s="11" t="n">
        <v>46223</v>
      </c>
      <c r="B107" s="12" t="s">
        <v>20</v>
      </c>
      <c r="C107" s="12" t="s">
        <v>21</v>
      </c>
      <c r="D107" s="12" t="s">
        <v>19</v>
      </c>
      <c r="E107" s="13" t="n">
        <v>22</v>
      </c>
      <c r="F107" s="13" t="n">
        <f aca="false">IF($B107="","",IF($D107="kg",N($E107),IF($D107="sacos",N($E107)*95,IF($D107="jabas",N($E107)*IFERROR(VLOOKUP($C107,LISTAS!$A$2:$B$12,2,0),0),""))))</f>
        <v>2090</v>
      </c>
      <c r="G107" s="12"/>
      <c r="H107" s="12" t="s">
        <v>22</v>
      </c>
      <c r="I107" s="1" t="n">
        <f aca="false">N($F107)</f>
        <v>2090</v>
      </c>
    </row>
    <row r="108" customFormat="false" ht="15" hidden="false" customHeight="true" outlineLevel="0" collapsed="false">
      <c r="A108" s="23" t="n">
        <v>46223</v>
      </c>
      <c r="B108" s="24" t="s">
        <v>37</v>
      </c>
      <c r="C108" s="24" t="s">
        <v>24</v>
      </c>
      <c r="D108" s="24" t="s">
        <v>12</v>
      </c>
      <c r="E108" s="25" t="n">
        <v>1</v>
      </c>
      <c r="F108" s="25" t="n">
        <f aca="false">IF($B108="","",IF($D108="kg",N($E108),IF($D108="sacos",N($E108)*95,IF($D108="jabas",N($E108)*IFERROR(VLOOKUP($C108,LISTAS!$A$2:$B$12,2,0),0),""))))</f>
        <v>18</v>
      </c>
      <c r="G108" s="24"/>
      <c r="H108" s="24"/>
      <c r="I108" s="1" t="n">
        <f aca="false">N($F108)</f>
        <v>18</v>
      </c>
    </row>
    <row r="109" customFormat="false" ht="15" hidden="false" customHeight="true" outlineLevel="0" collapsed="false">
      <c r="A109" s="23" t="n">
        <v>46223</v>
      </c>
      <c r="B109" s="24" t="s">
        <v>37</v>
      </c>
      <c r="C109" s="24" t="s">
        <v>25</v>
      </c>
      <c r="D109" s="24" t="s">
        <v>12</v>
      </c>
      <c r="E109" s="25" t="n">
        <v>1</v>
      </c>
      <c r="F109" s="25" t="n">
        <f aca="false">IF($B109="","",IF($D109="kg",N($E109),IF($D109="sacos",N($E109)*95,IF($D109="jabas",N($E109)*IFERROR(VLOOKUP($C109,LISTAS!$A$2:$B$12,2,0),0),""))))</f>
        <v>17</v>
      </c>
      <c r="G109" s="24"/>
      <c r="H109" s="24"/>
      <c r="I109" s="1" t="n">
        <f aca="false">N($F109)</f>
        <v>17</v>
      </c>
    </row>
    <row r="110" customFormat="false" ht="15" hidden="false" customHeight="true" outlineLevel="0" collapsed="false">
      <c r="A110" s="14" t="n">
        <v>46224</v>
      </c>
      <c r="B110" s="15" t="s">
        <v>23</v>
      </c>
      <c r="C110" s="15" t="s">
        <v>11</v>
      </c>
      <c r="D110" s="15" t="s">
        <v>12</v>
      </c>
      <c r="E110" s="16" t="n">
        <v>43</v>
      </c>
      <c r="F110" s="16" t="n">
        <f aca="false">IF($B110="","",IF($D110="kg",N($E110),IF($D110="sacos",N($E110)*95,IF($D110="jabas",N($E110)*IFERROR(VLOOKUP($C110,LISTAS!$A$2:$B$12,2,0),0),""))))</f>
        <v>645</v>
      </c>
      <c r="G110" s="15"/>
      <c r="H110" s="15"/>
      <c r="I110" s="1" t="n">
        <f aca="false">N($F110)</f>
        <v>645</v>
      </c>
    </row>
    <row r="111" customFormat="false" ht="15" hidden="false" customHeight="true" outlineLevel="0" collapsed="false">
      <c r="A111" s="14" t="n">
        <v>46224</v>
      </c>
      <c r="B111" s="15" t="s">
        <v>23</v>
      </c>
      <c r="C111" s="15" t="s">
        <v>14</v>
      </c>
      <c r="D111" s="15" t="s">
        <v>12</v>
      </c>
      <c r="E111" s="16" t="n">
        <v>72</v>
      </c>
      <c r="F111" s="16" t="n">
        <f aca="false">IF($B111="","",IF($D111="kg",N($E111),IF($D111="sacos",N($E111)*95,IF($D111="jabas",N($E111)*IFERROR(VLOOKUP($C111,LISTAS!$A$2:$B$12,2,0),0),""))))</f>
        <v>1224</v>
      </c>
      <c r="G111" s="15"/>
      <c r="H111" s="15"/>
      <c r="I111" s="1" t="n">
        <f aca="false">N($F111)</f>
        <v>1224</v>
      </c>
    </row>
    <row r="112" customFormat="false" ht="15" hidden="false" customHeight="true" outlineLevel="0" collapsed="false">
      <c r="A112" s="14" t="n">
        <v>46224</v>
      </c>
      <c r="B112" s="15" t="s">
        <v>23</v>
      </c>
      <c r="C112" s="15" t="s">
        <v>18</v>
      </c>
      <c r="D112" s="15" t="s">
        <v>19</v>
      </c>
      <c r="E112" s="16" t="n">
        <v>3</v>
      </c>
      <c r="F112" s="16" t="n">
        <f aca="false">IF($B112="","",IF($D112="kg",N($E112),IF($D112="sacos",N($E112)*95,IF($D112="jabas",N($E112)*IFERROR(VLOOKUP($C112,LISTAS!$A$2:$B$12,2,0),0),""))))</f>
        <v>285</v>
      </c>
      <c r="G112" s="15"/>
      <c r="H112" s="15"/>
      <c r="I112" s="1" t="n">
        <f aca="false">N($F112)</f>
        <v>285</v>
      </c>
    </row>
    <row r="113" customFormat="false" ht="15" hidden="false" customHeight="true" outlineLevel="0" collapsed="false">
      <c r="A113" s="11" t="n">
        <v>46224</v>
      </c>
      <c r="B113" s="12" t="s">
        <v>20</v>
      </c>
      <c r="C113" s="12" t="s">
        <v>21</v>
      </c>
      <c r="D113" s="12" t="s">
        <v>19</v>
      </c>
      <c r="E113" s="13" t="n">
        <v>70</v>
      </c>
      <c r="F113" s="13" t="n">
        <f aca="false">IF($B113="","",IF($D113="kg",N($E113),IF($D113="sacos",N($E113)*95,IF($D113="jabas",N($E113)*IFERROR(VLOOKUP($C113,LISTAS!$A$2:$B$12,2,0),0),""))))</f>
        <v>6650</v>
      </c>
      <c r="G113" s="12"/>
      <c r="H113" s="12" t="s">
        <v>22</v>
      </c>
      <c r="I113" s="1" t="n">
        <f aca="false">N($F113)</f>
        <v>6650</v>
      </c>
    </row>
    <row r="114" customFormat="false" ht="15" hidden="false" customHeight="true" outlineLevel="0" collapsed="false">
      <c r="A114" s="14" t="n">
        <v>46224</v>
      </c>
      <c r="B114" s="15" t="s">
        <v>23</v>
      </c>
      <c r="C114" s="15" t="s">
        <v>11</v>
      </c>
      <c r="D114" s="15" t="s">
        <v>12</v>
      </c>
      <c r="E114" s="16" t="n">
        <v>47</v>
      </c>
      <c r="F114" s="16" t="n">
        <f aca="false">IF($B114="","",IF($D114="kg",N($E114),IF($D114="sacos",N($E114)*95,IF($D114="jabas",N($E114)*IFERROR(VLOOKUP($C114,LISTAS!$A$2:$B$12,2,0),0),""))))</f>
        <v>705</v>
      </c>
      <c r="G114" s="15"/>
      <c r="H114" s="15"/>
      <c r="I114" s="1" t="n">
        <f aca="false">N($F114)</f>
        <v>705</v>
      </c>
    </row>
    <row r="115" customFormat="false" ht="15" hidden="false" customHeight="true" outlineLevel="0" collapsed="false">
      <c r="A115" s="14" t="n">
        <v>46224</v>
      </c>
      <c r="B115" s="15" t="s">
        <v>23</v>
      </c>
      <c r="C115" s="15" t="s">
        <v>24</v>
      </c>
      <c r="D115" s="15" t="s">
        <v>12</v>
      </c>
      <c r="E115" s="16" t="n">
        <v>11</v>
      </c>
      <c r="F115" s="16" t="n">
        <f aca="false">IF($B115="","",IF($D115="kg",N($E115),IF($D115="sacos",N($E115)*95,IF($D115="jabas",N($E115)*IFERROR(VLOOKUP($C115,LISTAS!$A$2:$B$12,2,0),0),""))))</f>
        <v>198</v>
      </c>
      <c r="G115" s="15"/>
      <c r="H115" s="15"/>
      <c r="I115" s="1" t="n">
        <f aca="false">N($F115)</f>
        <v>198</v>
      </c>
    </row>
    <row r="116" customFormat="false" ht="15" hidden="false" customHeight="true" outlineLevel="0" collapsed="false">
      <c r="A116" s="14" t="n">
        <v>46224</v>
      </c>
      <c r="B116" s="15" t="s">
        <v>23</v>
      </c>
      <c r="C116" s="15" t="s">
        <v>25</v>
      </c>
      <c r="D116" s="15" t="s">
        <v>12</v>
      </c>
      <c r="E116" s="16" t="n">
        <v>12</v>
      </c>
      <c r="F116" s="16" t="n">
        <f aca="false">IF($B116="","",IF($D116="kg",N($E116),IF($D116="sacos",N($E116)*95,IF($D116="jabas",N($E116)*IFERROR(VLOOKUP($C116,LISTAS!$A$2:$B$12,2,0),0),""))))</f>
        <v>204</v>
      </c>
      <c r="G116" s="15"/>
      <c r="H116" s="15"/>
      <c r="I116" s="1" t="n">
        <f aca="false">N($F116)</f>
        <v>204</v>
      </c>
    </row>
    <row r="117" customFormat="false" ht="15" hidden="false" customHeight="true" outlineLevel="0" collapsed="false">
      <c r="A117" s="14" t="n">
        <v>46224</v>
      </c>
      <c r="B117" s="15" t="s">
        <v>23</v>
      </c>
      <c r="C117" s="15" t="s">
        <v>14</v>
      </c>
      <c r="D117" s="15" t="s">
        <v>12</v>
      </c>
      <c r="E117" s="16" t="n">
        <v>72</v>
      </c>
      <c r="F117" s="16" t="n">
        <f aca="false">IF($B117="","",IF($D117="kg",N($E117),IF($D117="sacos",N($E117)*95,IF($D117="jabas",N($E117)*IFERROR(VLOOKUP($C117,LISTAS!$A$2:$B$12,2,0),0),""))))</f>
        <v>1224</v>
      </c>
      <c r="G117" s="15"/>
      <c r="H117" s="15"/>
      <c r="I117" s="1" t="n">
        <f aca="false">N($F117)</f>
        <v>1224</v>
      </c>
    </row>
    <row r="118" customFormat="false" ht="15" hidden="false" customHeight="true" outlineLevel="0" collapsed="false">
      <c r="A118" s="14" t="n">
        <v>46224</v>
      </c>
      <c r="B118" s="15" t="s">
        <v>23</v>
      </c>
      <c r="C118" s="15" t="s">
        <v>18</v>
      </c>
      <c r="D118" s="15" t="s">
        <v>19</v>
      </c>
      <c r="E118" s="16" t="n">
        <v>4</v>
      </c>
      <c r="F118" s="16" t="n">
        <f aca="false">IF($B118="","",IF($D118="kg",N($E118),IF($D118="sacos",N($E118)*95,IF($D118="jabas",N($E118)*IFERROR(VLOOKUP($C118,LISTAS!$A$2:$B$12,2,0),0),""))))</f>
        <v>380</v>
      </c>
      <c r="G118" s="15"/>
      <c r="H118" s="15"/>
      <c r="I118" s="1" t="n">
        <f aca="false">N($F118)</f>
        <v>380</v>
      </c>
    </row>
    <row r="119" customFormat="false" ht="15" hidden="false" customHeight="true" outlineLevel="0" collapsed="false">
      <c r="A119" s="17" t="n">
        <v>46224</v>
      </c>
      <c r="B119" s="18" t="s">
        <v>26</v>
      </c>
      <c r="C119" s="18" t="s">
        <v>11</v>
      </c>
      <c r="D119" s="18" t="s">
        <v>12</v>
      </c>
      <c r="E119" s="19" t="n">
        <v>67</v>
      </c>
      <c r="F119" s="19" t="n">
        <f aca="false">IF($B119="","",IF($D119="kg",N($E119),IF($D119="sacos",N($E119)*95,IF($D119="jabas",N($E119)*IFERROR(VLOOKUP($C119,LISTAS!$A$2:$B$12,2,0),0),""))))</f>
        <v>1005</v>
      </c>
      <c r="G119" s="18" t="s">
        <v>44</v>
      </c>
      <c r="H119" s="18"/>
      <c r="I119" s="1" t="n">
        <f aca="false">N($F119)</f>
        <v>1005</v>
      </c>
    </row>
    <row r="120" customFormat="false" ht="15" hidden="false" customHeight="true" outlineLevel="0" collapsed="false">
      <c r="A120" s="17" t="n">
        <v>46224</v>
      </c>
      <c r="B120" s="18" t="s">
        <v>26</v>
      </c>
      <c r="C120" s="18" t="s">
        <v>24</v>
      </c>
      <c r="D120" s="18" t="s">
        <v>12</v>
      </c>
      <c r="E120" s="19" t="n">
        <v>11</v>
      </c>
      <c r="F120" s="19" t="n">
        <f aca="false">IF($B120="","",IF($D120="kg",N($E120),IF($D120="sacos",N($E120)*95,IF($D120="jabas",N($E120)*IFERROR(VLOOKUP($C120,LISTAS!$A$2:$B$12,2,0),0),""))))</f>
        <v>198</v>
      </c>
      <c r="G120" s="18" t="s">
        <v>44</v>
      </c>
      <c r="H120" s="18"/>
      <c r="I120" s="1" t="n">
        <f aca="false">N($F120)</f>
        <v>198</v>
      </c>
    </row>
    <row r="121" customFormat="false" ht="15" hidden="false" customHeight="true" outlineLevel="0" collapsed="false">
      <c r="A121" s="17" t="n">
        <v>46224</v>
      </c>
      <c r="B121" s="18" t="s">
        <v>26</v>
      </c>
      <c r="C121" s="18" t="s">
        <v>25</v>
      </c>
      <c r="D121" s="18" t="s">
        <v>12</v>
      </c>
      <c r="E121" s="19" t="n">
        <v>10</v>
      </c>
      <c r="F121" s="19" t="n">
        <f aca="false">IF($B121="","",IF($D121="kg",N($E121),IF($D121="sacos",N($E121)*95,IF($D121="jabas",N($E121)*IFERROR(VLOOKUP($C121,LISTAS!$A$2:$B$12,2,0),0),""))))</f>
        <v>170</v>
      </c>
      <c r="G121" s="18" t="s">
        <v>44</v>
      </c>
      <c r="H121" s="18"/>
      <c r="I121" s="1" t="n">
        <f aca="false">N($F121)</f>
        <v>170</v>
      </c>
    </row>
    <row r="122" customFormat="false" ht="15" hidden="false" customHeight="true" outlineLevel="0" collapsed="false">
      <c r="A122" s="17" t="n">
        <v>46224</v>
      </c>
      <c r="B122" s="18" t="s">
        <v>26</v>
      </c>
      <c r="C122" s="18" t="s">
        <v>14</v>
      </c>
      <c r="D122" s="18" t="s">
        <v>12</v>
      </c>
      <c r="E122" s="19" t="n">
        <v>111</v>
      </c>
      <c r="F122" s="19" t="n">
        <f aca="false">IF($B122="","",IF($D122="kg",N($E122),IF($D122="sacos",N($E122)*95,IF($D122="jabas",N($E122)*IFERROR(VLOOKUP($C122,LISTAS!$A$2:$B$12,2,0),0),""))))</f>
        <v>1887</v>
      </c>
      <c r="G122" s="18" t="s">
        <v>44</v>
      </c>
      <c r="H122" s="18"/>
      <c r="I122" s="1" t="n">
        <f aca="false">N($F122)</f>
        <v>1887</v>
      </c>
    </row>
    <row r="123" customFormat="false" ht="15" hidden="false" customHeight="true" outlineLevel="0" collapsed="false">
      <c r="A123" s="26" t="n">
        <v>46224</v>
      </c>
      <c r="B123" s="27" t="s">
        <v>45</v>
      </c>
      <c r="C123" s="27" t="s">
        <v>11</v>
      </c>
      <c r="D123" s="27" t="s">
        <v>12</v>
      </c>
      <c r="E123" s="28" t="n">
        <v>1</v>
      </c>
      <c r="F123" s="28" t="n">
        <f aca="false">IF($B123="","",IF($D123="kg",N($E123),IF($D123="sacos",N($E123)*95,IF($D123="jabas",N($E123)*IFERROR(VLOOKUP($C123,LISTAS!$A$2:$B$12,2,0),0),""))))</f>
        <v>15</v>
      </c>
      <c r="G123" s="27"/>
      <c r="H123" s="27"/>
      <c r="I123" s="1" t="n">
        <f aca="false">N($F123)</f>
        <v>15</v>
      </c>
    </row>
    <row r="124" customFormat="false" ht="15" hidden="false" customHeight="true" outlineLevel="0" collapsed="false">
      <c r="A124" s="26" t="n">
        <v>46224</v>
      </c>
      <c r="B124" s="27" t="s">
        <v>45</v>
      </c>
      <c r="C124" s="27" t="s">
        <v>14</v>
      </c>
      <c r="D124" s="27" t="s">
        <v>12</v>
      </c>
      <c r="E124" s="28" t="n">
        <v>1</v>
      </c>
      <c r="F124" s="28" t="n">
        <f aca="false">IF($B124="","",IF($D124="kg",N($E124),IF($D124="sacos",N($E124)*95,IF($D124="jabas",N($E124)*IFERROR(VLOOKUP($C124,LISTAS!$A$2:$B$12,2,0),0),""))))</f>
        <v>17</v>
      </c>
      <c r="G124" s="27"/>
      <c r="H124" s="27"/>
      <c r="I124" s="1" t="n">
        <f aca="false">N($F124)</f>
        <v>17</v>
      </c>
    </row>
    <row r="125" customFormat="false" ht="15" hidden="false" customHeight="true" outlineLevel="0" collapsed="false">
      <c r="A125" s="23" t="n">
        <v>46224</v>
      </c>
      <c r="B125" s="24" t="s">
        <v>37</v>
      </c>
      <c r="C125" s="24" t="s">
        <v>11</v>
      </c>
      <c r="D125" s="24" t="s">
        <v>12</v>
      </c>
      <c r="E125" s="25" t="n">
        <v>1</v>
      </c>
      <c r="F125" s="25" t="n">
        <f aca="false">IF($B125="","",IF($D125="kg",N($E125),IF($D125="sacos",N($E125)*95,IF($D125="jabas",N($E125)*IFERROR(VLOOKUP($C125,LISTAS!$A$2:$B$12,2,0),0),""))))</f>
        <v>15</v>
      </c>
      <c r="G125" s="24"/>
      <c r="H125" s="24"/>
      <c r="I125" s="1" t="n">
        <f aca="false">N($F125)</f>
        <v>15</v>
      </c>
    </row>
    <row r="126" customFormat="false" ht="15" hidden="false" customHeight="true" outlineLevel="0" collapsed="false">
      <c r="A126" s="23" t="n">
        <v>46224</v>
      </c>
      <c r="B126" s="24" t="s">
        <v>37</v>
      </c>
      <c r="C126" s="24" t="s">
        <v>14</v>
      </c>
      <c r="D126" s="24" t="s">
        <v>12</v>
      </c>
      <c r="E126" s="25" t="n">
        <v>1</v>
      </c>
      <c r="F126" s="25" t="n">
        <f aca="false">IF($B126="","",IF($D126="kg",N($E126),IF($D126="sacos",N($E126)*95,IF($D126="jabas",N($E126)*IFERROR(VLOOKUP($C126,LISTAS!$A$2:$B$12,2,0),0),""))))</f>
        <v>17</v>
      </c>
      <c r="G126" s="24"/>
      <c r="H126" s="24"/>
      <c r="I126" s="1" t="n">
        <f aca="false">N($F126)</f>
        <v>17</v>
      </c>
    </row>
    <row r="127" customFormat="false" ht="15" hidden="false" customHeight="true" outlineLevel="0" collapsed="false">
      <c r="A127" s="29" t="n">
        <v>46224</v>
      </c>
      <c r="B127" s="30" t="s">
        <v>46</v>
      </c>
      <c r="C127" s="30" t="s">
        <v>21</v>
      </c>
      <c r="D127" s="30" t="s">
        <v>47</v>
      </c>
      <c r="E127" s="31" t="n">
        <v>17</v>
      </c>
      <c r="F127" s="31" t="n">
        <f aca="false">IF($B127="","",IF($D127="kg",N($E127),IF($D127="sacos",N($E127)*95,IF($D127="jabas",N($E127)*IFERROR(VLOOKUP($C127,LISTAS!$A$2:$B$12,2,0),0),""))))</f>
        <v>17</v>
      </c>
      <c r="G127" s="30"/>
      <c r="H127" s="30" t="s">
        <v>48</v>
      </c>
      <c r="I127" s="1" t="n">
        <f aca="false">N($F127)</f>
        <v>17</v>
      </c>
    </row>
    <row r="128" customFormat="false" ht="15" hidden="false" customHeight="true" outlineLevel="0" collapsed="false">
      <c r="A128" s="14" t="n">
        <v>46225</v>
      </c>
      <c r="B128" s="15" t="s">
        <v>23</v>
      </c>
      <c r="C128" s="15" t="s">
        <v>11</v>
      </c>
      <c r="D128" s="15" t="s">
        <v>12</v>
      </c>
      <c r="E128" s="16" t="n">
        <v>64</v>
      </c>
      <c r="F128" s="16" t="n">
        <f aca="false">IF($B128="","",IF($D128="kg",N($E128),IF($D128="sacos",N($E128)*95,IF($D128="jabas",N($E128)*IFERROR(VLOOKUP($C128,LISTAS!$A$2:$B$12,2,0),0),""))))</f>
        <v>960</v>
      </c>
      <c r="G128" s="15"/>
      <c r="H128" s="15"/>
      <c r="I128" s="1" t="n">
        <f aca="false">N($F128)</f>
        <v>960</v>
      </c>
    </row>
    <row r="129" customFormat="false" ht="15" hidden="false" customHeight="true" outlineLevel="0" collapsed="false">
      <c r="A129" s="14" t="n">
        <v>46225</v>
      </c>
      <c r="B129" s="15" t="s">
        <v>23</v>
      </c>
      <c r="C129" s="15" t="s">
        <v>24</v>
      </c>
      <c r="D129" s="15" t="s">
        <v>12</v>
      </c>
      <c r="E129" s="16" t="n">
        <v>11</v>
      </c>
      <c r="F129" s="16" t="n">
        <f aca="false">IF($B129="","",IF($D129="kg",N($E129),IF($D129="sacos",N($E129)*95,IF($D129="jabas",N($E129)*IFERROR(VLOOKUP($C129,LISTAS!$A$2:$B$12,2,0),0),""))))</f>
        <v>198</v>
      </c>
      <c r="G129" s="15"/>
      <c r="H129" s="15"/>
      <c r="I129" s="1" t="n">
        <f aca="false">N($F129)</f>
        <v>198</v>
      </c>
    </row>
    <row r="130" customFormat="false" ht="15" hidden="false" customHeight="true" outlineLevel="0" collapsed="false">
      <c r="A130" s="14" t="n">
        <v>46225</v>
      </c>
      <c r="B130" s="15" t="s">
        <v>23</v>
      </c>
      <c r="C130" s="15" t="s">
        <v>25</v>
      </c>
      <c r="D130" s="15" t="s">
        <v>12</v>
      </c>
      <c r="E130" s="16" t="n">
        <v>12</v>
      </c>
      <c r="F130" s="16" t="n">
        <f aca="false">IF($B130="","",IF($D130="kg",N($E130),IF($D130="sacos",N($E130)*95,IF($D130="jabas",N($E130)*IFERROR(VLOOKUP($C130,LISTAS!$A$2:$B$12,2,0),0),""))))</f>
        <v>204</v>
      </c>
      <c r="G130" s="15"/>
      <c r="H130" s="15"/>
      <c r="I130" s="1" t="n">
        <f aca="false">N($F130)</f>
        <v>204</v>
      </c>
    </row>
    <row r="131" customFormat="false" ht="15" hidden="false" customHeight="true" outlineLevel="0" collapsed="false">
      <c r="A131" s="14" t="n">
        <v>46225</v>
      </c>
      <c r="B131" s="15" t="s">
        <v>23</v>
      </c>
      <c r="C131" s="15" t="s">
        <v>14</v>
      </c>
      <c r="D131" s="15" t="s">
        <v>12</v>
      </c>
      <c r="E131" s="16" t="n">
        <v>111</v>
      </c>
      <c r="F131" s="16" t="n">
        <f aca="false">IF($B131="","",IF($D131="kg",N($E131),IF($D131="sacos",N($E131)*95,IF($D131="jabas",N($E131)*IFERROR(VLOOKUP($C131,LISTAS!$A$2:$B$12,2,0),0),""))))</f>
        <v>1887</v>
      </c>
      <c r="G131" s="15"/>
      <c r="H131" s="15"/>
      <c r="I131" s="1" t="n">
        <f aca="false">N($F131)</f>
        <v>1887</v>
      </c>
    </row>
    <row r="132" customFormat="false" ht="15" hidden="false" customHeight="true" outlineLevel="0" collapsed="false">
      <c r="A132" s="14" t="n">
        <v>46225</v>
      </c>
      <c r="B132" s="15" t="s">
        <v>23</v>
      </c>
      <c r="C132" s="15" t="s">
        <v>18</v>
      </c>
      <c r="D132" s="15" t="s">
        <v>19</v>
      </c>
      <c r="E132" s="16" t="n">
        <v>8</v>
      </c>
      <c r="F132" s="16" t="n">
        <f aca="false">IF($B132="","",IF($D132="kg",N($E132),IF($D132="sacos",N($E132)*95,IF($D132="jabas",N($E132)*IFERROR(VLOOKUP($C132,LISTAS!$A$2:$B$12,2,0),0),""))))</f>
        <v>760</v>
      </c>
      <c r="G132" s="15"/>
      <c r="H132" s="15"/>
      <c r="I132" s="1" t="n">
        <f aca="false">N($F132)</f>
        <v>760</v>
      </c>
    </row>
    <row r="133" customFormat="false" ht="15" hidden="false" customHeight="true" outlineLevel="0" collapsed="false">
      <c r="A133" s="32" t="n">
        <v>46225</v>
      </c>
      <c r="B133" s="33" t="s">
        <v>49</v>
      </c>
      <c r="C133" s="33" t="s">
        <v>21</v>
      </c>
      <c r="D133" s="33" t="s">
        <v>47</v>
      </c>
      <c r="E133" s="34" t="n">
        <v>50</v>
      </c>
      <c r="F133" s="34" t="n">
        <f aca="false">IF($B133="","",IF($D133="kg",N($E133),IF($D133="sacos",N($E133)*95,IF($D133="jabas",N($E133)*IFERROR(VLOOKUP($C133,LISTAS!$A$2:$B$12,2,0),0),""))))</f>
        <v>50</v>
      </c>
      <c r="G133" s="33"/>
      <c r="H133" s="33"/>
      <c r="I133" s="1" t="n">
        <f aca="false">N($F133)</f>
        <v>50</v>
      </c>
    </row>
    <row r="134" customFormat="false" ht="15" hidden="false" customHeight="true" outlineLevel="0" collapsed="false">
      <c r="A134" s="17" t="n">
        <v>46225</v>
      </c>
      <c r="B134" s="18" t="s">
        <v>26</v>
      </c>
      <c r="C134" s="18" t="s">
        <v>11</v>
      </c>
      <c r="D134" s="18" t="s">
        <v>12</v>
      </c>
      <c r="E134" s="19" t="n">
        <v>67</v>
      </c>
      <c r="F134" s="19" t="n">
        <f aca="false">IF($B134="","",IF($D134="kg",N($E134),IF($D134="sacos",N($E134)*95,IF($D134="jabas",N($E134)*IFERROR(VLOOKUP($C134,LISTAS!$A$2:$B$12,2,0),0),""))))</f>
        <v>1005</v>
      </c>
      <c r="G134" s="18" t="s">
        <v>50</v>
      </c>
      <c r="H134" s="18"/>
      <c r="I134" s="1" t="n">
        <f aca="false">N($F134)</f>
        <v>1005</v>
      </c>
    </row>
    <row r="135" customFormat="false" ht="15" hidden="false" customHeight="true" outlineLevel="0" collapsed="false">
      <c r="A135" s="17" t="n">
        <v>46225</v>
      </c>
      <c r="B135" s="18" t="s">
        <v>26</v>
      </c>
      <c r="C135" s="18" t="s">
        <v>24</v>
      </c>
      <c r="D135" s="18" t="s">
        <v>12</v>
      </c>
      <c r="E135" s="19" t="n">
        <v>11</v>
      </c>
      <c r="F135" s="19" t="n">
        <f aca="false">IF($B135="","",IF($D135="kg",N($E135),IF($D135="sacos",N($E135)*95,IF($D135="jabas",N($E135)*IFERROR(VLOOKUP($C135,LISTAS!$A$2:$B$12,2,0),0),""))))</f>
        <v>198</v>
      </c>
      <c r="G135" s="18" t="s">
        <v>50</v>
      </c>
      <c r="H135" s="18"/>
      <c r="I135" s="1" t="n">
        <f aca="false">N($F135)</f>
        <v>198</v>
      </c>
    </row>
    <row r="136" customFormat="false" ht="15" hidden="false" customHeight="true" outlineLevel="0" collapsed="false">
      <c r="A136" s="17" t="n">
        <v>46225</v>
      </c>
      <c r="B136" s="18" t="s">
        <v>26</v>
      </c>
      <c r="C136" s="18" t="s">
        <v>25</v>
      </c>
      <c r="D136" s="18" t="s">
        <v>12</v>
      </c>
      <c r="E136" s="19" t="n">
        <v>12</v>
      </c>
      <c r="F136" s="19" t="n">
        <f aca="false">IF($B136="","",IF($D136="kg",N($E136),IF($D136="sacos",N($E136)*95,IF($D136="jabas",N($E136)*IFERROR(VLOOKUP($C136,LISTAS!$A$2:$B$12,2,0),0),""))))</f>
        <v>204</v>
      </c>
      <c r="G136" s="18" t="s">
        <v>50</v>
      </c>
      <c r="H136" s="18"/>
      <c r="I136" s="1" t="n">
        <f aca="false">N($F136)</f>
        <v>204</v>
      </c>
    </row>
    <row r="137" customFormat="false" ht="15" hidden="false" customHeight="true" outlineLevel="0" collapsed="false">
      <c r="A137" s="17" t="n">
        <v>46225</v>
      </c>
      <c r="B137" s="18" t="s">
        <v>26</v>
      </c>
      <c r="C137" s="18" t="s">
        <v>14</v>
      </c>
      <c r="D137" s="18" t="s">
        <v>12</v>
      </c>
      <c r="E137" s="19" t="n">
        <v>111</v>
      </c>
      <c r="F137" s="19" t="n">
        <f aca="false">IF($B137="","",IF($D137="kg",N($E137),IF($D137="sacos",N($E137)*95,IF($D137="jabas",N($E137)*IFERROR(VLOOKUP($C137,LISTAS!$A$2:$B$12,2,0),0),""))))</f>
        <v>1887</v>
      </c>
      <c r="G137" s="18" t="s">
        <v>50</v>
      </c>
      <c r="H137" s="18"/>
      <c r="I137" s="1" t="n">
        <f aca="false">N($F137)</f>
        <v>1887</v>
      </c>
    </row>
    <row r="138" customFormat="false" ht="15" hidden="false" customHeight="true" outlineLevel="0" collapsed="false">
      <c r="A138" s="20" t="n">
        <v>46225</v>
      </c>
      <c r="B138" s="21" t="s">
        <v>31</v>
      </c>
      <c r="C138" s="21" t="s">
        <v>18</v>
      </c>
      <c r="D138" s="21" t="s">
        <v>19</v>
      </c>
      <c r="E138" s="22" t="n">
        <v>10</v>
      </c>
      <c r="F138" s="22" t="n">
        <f aca="false">IF($B138="","",IF($D138="kg",N($E138),IF($D138="sacos",N($E138)*95,IF($D138="jabas",N($E138)*IFERROR(VLOOKUP($C138,LISTAS!$A$2:$B$12,2,0),0),""))))</f>
        <v>950</v>
      </c>
      <c r="G138" s="21" t="s">
        <v>51</v>
      </c>
      <c r="H138" s="21"/>
      <c r="I138" s="1" t="n">
        <f aca="false">N($F138)</f>
        <v>950</v>
      </c>
    </row>
    <row r="139" customFormat="false" ht="15" hidden="false" customHeight="true" outlineLevel="0" collapsed="false">
      <c r="A139" s="26" t="n">
        <v>46225</v>
      </c>
      <c r="B139" s="27" t="s">
        <v>45</v>
      </c>
      <c r="C139" s="27" t="s">
        <v>11</v>
      </c>
      <c r="D139" s="27" t="s">
        <v>12</v>
      </c>
      <c r="E139" s="28" t="n">
        <v>1</v>
      </c>
      <c r="F139" s="28" t="n">
        <f aca="false">IF($B139="","",IF($D139="kg",N($E139),IF($D139="sacos",N($E139)*95,IF($D139="jabas",N($E139)*IFERROR(VLOOKUP($C139,LISTAS!$A$2:$B$12,2,0),0),""))))</f>
        <v>15</v>
      </c>
      <c r="G139" s="27"/>
      <c r="H139" s="27"/>
      <c r="I139" s="1" t="n">
        <f aca="false">N($F139)</f>
        <v>15</v>
      </c>
    </row>
    <row r="140" customFormat="false" ht="15" hidden="false" customHeight="true" outlineLevel="0" collapsed="false">
      <c r="A140" s="35" t="n">
        <v>46225</v>
      </c>
      <c r="B140" s="36" t="s">
        <v>52</v>
      </c>
      <c r="C140" s="36" t="s">
        <v>14</v>
      </c>
      <c r="D140" s="36" t="s">
        <v>12</v>
      </c>
      <c r="E140" s="37" t="n">
        <v>9</v>
      </c>
      <c r="F140" s="37" t="n">
        <f aca="false">IF($B140="","",IF($D140="kg",N($E140),IF($D140="sacos",N($E140)*95,IF($D140="jabas",N($E140)*IFERROR(VLOOKUP($C140,LISTAS!$A$2:$B$12,2,0),0),""))))</f>
        <v>153</v>
      </c>
      <c r="G140" s="36"/>
      <c r="H140" s="36" t="s">
        <v>53</v>
      </c>
      <c r="I140" s="1" t="n">
        <f aca="false">N($F140)</f>
        <v>153</v>
      </c>
    </row>
    <row r="141" customFormat="false" ht="15" hidden="false" customHeight="true" outlineLevel="0" collapsed="false">
      <c r="A141" s="23" t="n">
        <v>46225</v>
      </c>
      <c r="B141" s="24" t="s">
        <v>37</v>
      </c>
      <c r="C141" s="24" t="s">
        <v>11</v>
      </c>
      <c r="D141" s="24" t="s">
        <v>12</v>
      </c>
      <c r="E141" s="25" t="n">
        <v>1</v>
      </c>
      <c r="F141" s="25" t="n">
        <f aca="false">IF($B141="","",IF($D141="kg",N($E141),IF($D141="sacos",N($E141)*95,IF($D141="jabas",N($E141)*IFERROR(VLOOKUP($C141,LISTAS!$A$2:$B$12,2,0),0),""))))</f>
        <v>15</v>
      </c>
      <c r="G141" s="24"/>
      <c r="H141" s="24"/>
      <c r="I141" s="1" t="n">
        <f aca="false">N($F141)</f>
        <v>15</v>
      </c>
    </row>
    <row r="142" customFormat="false" ht="15" hidden="false" customHeight="true" outlineLevel="0" collapsed="false">
      <c r="A142" s="29" t="n">
        <v>46225</v>
      </c>
      <c r="B142" s="30" t="s">
        <v>46</v>
      </c>
      <c r="C142" s="30" t="s">
        <v>21</v>
      </c>
      <c r="D142" s="30" t="s">
        <v>47</v>
      </c>
      <c r="E142" s="31" t="n">
        <v>9</v>
      </c>
      <c r="F142" s="31" t="n">
        <f aca="false">IF($B142="","",IF($D142="kg",N($E142),IF($D142="sacos",N($E142)*95,IF($D142="jabas",N($E142)*IFERROR(VLOOKUP($C142,LISTAS!$A$2:$B$12,2,0),0),""))))</f>
        <v>9</v>
      </c>
      <c r="G142" s="30"/>
      <c r="H142" s="30" t="s">
        <v>54</v>
      </c>
      <c r="I142" s="1" t="n">
        <f aca="false">N($F142)</f>
        <v>9</v>
      </c>
    </row>
    <row r="143" customFormat="false" ht="15" hidden="false" customHeight="true" outlineLevel="0" collapsed="false">
      <c r="A143" s="11" t="n">
        <v>46225</v>
      </c>
      <c r="B143" s="12" t="s">
        <v>20</v>
      </c>
      <c r="C143" s="12" t="s">
        <v>21</v>
      </c>
      <c r="D143" s="12" t="s">
        <v>19</v>
      </c>
      <c r="E143" s="13" t="n">
        <v>40</v>
      </c>
      <c r="F143" s="13" t="n">
        <f aca="false">IF($B143="","",IF($D143="kg",N($E143),IF($D143="sacos",N($E143)*95,IF($D143="jabas",N($E143)*IFERROR(VLOOKUP($C143,LISTAS!$A$2:$B$12,2,0),0),""))))</f>
        <v>3800</v>
      </c>
      <c r="G143" s="12"/>
      <c r="H143" s="12" t="s">
        <v>22</v>
      </c>
      <c r="I143" s="1" t="n">
        <f aca="false">N($F143)</f>
        <v>3800</v>
      </c>
    </row>
    <row r="144" customFormat="false" ht="15" hidden="false" customHeight="true" outlineLevel="0" collapsed="false">
      <c r="A144" s="14" t="n">
        <v>46226</v>
      </c>
      <c r="B144" s="15" t="s">
        <v>23</v>
      </c>
      <c r="C144" s="15" t="s">
        <v>11</v>
      </c>
      <c r="D144" s="15" t="s">
        <v>12</v>
      </c>
      <c r="E144" s="16" t="n">
        <v>78</v>
      </c>
      <c r="F144" s="16" t="n">
        <f aca="false">IF($B144="","",IF($D144="kg",N($E144),IF($D144="sacos",N($E144)*95,IF($D144="jabas",N($E144)*IFERROR(VLOOKUP($C144,LISTAS!$A$2:$B$12,2,0),0),""))))</f>
        <v>1170</v>
      </c>
      <c r="G144" s="15"/>
      <c r="H144" s="15"/>
      <c r="I144" s="1" t="n">
        <f aca="false">N($F144)</f>
        <v>1170</v>
      </c>
    </row>
    <row r="145" customFormat="false" ht="15" hidden="false" customHeight="true" outlineLevel="0" collapsed="false">
      <c r="A145" s="14" t="n">
        <v>46226</v>
      </c>
      <c r="B145" s="15" t="s">
        <v>23</v>
      </c>
      <c r="C145" s="15" t="s">
        <v>24</v>
      </c>
      <c r="D145" s="15" t="s">
        <v>12</v>
      </c>
      <c r="E145" s="16" t="n">
        <v>11</v>
      </c>
      <c r="F145" s="16" t="n">
        <f aca="false">IF($B145="","",IF($D145="kg",N($E145),IF($D145="sacos",N($E145)*95,IF($D145="jabas",N($E145)*IFERROR(VLOOKUP($C145,LISTAS!$A$2:$B$12,2,0),0),""))))</f>
        <v>198</v>
      </c>
      <c r="G145" s="15"/>
      <c r="H145" s="15"/>
      <c r="I145" s="1" t="n">
        <f aca="false">N($F145)</f>
        <v>198</v>
      </c>
    </row>
    <row r="146" customFormat="false" ht="15" hidden="false" customHeight="true" outlineLevel="0" collapsed="false">
      <c r="A146" s="14" t="n">
        <v>46226</v>
      </c>
      <c r="B146" s="15" t="s">
        <v>23</v>
      </c>
      <c r="C146" s="15" t="s">
        <v>25</v>
      </c>
      <c r="D146" s="15" t="s">
        <v>12</v>
      </c>
      <c r="E146" s="16" t="n">
        <v>12</v>
      </c>
      <c r="F146" s="16" t="n">
        <f aca="false">IF($B146="","",IF($D146="kg",N($E146),IF($D146="sacos",N($E146)*95,IF($D146="jabas",N($E146)*IFERROR(VLOOKUP($C146,LISTAS!$A$2:$B$12,2,0),0),""))))</f>
        <v>204</v>
      </c>
      <c r="G146" s="15"/>
      <c r="H146" s="15"/>
      <c r="I146" s="1" t="n">
        <f aca="false">N($F146)</f>
        <v>204</v>
      </c>
    </row>
    <row r="147" customFormat="false" ht="15" hidden="false" customHeight="true" outlineLevel="0" collapsed="false">
      <c r="A147" s="14" t="n">
        <v>46226</v>
      </c>
      <c r="B147" s="15" t="s">
        <v>23</v>
      </c>
      <c r="C147" s="15" t="s">
        <v>14</v>
      </c>
      <c r="D147" s="15" t="s">
        <v>12</v>
      </c>
      <c r="E147" s="16" t="n">
        <v>94</v>
      </c>
      <c r="F147" s="16" t="n">
        <f aca="false">IF($B147="","",IF($D147="kg",N($E147),IF($D147="sacos",N($E147)*95,IF($D147="jabas",N($E147)*IFERROR(VLOOKUP($C147,LISTAS!$A$2:$B$12,2,0),0),""))))</f>
        <v>1598</v>
      </c>
      <c r="G147" s="15"/>
      <c r="H147" s="15"/>
      <c r="I147" s="1" t="n">
        <f aca="false">N($F147)</f>
        <v>1598</v>
      </c>
    </row>
    <row r="148" customFormat="false" ht="15" hidden="false" customHeight="true" outlineLevel="0" collapsed="false">
      <c r="A148" s="14" t="n">
        <v>46226</v>
      </c>
      <c r="B148" s="15" t="s">
        <v>23</v>
      </c>
      <c r="C148" s="15" t="s">
        <v>18</v>
      </c>
      <c r="D148" s="15" t="s">
        <v>19</v>
      </c>
      <c r="E148" s="16" t="n">
        <v>6.5</v>
      </c>
      <c r="F148" s="16" t="n">
        <f aca="false">IF($B148="","",IF($D148="kg",N($E148),IF($D148="sacos",N($E148)*95,IF($D148="jabas",N($E148)*IFERROR(VLOOKUP($C148,LISTAS!$A$2:$B$12,2,0),0),""))))</f>
        <v>617.5</v>
      </c>
      <c r="G148" s="15"/>
      <c r="H148" s="15"/>
      <c r="I148" s="1" t="n">
        <f aca="false">N($F148)</f>
        <v>617.5</v>
      </c>
    </row>
    <row r="149" customFormat="false" ht="15" hidden="false" customHeight="true" outlineLevel="0" collapsed="false">
      <c r="A149" s="17" t="n">
        <v>46226</v>
      </c>
      <c r="B149" s="18" t="s">
        <v>26</v>
      </c>
      <c r="C149" s="18" t="s">
        <v>11</v>
      </c>
      <c r="D149" s="18" t="s">
        <v>12</v>
      </c>
      <c r="E149" s="19" t="n">
        <v>67</v>
      </c>
      <c r="F149" s="19" t="n">
        <f aca="false">IF($B149="","",IF($D149="kg",N($E149),IF($D149="sacos",N($E149)*95,IF($D149="jabas",N($E149)*IFERROR(VLOOKUP($C149,LISTAS!$A$2:$B$12,2,0),0),""))))</f>
        <v>1005</v>
      </c>
      <c r="G149" s="18" t="s">
        <v>55</v>
      </c>
      <c r="H149" s="18"/>
      <c r="I149" s="1" t="n">
        <f aca="false">N($F149)</f>
        <v>1005</v>
      </c>
    </row>
    <row r="150" customFormat="false" ht="15" hidden="false" customHeight="true" outlineLevel="0" collapsed="false">
      <c r="A150" s="17" t="n">
        <v>46226</v>
      </c>
      <c r="B150" s="18" t="s">
        <v>26</v>
      </c>
      <c r="C150" s="18" t="s">
        <v>24</v>
      </c>
      <c r="D150" s="18" t="s">
        <v>12</v>
      </c>
      <c r="E150" s="19" t="n">
        <v>11</v>
      </c>
      <c r="F150" s="19" t="n">
        <f aca="false">IF($B150="","",IF($D150="kg",N($E150),IF($D150="sacos",N($E150)*95,IF($D150="jabas",N($E150)*IFERROR(VLOOKUP($C150,LISTAS!$A$2:$B$12,2,0),0),""))))</f>
        <v>198</v>
      </c>
      <c r="G150" s="18" t="s">
        <v>55</v>
      </c>
      <c r="H150" s="18"/>
      <c r="I150" s="1" t="n">
        <f aca="false">N($F150)</f>
        <v>198</v>
      </c>
    </row>
    <row r="151" customFormat="false" ht="15" hidden="false" customHeight="true" outlineLevel="0" collapsed="false">
      <c r="A151" s="17" t="n">
        <v>46226</v>
      </c>
      <c r="B151" s="18" t="s">
        <v>26</v>
      </c>
      <c r="C151" s="18" t="s">
        <v>25</v>
      </c>
      <c r="D151" s="18" t="s">
        <v>12</v>
      </c>
      <c r="E151" s="19" t="n">
        <v>12</v>
      </c>
      <c r="F151" s="19" t="n">
        <f aca="false">IF($B151="","",IF($D151="kg",N($E151),IF($D151="sacos",N($E151)*95,IF($D151="jabas",N($E151)*IFERROR(VLOOKUP($C151,LISTAS!$A$2:$B$12,2,0),0),""))))</f>
        <v>204</v>
      </c>
      <c r="G151" s="18" t="s">
        <v>55</v>
      </c>
      <c r="H151" s="18"/>
      <c r="I151" s="1" t="n">
        <f aca="false">N($F151)</f>
        <v>204</v>
      </c>
    </row>
    <row r="152" customFormat="false" ht="15" hidden="false" customHeight="true" outlineLevel="0" collapsed="false">
      <c r="A152" s="17" t="n">
        <v>46226</v>
      </c>
      <c r="B152" s="18" t="s">
        <v>26</v>
      </c>
      <c r="C152" s="18" t="s">
        <v>14</v>
      </c>
      <c r="D152" s="18" t="s">
        <v>12</v>
      </c>
      <c r="E152" s="19" t="n">
        <v>118</v>
      </c>
      <c r="F152" s="19" t="n">
        <f aca="false">IF($B152="","",IF($D152="kg",N($E152),IF($D152="sacos",N($E152)*95,IF($D152="jabas",N($E152)*IFERROR(VLOOKUP($C152,LISTAS!$A$2:$B$12,2,0),0),""))))</f>
        <v>2006</v>
      </c>
      <c r="G152" s="18" t="s">
        <v>55</v>
      </c>
      <c r="H152" s="18"/>
      <c r="I152" s="1" t="n">
        <f aca="false">N($F152)</f>
        <v>2006</v>
      </c>
    </row>
    <row r="153" customFormat="false" ht="15" hidden="false" customHeight="true" outlineLevel="0" collapsed="false">
      <c r="A153" s="20" t="n">
        <v>46226</v>
      </c>
      <c r="B153" s="21" t="s">
        <v>31</v>
      </c>
      <c r="C153" s="21" t="s">
        <v>18</v>
      </c>
      <c r="D153" s="21" t="s">
        <v>19</v>
      </c>
      <c r="E153" s="22" t="n">
        <v>0.5</v>
      </c>
      <c r="F153" s="22" t="n">
        <f aca="false">IF($B153="","",IF($D153="kg",N($E153),IF($D153="sacos",N($E153)*95,IF($D153="jabas",N($E153)*IFERROR(VLOOKUP($C153,LISTAS!$A$2:$B$12,2,0),0),""))))</f>
        <v>47.5</v>
      </c>
      <c r="G153" s="21" t="s">
        <v>51</v>
      </c>
      <c r="H153" s="21"/>
      <c r="I153" s="1" t="n">
        <f aca="false">N($F153)</f>
        <v>47.5</v>
      </c>
    </row>
    <row r="154" customFormat="false" ht="15" hidden="false" customHeight="true" outlineLevel="0" collapsed="false">
      <c r="A154" s="11" t="n">
        <v>46226</v>
      </c>
      <c r="B154" s="12" t="s">
        <v>20</v>
      </c>
      <c r="C154" s="12" t="s">
        <v>21</v>
      </c>
      <c r="D154" s="12" t="s">
        <v>19</v>
      </c>
      <c r="E154" s="13" t="n">
        <v>43</v>
      </c>
      <c r="F154" s="13" t="n">
        <f aca="false">IF($B154="","",IF($D154="kg",N($E154),IF($D154="sacos",N($E154)*95,IF($D154="jabas",N($E154)*IFERROR(VLOOKUP($C154,LISTAS!$A$2:$B$12,2,0),0),""))))</f>
        <v>4085</v>
      </c>
      <c r="G154" s="12"/>
      <c r="H154" s="12" t="s">
        <v>56</v>
      </c>
      <c r="I154" s="1" t="n">
        <f aca="false">N($F154)</f>
        <v>4085</v>
      </c>
    </row>
    <row r="155" customFormat="false" ht="15" hidden="false" customHeight="true" outlineLevel="0" collapsed="false">
      <c r="A155" s="11" t="n">
        <v>46226</v>
      </c>
      <c r="B155" s="12" t="s">
        <v>20</v>
      </c>
      <c r="C155" s="12" t="s">
        <v>21</v>
      </c>
      <c r="D155" s="12" t="s">
        <v>19</v>
      </c>
      <c r="E155" s="13" t="n">
        <v>37</v>
      </c>
      <c r="F155" s="13" t="n">
        <f aca="false">IF($B155="","",IF($D155="kg",N($E155),IF($D155="sacos",N($E155)*95,IF($D155="jabas",N($E155)*IFERROR(VLOOKUP($C155,LISTAS!$A$2:$B$12,2,0),0),""))))</f>
        <v>3515</v>
      </c>
      <c r="G155" s="12"/>
      <c r="H155" s="12" t="s">
        <v>22</v>
      </c>
      <c r="I155" s="1" t="n">
        <f aca="false">N($F155)</f>
        <v>3515</v>
      </c>
    </row>
    <row r="156" customFormat="false" ht="15" hidden="false" customHeight="true" outlineLevel="0" collapsed="false">
      <c r="A156" s="14" t="n">
        <v>46227</v>
      </c>
      <c r="B156" s="15" t="s">
        <v>23</v>
      </c>
      <c r="C156" s="15" t="s">
        <v>11</v>
      </c>
      <c r="D156" s="15" t="s">
        <v>12</v>
      </c>
      <c r="E156" s="16" t="n">
        <v>48</v>
      </c>
      <c r="F156" s="16" t="n">
        <f aca="false">IF($B156="","",IF($D156="kg",N($E156),IF($D156="sacos",N($E156)*95,IF($D156="jabas",N($E156)*IFERROR(VLOOKUP($C156,LISTAS!$A$2:$B$12,2,0),0),""))))</f>
        <v>720</v>
      </c>
      <c r="G156" s="15"/>
      <c r="H156" s="15"/>
      <c r="I156" s="1" t="n">
        <f aca="false">N($F156)</f>
        <v>720</v>
      </c>
    </row>
    <row r="157" customFormat="false" ht="15" hidden="false" customHeight="true" outlineLevel="0" collapsed="false">
      <c r="A157" s="14" t="n">
        <v>46227</v>
      </c>
      <c r="B157" s="15" t="s">
        <v>23</v>
      </c>
      <c r="C157" s="15" t="s">
        <v>24</v>
      </c>
      <c r="D157" s="15" t="s">
        <v>12</v>
      </c>
      <c r="E157" s="16" t="n">
        <v>3</v>
      </c>
      <c r="F157" s="16" t="n">
        <f aca="false">IF($B157="","",IF($D157="kg",N($E157),IF($D157="sacos",N($E157)*95,IF($D157="jabas",N($E157)*IFERROR(VLOOKUP($C157,LISTAS!$A$2:$B$12,2,0),0),""))))</f>
        <v>54</v>
      </c>
      <c r="G157" s="15"/>
      <c r="H157" s="15"/>
      <c r="I157" s="1" t="n">
        <f aca="false">N($F157)</f>
        <v>54</v>
      </c>
    </row>
    <row r="158" customFormat="false" ht="15" hidden="false" customHeight="true" outlineLevel="0" collapsed="false">
      <c r="A158" s="14" t="n">
        <v>46227</v>
      </c>
      <c r="B158" s="15" t="s">
        <v>23</v>
      </c>
      <c r="C158" s="15" t="s">
        <v>25</v>
      </c>
      <c r="D158" s="15" t="s">
        <v>12</v>
      </c>
      <c r="E158" s="16" t="n">
        <v>5</v>
      </c>
      <c r="F158" s="16" t="n">
        <f aca="false">IF($B158="","",IF($D158="kg",N($E158),IF($D158="sacos",N($E158)*95,IF($D158="jabas",N($E158)*IFERROR(VLOOKUP($C158,LISTAS!$A$2:$B$12,2,0),0),""))))</f>
        <v>85</v>
      </c>
      <c r="G158" s="15"/>
      <c r="H158" s="15"/>
      <c r="I158" s="1" t="n">
        <f aca="false">N($F158)</f>
        <v>85</v>
      </c>
    </row>
    <row r="159" customFormat="false" ht="15" hidden="false" customHeight="true" outlineLevel="0" collapsed="false">
      <c r="A159" s="14" t="n">
        <v>46227</v>
      </c>
      <c r="B159" s="15" t="s">
        <v>23</v>
      </c>
      <c r="C159" s="15" t="s">
        <v>14</v>
      </c>
      <c r="D159" s="15" t="s">
        <v>12</v>
      </c>
      <c r="E159" s="16" t="n">
        <f aca="false">73+22</f>
        <v>95</v>
      </c>
      <c r="F159" s="16" t="n">
        <f aca="false">IF($B159="","",IF($D159="kg",N($E159),IF($D159="sacos",N($E159)*95,IF($D159="jabas",N($E159)*IFERROR(VLOOKUP($C159,LISTAS!$A$2:$B$12,2,0),0),""))))</f>
        <v>1615</v>
      </c>
      <c r="G159" s="15"/>
      <c r="H159" s="15"/>
      <c r="I159" s="1" t="n">
        <f aca="false">N($F159)</f>
        <v>1615</v>
      </c>
    </row>
    <row r="160" customFormat="false" ht="15" hidden="false" customHeight="true" outlineLevel="0" collapsed="false">
      <c r="A160" s="14" t="n">
        <v>46227</v>
      </c>
      <c r="B160" s="15" t="s">
        <v>23</v>
      </c>
      <c r="C160" s="15" t="s">
        <v>18</v>
      </c>
      <c r="D160" s="15" t="s">
        <v>19</v>
      </c>
      <c r="E160" s="16" t="n">
        <v>6</v>
      </c>
      <c r="F160" s="16" t="n">
        <f aca="false">IF($B160="","",IF($D160="kg",N($E160),IF($D160="sacos",N($E160)*95,IF($D160="jabas",N($E160)*IFERROR(VLOOKUP($C160,LISTAS!$A$2:$B$12,2,0),0),""))))</f>
        <v>570</v>
      </c>
      <c r="G160" s="15"/>
      <c r="H160" s="15"/>
      <c r="I160" s="1" t="n">
        <f aca="false">N($F160)</f>
        <v>570</v>
      </c>
    </row>
    <row r="161" customFormat="false" ht="15" hidden="false" customHeight="true" outlineLevel="0" collapsed="false">
      <c r="A161" s="17" t="n">
        <v>46227</v>
      </c>
      <c r="B161" s="18" t="s">
        <v>26</v>
      </c>
      <c r="C161" s="18" t="s">
        <v>11</v>
      </c>
      <c r="D161" s="18" t="s">
        <v>12</v>
      </c>
      <c r="E161" s="19" t="n">
        <v>67</v>
      </c>
      <c r="F161" s="19" t="n">
        <f aca="false">IF($B161="","",IF($D161="kg",N($E161),IF($D161="sacos",N($E161)*95,IF($D161="jabas",N($E161)*IFERROR(VLOOKUP($C161,LISTAS!$A$2:$B$12,2,0),0),""))))</f>
        <v>1005</v>
      </c>
      <c r="G161" s="18" t="s">
        <v>57</v>
      </c>
      <c r="H161" s="18"/>
      <c r="I161" s="1" t="n">
        <f aca="false">N($F161)</f>
        <v>1005</v>
      </c>
    </row>
    <row r="162" customFormat="false" ht="15" hidden="false" customHeight="true" outlineLevel="0" collapsed="false">
      <c r="A162" s="17" t="n">
        <v>46227</v>
      </c>
      <c r="B162" s="18" t="s">
        <v>26</v>
      </c>
      <c r="C162" s="18" t="s">
        <v>24</v>
      </c>
      <c r="D162" s="18" t="s">
        <v>12</v>
      </c>
      <c r="E162" s="19" t="n">
        <v>11</v>
      </c>
      <c r="F162" s="19" t="n">
        <f aca="false">IF($B162="","",IF($D162="kg",N($E162),IF($D162="sacos",N($E162)*95,IF($D162="jabas",N($E162)*IFERROR(VLOOKUP($C162,LISTAS!$A$2:$B$12,2,0),0),""))))</f>
        <v>198</v>
      </c>
      <c r="G162" s="18" t="s">
        <v>57</v>
      </c>
      <c r="H162" s="18"/>
      <c r="I162" s="1" t="n">
        <f aca="false">N($F162)</f>
        <v>198</v>
      </c>
    </row>
    <row r="163" customFormat="false" ht="15" hidden="false" customHeight="true" outlineLevel="0" collapsed="false">
      <c r="A163" s="17" t="n">
        <v>46227</v>
      </c>
      <c r="B163" s="18" t="s">
        <v>26</v>
      </c>
      <c r="C163" s="18" t="s">
        <v>25</v>
      </c>
      <c r="D163" s="18" t="s">
        <v>12</v>
      </c>
      <c r="E163" s="19" t="n">
        <v>12</v>
      </c>
      <c r="F163" s="19" t="n">
        <f aca="false">IF($B163="","",IF($D163="kg",N($E163),IF($D163="sacos",N($E163)*95,IF($D163="jabas",N($E163)*IFERROR(VLOOKUP($C163,LISTAS!$A$2:$B$12,2,0),0),""))))</f>
        <v>204</v>
      </c>
      <c r="G163" s="18" t="s">
        <v>57</v>
      </c>
      <c r="H163" s="18"/>
      <c r="I163" s="1" t="n">
        <f aca="false">N($F163)</f>
        <v>204</v>
      </c>
    </row>
    <row r="164" customFormat="false" ht="15" hidden="false" customHeight="true" outlineLevel="0" collapsed="false">
      <c r="A164" s="17" t="n">
        <v>46227</v>
      </c>
      <c r="B164" s="18" t="s">
        <v>26</v>
      </c>
      <c r="C164" s="18" t="s">
        <v>14</v>
      </c>
      <c r="D164" s="18" t="s">
        <v>12</v>
      </c>
      <c r="E164" s="19" t="n">
        <v>118</v>
      </c>
      <c r="F164" s="19" t="n">
        <f aca="false">IF($B164="","",IF($D164="kg",N($E164),IF($D164="sacos",N($E164)*95,IF($D164="jabas",N($E164)*IFERROR(VLOOKUP($C164,LISTAS!$A$2:$B$12,2,0),0),""))))</f>
        <v>2006</v>
      </c>
      <c r="G164" s="18" t="s">
        <v>57</v>
      </c>
      <c r="H164" s="18"/>
      <c r="I164" s="1" t="n">
        <f aca="false">N($F164)</f>
        <v>2006</v>
      </c>
    </row>
    <row r="165" customFormat="false" ht="15" hidden="false" customHeight="true" outlineLevel="0" collapsed="false">
      <c r="A165" s="26" t="n">
        <v>46227</v>
      </c>
      <c r="B165" s="27" t="s">
        <v>45</v>
      </c>
      <c r="C165" s="27" t="s">
        <v>11</v>
      </c>
      <c r="D165" s="27" t="s">
        <v>12</v>
      </c>
      <c r="E165" s="28" t="n">
        <v>1</v>
      </c>
      <c r="F165" s="28" t="n">
        <f aca="false">IF($B165="","",IF($D165="kg",N($E165),IF($D165="sacos",N($E165)*95,IF($D165="jabas",N($E165)*IFERROR(VLOOKUP($C165,LISTAS!$A$2:$B$12,2,0),0),""))))</f>
        <v>15</v>
      </c>
      <c r="G165" s="27"/>
      <c r="H165" s="27"/>
      <c r="I165" s="1" t="n">
        <f aca="false">N($F165)</f>
        <v>15</v>
      </c>
    </row>
    <row r="166" customFormat="false" ht="15" hidden="false" customHeight="true" outlineLevel="0" collapsed="false">
      <c r="A166" s="29" t="n">
        <v>46227</v>
      </c>
      <c r="B166" s="30" t="s">
        <v>46</v>
      </c>
      <c r="C166" s="30" t="s">
        <v>11</v>
      </c>
      <c r="D166" s="30" t="s">
        <v>47</v>
      </c>
      <c r="E166" s="31" t="n">
        <v>11</v>
      </c>
      <c r="F166" s="31" t="n">
        <f aca="false">IF($B166="","",IF($D166="kg",N($E166),IF($D166="sacos",N($E166)*95,IF($D166="jabas",N($E166)*IFERROR(VLOOKUP($C166,LISTAS!$A$2:$B$12,2,0),0),""))))</f>
        <v>11</v>
      </c>
      <c r="G166" s="30"/>
      <c r="H166" s="30"/>
      <c r="I166" s="1" t="n">
        <f aca="false">N($F166)</f>
        <v>11</v>
      </c>
    </row>
    <row r="167" customFormat="false" ht="15" hidden="false" customHeight="true" outlineLevel="0" collapsed="false">
      <c r="A167" s="26" t="n">
        <v>46227</v>
      </c>
      <c r="B167" s="27" t="s">
        <v>45</v>
      </c>
      <c r="C167" s="27" t="s">
        <v>14</v>
      </c>
      <c r="D167" s="27" t="s">
        <v>12</v>
      </c>
      <c r="E167" s="28" t="n">
        <v>1</v>
      </c>
      <c r="F167" s="28" t="n">
        <f aca="false">IF($B167="","",IF($D167="kg",N($E167),IF($D167="sacos",N($E167)*95,IF($D167="jabas",N($E167)*IFERROR(VLOOKUP($C167,LISTAS!$A$2:$B$12,2,0),0),""))))</f>
        <v>17</v>
      </c>
      <c r="G167" s="27"/>
      <c r="H167" s="27"/>
      <c r="I167" s="1" t="n">
        <f aca="false">N($F167)</f>
        <v>17</v>
      </c>
    </row>
    <row r="168" customFormat="false" ht="15" hidden="false" customHeight="true" outlineLevel="0" collapsed="false">
      <c r="A168" s="29" t="n">
        <v>46227</v>
      </c>
      <c r="B168" s="30" t="s">
        <v>46</v>
      </c>
      <c r="C168" s="30" t="s">
        <v>14</v>
      </c>
      <c r="D168" s="30" t="s">
        <v>47</v>
      </c>
      <c r="E168" s="31" t="n">
        <v>10</v>
      </c>
      <c r="F168" s="31" t="n">
        <f aca="false">IF($B168="","",IF($D168="kg",N($E168),IF($D168="sacos",N($E168)*95,IF($D168="jabas",N($E168)*IFERROR(VLOOKUP($C168,LISTAS!$A$2:$B$12,2,0),0),""))))</f>
        <v>10</v>
      </c>
      <c r="G168" s="30"/>
      <c r="H168" s="30"/>
      <c r="I168" s="1" t="n">
        <f aca="false">N($F168)</f>
        <v>10</v>
      </c>
    </row>
    <row r="169" customFormat="false" ht="15" hidden="false" customHeight="true" outlineLevel="0" collapsed="false">
      <c r="A169" s="20" t="n">
        <v>46227</v>
      </c>
      <c r="B169" s="21" t="s">
        <v>31</v>
      </c>
      <c r="C169" s="21" t="s">
        <v>18</v>
      </c>
      <c r="D169" s="21" t="s">
        <v>19</v>
      </c>
      <c r="E169" s="22" t="n">
        <v>9</v>
      </c>
      <c r="F169" s="22" t="n">
        <f aca="false">IF($B169="","",IF($D169="kg",N($E169),IF($D169="sacos",N($E169)*95,IF($D169="jabas",N($E169)*IFERROR(VLOOKUP($C169,LISTAS!$A$2:$B$12,2,0),0),""))))</f>
        <v>855</v>
      </c>
      <c r="G169" s="21" t="s">
        <v>58</v>
      </c>
      <c r="H169" s="21"/>
      <c r="I169" s="1" t="n">
        <f aca="false">N($F169)</f>
        <v>855</v>
      </c>
    </row>
    <row r="170" customFormat="false" ht="15" hidden="false" customHeight="true" outlineLevel="0" collapsed="false">
      <c r="A170" s="20" t="n">
        <v>46227</v>
      </c>
      <c r="B170" s="21" t="s">
        <v>31</v>
      </c>
      <c r="C170" s="21" t="s">
        <v>18</v>
      </c>
      <c r="D170" s="21" t="s">
        <v>19</v>
      </c>
      <c r="E170" s="22" t="n">
        <v>1</v>
      </c>
      <c r="F170" s="22" t="n">
        <f aca="false">IF($B170="","",IF($D170="kg",N($E170),IF($D170="sacos",N($E170)*95,IF($D170="jabas",N($E170)*IFERROR(VLOOKUP($C170,LISTAS!$A$2:$B$12,2,0),0),""))))</f>
        <v>95</v>
      </c>
      <c r="G170" s="21"/>
      <c r="H170" s="21" t="s">
        <v>59</v>
      </c>
      <c r="I170" s="1" t="n">
        <f aca="false">N($F170)</f>
        <v>95</v>
      </c>
    </row>
    <row r="171" customFormat="false" ht="15" hidden="false" customHeight="true" outlineLevel="0" collapsed="false">
      <c r="A171" s="38" t="n">
        <v>46227</v>
      </c>
      <c r="B171" s="39" t="s">
        <v>60</v>
      </c>
      <c r="C171" s="39" t="s">
        <v>61</v>
      </c>
      <c r="D171" s="39" t="s">
        <v>47</v>
      </c>
      <c r="E171" s="40" t="n">
        <v>48</v>
      </c>
      <c r="F171" s="40" t="n">
        <f aca="false">IF($B171="","",IF($D171="kg",N($E171),IF($D171="sacos",N($E171)*95,IF($D171="jabas",N($E171)*IFERROR(VLOOKUP($C171,LISTAS!$A$2:$B$12,2,0),0),""))))</f>
        <v>48</v>
      </c>
      <c r="G171" s="39"/>
      <c r="H171" s="39" t="s">
        <v>62</v>
      </c>
      <c r="I171" s="1" t="n">
        <f aca="false">N($F171)</f>
        <v>48</v>
      </c>
    </row>
    <row r="172" customFormat="false" ht="15" hidden="false" customHeight="true" outlineLevel="0" collapsed="false">
      <c r="A172" s="17" t="n">
        <v>46228</v>
      </c>
      <c r="B172" s="18" t="s">
        <v>26</v>
      </c>
      <c r="C172" s="18" t="s">
        <v>11</v>
      </c>
      <c r="D172" s="18" t="s">
        <v>12</v>
      </c>
      <c r="E172" s="19" t="n">
        <v>67</v>
      </c>
      <c r="F172" s="19" t="n">
        <f aca="false">IF($B172="","",IF($D172="kg",N($E172),IF($D172="sacos",N($E172)*95,IF($D172="jabas",N($E172)*IFERROR(VLOOKUP($C172,LISTAS!$A$2:$B$12,2,0),0),""))))</f>
        <v>1005</v>
      </c>
      <c r="G172" s="18" t="n">
        <v>3014</v>
      </c>
      <c r="H172" s="18"/>
      <c r="I172" s="1" t="n">
        <f aca="false">N($F172)</f>
        <v>1005</v>
      </c>
    </row>
    <row r="173" customFormat="false" ht="15" hidden="false" customHeight="true" outlineLevel="0" collapsed="false">
      <c r="A173" s="17" t="n">
        <v>46228</v>
      </c>
      <c r="B173" s="18" t="s">
        <v>26</v>
      </c>
      <c r="C173" s="18" t="s">
        <v>24</v>
      </c>
      <c r="D173" s="18" t="s">
        <v>12</v>
      </c>
      <c r="E173" s="19" t="n">
        <v>4</v>
      </c>
      <c r="F173" s="19" t="n">
        <f aca="false">IF($B173="","",IF($D173="kg",N($E173),IF($D173="sacos",N($E173)*95,IF($D173="jabas",N($E173)*IFERROR(VLOOKUP($C173,LISTAS!$A$2:$B$12,2,0),0),""))))</f>
        <v>72</v>
      </c>
      <c r="G173" s="18" t="n">
        <v>3014</v>
      </c>
      <c r="H173" s="18"/>
      <c r="I173" s="1" t="n">
        <f aca="false">N($F173)</f>
        <v>72</v>
      </c>
    </row>
    <row r="174" customFormat="false" ht="15" hidden="false" customHeight="true" outlineLevel="0" collapsed="false">
      <c r="A174" s="17" t="n">
        <v>46228</v>
      </c>
      <c r="B174" s="18" t="s">
        <v>26</v>
      </c>
      <c r="C174" s="18" t="s">
        <v>25</v>
      </c>
      <c r="D174" s="18" t="s">
        <v>12</v>
      </c>
      <c r="E174" s="19" t="n">
        <v>5</v>
      </c>
      <c r="F174" s="19" t="n">
        <f aca="false">IF($B174="","",IF($D174="kg",N($E174),IF($D174="sacos",N($E174)*95,IF($D174="jabas",N($E174)*IFERROR(VLOOKUP($C174,LISTAS!$A$2:$B$12,2,0),0),""))))</f>
        <v>85</v>
      </c>
      <c r="G174" s="18" t="n">
        <v>3014</v>
      </c>
      <c r="H174" s="18"/>
      <c r="I174" s="1" t="n">
        <f aca="false">N($F174)</f>
        <v>85</v>
      </c>
    </row>
    <row r="175" customFormat="false" ht="15" hidden="false" customHeight="true" outlineLevel="0" collapsed="false">
      <c r="A175" s="17" t="n">
        <v>46228</v>
      </c>
      <c r="B175" s="18" t="s">
        <v>26</v>
      </c>
      <c r="C175" s="18" t="s">
        <v>14</v>
      </c>
      <c r="D175" s="18" t="s">
        <v>12</v>
      </c>
      <c r="E175" s="19" t="n">
        <v>118</v>
      </c>
      <c r="F175" s="19" t="n">
        <f aca="false">IF($B175="","",IF($D175="kg",N($E175),IF($D175="sacos",N($E175)*95,IF($D175="jabas",N($E175)*IFERROR(VLOOKUP($C175,LISTAS!$A$2:$B$12,2,0),0),""))))</f>
        <v>2006</v>
      </c>
      <c r="G175" s="18" t="n">
        <v>3014</v>
      </c>
      <c r="H175" s="18"/>
      <c r="I175" s="1" t="n">
        <f aca="false">N($F175)</f>
        <v>2006</v>
      </c>
    </row>
    <row r="176" customFormat="false" ht="15" hidden="false" customHeight="true" outlineLevel="0" collapsed="false">
      <c r="A176" s="14" t="n">
        <v>46228</v>
      </c>
      <c r="B176" s="15" t="s">
        <v>23</v>
      </c>
      <c r="C176" s="15" t="s">
        <v>11</v>
      </c>
      <c r="D176" s="15" t="s">
        <v>12</v>
      </c>
      <c r="E176" s="16" t="n">
        <v>96</v>
      </c>
      <c r="F176" s="16" t="n">
        <f aca="false">IF($B176="","",IF($D176="kg",N($E176),IF($D176="sacos",N($E176)*95,IF($D176="jabas",N($E176)*IFERROR(VLOOKUP($C176,LISTAS!$A$2:$B$12,2,0),0),""))))</f>
        <v>1440</v>
      </c>
      <c r="G176" s="15"/>
      <c r="H176" s="15" t="s">
        <v>63</v>
      </c>
      <c r="I176" s="1" t="n">
        <f aca="false">N($F176)</f>
        <v>1440</v>
      </c>
    </row>
    <row r="177" customFormat="false" ht="15" hidden="false" customHeight="true" outlineLevel="0" collapsed="false">
      <c r="A177" s="14" t="n">
        <v>46228</v>
      </c>
      <c r="B177" s="15" t="s">
        <v>23</v>
      </c>
      <c r="C177" s="15" t="s">
        <v>24</v>
      </c>
      <c r="D177" s="15" t="s">
        <v>12</v>
      </c>
      <c r="E177" s="16" t="n">
        <v>21</v>
      </c>
      <c r="F177" s="16" t="n">
        <f aca="false">IF($B177="","",IF($D177="kg",N($E177),IF($D177="sacos",N($E177)*95,IF($D177="jabas",N($E177)*IFERROR(VLOOKUP($C177,LISTAS!$A$2:$B$12,2,0),0),""))))</f>
        <v>378</v>
      </c>
      <c r="G177" s="15"/>
      <c r="H177" s="15"/>
      <c r="I177" s="1" t="n">
        <f aca="false">N($F177)</f>
        <v>378</v>
      </c>
    </row>
    <row r="178" customFormat="false" ht="15" hidden="false" customHeight="true" outlineLevel="0" collapsed="false">
      <c r="A178" s="14" t="n">
        <v>46228</v>
      </c>
      <c r="B178" s="15" t="s">
        <v>23</v>
      </c>
      <c r="C178" s="15" t="s">
        <v>25</v>
      </c>
      <c r="D178" s="15" t="s">
        <v>12</v>
      </c>
      <c r="E178" s="16" t="n">
        <v>12</v>
      </c>
      <c r="F178" s="16" t="n">
        <f aca="false">IF($B178="","",IF($D178="kg",N($E178),IF($D178="sacos",N($E178)*95,IF($D178="jabas",N($E178)*IFERROR(VLOOKUP($C178,LISTAS!$A$2:$B$12,2,0),0),""))))</f>
        <v>204</v>
      </c>
      <c r="G178" s="15"/>
      <c r="H178" s="15"/>
      <c r="I178" s="1" t="n">
        <f aca="false">N($F178)</f>
        <v>204</v>
      </c>
    </row>
    <row r="179" customFormat="false" ht="15" hidden="false" customHeight="true" outlineLevel="0" collapsed="false">
      <c r="A179" s="14" t="n">
        <v>46228</v>
      </c>
      <c r="B179" s="15" t="s">
        <v>23</v>
      </c>
      <c r="C179" s="15" t="s">
        <v>14</v>
      </c>
      <c r="D179" s="15" t="s">
        <v>12</v>
      </c>
      <c r="E179" s="16" t="n">
        <v>110</v>
      </c>
      <c r="F179" s="16" t="n">
        <f aca="false">IF($B179="","",IF($D179="kg",N($E179),IF($D179="sacos",N($E179)*95,IF($D179="jabas",N($E179)*IFERROR(VLOOKUP($C179,LISTAS!$A$2:$B$12,2,0),0),""))))</f>
        <v>1870</v>
      </c>
      <c r="G179" s="15"/>
      <c r="H179" s="15"/>
      <c r="I179" s="1" t="n">
        <f aca="false">N($F179)</f>
        <v>1870</v>
      </c>
    </row>
    <row r="180" customFormat="false" ht="15" hidden="false" customHeight="true" outlineLevel="0" collapsed="false">
      <c r="A180" s="14" t="n">
        <v>46228</v>
      </c>
      <c r="B180" s="15" t="s">
        <v>23</v>
      </c>
      <c r="C180" s="15" t="s">
        <v>18</v>
      </c>
      <c r="D180" s="15" t="s">
        <v>19</v>
      </c>
      <c r="E180" s="16" t="n">
        <v>9.5</v>
      </c>
      <c r="F180" s="16" t="n">
        <f aca="false">IF($B180="","",IF($D180="kg",N($E180),IF($D180="sacos",N($E180)*95,IF($D180="jabas",N($E180)*IFERROR(VLOOKUP($C180,LISTAS!$A$2:$B$12,2,0),0),""))))</f>
        <v>902.5</v>
      </c>
      <c r="G180" s="15"/>
      <c r="H180" s="15"/>
      <c r="I180" s="1" t="n">
        <f aca="false">N($F180)</f>
        <v>902.5</v>
      </c>
    </row>
    <row r="181" customFormat="false" ht="15" hidden="false" customHeight="true" outlineLevel="0" collapsed="false">
      <c r="A181" s="17" t="n">
        <v>46229</v>
      </c>
      <c r="B181" s="18" t="s">
        <v>26</v>
      </c>
      <c r="C181" s="18" t="s">
        <v>11</v>
      </c>
      <c r="D181" s="18" t="s">
        <v>12</v>
      </c>
      <c r="E181" s="19" t="n">
        <v>67</v>
      </c>
      <c r="F181" s="19" t="n">
        <f aca="false">IF($B181="","",IF($D181="kg",N($E181),IF($D181="sacos",N($E181)*95,IF($D181="jabas",N($E181)*IFERROR(VLOOKUP($C181,LISTAS!$A$2:$B$12,2,0),0),""))))</f>
        <v>1005</v>
      </c>
      <c r="G181" s="18" t="n">
        <v>3018</v>
      </c>
      <c r="H181" s="18"/>
      <c r="I181" s="1" t="n">
        <f aca="false">N($F181)</f>
        <v>1005</v>
      </c>
    </row>
    <row r="182" customFormat="false" ht="15" hidden="false" customHeight="true" outlineLevel="0" collapsed="false">
      <c r="A182" s="17" t="n">
        <v>46229</v>
      </c>
      <c r="B182" s="18" t="s">
        <v>26</v>
      </c>
      <c r="C182" s="18" t="s">
        <v>24</v>
      </c>
      <c r="D182" s="18" t="s">
        <v>12</v>
      </c>
      <c r="E182" s="19" t="n">
        <v>11</v>
      </c>
      <c r="F182" s="19" t="n">
        <f aca="false">IF($B182="","",IF($D182="kg",N($E182),IF($D182="sacos",N($E182)*95,IF($D182="jabas",N($E182)*IFERROR(VLOOKUP($C182,LISTAS!$A$2:$B$12,2,0),0),""))))</f>
        <v>198</v>
      </c>
      <c r="G182" s="18" t="n">
        <v>3018</v>
      </c>
      <c r="H182" s="18"/>
      <c r="I182" s="1" t="n">
        <f aca="false">N($F182)</f>
        <v>198</v>
      </c>
    </row>
    <row r="183" customFormat="false" ht="15" hidden="false" customHeight="true" outlineLevel="0" collapsed="false">
      <c r="A183" s="17" t="n">
        <v>46229</v>
      </c>
      <c r="B183" s="18" t="s">
        <v>26</v>
      </c>
      <c r="C183" s="18" t="s">
        <v>25</v>
      </c>
      <c r="D183" s="18" t="s">
        <v>12</v>
      </c>
      <c r="E183" s="19" t="n">
        <v>12</v>
      </c>
      <c r="F183" s="19" t="n">
        <f aca="false">IF($B183="","",IF($D183="kg",N($E183),IF($D183="sacos",N($E183)*95,IF($D183="jabas",N($E183)*IFERROR(VLOOKUP($C183,LISTAS!$A$2:$B$12,2,0),0),""))))</f>
        <v>204</v>
      </c>
      <c r="G183" s="18" t="n">
        <v>3018</v>
      </c>
      <c r="H183" s="18"/>
      <c r="I183" s="1" t="n">
        <f aca="false">N($F183)</f>
        <v>204</v>
      </c>
    </row>
    <row r="184" customFormat="false" ht="15" hidden="false" customHeight="true" outlineLevel="0" collapsed="false">
      <c r="A184" s="11" t="n">
        <v>46230</v>
      </c>
      <c r="B184" s="12" t="s">
        <v>20</v>
      </c>
      <c r="C184" s="12" t="s">
        <v>21</v>
      </c>
      <c r="D184" s="12" t="s">
        <v>19</v>
      </c>
      <c r="E184" s="13" t="n">
        <v>45</v>
      </c>
      <c r="F184" s="13" t="n">
        <f aca="false">IF($B184="","",IF($D184="kg",N($E184),IF($D184="sacos",N($E184)*95,IF($D184="jabas",N($E184)*IFERROR(VLOOKUP($C184,LISTAS!$A$2:$B$12,2,0),0),""))))</f>
        <v>4275</v>
      </c>
      <c r="G184" s="12"/>
      <c r="H184" s="12" t="s">
        <v>64</v>
      </c>
      <c r="I184" s="1" t="n">
        <f aca="false">N($F184)</f>
        <v>4275</v>
      </c>
    </row>
    <row r="185" customFormat="false" ht="15" hidden="false" customHeight="true" outlineLevel="0" collapsed="false">
      <c r="A185" s="14" t="n">
        <v>46230</v>
      </c>
      <c r="B185" s="15" t="s">
        <v>23</v>
      </c>
      <c r="C185" s="15" t="s">
        <v>11</v>
      </c>
      <c r="D185" s="15" t="s">
        <v>12</v>
      </c>
      <c r="E185" s="16" t="n">
        <v>97</v>
      </c>
      <c r="F185" s="16" t="n">
        <f aca="false">IF($B185="","",IF($D185="kg",N($E185),IF($D185="sacos",N($E185)*95,IF($D185="jabas",N($E185)*IFERROR(VLOOKUP($C185,LISTAS!$A$2:$B$12,2,0),0),""))))</f>
        <v>1455</v>
      </c>
      <c r="G185" s="15"/>
      <c r="H185" s="15"/>
      <c r="I185" s="1" t="n">
        <f aca="false">N($F185)</f>
        <v>1455</v>
      </c>
    </row>
    <row r="186" customFormat="false" ht="15" hidden="false" customHeight="true" outlineLevel="0" collapsed="false">
      <c r="A186" s="14" t="n">
        <v>46230</v>
      </c>
      <c r="B186" s="15" t="s">
        <v>23</v>
      </c>
      <c r="C186" s="15" t="s">
        <v>24</v>
      </c>
      <c r="D186" s="15" t="s">
        <v>12</v>
      </c>
      <c r="E186" s="16" t="n">
        <v>13</v>
      </c>
      <c r="F186" s="16" t="n">
        <f aca="false">IF($B186="","",IF($D186="kg",N($E186),IF($D186="sacos",N($E186)*95,IF($D186="jabas",N($E186)*IFERROR(VLOOKUP($C186,LISTAS!$A$2:$B$12,2,0),0),""))))</f>
        <v>234</v>
      </c>
      <c r="G186" s="15"/>
      <c r="H186" s="15"/>
      <c r="I186" s="1" t="n">
        <f aca="false">N($F186)</f>
        <v>234</v>
      </c>
    </row>
    <row r="187" customFormat="false" ht="15" hidden="false" customHeight="true" outlineLevel="0" collapsed="false">
      <c r="A187" s="14" t="n">
        <v>46230</v>
      </c>
      <c r="B187" s="15" t="s">
        <v>23</v>
      </c>
      <c r="C187" s="15" t="s">
        <v>25</v>
      </c>
      <c r="D187" s="15" t="s">
        <v>12</v>
      </c>
      <c r="E187" s="16" t="n">
        <v>18</v>
      </c>
      <c r="F187" s="16" t="n">
        <f aca="false">IF($B187="","",IF($D187="kg",N($E187),IF($D187="sacos",N($E187)*95,IF($D187="jabas",N($E187)*IFERROR(VLOOKUP($C187,LISTAS!$A$2:$B$12,2,0),0),""))))</f>
        <v>306</v>
      </c>
      <c r="G187" s="15"/>
      <c r="H187" s="15"/>
      <c r="I187" s="1" t="n">
        <f aca="false">N($F187)</f>
        <v>306</v>
      </c>
    </row>
    <row r="188" customFormat="false" ht="15" hidden="false" customHeight="true" outlineLevel="0" collapsed="false">
      <c r="A188" s="14" t="n">
        <v>46230</v>
      </c>
      <c r="B188" s="15" t="s">
        <v>23</v>
      </c>
      <c r="C188" s="15" t="s">
        <v>14</v>
      </c>
      <c r="D188" s="15" t="s">
        <v>12</v>
      </c>
      <c r="E188" s="16" t="n">
        <v>77</v>
      </c>
      <c r="F188" s="16" t="n">
        <f aca="false">IF($B188="","",IF($D188="kg",N($E188),IF($D188="sacos",N($E188)*95,IF($D188="jabas",N($E188)*IFERROR(VLOOKUP($C188,LISTAS!$A$2:$B$12,2,0),0),""))))</f>
        <v>1309</v>
      </c>
      <c r="G188" s="15"/>
      <c r="H188" s="15"/>
      <c r="I188" s="1" t="n">
        <f aca="false">N($F188)</f>
        <v>1309</v>
      </c>
    </row>
    <row r="189" customFormat="false" ht="15" hidden="false" customHeight="true" outlineLevel="0" collapsed="false">
      <c r="A189" s="14" t="n">
        <v>46230</v>
      </c>
      <c r="B189" s="15" t="s">
        <v>23</v>
      </c>
      <c r="C189" s="15" t="s">
        <v>18</v>
      </c>
      <c r="D189" s="15" t="s">
        <v>19</v>
      </c>
      <c r="E189" s="16" t="n">
        <v>8.5</v>
      </c>
      <c r="F189" s="16" t="n">
        <f aca="false">IF($B189="","",IF($D189="kg",N($E189),IF($D189="sacos",N($E189)*95,IF($D189="jabas",N($E189)*IFERROR(VLOOKUP($C189,LISTAS!$A$2:$B$12,2,0),0),""))))</f>
        <v>807.5</v>
      </c>
      <c r="G189" s="15"/>
      <c r="H189" s="15"/>
      <c r="I189" s="1" t="n">
        <f aca="false">N($F189)</f>
        <v>807.5</v>
      </c>
    </row>
    <row r="190" customFormat="false" ht="15" hidden="false" customHeight="true" outlineLevel="0" collapsed="false">
      <c r="A190" s="17" t="n">
        <v>46230</v>
      </c>
      <c r="B190" s="18" t="s">
        <v>26</v>
      </c>
      <c r="C190" s="18" t="s">
        <v>11</v>
      </c>
      <c r="D190" s="18" t="s">
        <v>12</v>
      </c>
      <c r="E190" s="19" t="n">
        <v>67</v>
      </c>
      <c r="F190" s="19" t="n">
        <f aca="false">IF($B190="","",IF($D190="kg",N($E190),IF($D190="sacos",N($E190)*95,IF($D190="jabas",N($E190)*IFERROR(VLOOKUP($C190,LISTAS!$A$2:$B$12,2,0),0),""))))</f>
        <v>1005</v>
      </c>
      <c r="G190" s="18" t="n">
        <v>3021</v>
      </c>
      <c r="H190" s="18"/>
      <c r="I190" s="1" t="n">
        <f aca="false">N($F190)</f>
        <v>1005</v>
      </c>
    </row>
    <row r="191" customFormat="false" ht="15" hidden="false" customHeight="true" outlineLevel="0" collapsed="false">
      <c r="A191" s="17" t="n">
        <v>46230</v>
      </c>
      <c r="B191" s="18" t="s">
        <v>26</v>
      </c>
      <c r="C191" s="18" t="s">
        <v>24</v>
      </c>
      <c r="D191" s="18" t="s">
        <v>12</v>
      </c>
      <c r="E191" s="19" t="n">
        <v>11</v>
      </c>
      <c r="F191" s="19" t="n">
        <f aca="false">IF($B191="","",IF($D191="kg",N($E191),IF($D191="sacos",N($E191)*95,IF($D191="jabas",N($E191)*IFERROR(VLOOKUP($C191,LISTAS!$A$2:$B$12,2,0),0),""))))</f>
        <v>198</v>
      </c>
      <c r="G191" s="18" t="n">
        <v>3021</v>
      </c>
      <c r="H191" s="18"/>
      <c r="I191" s="1" t="n">
        <f aca="false">N($F191)</f>
        <v>198</v>
      </c>
    </row>
    <row r="192" customFormat="false" ht="15" hidden="false" customHeight="true" outlineLevel="0" collapsed="false">
      <c r="A192" s="17" t="n">
        <v>46230</v>
      </c>
      <c r="B192" s="18" t="s">
        <v>26</v>
      </c>
      <c r="C192" s="18" t="s">
        <v>25</v>
      </c>
      <c r="D192" s="18" t="s">
        <v>12</v>
      </c>
      <c r="E192" s="19" t="n">
        <v>8</v>
      </c>
      <c r="F192" s="19" t="n">
        <f aca="false">IF($B192="","",IF($D192="kg",N($E192),IF($D192="sacos",N($E192)*95,IF($D192="jabas",N($E192)*IFERROR(VLOOKUP($C192,LISTAS!$A$2:$B$12,2,0),0),""))))</f>
        <v>136</v>
      </c>
      <c r="G192" s="18" t="n">
        <v>3021</v>
      </c>
      <c r="H192" s="18"/>
      <c r="I192" s="1" t="n">
        <f aca="false">N($F192)</f>
        <v>136</v>
      </c>
    </row>
    <row r="193" customFormat="false" ht="15" hidden="false" customHeight="true" outlineLevel="0" collapsed="false">
      <c r="A193" s="20" t="n">
        <v>46230</v>
      </c>
      <c r="B193" s="21" t="s">
        <v>31</v>
      </c>
      <c r="C193" s="21" t="s">
        <v>18</v>
      </c>
      <c r="D193" s="21" t="s">
        <v>19</v>
      </c>
      <c r="E193" s="22" t="n">
        <v>16</v>
      </c>
      <c r="F193" s="22" t="n">
        <f aca="false">IF($B193="","",IF($D193="kg",N($E193),IF($D193="sacos",N($E193)*95,IF($D193="jabas",N($E193)*IFERROR(VLOOKUP($C193,LISTAS!$A$2:$B$12,2,0),0),""))))</f>
        <v>1520</v>
      </c>
      <c r="G193" s="21"/>
      <c r="H193" s="21" t="s">
        <v>65</v>
      </c>
      <c r="I193" s="1" t="n">
        <f aca="false">N($F193)</f>
        <v>1520</v>
      </c>
    </row>
    <row r="194" customFormat="false" ht="15" hidden="false" customHeight="true" outlineLevel="0" collapsed="false">
      <c r="A194" s="20" t="n">
        <v>46230</v>
      </c>
      <c r="B194" s="21" t="s">
        <v>31</v>
      </c>
      <c r="C194" s="21" t="s">
        <v>18</v>
      </c>
      <c r="D194" s="21" t="s">
        <v>19</v>
      </c>
      <c r="E194" s="22" t="n">
        <v>7.5</v>
      </c>
      <c r="F194" s="22" t="n">
        <f aca="false">IF($B194="","",IF($D194="kg",N($E194),IF($D194="sacos",N($E194)*95,IF($D194="jabas",N($E194)*IFERROR(VLOOKUP($C194,LISTAS!$A$2:$B$12,2,0),0),""))))</f>
        <v>712.5</v>
      </c>
      <c r="G194" s="21"/>
      <c r="H194" s="21" t="s">
        <v>66</v>
      </c>
      <c r="I194" s="1" t="n">
        <f aca="false">N($F194)</f>
        <v>712.5</v>
      </c>
    </row>
    <row r="195" customFormat="false" ht="15" hidden="false" customHeight="true" outlineLevel="0" collapsed="false">
      <c r="A195" s="26" t="n">
        <v>46230</v>
      </c>
      <c r="B195" s="27" t="s">
        <v>45</v>
      </c>
      <c r="C195" s="27" t="s">
        <v>11</v>
      </c>
      <c r="D195" s="27" t="s">
        <v>12</v>
      </c>
      <c r="E195" s="28" t="n">
        <v>1</v>
      </c>
      <c r="F195" s="28" t="n">
        <f aca="false">IF($B195="","",IF($D195="kg",N($E195),IF($D195="sacos",N($E195)*95,IF($D195="jabas",N($E195)*IFERROR(VLOOKUP($C195,LISTAS!$A$2:$B$12,2,0),0),""))))</f>
        <v>15</v>
      </c>
      <c r="G195" s="27"/>
      <c r="H195" s="27"/>
      <c r="I195" s="1" t="n">
        <f aca="false">N($F195)</f>
        <v>15</v>
      </c>
    </row>
    <row r="196" customFormat="false" ht="15" hidden="false" customHeight="true" outlineLevel="0" collapsed="false">
      <c r="A196" s="29" t="n">
        <v>46230</v>
      </c>
      <c r="B196" s="30" t="s">
        <v>46</v>
      </c>
      <c r="C196" s="30" t="s">
        <v>11</v>
      </c>
      <c r="D196" s="30" t="s">
        <v>47</v>
      </c>
      <c r="E196" s="31" t="n">
        <v>7</v>
      </c>
      <c r="F196" s="31" t="n">
        <f aca="false">IF($B196="","",IF($D196="kg",N($E196),IF($D196="sacos",N($E196)*95,IF($D196="jabas",N($E196)*IFERROR(VLOOKUP($C196,LISTAS!$A$2:$B$12,2,0),0),""))))</f>
        <v>7</v>
      </c>
      <c r="G196" s="30"/>
      <c r="H196" s="30"/>
      <c r="I196" s="1" t="n">
        <f aca="false">N($F196)</f>
        <v>7</v>
      </c>
    </row>
    <row r="197" customFormat="false" ht="15" hidden="false" customHeight="true" outlineLevel="0" collapsed="false">
      <c r="A197" s="11" t="n">
        <v>46231</v>
      </c>
      <c r="B197" s="12" t="s">
        <v>20</v>
      </c>
      <c r="C197" s="12" t="s">
        <v>21</v>
      </c>
      <c r="D197" s="12" t="s">
        <v>19</v>
      </c>
      <c r="E197" s="13" t="n">
        <v>55</v>
      </c>
      <c r="F197" s="13" t="n">
        <f aca="false">IF($B197="","",IF($D197="kg",N($E197),IF($D197="sacos",N($E197)*95,IF($D197="jabas",N($E197)*IFERROR(VLOOKUP($C197,LISTAS!$A$2:$B$12,2,0),0),""))))</f>
        <v>5225</v>
      </c>
      <c r="G197" s="12"/>
      <c r="H197" s="12"/>
      <c r="I197" s="1" t="n">
        <f aca="false">N($F197)</f>
        <v>5225</v>
      </c>
    </row>
    <row r="198" customFormat="false" ht="15" hidden="false" customHeight="true" outlineLevel="0" collapsed="false">
      <c r="A198" s="14" t="n">
        <v>46231</v>
      </c>
      <c r="B198" s="15" t="s">
        <v>23</v>
      </c>
      <c r="C198" s="15" t="s">
        <v>11</v>
      </c>
      <c r="D198" s="15" t="s">
        <v>12</v>
      </c>
      <c r="E198" s="16" t="n">
        <v>133</v>
      </c>
      <c r="F198" s="16" t="n">
        <f aca="false">IF($B198="","",IF($D198="kg",N($E198),IF($D198="sacos",N($E198)*95,IF($D198="jabas",N($E198)*IFERROR(VLOOKUP($C198,LISTAS!$A$2:$B$12,2,0),0),""))))</f>
        <v>1995</v>
      </c>
      <c r="G198" s="15"/>
      <c r="H198" s="15"/>
      <c r="I198" s="1" t="n">
        <f aca="false">N($F198)</f>
        <v>1995</v>
      </c>
    </row>
    <row r="199" customFormat="false" ht="15" hidden="false" customHeight="true" outlineLevel="0" collapsed="false">
      <c r="A199" s="14" t="n">
        <v>46231</v>
      </c>
      <c r="B199" s="15" t="s">
        <v>23</v>
      </c>
      <c r="C199" s="15" t="s">
        <v>24</v>
      </c>
      <c r="D199" s="15" t="s">
        <v>12</v>
      </c>
      <c r="E199" s="16" t="n">
        <v>4</v>
      </c>
      <c r="F199" s="16" t="n">
        <f aca="false">IF($B199="","",IF($D199="kg",N($E199),IF($D199="sacos",N($E199)*95,IF($D199="jabas",N($E199)*IFERROR(VLOOKUP($C199,LISTAS!$A$2:$B$12,2,0),0),""))))</f>
        <v>72</v>
      </c>
      <c r="G199" s="15"/>
      <c r="H199" s="15"/>
      <c r="I199" s="1" t="n">
        <f aca="false">N($F199)</f>
        <v>72</v>
      </c>
    </row>
    <row r="200" customFormat="false" ht="15" hidden="false" customHeight="true" outlineLevel="0" collapsed="false">
      <c r="A200" s="14" t="n">
        <v>46231</v>
      </c>
      <c r="B200" s="15" t="s">
        <v>23</v>
      </c>
      <c r="C200" s="15" t="s">
        <v>25</v>
      </c>
      <c r="D200" s="15" t="s">
        <v>12</v>
      </c>
      <c r="E200" s="16" t="n">
        <v>12</v>
      </c>
      <c r="F200" s="16" t="n">
        <f aca="false">IF($B200="","",IF($D200="kg",N($E200),IF($D200="sacos",N($E200)*95,IF($D200="jabas",N($E200)*IFERROR(VLOOKUP($C200,LISTAS!$A$2:$B$12,2,0),0),""))))</f>
        <v>204</v>
      </c>
      <c r="G200" s="15"/>
      <c r="H200" s="15"/>
      <c r="I200" s="1" t="n">
        <f aca="false">N($F200)</f>
        <v>204</v>
      </c>
    </row>
    <row r="201" customFormat="false" ht="15" hidden="false" customHeight="true" outlineLevel="0" collapsed="false">
      <c r="A201" s="14" t="n">
        <v>46231</v>
      </c>
      <c r="B201" s="15" t="s">
        <v>23</v>
      </c>
      <c r="C201" s="15" t="s">
        <v>14</v>
      </c>
      <c r="D201" s="15" t="s">
        <v>12</v>
      </c>
      <c r="E201" s="16" t="n">
        <v>94</v>
      </c>
      <c r="F201" s="16" t="n">
        <f aca="false">IF($B201="","",IF($D201="kg",N($E201),IF($D201="sacos",N($E201)*95,IF($D201="jabas",N($E201)*IFERROR(VLOOKUP($C201,LISTAS!$A$2:$B$12,2,0),0),""))))</f>
        <v>1598</v>
      </c>
      <c r="G201" s="15"/>
      <c r="H201" s="15"/>
      <c r="I201" s="1" t="n">
        <f aca="false">N($F201)</f>
        <v>1598</v>
      </c>
    </row>
    <row r="202" customFormat="false" ht="15" hidden="false" customHeight="true" outlineLevel="0" collapsed="false">
      <c r="A202" s="14" t="n">
        <v>46231</v>
      </c>
      <c r="B202" s="15" t="s">
        <v>23</v>
      </c>
      <c r="C202" s="15" t="s">
        <v>18</v>
      </c>
      <c r="D202" s="15" t="s">
        <v>19</v>
      </c>
      <c r="E202" s="16" t="n">
        <v>22.5</v>
      </c>
      <c r="F202" s="16" t="n">
        <f aca="false">IF($B202="","",IF($D202="kg",N($E202),IF($D202="sacos",N($E202)*95,IF($D202="jabas",N($E202)*IFERROR(VLOOKUP($C202,LISTAS!$A$2:$B$12,2,0),0),""))))</f>
        <v>2137.5</v>
      </c>
      <c r="G202" s="15"/>
      <c r="H202" s="15"/>
      <c r="I202" s="1" t="n">
        <f aca="false">N($F202)</f>
        <v>2137.5</v>
      </c>
    </row>
    <row r="203" customFormat="false" ht="15" hidden="false" customHeight="true" outlineLevel="0" collapsed="false">
      <c r="A203" s="17" t="n">
        <v>46231</v>
      </c>
      <c r="B203" s="18" t="s">
        <v>26</v>
      </c>
      <c r="C203" s="18" t="s">
        <v>11</v>
      </c>
      <c r="D203" s="18" t="s">
        <v>12</v>
      </c>
      <c r="E203" s="19" t="n">
        <v>67</v>
      </c>
      <c r="F203" s="19" t="n">
        <f aca="false">IF($B203="","",IF($D203="kg",N($E203),IF($D203="sacos",N($E203)*95,IF($D203="jabas",N($E203)*IFERROR(VLOOKUP($C203,LISTAS!$A$2:$B$12,2,0),0),""))))</f>
        <v>1005</v>
      </c>
      <c r="G203" s="18" t="n">
        <v>3023</v>
      </c>
      <c r="H203" s="18"/>
      <c r="I203" s="1" t="n">
        <f aca="false">N($F203)</f>
        <v>1005</v>
      </c>
    </row>
    <row r="204" customFormat="false" ht="15" hidden="false" customHeight="true" outlineLevel="0" collapsed="false">
      <c r="A204" s="17" t="n">
        <v>46231</v>
      </c>
      <c r="B204" s="18" t="s">
        <v>26</v>
      </c>
      <c r="C204" s="18" t="s">
        <v>24</v>
      </c>
      <c r="D204" s="18" t="s">
        <v>12</v>
      </c>
      <c r="E204" s="19" t="n">
        <v>11</v>
      </c>
      <c r="F204" s="19" t="n">
        <f aca="false">IF($B204="","",IF($D204="kg",N($E204),IF($D204="sacos",N($E204)*95,IF($D204="jabas",N($E204)*IFERROR(VLOOKUP($C204,LISTAS!$A$2:$B$12,2,0),0),""))))</f>
        <v>198</v>
      </c>
      <c r="G204" s="18" t="n">
        <v>3023</v>
      </c>
      <c r="H204" s="18"/>
      <c r="I204" s="1" t="n">
        <f aca="false">N($F204)</f>
        <v>198</v>
      </c>
    </row>
    <row r="205" customFormat="false" ht="15" hidden="false" customHeight="true" outlineLevel="0" collapsed="false">
      <c r="A205" s="17" t="n">
        <v>46231</v>
      </c>
      <c r="B205" s="18" t="s">
        <v>26</v>
      </c>
      <c r="C205" s="18" t="s">
        <v>25</v>
      </c>
      <c r="D205" s="18" t="s">
        <v>12</v>
      </c>
      <c r="E205" s="19" t="n">
        <v>10</v>
      </c>
      <c r="F205" s="19" t="n">
        <f aca="false">IF($B205="","",IF($D205="kg",N($E205),IF($D205="sacos",N($E205)*95,IF($D205="jabas",N($E205)*IFERROR(VLOOKUP($C205,LISTAS!$A$2:$B$12,2,0),0),""))))</f>
        <v>170</v>
      </c>
      <c r="G205" s="18" t="n">
        <v>3023</v>
      </c>
      <c r="H205" s="18"/>
      <c r="I205" s="1" t="n">
        <f aca="false">N($F205)</f>
        <v>170</v>
      </c>
    </row>
    <row r="206" customFormat="false" ht="15" hidden="false" customHeight="true" outlineLevel="0" collapsed="false">
      <c r="A206" s="17" t="n">
        <v>46231</v>
      </c>
      <c r="B206" s="18" t="s">
        <v>26</v>
      </c>
      <c r="C206" s="18" t="s">
        <v>14</v>
      </c>
      <c r="D206" s="18" t="s">
        <v>12</v>
      </c>
      <c r="E206" s="19" t="n">
        <v>118</v>
      </c>
      <c r="F206" s="19" t="n">
        <f aca="false">IF($B206="","",IF($D206="kg",N($E206),IF($D206="sacos",N($E206)*95,IF($D206="jabas",N($E206)*IFERROR(VLOOKUP($C206,LISTAS!$A$2:$B$12,2,0),0),""))))</f>
        <v>2006</v>
      </c>
      <c r="G206" s="18" t="n">
        <v>3023</v>
      </c>
      <c r="H206" s="18"/>
      <c r="I206" s="1" t="n">
        <f aca="false">N($F206)</f>
        <v>2006</v>
      </c>
    </row>
    <row r="207" customFormat="false" ht="15" hidden="false" customHeight="true" outlineLevel="0" collapsed="false">
      <c r="A207" s="17" t="n">
        <v>46232</v>
      </c>
      <c r="B207" s="18" t="s">
        <v>26</v>
      </c>
      <c r="C207" s="18" t="s">
        <v>11</v>
      </c>
      <c r="D207" s="18" t="s">
        <v>12</v>
      </c>
      <c r="E207" s="19" t="n">
        <v>67</v>
      </c>
      <c r="F207" s="19" t="n">
        <f aca="false">IF($B207="","",IF($D207="kg",N($E207),IF($D207="sacos",N($E207)*95,IF($D207="jabas",N($E207)*IFERROR(VLOOKUP($C207,LISTAS!$A$2:$B$12,2,0),0),""))))</f>
        <v>1005</v>
      </c>
      <c r="G207" s="18" t="n">
        <v>3023</v>
      </c>
      <c r="H207" s="18"/>
      <c r="I207" s="1" t="n">
        <f aca="false">N($F207)</f>
        <v>1005</v>
      </c>
    </row>
    <row r="208" customFormat="false" ht="15" hidden="false" customHeight="true" outlineLevel="0" collapsed="false">
      <c r="A208" s="17" t="n">
        <v>46232</v>
      </c>
      <c r="B208" s="18" t="s">
        <v>26</v>
      </c>
      <c r="C208" s="18" t="s">
        <v>24</v>
      </c>
      <c r="D208" s="18" t="s">
        <v>12</v>
      </c>
      <c r="E208" s="19" t="n">
        <v>4</v>
      </c>
      <c r="F208" s="19" t="n">
        <f aca="false">IF($B208="","",IF($D208="kg",N($E208),IF($D208="sacos",N($E208)*95,IF($D208="jabas",N($E208)*IFERROR(VLOOKUP($C208,LISTAS!$A$2:$B$12,2,0),0),""))))</f>
        <v>72</v>
      </c>
      <c r="G208" s="18" t="n">
        <v>3023</v>
      </c>
      <c r="H208" s="18"/>
      <c r="I208" s="1" t="n">
        <f aca="false">N($F208)</f>
        <v>72</v>
      </c>
    </row>
    <row r="209" customFormat="false" ht="15" hidden="false" customHeight="true" outlineLevel="0" collapsed="false">
      <c r="A209" s="17" t="n">
        <v>46232</v>
      </c>
      <c r="B209" s="18" t="s">
        <v>26</v>
      </c>
      <c r="C209" s="18" t="s">
        <v>25</v>
      </c>
      <c r="D209" s="18" t="s">
        <v>12</v>
      </c>
      <c r="E209" s="19" t="n">
        <v>12</v>
      </c>
      <c r="F209" s="19" t="n">
        <f aca="false">IF($B209="","",IF($D209="kg",N($E209),IF($D209="sacos",N($E209)*95,IF($D209="jabas",N($E209)*IFERROR(VLOOKUP($C209,LISTAS!$A$2:$B$12,2,0),0),""))))</f>
        <v>204</v>
      </c>
      <c r="G209" s="18" t="n">
        <v>3023</v>
      </c>
      <c r="H209" s="18"/>
      <c r="I209" s="1" t="n">
        <f aca="false">N($F209)</f>
        <v>204</v>
      </c>
    </row>
    <row r="210" customFormat="false" ht="15" hidden="false" customHeight="true" outlineLevel="0" collapsed="false">
      <c r="A210" s="17" t="n">
        <v>46232</v>
      </c>
      <c r="B210" s="18" t="s">
        <v>26</v>
      </c>
      <c r="C210" s="18" t="s">
        <v>14</v>
      </c>
      <c r="D210" s="18" t="s">
        <v>12</v>
      </c>
      <c r="E210" s="19" t="n">
        <v>89</v>
      </c>
      <c r="F210" s="19" t="n">
        <f aca="false">IF($B210="","",IF($D210="kg",N($E210),IF($D210="sacos",N($E210)*95,IF($D210="jabas",N($E210)*IFERROR(VLOOKUP($C210,LISTAS!$A$2:$B$12,2,0),0),""))))</f>
        <v>1513</v>
      </c>
      <c r="G210" s="18" t="n">
        <v>3023</v>
      </c>
      <c r="H210" s="18"/>
      <c r="I210" s="1" t="n">
        <f aca="false">N($F210)</f>
        <v>1513</v>
      </c>
    </row>
    <row r="211" customFormat="false" ht="15" hidden="false" customHeight="true" outlineLevel="0" collapsed="false">
      <c r="A211" s="20" t="n">
        <v>46232</v>
      </c>
      <c r="B211" s="21" t="s">
        <v>31</v>
      </c>
      <c r="C211" s="21" t="s">
        <v>18</v>
      </c>
      <c r="D211" s="21" t="s">
        <v>19</v>
      </c>
      <c r="E211" s="22" t="n">
        <v>10</v>
      </c>
      <c r="F211" s="22" t="n">
        <f aca="false">IF($B211="","",IF($D211="kg",N($E211),IF($D211="sacos",N($E211)*95,IF($D211="jabas",N($E211)*IFERROR(VLOOKUP($C211,LISTAS!$A$2:$B$12,2,0),0),""))))</f>
        <v>950</v>
      </c>
      <c r="G211" s="21" t="s">
        <v>67</v>
      </c>
      <c r="H211" s="21"/>
      <c r="I211" s="1" t="n">
        <f aca="false">N($F211)</f>
        <v>950</v>
      </c>
    </row>
    <row r="212" customFormat="false" ht="15" hidden="false" customHeight="true" outlineLevel="0" collapsed="false">
      <c r="A212" s="41"/>
      <c r="B212" s="42"/>
      <c r="C212" s="42"/>
      <c r="D212" s="42"/>
      <c r="E212" s="43"/>
      <c r="F212" s="43" t="str">
        <f aca="false">IF($B212="","",IF($D212="kg",N($E212),IF($D212="sacos",N($E212)*95,IF($D212="jabas",N($E212)*IFERROR(VLOOKUP($C212,LISTAS!$A$2:$B$12,2,0),0),""))))</f>
        <v/>
      </c>
      <c r="G212" s="42"/>
      <c r="H212" s="42"/>
      <c r="I212" s="1" t="n">
        <f aca="false">N($F212)</f>
        <v>0</v>
      </c>
    </row>
    <row r="213" customFormat="false" ht="15" hidden="false" customHeight="true" outlineLevel="0" collapsed="false">
      <c r="A213" s="41"/>
      <c r="B213" s="42"/>
      <c r="C213" s="42"/>
      <c r="D213" s="42"/>
      <c r="E213" s="43"/>
      <c r="F213" s="43" t="str">
        <f aca="false">IF($B213="","",IF($D213="kg",N($E213),IF($D213="sacos",N($E213)*95,IF($D213="jabas",N($E213)*IFERROR(VLOOKUP($C213,LISTAS!$A$2:$B$12,2,0),0),""))))</f>
        <v/>
      </c>
      <c r="G213" s="42"/>
      <c r="H213" s="42"/>
      <c r="I213" s="1" t="n">
        <f aca="false">N($F213)</f>
        <v>0</v>
      </c>
    </row>
    <row r="214" customFormat="false" ht="15" hidden="false" customHeight="true" outlineLevel="0" collapsed="false">
      <c r="A214" s="41"/>
      <c r="B214" s="42"/>
      <c r="C214" s="42"/>
      <c r="D214" s="42"/>
      <c r="E214" s="43"/>
      <c r="F214" s="43" t="str">
        <f aca="false">IF($B214="","",IF($D214="kg",N($E214),IF($D214="sacos",N($E214)*95,IF($D214="jabas",N($E214)*IFERROR(VLOOKUP($C214,LISTAS!$A$2:$B$12,2,0),0),""))))</f>
        <v/>
      </c>
      <c r="G214" s="42"/>
      <c r="H214" s="42"/>
      <c r="I214" s="1" t="n">
        <f aca="false">N($F214)</f>
        <v>0</v>
      </c>
    </row>
    <row r="215" customFormat="false" ht="15" hidden="false" customHeight="true" outlineLevel="0" collapsed="false">
      <c r="A215" s="41"/>
      <c r="B215" s="42"/>
      <c r="C215" s="42"/>
      <c r="D215" s="42"/>
      <c r="E215" s="43"/>
      <c r="F215" s="43" t="str">
        <f aca="false">IF($B215="","",IF($D215="kg",N($E215),IF($D215="sacos",N($E215)*95,IF($D215="jabas",N($E215)*IFERROR(VLOOKUP($C215,LISTAS!$A$2:$B$12,2,0),0),""))))</f>
        <v/>
      </c>
      <c r="G215" s="42"/>
      <c r="H215" s="42"/>
      <c r="I215" s="1" t="n">
        <f aca="false">N($F215)</f>
        <v>0</v>
      </c>
    </row>
    <row r="216" customFormat="false" ht="15" hidden="false" customHeight="true" outlineLevel="0" collapsed="false">
      <c r="A216" s="41"/>
      <c r="B216" s="42"/>
      <c r="C216" s="42"/>
      <c r="D216" s="42"/>
      <c r="E216" s="43"/>
      <c r="F216" s="43" t="str">
        <f aca="false">IF($B216="","",IF($D216="kg",N($E216),IF($D216="sacos",N($E216)*95,IF($D216="jabas",N($E216)*IFERROR(VLOOKUP($C216,LISTAS!$A$2:$B$12,2,0),0),""))))</f>
        <v/>
      </c>
      <c r="G216" s="42"/>
      <c r="H216" s="42"/>
      <c r="I216" s="1" t="n">
        <f aca="false">N($F216)</f>
        <v>0</v>
      </c>
    </row>
    <row r="217" customFormat="false" ht="15" hidden="false" customHeight="true" outlineLevel="0" collapsed="false">
      <c r="A217" s="41"/>
      <c r="B217" s="42"/>
      <c r="C217" s="42"/>
      <c r="D217" s="42"/>
      <c r="E217" s="43"/>
      <c r="F217" s="43" t="str">
        <f aca="false">IF($B217="","",IF($D217="kg",N($E217),IF($D217="sacos",N($E217)*95,IF($D217="jabas",N($E217)*IFERROR(VLOOKUP($C217,LISTAS!$A$2:$B$12,2,0),0),""))))</f>
        <v/>
      </c>
      <c r="G217" s="42"/>
      <c r="H217" s="42"/>
      <c r="I217" s="1" t="n">
        <f aca="false">N($F217)</f>
        <v>0</v>
      </c>
    </row>
    <row r="218" customFormat="false" ht="15" hidden="false" customHeight="true" outlineLevel="0" collapsed="false">
      <c r="A218" s="41"/>
      <c r="B218" s="42"/>
      <c r="C218" s="42"/>
      <c r="D218" s="42"/>
      <c r="E218" s="43"/>
      <c r="F218" s="43" t="str">
        <f aca="false">IF($B218="","",IF($D218="kg",N($E218),IF($D218="sacos",N($E218)*95,IF($D218="jabas",N($E218)*IFERROR(VLOOKUP($C218,LISTAS!$A$2:$B$12,2,0),0),""))))</f>
        <v/>
      </c>
      <c r="G218" s="42"/>
      <c r="H218" s="42"/>
      <c r="I218" s="1" t="n">
        <f aca="false">N($F218)</f>
        <v>0</v>
      </c>
    </row>
    <row r="219" customFormat="false" ht="15" hidden="false" customHeight="true" outlineLevel="0" collapsed="false">
      <c r="A219" s="41"/>
      <c r="B219" s="42"/>
      <c r="C219" s="42"/>
      <c r="D219" s="42"/>
      <c r="E219" s="43"/>
      <c r="F219" s="43" t="str">
        <f aca="false">IF($B219="","",IF($D219="kg",N($E219),IF($D219="sacos",N($E219)*95,IF($D219="jabas",N($E219)*IFERROR(VLOOKUP($C219,LISTAS!$A$2:$B$12,2,0),0),""))))</f>
        <v/>
      </c>
      <c r="G219" s="42"/>
      <c r="H219" s="42"/>
      <c r="I219" s="1" t="n">
        <f aca="false">N($F219)</f>
        <v>0</v>
      </c>
    </row>
    <row r="220" customFormat="false" ht="15" hidden="false" customHeight="true" outlineLevel="0" collapsed="false">
      <c r="A220" s="41"/>
      <c r="B220" s="42"/>
      <c r="C220" s="42"/>
      <c r="D220" s="42"/>
      <c r="E220" s="43"/>
      <c r="F220" s="43" t="str">
        <f aca="false">IF($B220="","",IF($D220="kg",N($E220),IF($D220="sacos",N($E220)*95,IF($D220="jabas",N($E220)*IFERROR(VLOOKUP($C220,LISTAS!$A$2:$B$12,2,0),0),""))))</f>
        <v/>
      </c>
      <c r="G220" s="42"/>
      <c r="H220" s="42"/>
      <c r="I220" s="1" t="n">
        <f aca="false">N($F220)</f>
        <v>0</v>
      </c>
    </row>
    <row r="221" customFormat="false" ht="15" hidden="false" customHeight="true" outlineLevel="0" collapsed="false">
      <c r="A221" s="41"/>
      <c r="B221" s="42"/>
      <c r="C221" s="42"/>
      <c r="D221" s="42"/>
      <c r="E221" s="43"/>
      <c r="F221" s="43" t="str">
        <f aca="false">IF($B221="","",IF($D221="kg",N($E221),IF($D221="sacos",N($E221)*95,IF($D221="jabas",N($E221)*IFERROR(VLOOKUP($C221,LISTAS!$A$2:$B$12,2,0),0),""))))</f>
        <v/>
      </c>
      <c r="G221" s="42"/>
      <c r="H221" s="42"/>
      <c r="I221" s="1" t="n">
        <f aca="false">N($F221)</f>
        <v>0</v>
      </c>
    </row>
    <row r="222" customFormat="false" ht="15" hidden="false" customHeight="true" outlineLevel="0" collapsed="false">
      <c r="A222" s="41"/>
      <c r="B222" s="42"/>
      <c r="C222" s="42"/>
      <c r="D222" s="42"/>
      <c r="E222" s="43"/>
      <c r="F222" s="43" t="str">
        <f aca="false">IF($B222="","",IF($D222="kg",N($E222),IF($D222="sacos",N($E222)*95,IF($D222="jabas",N($E222)*IFERROR(VLOOKUP($C222,LISTAS!$A$2:$B$12,2,0),0),""))))</f>
        <v/>
      </c>
      <c r="G222" s="42"/>
      <c r="H222" s="42"/>
      <c r="I222" s="1" t="n">
        <f aca="false">N($F222)</f>
        <v>0</v>
      </c>
    </row>
    <row r="223" customFormat="false" ht="15" hidden="false" customHeight="true" outlineLevel="0" collapsed="false">
      <c r="A223" s="41"/>
      <c r="B223" s="42"/>
      <c r="C223" s="42"/>
      <c r="D223" s="42"/>
      <c r="E223" s="43"/>
      <c r="F223" s="43" t="str">
        <f aca="false">IF($B223="","",IF($D223="kg",N($E223),IF($D223="sacos",N($E223)*95,IF($D223="jabas",N($E223)*IFERROR(VLOOKUP($C223,LISTAS!$A$2:$B$12,2,0),0),""))))</f>
        <v/>
      </c>
      <c r="G223" s="42"/>
      <c r="H223" s="42"/>
      <c r="I223" s="1" t="n">
        <f aca="false">N($F223)</f>
        <v>0</v>
      </c>
    </row>
    <row r="224" customFormat="false" ht="15" hidden="false" customHeight="true" outlineLevel="0" collapsed="false">
      <c r="A224" s="41"/>
      <c r="B224" s="42"/>
      <c r="C224" s="42"/>
      <c r="D224" s="42"/>
      <c r="E224" s="43"/>
      <c r="F224" s="43" t="str">
        <f aca="false">IF($B224="","",IF($D224="kg",N($E224),IF($D224="sacos",N($E224)*95,IF($D224="jabas",N($E224)*IFERROR(VLOOKUP($C224,LISTAS!$A$2:$B$12,2,0),0),""))))</f>
        <v/>
      </c>
      <c r="G224" s="42"/>
      <c r="H224" s="42"/>
      <c r="I224" s="1" t="n">
        <f aca="false">N($F224)</f>
        <v>0</v>
      </c>
    </row>
    <row r="225" customFormat="false" ht="15" hidden="false" customHeight="true" outlineLevel="0" collapsed="false">
      <c r="A225" s="41"/>
      <c r="B225" s="42"/>
      <c r="C225" s="42"/>
      <c r="D225" s="42"/>
      <c r="E225" s="43"/>
      <c r="F225" s="43" t="str">
        <f aca="false">IF($B225="","",IF($D225="kg",N($E225),IF($D225="sacos",N($E225)*95,IF($D225="jabas",N($E225)*IFERROR(VLOOKUP($C225,LISTAS!$A$2:$B$12,2,0),0),""))))</f>
        <v/>
      </c>
      <c r="G225" s="42"/>
      <c r="H225" s="42"/>
      <c r="I225" s="1" t="n">
        <f aca="false">N($F225)</f>
        <v>0</v>
      </c>
    </row>
    <row r="226" customFormat="false" ht="15" hidden="false" customHeight="true" outlineLevel="0" collapsed="false">
      <c r="A226" s="41"/>
      <c r="B226" s="42"/>
      <c r="C226" s="42"/>
      <c r="D226" s="42"/>
      <c r="E226" s="43"/>
      <c r="F226" s="43" t="str">
        <f aca="false">IF($B226="","",IF($D226="kg",N($E226),IF($D226="sacos",N($E226)*95,IF($D226="jabas",N($E226)*IFERROR(VLOOKUP($C226,LISTAS!$A$2:$B$12,2,0),0),""))))</f>
        <v/>
      </c>
      <c r="G226" s="42"/>
      <c r="H226" s="42"/>
      <c r="I226" s="1" t="n">
        <f aca="false">N($F226)</f>
        <v>0</v>
      </c>
    </row>
    <row r="227" customFormat="false" ht="15" hidden="false" customHeight="true" outlineLevel="0" collapsed="false">
      <c r="A227" s="41"/>
      <c r="B227" s="42"/>
      <c r="C227" s="42"/>
      <c r="D227" s="42"/>
      <c r="E227" s="43"/>
      <c r="F227" s="43" t="str">
        <f aca="false">IF($B227="","",IF($D227="kg",N($E227),IF($D227="sacos",N($E227)*95,IF($D227="jabas",N($E227)*IFERROR(VLOOKUP($C227,LISTAS!$A$2:$B$12,2,0),0),""))))</f>
        <v/>
      </c>
      <c r="G227" s="42"/>
      <c r="H227" s="42"/>
      <c r="I227" s="1" t="n">
        <f aca="false">N($F227)</f>
        <v>0</v>
      </c>
    </row>
    <row r="228" customFormat="false" ht="15" hidden="false" customHeight="true" outlineLevel="0" collapsed="false">
      <c r="A228" s="41"/>
      <c r="B228" s="42"/>
      <c r="C228" s="42"/>
      <c r="D228" s="42"/>
      <c r="E228" s="43"/>
      <c r="F228" s="43" t="str">
        <f aca="false">IF($B228="","",IF($D228="kg",N($E228),IF($D228="sacos",N($E228)*95,IF($D228="jabas",N($E228)*IFERROR(VLOOKUP($C228,LISTAS!$A$2:$B$12,2,0),0),""))))</f>
        <v/>
      </c>
      <c r="G228" s="42"/>
      <c r="H228" s="42"/>
      <c r="I228" s="1" t="n">
        <f aca="false">N($F228)</f>
        <v>0</v>
      </c>
    </row>
    <row r="229" customFormat="false" ht="15" hidden="false" customHeight="true" outlineLevel="0" collapsed="false">
      <c r="A229" s="41"/>
      <c r="B229" s="42"/>
      <c r="C229" s="42"/>
      <c r="D229" s="42"/>
      <c r="E229" s="43"/>
      <c r="F229" s="43" t="str">
        <f aca="false">IF($B229="","",IF($D229="kg",N($E229),IF($D229="sacos",N($E229)*95,IF($D229="jabas",N($E229)*IFERROR(VLOOKUP($C229,LISTAS!$A$2:$B$12,2,0),0),""))))</f>
        <v/>
      </c>
      <c r="G229" s="42"/>
      <c r="H229" s="42"/>
      <c r="I229" s="1" t="n">
        <f aca="false">N($F229)</f>
        <v>0</v>
      </c>
    </row>
    <row r="230" customFormat="false" ht="15" hidden="false" customHeight="true" outlineLevel="0" collapsed="false">
      <c r="A230" s="41"/>
      <c r="B230" s="42"/>
      <c r="C230" s="42"/>
      <c r="D230" s="42"/>
      <c r="E230" s="43"/>
      <c r="F230" s="43" t="str">
        <f aca="false">IF($B230="","",IF($D230="kg",N($E230),IF($D230="sacos",N($E230)*95,IF($D230="jabas",N($E230)*IFERROR(VLOOKUP($C230,LISTAS!$A$2:$B$12,2,0),0),""))))</f>
        <v/>
      </c>
      <c r="G230" s="42"/>
      <c r="H230" s="42"/>
      <c r="I230" s="1" t="n">
        <f aca="false">N($F230)</f>
        <v>0</v>
      </c>
    </row>
    <row r="231" customFormat="false" ht="15" hidden="false" customHeight="true" outlineLevel="0" collapsed="false">
      <c r="A231" s="41"/>
      <c r="B231" s="42"/>
      <c r="C231" s="42"/>
      <c r="D231" s="42"/>
      <c r="E231" s="43"/>
      <c r="F231" s="43" t="str">
        <f aca="false">IF($B231="","",IF($D231="kg",N($E231),IF($D231="sacos",N($E231)*95,IF($D231="jabas",N($E231)*IFERROR(VLOOKUP($C231,LISTAS!$A$2:$B$12,2,0),0),""))))</f>
        <v/>
      </c>
      <c r="G231" s="42"/>
      <c r="H231" s="42"/>
      <c r="I231" s="1" t="n">
        <f aca="false">N($F231)</f>
        <v>0</v>
      </c>
    </row>
    <row r="232" customFormat="false" ht="15" hidden="false" customHeight="true" outlineLevel="0" collapsed="false">
      <c r="A232" s="41"/>
      <c r="B232" s="42"/>
      <c r="C232" s="42"/>
      <c r="D232" s="42"/>
      <c r="E232" s="43"/>
      <c r="F232" s="43" t="str">
        <f aca="false">IF($B232="","",IF($D232="kg",N($E232),IF($D232="sacos",N($E232)*95,IF($D232="jabas",N($E232)*IFERROR(VLOOKUP($C232,LISTAS!$A$2:$B$12,2,0),0),""))))</f>
        <v/>
      </c>
      <c r="G232" s="42"/>
      <c r="H232" s="42"/>
      <c r="I232" s="1" t="n">
        <f aca="false">N($F232)</f>
        <v>0</v>
      </c>
    </row>
    <row r="233" customFormat="false" ht="15" hidden="false" customHeight="true" outlineLevel="0" collapsed="false">
      <c r="A233" s="41"/>
      <c r="B233" s="42"/>
      <c r="C233" s="42"/>
      <c r="D233" s="42"/>
      <c r="E233" s="43"/>
      <c r="F233" s="43" t="str">
        <f aca="false">IF($B233="","",IF($D233="kg",N($E233),IF($D233="sacos",N($E233)*95,IF($D233="jabas",N($E233)*IFERROR(VLOOKUP($C233,LISTAS!$A$2:$B$12,2,0),0),""))))</f>
        <v/>
      </c>
      <c r="G233" s="42"/>
      <c r="H233" s="42"/>
      <c r="I233" s="1" t="n">
        <f aca="false">N($F233)</f>
        <v>0</v>
      </c>
    </row>
    <row r="234" customFormat="false" ht="15" hidden="false" customHeight="true" outlineLevel="0" collapsed="false">
      <c r="A234" s="41"/>
      <c r="B234" s="42"/>
      <c r="C234" s="42"/>
      <c r="D234" s="42"/>
      <c r="E234" s="43"/>
      <c r="F234" s="43" t="str">
        <f aca="false">IF($B234="","",IF($D234="kg",N($E234),IF($D234="sacos",N($E234)*95,IF($D234="jabas",N($E234)*IFERROR(VLOOKUP($C234,LISTAS!$A$2:$B$12,2,0),0),""))))</f>
        <v/>
      </c>
      <c r="G234" s="42"/>
      <c r="H234" s="42"/>
      <c r="I234" s="1" t="n">
        <f aca="false">N($F234)</f>
        <v>0</v>
      </c>
    </row>
    <row r="235" customFormat="false" ht="15" hidden="false" customHeight="true" outlineLevel="0" collapsed="false">
      <c r="A235" s="41"/>
      <c r="B235" s="42"/>
      <c r="C235" s="42"/>
      <c r="D235" s="42"/>
      <c r="E235" s="43"/>
      <c r="F235" s="43" t="str">
        <f aca="false">IF($B235="","",IF($D235="kg",N($E235),IF($D235="sacos",N($E235)*95,IF($D235="jabas",N($E235)*IFERROR(VLOOKUP($C235,LISTAS!$A$2:$B$12,2,0),0),""))))</f>
        <v/>
      </c>
      <c r="G235" s="42"/>
      <c r="H235" s="42"/>
      <c r="I235" s="1" t="n">
        <f aca="false">N($F235)</f>
        <v>0</v>
      </c>
    </row>
    <row r="236" customFormat="false" ht="15" hidden="false" customHeight="true" outlineLevel="0" collapsed="false">
      <c r="A236" s="41"/>
      <c r="B236" s="42"/>
      <c r="C236" s="42"/>
      <c r="D236" s="42"/>
      <c r="E236" s="43"/>
      <c r="F236" s="43" t="str">
        <f aca="false">IF($B236="","",IF($D236="kg",N($E236),IF($D236="sacos",N($E236)*95,IF($D236="jabas",N($E236)*IFERROR(VLOOKUP($C236,LISTAS!$A$2:$B$12,2,0),0),""))))</f>
        <v/>
      </c>
      <c r="G236" s="42"/>
      <c r="H236" s="42"/>
      <c r="I236" s="1" t="n">
        <f aca="false">N($F236)</f>
        <v>0</v>
      </c>
    </row>
    <row r="237" customFormat="false" ht="15" hidden="false" customHeight="true" outlineLevel="0" collapsed="false">
      <c r="A237" s="41"/>
      <c r="B237" s="42"/>
      <c r="C237" s="42"/>
      <c r="D237" s="42"/>
      <c r="E237" s="43"/>
      <c r="F237" s="43" t="str">
        <f aca="false">IF($B237="","",IF($D237="kg",N($E237),IF($D237="sacos",N($E237)*95,IF($D237="jabas",N($E237)*IFERROR(VLOOKUP($C237,LISTAS!$A$2:$B$12,2,0),0),""))))</f>
        <v/>
      </c>
      <c r="G237" s="42"/>
      <c r="H237" s="42"/>
      <c r="I237" s="1" t="n">
        <f aca="false">N($F237)</f>
        <v>0</v>
      </c>
    </row>
    <row r="238" customFormat="false" ht="15" hidden="false" customHeight="true" outlineLevel="0" collapsed="false">
      <c r="A238" s="41"/>
      <c r="B238" s="42"/>
      <c r="C238" s="42"/>
      <c r="D238" s="42"/>
      <c r="E238" s="43"/>
      <c r="F238" s="43" t="str">
        <f aca="false">IF($B238="","",IF($D238="kg",N($E238),IF($D238="sacos",N($E238)*95,IF($D238="jabas",N($E238)*IFERROR(VLOOKUP($C238,LISTAS!$A$2:$B$12,2,0),0),""))))</f>
        <v/>
      </c>
      <c r="G238" s="42"/>
      <c r="H238" s="42"/>
      <c r="I238" s="1" t="n">
        <f aca="false">N($F238)</f>
        <v>0</v>
      </c>
    </row>
    <row r="239" customFormat="false" ht="15" hidden="false" customHeight="true" outlineLevel="0" collapsed="false">
      <c r="A239" s="41"/>
      <c r="B239" s="42"/>
      <c r="C239" s="42"/>
      <c r="D239" s="42"/>
      <c r="E239" s="43"/>
      <c r="F239" s="43" t="str">
        <f aca="false">IF($B239="","",IF($D239="kg",N($E239),IF($D239="sacos",N($E239)*95,IF($D239="jabas",N($E239)*IFERROR(VLOOKUP($C239,LISTAS!$A$2:$B$12,2,0),0),""))))</f>
        <v/>
      </c>
      <c r="G239" s="42"/>
      <c r="H239" s="42"/>
      <c r="I239" s="1" t="n">
        <f aca="false">N($F239)</f>
        <v>0</v>
      </c>
    </row>
    <row r="240" customFormat="false" ht="15" hidden="false" customHeight="true" outlineLevel="0" collapsed="false">
      <c r="A240" s="41"/>
      <c r="B240" s="42"/>
      <c r="C240" s="42"/>
      <c r="D240" s="42"/>
      <c r="E240" s="43"/>
      <c r="F240" s="43" t="str">
        <f aca="false">IF($B240="","",IF($D240="kg",N($E240),IF($D240="sacos",N($E240)*95,IF($D240="jabas",N($E240)*IFERROR(VLOOKUP($C240,LISTAS!$A$2:$B$12,2,0),0),""))))</f>
        <v/>
      </c>
      <c r="G240" s="42"/>
      <c r="H240" s="42"/>
      <c r="I240" s="1" t="n">
        <f aca="false">N($F240)</f>
        <v>0</v>
      </c>
    </row>
    <row r="241" customFormat="false" ht="15" hidden="false" customHeight="true" outlineLevel="0" collapsed="false">
      <c r="A241" s="41"/>
      <c r="B241" s="42"/>
      <c r="C241" s="42"/>
      <c r="D241" s="42"/>
      <c r="E241" s="43"/>
      <c r="F241" s="43" t="str">
        <f aca="false">IF($B241="","",IF($D241="kg",N($E241),IF($D241="sacos",N($E241)*95,IF($D241="jabas",N($E241)*IFERROR(VLOOKUP($C241,LISTAS!$A$2:$B$12,2,0),0),""))))</f>
        <v/>
      </c>
      <c r="G241" s="42"/>
      <c r="H241" s="42"/>
      <c r="I241" s="1" t="n">
        <f aca="false">N($F241)</f>
        <v>0</v>
      </c>
    </row>
    <row r="242" customFormat="false" ht="15" hidden="false" customHeight="true" outlineLevel="0" collapsed="false">
      <c r="A242" s="41"/>
      <c r="B242" s="42"/>
      <c r="C242" s="42"/>
      <c r="D242" s="42"/>
      <c r="E242" s="43"/>
      <c r="F242" s="43" t="str">
        <f aca="false">IF($B242="","",IF($D242="kg",N($E242),IF($D242="sacos",N($E242)*95,IF($D242="jabas",N($E242)*IFERROR(VLOOKUP($C242,LISTAS!$A$2:$B$12,2,0),0),""))))</f>
        <v/>
      </c>
      <c r="G242" s="42"/>
      <c r="H242" s="42"/>
      <c r="I242" s="1" t="n">
        <f aca="false">N($F242)</f>
        <v>0</v>
      </c>
    </row>
    <row r="243" customFormat="false" ht="15" hidden="false" customHeight="true" outlineLevel="0" collapsed="false">
      <c r="A243" s="41"/>
      <c r="B243" s="42"/>
      <c r="C243" s="42"/>
      <c r="D243" s="42"/>
      <c r="E243" s="43"/>
      <c r="F243" s="43" t="str">
        <f aca="false">IF($B243="","",IF($D243="kg",N($E243),IF($D243="sacos",N($E243)*95,IF($D243="jabas",N($E243)*IFERROR(VLOOKUP($C243,LISTAS!$A$2:$B$12,2,0),0),""))))</f>
        <v/>
      </c>
      <c r="G243" s="42"/>
      <c r="H243" s="42"/>
      <c r="I243" s="1" t="n">
        <f aca="false">N($F243)</f>
        <v>0</v>
      </c>
    </row>
    <row r="244" customFormat="false" ht="15" hidden="false" customHeight="true" outlineLevel="0" collapsed="false">
      <c r="A244" s="41"/>
      <c r="B244" s="42"/>
      <c r="C244" s="42"/>
      <c r="D244" s="42"/>
      <c r="E244" s="43"/>
      <c r="F244" s="43" t="str">
        <f aca="false">IF($B244="","",IF($D244="kg",N($E244),IF($D244="sacos",N($E244)*95,IF($D244="jabas",N($E244)*IFERROR(VLOOKUP($C244,LISTAS!$A$2:$B$12,2,0),0),""))))</f>
        <v/>
      </c>
      <c r="G244" s="42"/>
      <c r="H244" s="42"/>
      <c r="I244" s="1" t="n">
        <f aca="false">N($F244)</f>
        <v>0</v>
      </c>
    </row>
    <row r="245" customFormat="false" ht="15" hidden="false" customHeight="true" outlineLevel="0" collapsed="false">
      <c r="A245" s="41"/>
      <c r="B245" s="42"/>
      <c r="C245" s="42"/>
      <c r="D245" s="42"/>
      <c r="E245" s="43"/>
      <c r="F245" s="43" t="str">
        <f aca="false">IF($B245="","",IF($D245="kg",N($E245),IF($D245="sacos",N($E245)*95,IF($D245="jabas",N($E245)*IFERROR(VLOOKUP($C245,LISTAS!$A$2:$B$12,2,0),0),""))))</f>
        <v/>
      </c>
      <c r="G245" s="42"/>
      <c r="H245" s="42"/>
      <c r="I245" s="1" t="n">
        <f aca="false">N($F245)</f>
        <v>0</v>
      </c>
    </row>
    <row r="246" customFormat="false" ht="15" hidden="false" customHeight="true" outlineLevel="0" collapsed="false">
      <c r="A246" s="41"/>
      <c r="B246" s="42"/>
      <c r="C246" s="42"/>
      <c r="D246" s="42"/>
      <c r="E246" s="43"/>
      <c r="F246" s="43" t="str">
        <f aca="false">IF($B246="","",IF($D246="kg",N($E246),IF($D246="sacos",N($E246)*95,IF($D246="jabas",N($E246)*IFERROR(VLOOKUP($C246,LISTAS!$A$2:$B$12,2,0),0),""))))</f>
        <v/>
      </c>
      <c r="G246" s="42"/>
      <c r="H246" s="42"/>
      <c r="I246" s="1" t="n">
        <f aca="false">N($F246)</f>
        <v>0</v>
      </c>
    </row>
    <row r="247" customFormat="false" ht="15" hidden="false" customHeight="true" outlineLevel="0" collapsed="false">
      <c r="A247" s="41"/>
      <c r="B247" s="42"/>
      <c r="C247" s="42"/>
      <c r="D247" s="42"/>
      <c r="E247" s="43"/>
      <c r="F247" s="43" t="str">
        <f aca="false">IF($B247="","",IF($D247="kg",N($E247),IF($D247="sacos",N($E247)*95,IF($D247="jabas",N($E247)*IFERROR(VLOOKUP($C247,LISTAS!$A$2:$B$12,2,0),0),""))))</f>
        <v/>
      </c>
      <c r="G247" s="42"/>
      <c r="H247" s="42"/>
      <c r="I247" s="1" t="n">
        <f aca="false">N($F247)</f>
        <v>0</v>
      </c>
    </row>
    <row r="248" customFormat="false" ht="15" hidden="false" customHeight="true" outlineLevel="0" collapsed="false">
      <c r="A248" s="41"/>
      <c r="B248" s="42"/>
      <c r="C248" s="42"/>
      <c r="D248" s="42"/>
      <c r="E248" s="43"/>
      <c r="F248" s="43" t="str">
        <f aca="false">IF($B248="","",IF($D248="kg",N($E248),IF($D248="sacos",N($E248)*95,IF($D248="jabas",N($E248)*IFERROR(VLOOKUP($C248,LISTAS!$A$2:$B$12,2,0),0),""))))</f>
        <v/>
      </c>
      <c r="G248" s="42"/>
      <c r="H248" s="42"/>
      <c r="I248" s="1" t="n">
        <f aca="false">N($F248)</f>
        <v>0</v>
      </c>
    </row>
    <row r="249" customFormat="false" ht="15" hidden="false" customHeight="true" outlineLevel="0" collapsed="false">
      <c r="A249" s="41"/>
      <c r="B249" s="42"/>
      <c r="C249" s="42"/>
      <c r="D249" s="42"/>
      <c r="E249" s="43"/>
      <c r="F249" s="43" t="str">
        <f aca="false">IF($B249="","",IF($D249="kg",N($E249),IF($D249="sacos",N($E249)*95,IF($D249="jabas",N($E249)*IFERROR(VLOOKUP($C249,LISTAS!$A$2:$B$12,2,0),0),""))))</f>
        <v/>
      </c>
      <c r="G249" s="42"/>
      <c r="H249" s="42"/>
      <c r="I249" s="1" t="n">
        <f aca="false">N($F249)</f>
        <v>0</v>
      </c>
    </row>
    <row r="250" customFormat="false" ht="15" hidden="false" customHeight="true" outlineLevel="0" collapsed="false">
      <c r="A250" s="41"/>
      <c r="B250" s="42"/>
      <c r="C250" s="42"/>
      <c r="D250" s="42"/>
      <c r="E250" s="43"/>
      <c r="F250" s="43" t="str">
        <f aca="false">IF($B250="","",IF($D250="kg",N($E250),IF($D250="sacos",N($E250)*95,IF($D250="jabas",N($E250)*IFERROR(VLOOKUP($C250,LISTAS!$A$2:$B$12,2,0),0),""))))</f>
        <v/>
      </c>
      <c r="G250" s="42"/>
      <c r="H250" s="42"/>
      <c r="I250" s="1" t="n">
        <f aca="false">N($F250)</f>
        <v>0</v>
      </c>
    </row>
    <row r="251" customFormat="false" ht="15" hidden="false" customHeight="true" outlineLevel="0" collapsed="false">
      <c r="A251" s="41"/>
      <c r="B251" s="42"/>
      <c r="C251" s="42"/>
      <c r="D251" s="42"/>
      <c r="E251" s="43"/>
      <c r="F251" s="43" t="str">
        <f aca="false">IF($B251="","",IF($D251="kg",N($E251),IF($D251="sacos",N($E251)*95,IF($D251="jabas",N($E251)*IFERROR(VLOOKUP($C251,LISTAS!$A$2:$B$12,2,0),0),""))))</f>
        <v/>
      </c>
      <c r="G251" s="42"/>
      <c r="H251" s="42"/>
      <c r="I251" s="1" t="n">
        <f aca="false">N($F251)</f>
        <v>0</v>
      </c>
    </row>
    <row r="252" customFormat="false" ht="15" hidden="false" customHeight="true" outlineLevel="0" collapsed="false">
      <c r="A252" s="41"/>
      <c r="B252" s="42"/>
      <c r="C252" s="42"/>
      <c r="D252" s="42"/>
      <c r="E252" s="43"/>
      <c r="F252" s="43" t="str">
        <f aca="false">IF($B252="","",IF($D252="kg",N($E252),IF($D252="sacos",N($E252)*95,IF($D252="jabas",N($E252)*IFERROR(VLOOKUP($C252,LISTAS!$A$2:$B$12,2,0),0),""))))</f>
        <v/>
      </c>
      <c r="G252" s="42"/>
      <c r="H252" s="42"/>
      <c r="I252" s="1" t="n">
        <f aca="false">N($F252)</f>
        <v>0</v>
      </c>
    </row>
    <row r="253" customFormat="false" ht="15" hidden="false" customHeight="true" outlineLevel="0" collapsed="false">
      <c r="A253" s="41"/>
      <c r="B253" s="42"/>
      <c r="C253" s="42"/>
      <c r="D253" s="42"/>
      <c r="E253" s="43"/>
      <c r="F253" s="43" t="str">
        <f aca="false">IF($B253="","",IF($D253="kg",N($E253),IF($D253="sacos",N($E253)*95,IF($D253="jabas",N($E253)*IFERROR(VLOOKUP($C253,LISTAS!$A$2:$B$12,2,0),0),""))))</f>
        <v/>
      </c>
      <c r="G253" s="42"/>
      <c r="H253" s="42"/>
      <c r="I253" s="1" t="n">
        <f aca="false">N($F253)</f>
        <v>0</v>
      </c>
    </row>
    <row r="254" customFormat="false" ht="15" hidden="false" customHeight="true" outlineLevel="0" collapsed="false">
      <c r="A254" s="41"/>
      <c r="B254" s="42"/>
      <c r="C254" s="42"/>
      <c r="D254" s="42"/>
      <c r="E254" s="43"/>
      <c r="F254" s="43" t="str">
        <f aca="false">IF($B254="","",IF($D254="kg",N($E254),IF($D254="sacos",N($E254)*95,IF($D254="jabas",N($E254)*IFERROR(VLOOKUP($C254,LISTAS!$A$2:$B$12,2,0),0),""))))</f>
        <v/>
      </c>
      <c r="G254" s="42"/>
      <c r="H254" s="42"/>
      <c r="I254" s="1" t="n">
        <f aca="false">N($F254)</f>
        <v>0</v>
      </c>
    </row>
    <row r="255" customFormat="false" ht="15" hidden="false" customHeight="true" outlineLevel="0" collapsed="false">
      <c r="A255" s="41"/>
      <c r="B255" s="42"/>
      <c r="C255" s="42"/>
      <c r="D255" s="42"/>
      <c r="E255" s="43"/>
      <c r="F255" s="43" t="str">
        <f aca="false">IF($B255="","",IF($D255="kg",N($E255),IF($D255="sacos",N($E255)*95,IF($D255="jabas",N($E255)*IFERROR(VLOOKUP($C255,LISTAS!$A$2:$B$12,2,0),0),""))))</f>
        <v/>
      </c>
      <c r="G255" s="42"/>
      <c r="H255" s="42"/>
      <c r="I255" s="1" t="n">
        <f aca="false">N($F255)</f>
        <v>0</v>
      </c>
    </row>
    <row r="256" customFormat="false" ht="15" hidden="false" customHeight="true" outlineLevel="0" collapsed="false">
      <c r="A256" s="41"/>
      <c r="B256" s="42"/>
      <c r="C256" s="42"/>
      <c r="D256" s="42"/>
      <c r="E256" s="43"/>
      <c r="F256" s="43" t="str">
        <f aca="false">IF($B256="","",IF($D256="kg",N($E256),IF($D256="sacos",N($E256)*95,IF($D256="jabas",N($E256)*IFERROR(VLOOKUP($C256,LISTAS!$A$2:$B$12,2,0),0),""))))</f>
        <v/>
      </c>
      <c r="G256" s="42"/>
      <c r="H256" s="42"/>
      <c r="I256" s="1" t="n">
        <f aca="false">N($F256)</f>
        <v>0</v>
      </c>
    </row>
    <row r="257" customFormat="false" ht="15" hidden="false" customHeight="true" outlineLevel="0" collapsed="false">
      <c r="A257" s="41"/>
      <c r="B257" s="42"/>
      <c r="C257" s="42"/>
      <c r="D257" s="42"/>
      <c r="E257" s="43"/>
      <c r="F257" s="43" t="str">
        <f aca="false">IF($B257="","",IF($D257="kg",N($E257),IF($D257="sacos",N($E257)*95,IF($D257="jabas",N($E257)*IFERROR(VLOOKUP($C257,LISTAS!$A$2:$B$12,2,0),0),""))))</f>
        <v/>
      </c>
      <c r="G257" s="42"/>
      <c r="H257" s="42"/>
      <c r="I257" s="1" t="n">
        <f aca="false">N($F257)</f>
        <v>0</v>
      </c>
    </row>
    <row r="258" customFormat="false" ht="15" hidden="false" customHeight="true" outlineLevel="0" collapsed="false">
      <c r="A258" s="41"/>
      <c r="B258" s="42"/>
      <c r="C258" s="42"/>
      <c r="D258" s="42"/>
      <c r="E258" s="43"/>
      <c r="F258" s="43" t="str">
        <f aca="false">IF($B258="","",IF($D258="kg",N($E258),IF($D258="sacos",N($E258)*95,IF($D258="jabas",N($E258)*IFERROR(VLOOKUP($C258,LISTAS!$A$2:$B$12,2,0),0),""))))</f>
        <v/>
      </c>
      <c r="G258" s="42"/>
      <c r="H258" s="42"/>
      <c r="I258" s="1" t="n">
        <f aca="false">N($F258)</f>
        <v>0</v>
      </c>
    </row>
    <row r="259" customFormat="false" ht="15" hidden="false" customHeight="true" outlineLevel="0" collapsed="false">
      <c r="A259" s="41"/>
      <c r="B259" s="42"/>
      <c r="C259" s="42"/>
      <c r="D259" s="42"/>
      <c r="E259" s="43"/>
      <c r="F259" s="43" t="str">
        <f aca="false">IF($B259="","",IF($D259="kg",N($E259),IF($D259="sacos",N($E259)*95,IF($D259="jabas",N($E259)*IFERROR(VLOOKUP($C259,LISTAS!$A$2:$B$12,2,0),0),""))))</f>
        <v/>
      </c>
      <c r="G259" s="42"/>
      <c r="H259" s="42"/>
      <c r="I259" s="1" t="n">
        <f aca="false">N($F259)</f>
        <v>0</v>
      </c>
    </row>
    <row r="260" customFormat="false" ht="15" hidden="false" customHeight="true" outlineLevel="0" collapsed="false">
      <c r="A260" s="41"/>
      <c r="B260" s="42"/>
      <c r="C260" s="42"/>
      <c r="D260" s="42"/>
      <c r="E260" s="43"/>
      <c r="F260" s="43" t="str">
        <f aca="false">IF($B260="","",IF($D260="kg",N($E260),IF($D260="sacos",N($E260)*95,IF($D260="jabas",N($E260)*IFERROR(VLOOKUP($C260,LISTAS!$A$2:$B$12,2,0),0),""))))</f>
        <v/>
      </c>
      <c r="G260" s="42"/>
      <c r="H260" s="42"/>
      <c r="I260" s="1" t="n">
        <f aca="false">N($F260)</f>
        <v>0</v>
      </c>
    </row>
    <row r="261" customFormat="false" ht="15" hidden="false" customHeight="true" outlineLevel="0" collapsed="false">
      <c r="A261" s="41"/>
      <c r="B261" s="42"/>
      <c r="C261" s="42"/>
      <c r="D261" s="42"/>
      <c r="E261" s="43"/>
      <c r="F261" s="43" t="str">
        <f aca="false">IF($B261="","",IF($D261="kg",N($E261),IF($D261="sacos",N($E261)*95,IF($D261="jabas",N($E261)*IFERROR(VLOOKUP($C261,LISTAS!$A$2:$B$12,2,0),0),""))))</f>
        <v/>
      </c>
      <c r="G261" s="42"/>
      <c r="H261" s="42"/>
      <c r="I261" s="1" t="n">
        <f aca="false">N($F261)</f>
        <v>0</v>
      </c>
    </row>
    <row r="262" customFormat="false" ht="15" hidden="false" customHeight="true" outlineLevel="0" collapsed="false">
      <c r="A262" s="41"/>
      <c r="B262" s="42"/>
      <c r="C262" s="42"/>
      <c r="D262" s="42"/>
      <c r="E262" s="43"/>
      <c r="F262" s="43" t="str">
        <f aca="false">IF($B262="","",IF($D262="kg",N($E262),IF($D262="sacos",N($E262)*95,IF($D262="jabas",N($E262)*IFERROR(VLOOKUP($C262,LISTAS!$A$2:$B$12,2,0),0),""))))</f>
        <v/>
      </c>
      <c r="G262" s="42"/>
      <c r="H262" s="42"/>
      <c r="I262" s="1" t="n">
        <f aca="false">N($F262)</f>
        <v>0</v>
      </c>
    </row>
    <row r="263" customFormat="false" ht="15" hidden="false" customHeight="true" outlineLevel="0" collapsed="false">
      <c r="A263" s="41"/>
      <c r="B263" s="42"/>
      <c r="C263" s="42"/>
      <c r="D263" s="42"/>
      <c r="E263" s="43"/>
      <c r="F263" s="43" t="str">
        <f aca="false">IF($B263="","",IF($D263="kg",N($E263),IF($D263="sacos",N($E263)*95,IF($D263="jabas",N($E263)*IFERROR(VLOOKUP($C263,LISTAS!$A$2:$B$12,2,0),0),""))))</f>
        <v/>
      </c>
      <c r="G263" s="42"/>
      <c r="H263" s="42"/>
      <c r="I263" s="1" t="n">
        <f aca="false">N($F263)</f>
        <v>0</v>
      </c>
    </row>
    <row r="264" customFormat="false" ht="15" hidden="false" customHeight="true" outlineLevel="0" collapsed="false">
      <c r="A264" s="41"/>
      <c r="B264" s="42"/>
      <c r="C264" s="42"/>
      <c r="D264" s="42"/>
      <c r="E264" s="43"/>
      <c r="F264" s="43" t="str">
        <f aca="false">IF($B264="","",IF($D264="kg",N($E264),IF($D264="sacos",N($E264)*95,IF($D264="jabas",N($E264)*IFERROR(VLOOKUP($C264,LISTAS!$A$2:$B$12,2,0),0),""))))</f>
        <v/>
      </c>
      <c r="G264" s="42"/>
      <c r="H264" s="42"/>
      <c r="I264" s="1" t="n">
        <f aca="false">N($F264)</f>
        <v>0</v>
      </c>
    </row>
    <row r="265" customFormat="false" ht="15" hidden="false" customHeight="true" outlineLevel="0" collapsed="false">
      <c r="A265" s="41"/>
      <c r="B265" s="42"/>
      <c r="C265" s="42"/>
      <c r="D265" s="42"/>
      <c r="E265" s="43"/>
      <c r="F265" s="43" t="str">
        <f aca="false">IF($B265="","",IF($D265="kg",N($E265),IF($D265="sacos",N($E265)*95,IF($D265="jabas",N($E265)*IFERROR(VLOOKUP($C265,LISTAS!$A$2:$B$12,2,0),0),""))))</f>
        <v/>
      </c>
      <c r="G265" s="42"/>
      <c r="H265" s="42"/>
      <c r="I265" s="1" t="n">
        <f aca="false">N($F265)</f>
        <v>0</v>
      </c>
    </row>
    <row r="266" customFormat="false" ht="15" hidden="false" customHeight="true" outlineLevel="0" collapsed="false">
      <c r="A266" s="41"/>
      <c r="B266" s="42"/>
      <c r="C266" s="42"/>
      <c r="D266" s="42"/>
      <c r="E266" s="43"/>
      <c r="F266" s="43" t="str">
        <f aca="false">IF($B266="","",IF($D266="kg",N($E266),IF($D266="sacos",N($E266)*95,IF($D266="jabas",N($E266)*IFERROR(VLOOKUP($C266,LISTAS!$A$2:$B$12,2,0),0),""))))</f>
        <v/>
      </c>
      <c r="G266" s="42"/>
      <c r="H266" s="42"/>
      <c r="I266" s="1" t="n">
        <f aca="false">N($F266)</f>
        <v>0</v>
      </c>
    </row>
    <row r="267" customFormat="false" ht="15" hidden="false" customHeight="true" outlineLevel="0" collapsed="false">
      <c r="A267" s="41"/>
      <c r="B267" s="42"/>
      <c r="C267" s="42"/>
      <c r="D267" s="42"/>
      <c r="E267" s="43"/>
      <c r="F267" s="43" t="str">
        <f aca="false">IF($B267="","",IF($D267="kg",N($E267),IF($D267="sacos",N($E267)*95,IF($D267="jabas",N($E267)*IFERROR(VLOOKUP($C267,LISTAS!$A$2:$B$12,2,0),0),""))))</f>
        <v/>
      </c>
      <c r="G267" s="42"/>
      <c r="H267" s="42"/>
      <c r="I267" s="1" t="n">
        <f aca="false">N($F267)</f>
        <v>0</v>
      </c>
    </row>
    <row r="268" customFormat="false" ht="15" hidden="false" customHeight="true" outlineLevel="0" collapsed="false">
      <c r="A268" s="41"/>
      <c r="B268" s="42"/>
      <c r="C268" s="42"/>
      <c r="D268" s="42"/>
      <c r="E268" s="43"/>
      <c r="F268" s="43" t="str">
        <f aca="false">IF($B268="","",IF($D268="kg",N($E268),IF($D268="sacos",N($E268)*95,IF($D268="jabas",N($E268)*IFERROR(VLOOKUP($C268,LISTAS!$A$2:$B$12,2,0),0),""))))</f>
        <v/>
      </c>
      <c r="G268" s="42"/>
      <c r="H268" s="42"/>
      <c r="I268" s="1" t="n">
        <f aca="false">N($F268)</f>
        <v>0</v>
      </c>
    </row>
    <row r="269" customFormat="false" ht="15" hidden="false" customHeight="true" outlineLevel="0" collapsed="false">
      <c r="A269" s="41"/>
      <c r="B269" s="42"/>
      <c r="C269" s="42"/>
      <c r="D269" s="42"/>
      <c r="E269" s="43"/>
      <c r="F269" s="43" t="str">
        <f aca="false">IF($B269="","",IF($D269="kg",N($E269),IF($D269="sacos",N($E269)*95,IF($D269="jabas",N($E269)*IFERROR(VLOOKUP($C269,LISTAS!$A$2:$B$12,2,0),0),""))))</f>
        <v/>
      </c>
      <c r="G269" s="42"/>
      <c r="H269" s="42"/>
      <c r="I269" s="1" t="n">
        <f aca="false">N($F269)</f>
        <v>0</v>
      </c>
    </row>
    <row r="270" customFormat="false" ht="15" hidden="false" customHeight="true" outlineLevel="0" collapsed="false">
      <c r="A270" s="41"/>
      <c r="B270" s="42"/>
      <c r="C270" s="42"/>
      <c r="D270" s="42"/>
      <c r="E270" s="43"/>
      <c r="F270" s="43" t="str">
        <f aca="false">IF($B270="","",IF($D270="kg",N($E270),IF($D270="sacos",N($E270)*95,IF($D270="jabas",N($E270)*IFERROR(VLOOKUP($C270,LISTAS!$A$2:$B$12,2,0),0),""))))</f>
        <v/>
      </c>
      <c r="G270" s="42"/>
      <c r="H270" s="42"/>
      <c r="I270" s="1" t="n">
        <f aca="false">N($F270)</f>
        <v>0</v>
      </c>
    </row>
    <row r="271" customFormat="false" ht="15" hidden="false" customHeight="true" outlineLevel="0" collapsed="false">
      <c r="A271" s="41"/>
      <c r="B271" s="42"/>
      <c r="C271" s="42"/>
      <c r="D271" s="42"/>
      <c r="E271" s="43"/>
      <c r="F271" s="43" t="str">
        <f aca="false">IF($B271="","",IF($D271="kg",N($E271),IF($D271="sacos",N($E271)*95,IF($D271="jabas",N($E271)*IFERROR(VLOOKUP($C271,LISTAS!$A$2:$B$12,2,0),0),""))))</f>
        <v/>
      </c>
      <c r="G271" s="42"/>
      <c r="H271" s="42"/>
      <c r="I271" s="1" t="n">
        <f aca="false">N($F271)</f>
        <v>0</v>
      </c>
    </row>
    <row r="272" customFormat="false" ht="15" hidden="false" customHeight="true" outlineLevel="0" collapsed="false">
      <c r="A272" s="41"/>
      <c r="B272" s="42"/>
      <c r="C272" s="42"/>
      <c r="D272" s="42"/>
      <c r="E272" s="43"/>
      <c r="F272" s="43" t="str">
        <f aca="false">IF($B272="","",IF($D272="kg",N($E272),IF($D272="sacos",N($E272)*95,IF($D272="jabas",N($E272)*IFERROR(VLOOKUP($C272,LISTAS!$A$2:$B$12,2,0),0),""))))</f>
        <v/>
      </c>
      <c r="G272" s="42"/>
      <c r="H272" s="42"/>
      <c r="I272" s="1" t="n">
        <f aca="false">N($F272)</f>
        <v>0</v>
      </c>
    </row>
    <row r="273" customFormat="false" ht="15" hidden="false" customHeight="true" outlineLevel="0" collapsed="false">
      <c r="A273" s="41"/>
      <c r="B273" s="42"/>
      <c r="C273" s="42"/>
      <c r="D273" s="42"/>
      <c r="E273" s="43"/>
      <c r="F273" s="43" t="str">
        <f aca="false">IF($B273="","",IF($D273="kg",N($E273),IF($D273="sacos",N($E273)*95,IF($D273="jabas",N($E273)*IFERROR(VLOOKUP($C273,LISTAS!$A$2:$B$12,2,0),0),""))))</f>
        <v/>
      </c>
      <c r="G273" s="42"/>
      <c r="H273" s="42"/>
      <c r="I273" s="1" t="n">
        <f aca="false">N($F273)</f>
        <v>0</v>
      </c>
    </row>
    <row r="274" customFormat="false" ht="15" hidden="false" customHeight="true" outlineLevel="0" collapsed="false">
      <c r="A274" s="41"/>
      <c r="B274" s="42"/>
      <c r="C274" s="42"/>
      <c r="D274" s="42"/>
      <c r="E274" s="43"/>
      <c r="F274" s="43" t="str">
        <f aca="false">IF($B274="","",IF($D274="kg",N($E274),IF($D274="sacos",N($E274)*95,IF($D274="jabas",N($E274)*IFERROR(VLOOKUP($C274,LISTAS!$A$2:$B$12,2,0),0),""))))</f>
        <v/>
      </c>
      <c r="G274" s="42"/>
      <c r="H274" s="42"/>
      <c r="I274" s="1" t="n">
        <f aca="false">N($F274)</f>
        <v>0</v>
      </c>
    </row>
    <row r="275" customFormat="false" ht="15" hidden="false" customHeight="true" outlineLevel="0" collapsed="false">
      <c r="A275" s="41"/>
      <c r="B275" s="42"/>
      <c r="C275" s="42"/>
      <c r="D275" s="42"/>
      <c r="E275" s="43"/>
      <c r="F275" s="43" t="str">
        <f aca="false">IF($B275="","",IF($D275="kg",N($E275),IF($D275="sacos",N($E275)*95,IF($D275="jabas",N($E275)*IFERROR(VLOOKUP($C275,LISTAS!$A$2:$B$12,2,0),0),""))))</f>
        <v/>
      </c>
      <c r="G275" s="42"/>
      <c r="H275" s="42"/>
      <c r="I275" s="1" t="n">
        <f aca="false">N($F275)</f>
        <v>0</v>
      </c>
    </row>
    <row r="276" customFormat="false" ht="15" hidden="false" customHeight="true" outlineLevel="0" collapsed="false">
      <c r="A276" s="41"/>
      <c r="B276" s="42"/>
      <c r="C276" s="42"/>
      <c r="D276" s="42"/>
      <c r="E276" s="43"/>
      <c r="F276" s="43" t="str">
        <f aca="false">IF($B276="","",IF($D276="kg",N($E276),IF($D276="sacos",N($E276)*95,IF($D276="jabas",N($E276)*IFERROR(VLOOKUP($C276,LISTAS!$A$2:$B$12,2,0),0),""))))</f>
        <v/>
      </c>
      <c r="G276" s="42"/>
      <c r="H276" s="42"/>
      <c r="I276" s="1" t="n">
        <f aca="false">N($F276)</f>
        <v>0</v>
      </c>
    </row>
    <row r="277" customFormat="false" ht="15" hidden="false" customHeight="true" outlineLevel="0" collapsed="false">
      <c r="A277" s="41"/>
      <c r="B277" s="42"/>
      <c r="C277" s="42"/>
      <c r="D277" s="42"/>
      <c r="E277" s="43"/>
      <c r="F277" s="43" t="str">
        <f aca="false">IF($B277="","",IF($D277="kg",N($E277),IF($D277="sacos",N($E277)*95,IF($D277="jabas",N($E277)*IFERROR(VLOOKUP($C277,LISTAS!$A$2:$B$12,2,0),0),""))))</f>
        <v/>
      </c>
      <c r="G277" s="42"/>
      <c r="H277" s="42"/>
      <c r="I277" s="1" t="n">
        <f aca="false">N($F277)</f>
        <v>0</v>
      </c>
    </row>
    <row r="278" customFormat="false" ht="15" hidden="false" customHeight="true" outlineLevel="0" collapsed="false">
      <c r="A278" s="41"/>
      <c r="B278" s="42"/>
      <c r="C278" s="42"/>
      <c r="D278" s="42"/>
      <c r="E278" s="43"/>
      <c r="F278" s="43" t="str">
        <f aca="false">IF($B278="","",IF($D278="kg",N($E278),IF($D278="sacos",N($E278)*95,IF($D278="jabas",N($E278)*IFERROR(VLOOKUP($C278,LISTAS!$A$2:$B$12,2,0),0),""))))</f>
        <v/>
      </c>
      <c r="G278" s="42"/>
      <c r="H278" s="42"/>
      <c r="I278" s="1" t="n">
        <f aca="false">N($F278)</f>
        <v>0</v>
      </c>
    </row>
    <row r="279" customFormat="false" ht="15" hidden="false" customHeight="true" outlineLevel="0" collapsed="false">
      <c r="A279" s="41"/>
      <c r="B279" s="42"/>
      <c r="C279" s="42"/>
      <c r="D279" s="42"/>
      <c r="E279" s="43"/>
      <c r="F279" s="43" t="str">
        <f aca="false">IF($B279="","",IF($D279="kg",N($E279),IF($D279="sacos",N($E279)*95,IF($D279="jabas",N($E279)*IFERROR(VLOOKUP($C279,LISTAS!$A$2:$B$12,2,0),0),""))))</f>
        <v/>
      </c>
      <c r="G279" s="42"/>
      <c r="H279" s="42"/>
      <c r="I279" s="1" t="n">
        <f aca="false">N($F279)</f>
        <v>0</v>
      </c>
    </row>
    <row r="280" customFormat="false" ht="15" hidden="false" customHeight="true" outlineLevel="0" collapsed="false">
      <c r="A280" s="41"/>
      <c r="B280" s="42"/>
      <c r="C280" s="42"/>
      <c r="D280" s="42"/>
      <c r="E280" s="43"/>
      <c r="F280" s="43" t="str">
        <f aca="false">IF($B280="","",IF($D280="kg",N($E280),IF($D280="sacos",N($E280)*95,IF($D280="jabas",N($E280)*IFERROR(VLOOKUP($C280,LISTAS!$A$2:$B$12,2,0),0),""))))</f>
        <v/>
      </c>
      <c r="G280" s="42"/>
      <c r="H280" s="42"/>
      <c r="I280" s="1" t="n">
        <f aca="false">N($F280)</f>
        <v>0</v>
      </c>
    </row>
    <row r="281" customFormat="false" ht="15" hidden="false" customHeight="true" outlineLevel="0" collapsed="false">
      <c r="A281" s="41"/>
      <c r="B281" s="42"/>
      <c r="C281" s="42"/>
      <c r="D281" s="42"/>
      <c r="E281" s="43"/>
      <c r="F281" s="43" t="str">
        <f aca="false">IF($B281="","",IF($D281="kg",N($E281),IF($D281="sacos",N($E281)*95,IF($D281="jabas",N($E281)*IFERROR(VLOOKUP($C281,LISTAS!$A$2:$B$12,2,0),0),""))))</f>
        <v/>
      </c>
      <c r="G281" s="42"/>
      <c r="H281" s="42"/>
      <c r="I281" s="1" t="n">
        <f aca="false">N($F281)</f>
        <v>0</v>
      </c>
    </row>
    <row r="282" customFormat="false" ht="15" hidden="false" customHeight="true" outlineLevel="0" collapsed="false">
      <c r="A282" s="41"/>
      <c r="B282" s="42"/>
      <c r="C282" s="42"/>
      <c r="D282" s="42"/>
      <c r="E282" s="43"/>
      <c r="F282" s="43" t="str">
        <f aca="false">IF($B282="","",IF($D282="kg",N($E282),IF($D282="sacos",N($E282)*95,IF($D282="jabas",N($E282)*IFERROR(VLOOKUP($C282,LISTAS!$A$2:$B$12,2,0),0),""))))</f>
        <v/>
      </c>
      <c r="G282" s="42"/>
      <c r="H282" s="42"/>
      <c r="I282" s="1" t="n">
        <f aca="false">N($F282)</f>
        <v>0</v>
      </c>
    </row>
    <row r="283" customFormat="false" ht="15" hidden="false" customHeight="true" outlineLevel="0" collapsed="false">
      <c r="A283" s="41"/>
      <c r="B283" s="42"/>
      <c r="C283" s="42"/>
      <c r="D283" s="42"/>
      <c r="E283" s="43"/>
      <c r="F283" s="43" t="str">
        <f aca="false">IF($B283="","",IF($D283="kg",N($E283),IF($D283="sacos",N($E283)*95,IF($D283="jabas",N($E283)*IFERROR(VLOOKUP($C283,LISTAS!$A$2:$B$12,2,0),0),""))))</f>
        <v/>
      </c>
      <c r="G283" s="42"/>
      <c r="H283" s="42"/>
      <c r="I283" s="1" t="n">
        <f aca="false">N($F283)</f>
        <v>0</v>
      </c>
    </row>
    <row r="284" customFormat="false" ht="15" hidden="false" customHeight="true" outlineLevel="0" collapsed="false">
      <c r="A284" s="41"/>
      <c r="B284" s="42"/>
      <c r="C284" s="42"/>
      <c r="D284" s="42"/>
      <c r="E284" s="43"/>
      <c r="F284" s="43" t="str">
        <f aca="false">IF($B284="","",IF($D284="kg",N($E284),IF($D284="sacos",N($E284)*95,IF($D284="jabas",N($E284)*IFERROR(VLOOKUP($C284,LISTAS!$A$2:$B$12,2,0),0),""))))</f>
        <v/>
      </c>
      <c r="G284" s="42"/>
      <c r="H284" s="42"/>
      <c r="I284" s="1" t="n">
        <f aca="false">N($F284)</f>
        <v>0</v>
      </c>
    </row>
    <row r="285" customFormat="false" ht="15" hidden="false" customHeight="true" outlineLevel="0" collapsed="false">
      <c r="A285" s="41"/>
      <c r="B285" s="42"/>
      <c r="C285" s="42"/>
      <c r="D285" s="42"/>
      <c r="E285" s="43"/>
      <c r="F285" s="43" t="str">
        <f aca="false">IF($B285="","",IF($D285="kg",N($E285),IF($D285="sacos",N($E285)*95,IF($D285="jabas",N($E285)*IFERROR(VLOOKUP($C285,LISTAS!$A$2:$B$12,2,0),0),""))))</f>
        <v/>
      </c>
      <c r="G285" s="42"/>
      <c r="H285" s="42"/>
      <c r="I285" s="1" t="n">
        <f aca="false">N($F285)</f>
        <v>0</v>
      </c>
    </row>
    <row r="286" customFormat="false" ht="15" hidden="false" customHeight="true" outlineLevel="0" collapsed="false">
      <c r="A286" s="41"/>
      <c r="B286" s="42"/>
      <c r="C286" s="42"/>
      <c r="D286" s="42"/>
      <c r="E286" s="43"/>
      <c r="F286" s="43" t="str">
        <f aca="false">IF($B286="","",IF($D286="kg",N($E286),IF($D286="sacos",N($E286)*95,IF($D286="jabas",N($E286)*IFERROR(VLOOKUP($C286,LISTAS!$A$2:$B$12,2,0),0),""))))</f>
        <v/>
      </c>
      <c r="G286" s="42"/>
      <c r="H286" s="42"/>
      <c r="I286" s="1" t="n">
        <f aca="false">N($F286)</f>
        <v>0</v>
      </c>
    </row>
    <row r="287" customFormat="false" ht="15" hidden="false" customHeight="true" outlineLevel="0" collapsed="false">
      <c r="A287" s="41"/>
      <c r="B287" s="42"/>
      <c r="C287" s="42"/>
      <c r="D287" s="42"/>
      <c r="E287" s="43"/>
      <c r="F287" s="43" t="str">
        <f aca="false">IF($B287="","",IF($D287="kg",N($E287),IF($D287="sacos",N($E287)*95,IF($D287="jabas",N($E287)*IFERROR(VLOOKUP($C287,LISTAS!$A$2:$B$12,2,0),0),""))))</f>
        <v/>
      </c>
      <c r="G287" s="42"/>
      <c r="H287" s="42"/>
      <c r="I287" s="1" t="n">
        <f aca="false">N($F287)</f>
        <v>0</v>
      </c>
    </row>
    <row r="288" customFormat="false" ht="15" hidden="false" customHeight="true" outlineLevel="0" collapsed="false">
      <c r="A288" s="41"/>
      <c r="B288" s="42"/>
      <c r="C288" s="42"/>
      <c r="D288" s="42"/>
      <c r="E288" s="43"/>
      <c r="F288" s="43" t="str">
        <f aca="false">IF($B288="","",IF($D288="kg",N($E288),IF($D288="sacos",N($E288)*95,IF($D288="jabas",N($E288)*IFERROR(VLOOKUP($C288,LISTAS!$A$2:$B$12,2,0),0),""))))</f>
        <v/>
      </c>
      <c r="G288" s="42"/>
      <c r="H288" s="42"/>
      <c r="I288" s="1" t="n">
        <f aca="false">N($F288)</f>
        <v>0</v>
      </c>
    </row>
    <row r="289" customFormat="false" ht="15" hidden="false" customHeight="true" outlineLevel="0" collapsed="false">
      <c r="A289" s="41"/>
      <c r="B289" s="42"/>
      <c r="C289" s="42"/>
      <c r="D289" s="42"/>
      <c r="E289" s="43"/>
      <c r="F289" s="43" t="str">
        <f aca="false">IF($B289="","",IF($D289="kg",N($E289),IF($D289="sacos",N($E289)*95,IF($D289="jabas",N($E289)*IFERROR(VLOOKUP($C289,LISTAS!$A$2:$B$12,2,0),0),""))))</f>
        <v/>
      </c>
      <c r="G289" s="42"/>
      <c r="H289" s="42"/>
      <c r="I289" s="1" t="n">
        <f aca="false">N($F289)</f>
        <v>0</v>
      </c>
    </row>
    <row r="290" customFormat="false" ht="15" hidden="false" customHeight="true" outlineLevel="0" collapsed="false">
      <c r="A290" s="41"/>
      <c r="B290" s="42"/>
      <c r="C290" s="42"/>
      <c r="D290" s="42"/>
      <c r="E290" s="43"/>
      <c r="F290" s="43" t="str">
        <f aca="false">IF($B290="","",IF($D290="kg",N($E290),IF($D290="sacos",N($E290)*95,IF($D290="jabas",N($E290)*IFERROR(VLOOKUP($C290,LISTAS!$A$2:$B$12,2,0),0),""))))</f>
        <v/>
      </c>
      <c r="G290" s="42"/>
      <c r="H290" s="42"/>
      <c r="I290" s="1" t="n">
        <f aca="false">N($F290)</f>
        <v>0</v>
      </c>
    </row>
    <row r="291" customFormat="false" ht="15" hidden="false" customHeight="true" outlineLevel="0" collapsed="false">
      <c r="A291" s="41"/>
      <c r="B291" s="42"/>
      <c r="C291" s="42"/>
      <c r="D291" s="42"/>
      <c r="E291" s="43"/>
      <c r="F291" s="43" t="str">
        <f aca="false">IF($B291="","",IF($D291="kg",N($E291),IF($D291="sacos",N($E291)*95,IF($D291="jabas",N($E291)*IFERROR(VLOOKUP($C291,LISTAS!$A$2:$B$12,2,0),0),""))))</f>
        <v/>
      </c>
      <c r="G291" s="42"/>
      <c r="H291" s="42"/>
      <c r="I291" s="1" t="n">
        <f aca="false">N($F291)</f>
        <v>0</v>
      </c>
    </row>
    <row r="292" customFormat="false" ht="15" hidden="false" customHeight="true" outlineLevel="0" collapsed="false">
      <c r="A292" s="41"/>
      <c r="B292" s="42"/>
      <c r="C292" s="42"/>
      <c r="D292" s="42"/>
      <c r="E292" s="43"/>
      <c r="F292" s="43" t="str">
        <f aca="false">IF($B292="","",IF($D292="kg",N($E292),IF($D292="sacos",N($E292)*95,IF($D292="jabas",N($E292)*IFERROR(VLOOKUP($C292,LISTAS!$A$2:$B$12,2,0),0),""))))</f>
        <v/>
      </c>
      <c r="G292" s="42"/>
      <c r="H292" s="42"/>
      <c r="I292" s="1" t="n">
        <f aca="false">N($F292)</f>
        <v>0</v>
      </c>
    </row>
    <row r="293" customFormat="false" ht="15" hidden="false" customHeight="true" outlineLevel="0" collapsed="false">
      <c r="A293" s="41"/>
      <c r="B293" s="42"/>
      <c r="C293" s="42"/>
      <c r="D293" s="42"/>
      <c r="E293" s="43"/>
      <c r="F293" s="43" t="str">
        <f aca="false">IF($B293="","",IF($D293="kg",N($E293),IF($D293="sacos",N($E293)*95,IF($D293="jabas",N($E293)*IFERROR(VLOOKUP($C293,LISTAS!$A$2:$B$12,2,0),0),""))))</f>
        <v/>
      </c>
      <c r="G293" s="42"/>
      <c r="H293" s="42"/>
      <c r="I293" s="1" t="n">
        <f aca="false">N($F293)</f>
        <v>0</v>
      </c>
    </row>
    <row r="294" customFormat="false" ht="15" hidden="false" customHeight="true" outlineLevel="0" collapsed="false">
      <c r="A294" s="41"/>
      <c r="B294" s="42"/>
      <c r="C294" s="42"/>
      <c r="D294" s="42"/>
      <c r="E294" s="43"/>
      <c r="F294" s="43" t="str">
        <f aca="false">IF($B294="","",IF($D294="kg",N($E294),IF($D294="sacos",N($E294)*95,IF($D294="jabas",N($E294)*IFERROR(VLOOKUP($C294,LISTAS!$A$2:$B$12,2,0),0),""))))</f>
        <v/>
      </c>
      <c r="G294" s="42"/>
      <c r="H294" s="42"/>
      <c r="I294" s="1" t="n">
        <f aca="false">N($F294)</f>
        <v>0</v>
      </c>
    </row>
    <row r="295" customFormat="false" ht="15" hidden="false" customHeight="true" outlineLevel="0" collapsed="false">
      <c r="A295" s="41"/>
      <c r="B295" s="42"/>
      <c r="C295" s="42"/>
      <c r="D295" s="42"/>
      <c r="E295" s="43"/>
      <c r="F295" s="43" t="str">
        <f aca="false">IF($B295="","",IF($D295="kg",N($E295),IF($D295="sacos",N($E295)*95,IF($D295="jabas",N($E295)*IFERROR(VLOOKUP($C295,LISTAS!$A$2:$B$12,2,0),0),""))))</f>
        <v/>
      </c>
      <c r="G295" s="42"/>
      <c r="H295" s="42"/>
      <c r="I295" s="1" t="n">
        <f aca="false">N($F295)</f>
        <v>0</v>
      </c>
    </row>
    <row r="296" customFormat="false" ht="15" hidden="false" customHeight="true" outlineLevel="0" collapsed="false">
      <c r="A296" s="41"/>
      <c r="B296" s="42"/>
      <c r="C296" s="42"/>
      <c r="D296" s="42"/>
      <c r="E296" s="43"/>
      <c r="F296" s="43" t="str">
        <f aca="false">IF($B296="","",IF($D296="kg",N($E296),IF($D296="sacos",N($E296)*95,IF($D296="jabas",N($E296)*IFERROR(VLOOKUP($C296,LISTAS!$A$2:$B$12,2,0),0),""))))</f>
        <v/>
      </c>
      <c r="G296" s="42"/>
      <c r="H296" s="42"/>
      <c r="I296" s="1" t="n">
        <f aca="false">N($F296)</f>
        <v>0</v>
      </c>
    </row>
    <row r="297" customFormat="false" ht="15" hidden="false" customHeight="true" outlineLevel="0" collapsed="false">
      <c r="A297" s="41"/>
      <c r="B297" s="42"/>
      <c r="C297" s="42"/>
      <c r="D297" s="42"/>
      <c r="E297" s="43"/>
      <c r="F297" s="43" t="str">
        <f aca="false">IF($B297="","",IF($D297="kg",N($E297),IF($D297="sacos",N($E297)*95,IF($D297="jabas",N($E297)*IFERROR(VLOOKUP($C297,LISTAS!$A$2:$B$12,2,0),0),""))))</f>
        <v/>
      </c>
      <c r="G297" s="42"/>
      <c r="H297" s="42"/>
      <c r="I297" s="1" t="n">
        <f aca="false">N($F297)</f>
        <v>0</v>
      </c>
    </row>
    <row r="298" customFormat="false" ht="15" hidden="false" customHeight="true" outlineLevel="0" collapsed="false">
      <c r="A298" s="41"/>
      <c r="B298" s="42"/>
      <c r="C298" s="42"/>
      <c r="D298" s="42"/>
      <c r="E298" s="43"/>
      <c r="F298" s="43" t="str">
        <f aca="false">IF($B298="","",IF($D298="kg",N($E298),IF($D298="sacos",N($E298)*95,IF($D298="jabas",N($E298)*IFERROR(VLOOKUP($C298,LISTAS!$A$2:$B$12,2,0),0),""))))</f>
        <v/>
      </c>
      <c r="G298" s="42"/>
      <c r="H298" s="42"/>
      <c r="I298" s="1" t="n">
        <f aca="false">N($F298)</f>
        <v>0</v>
      </c>
    </row>
    <row r="299" customFormat="false" ht="15" hidden="false" customHeight="true" outlineLevel="0" collapsed="false">
      <c r="A299" s="41"/>
      <c r="B299" s="42"/>
      <c r="C299" s="42"/>
      <c r="D299" s="42"/>
      <c r="E299" s="43"/>
      <c r="F299" s="43" t="str">
        <f aca="false">IF($B299="","",IF($D299="kg",N($E299),IF($D299="sacos",N($E299)*95,IF($D299="jabas",N($E299)*IFERROR(VLOOKUP($C299,LISTAS!$A$2:$B$12,2,0),0),""))))</f>
        <v/>
      </c>
      <c r="G299" s="42"/>
      <c r="H299" s="42"/>
      <c r="I299" s="1" t="n">
        <f aca="false">N($F299)</f>
        <v>0</v>
      </c>
    </row>
    <row r="300" customFormat="false" ht="15" hidden="false" customHeight="true" outlineLevel="0" collapsed="false">
      <c r="A300" s="41"/>
      <c r="B300" s="42"/>
      <c r="C300" s="42"/>
      <c r="D300" s="42"/>
      <c r="E300" s="43"/>
      <c r="F300" s="43" t="str">
        <f aca="false">IF($B300="","",IF($D300="kg",N($E300),IF($D300="sacos",N($E300)*95,IF($D300="jabas",N($E300)*IFERROR(VLOOKUP($C300,LISTAS!$A$2:$B$12,2,0),0),""))))</f>
        <v/>
      </c>
      <c r="G300" s="42"/>
      <c r="H300" s="42"/>
      <c r="I300" s="1" t="n">
        <f aca="false">N($F300)</f>
        <v>0</v>
      </c>
    </row>
    <row r="301" customFormat="false" ht="15" hidden="false" customHeight="true" outlineLevel="0" collapsed="false">
      <c r="A301" s="41"/>
      <c r="B301" s="42"/>
      <c r="C301" s="42"/>
      <c r="D301" s="42"/>
      <c r="E301" s="43"/>
      <c r="F301" s="43" t="str">
        <f aca="false">IF($B301="","",IF($D301="kg",N($E301),IF($D301="sacos",N($E301)*95,IF($D301="jabas",N($E301)*IFERROR(VLOOKUP($C301,LISTAS!$A$2:$B$12,2,0),0),""))))</f>
        <v/>
      </c>
      <c r="G301" s="42"/>
      <c r="H301" s="42"/>
      <c r="I301" s="1" t="n">
        <f aca="false">N($F301)</f>
        <v>0</v>
      </c>
    </row>
    <row r="302" customFormat="false" ht="15" hidden="false" customHeight="true" outlineLevel="0" collapsed="false">
      <c r="A302" s="41"/>
      <c r="B302" s="42"/>
      <c r="C302" s="42"/>
      <c r="D302" s="42"/>
      <c r="E302" s="43"/>
      <c r="F302" s="43" t="str">
        <f aca="false">IF($B302="","",IF($D302="kg",N($E302),IF($D302="sacos",N($E302)*95,IF($D302="jabas",N($E302)*IFERROR(VLOOKUP($C302,LISTAS!$A$2:$B$12,2,0),0),""))))</f>
        <v/>
      </c>
      <c r="G302" s="42"/>
      <c r="H302" s="42"/>
      <c r="I302" s="1" t="n">
        <f aca="false">N($F302)</f>
        <v>0</v>
      </c>
    </row>
    <row r="303" customFormat="false" ht="15" hidden="false" customHeight="true" outlineLevel="0" collapsed="false">
      <c r="A303" s="41"/>
      <c r="B303" s="42"/>
      <c r="C303" s="42"/>
      <c r="D303" s="42"/>
      <c r="E303" s="43"/>
      <c r="F303" s="43" t="str">
        <f aca="false">IF($B303="","",IF($D303="kg",N($E303),IF($D303="sacos",N($E303)*95,IF($D303="jabas",N($E303)*IFERROR(VLOOKUP($C303,LISTAS!$A$2:$B$12,2,0),0),""))))</f>
        <v/>
      </c>
      <c r="G303" s="42"/>
      <c r="H303" s="42"/>
      <c r="I303" s="1" t="n">
        <f aca="false">N($F303)</f>
        <v>0</v>
      </c>
    </row>
    <row r="304" customFormat="false" ht="15" hidden="false" customHeight="true" outlineLevel="0" collapsed="false">
      <c r="A304" s="41"/>
      <c r="B304" s="42"/>
      <c r="C304" s="42"/>
      <c r="D304" s="42"/>
      <c r="E304" s="43"/>
      <c r="F304" s="43" t="str">
        <f aca="false">IF($B304="","",IF($D304="kg",N($E304),IF($D304="sacos",N($E304)*95,IF($D304="jabas",N($E304)*IFERROR(VLOOKUP($C304,LISTAS!$A$2:$B$12,2,0),0),""))))</f>
        <v/>
      </c>
      <c r="G304" s="42"/>
      <c r="H304" s="42"/>
      <c r="I304" s="1" t="n">
        <f aca="false">N($F304)</f>
        <v>0</v>
      </c>
    </row>
    <row r="305" customFormat="false" ht="15" hidden="false" customHeight="true" outlineLevel="0" collapsed="false">
      <c r="A305" s="41"/>
      <c r="B305" s="42"/>
      <c r="C305" s="42"/>
      <c r="D305" s="42"/>
      <c r="E305" s="43"/>
      <c r="F305" s="43" t="str">
        <f aca="false">IF($B305="","",IF($D305="kg",N($E305),IF($D305="sacos",N($E305)*95,IF($D305="jabas",N($E305)*IFERROR(VLOOKUP($C305,LISTAS!$A$2:$B$12,2,0),0),""))))</f>
        <v/>
      </c>
      <c r="G305" s="42"/>
      <c r="H305" s="42"/>
      <c r="I305" s="1" t="n">
        <f aca="false">N($F305)</f>
        <v>0</v>
      </c>
    </row>
    <row r="306" customFormat="false" ht="15" hidden="false" customHeight="true" outlineLevel="0" collapsed="false">
      <c r="A306" s="41"/>
      <c r="B306" s="42"/>
      <c r="C306" s="42"/>
      <c r="D306" s="42"/>
      <c r="E306" s="43"/>
      <c r="F306" s="43" t="str">
        <f aca="false">IF($B306="","",IF($D306="kg",N($E306),IF($D306="sacos",N($E306)*95,IF($D306="jabas",N($E306)*IFERROR(VLOOKUP($C306,LISTAS!$A$2:$B$12,2,0),0),""))))</f>
        <v/>
      </c>
      <c r="G306" s="42"/>
      <c r="H306" s="42"/>
      <c r="I306" s="1" t="n">
        <f aca="false">N($F306)</f>
        <v>0</v>
      </c>
    </row>
    <row r="307" customFormat="false" ht="15" hidden="false" customHeight="true" outlineLevel="0" collapsed="false">
      <c r="A307" s="41"/>
      <c r="B307" s="42"/>
      <c r="C307" s="42"/>
      <c r="D307" s="42"/>
      <c r="E307" s="43"/>
      <c r="F307" s="43" t="str">
        <f aca="false">IF($B307="","",IF($D307="kg",N($E307),IF($D307="sacos",N($E307)*95,IF($D307="jabas",N($E307)*IFERROR(VLOOKUP($C307,LISTAS!$A$2:$B$12,2,0),0),""))))</f>
        <v/>
      </c>
      <c r="G307" s="42"/>
      <c r="H307" s="42"/>
      <c r="I307" s="1" t="n">
        <f aca="false">N($F307)</f>
        <v>0</v>
      </c>
    </row>
    <row r="308" customFormat="false" ht="15" hidden="false" customHeight="true" outlineLevel="0" collapsed="false">
      <c r="A308" s="41"/>
      <c r="B308" s="42"/>
      <c r="C308" s="42"/>
      <c r="D308" s="42"/>
      <c r="E308" s="43"/>
      <c r="F308" s="43" t="str">
        <f aca="false">IF($B308="","",IF($D308="kg",N($E308),IF($D308="sacos",N($E308)*95,IF($D308="jabas",N($E308)*IFERROR(VLOOKUP($C308,LISTAS!$A$2:$B$12,2,0),0),""))))</f>
        <v/>
      </c>
      <c r="G308" s="42"/>
      <c r="H308" s="42"/>
      <c r="I308" s="1" t="n">
        <f aca="false">N($F308)</f>
        <v>0</v>
      </c>
    </row>
    <row r="309" customFormat="false" ht="15" hidden="false" customHeight="true" outlineLevel="0" collapsed="false">
      <c r="A309" s="41"/>
      <c r="B309" s="42"/>
      <c r="C309" s="42"/>
      <c r="D309" s="42"/>
      <c r="E309" s="43"/>
      <c r="F309" s="43" t="str">
        <f aca="false">IF($B309="","",IF($D309="kg",N($E309),IF($D309="sacos",N($E309)*95,IF($D309="jabas",N($E309)*IFERROR(VLOOKUP($C309,LISTAS!$A$2:$B$12,2,0),0),""))))</f>
        <v/>
      </c>
      <c r="G309" s="42"/>
      <c r="H309" s="42"/>
      <c r="I309" s="1" t="n">
        <f aca="false">N($F309)</f>
        <v>0</v>
      </c>
    </row>
    <row r="310" customFormat="false" ht="15" hidden="false" customHeight="true" outlineLevel="0" collapsed="false">
      <c r="A310" s="41"/>
      <c r="B310" s="42"/>
      <c r="C310" s="42"/>
      <c r="D310" s="42"/>
      <c r="E310" s="43"/>
      <c r="F310" s="43" t="str">
        <f aca="false">IF($B310="","",IF($D310="kg",N($E310),IF($D310="sacos",N($E310)*95,IF($D310="jabas",N($E310)*IFERROR(VLOOKUP($C310,LISTAS!$A$2:$B$12,2,0),0),""))))</f>
        <v/>
      </c>
      <c r="G310" s="42"/>
      <c r="H310" s="42"/>
      <c r="I310" s="1" t="n">
        <f aca="false">N($F310)</f>
        <v>0</v>
      </c>
    </row>
    <row r="311" customFormat="false" ht="15" hidden="false" customHeight="true" outlineLevel="0" collapsed="false">
      <c r="A311" s="41"/>
      <c r="B311" s="42"/>
      <c r="C311" s="42"/>
      <c r="D311" s="42"/>
      <c r="E311" s="43"/>
      <c r="F311" s="43" t="str">
        <f aca="false">IF($B311="","",IF($D311="kg",N($E311),IF($D311="sacos",N($E311)*95,IF($D311="jabas",N($E311)*IFERROR(VLOOKUP($C311,LISTAS!$A$2:$B$12,2,0),0),""))))</f>
        <v/>
      </c>
      <c r="G311" s="42"/>
      <c r="H311" s="42"/>
      <c r="I311" s="1" t="n">
        <f aca="false">N($F311)</f>
        <v>0</v>
      </c>
    </row>
    <row r="312" customFormat="false" ht="15" hidden="false" customHeight="true" outlineLevel="0" collapsed="false">
      <c r="A312" s="41"/>
      <c r="B312" s="42"/>
      <c r="C312" s="42"/>
      <c r="D312" s="42"/>
      <c r="E312" s="43"/>
      <c r="F312" s="43" t="str">
        <f aca="false">IF($B312="","",IF($D312="kg",N($E312),IF($D312="sacos",N($E312)*95,IF($D312="jabas",N($E312)*IFERROR(VLOOKUP($C312,LISTAS!$A$2:$B$12,2,0),0),""))))</f>
        <v/>
      </c>
      <c r="G312" s="42"/>
      <c r="H312" s="42"/>
      <c r="I312" s="1" t="n">
        <f aca="false">N($F312)</f>
        <v>0</v>
      </c>
    </row>
    <row r="313" customFormat="false" ht="15" hidden="false" customHeight="true" outlineLevel="0" collapsed="false">
      <c r="A313" s="41"/>
      <c r="B313" s="42"/>
      <c r="C313" s="42"/>
      <c r="D313" s="42"/>
      <c r="E313" s="43"/>
      <c r="F313" s="43" t="str">
        <f aca="false">IF($B313="","",IF($D313="kg",N($E313),IF($D313="sacos",N($E313)*95,IF($D313="jabas",N($E313)*IFERROR(VLOOKUP($C313,LISTAS!$A$2:$B$12,2,0),0),""))))</f>
        <v/>
      </c>
      <c r="G313" s="42"/>
      <c r="H313" s="42"/>
      <c r="I313" s="1" t="n">
        <f aca="false">N($F313)</f>
        <v>0</v>
      </c>
    </row>
    <row r="314" customFormat="false" ht="15" hidden="false" customHeight="true" outlineLevel="0" collapsed="false">
      <c r="A314" s="41"/>
      <c r="B314" s="42"/>
      <c r="C314" s="42"/>
      <c r="D314" s="42"/>
      <c r="E314" s="43"/>
      <c r="F314" s="43" t="str">
        <f aca="false">IF($B314="","",IF($D314="kg",N($E314),IF($D314="sacos",N($E314)*95,IF($D314="jabas",N($E314)*IFERROR(VLOOKUP($C314,LISTAS!$A$2:$B$12,2,0),0),""))))</f>
        <v/>
      </c>
      <c r="G314" s="42"/>
      <c r="H314" s="42"/>
      <c r="I314" s="1" t="n">
        <f aca="false">N($F314)</f>
        <v>0</v>
      </c>
    </row>
    <row r="315" customFormat="false" ht="15" hidden="false" customHeight="true" outlineLevel="0" collapsed="false">
      <c r="A315" s="41"/>
      <c r="B315" s="42"/>
      <c r="C315" s="42"/>
      <c r="D315" s="42"/>
      <c r="E315" s="43"/>
      <c r="F315" s="43" t="str">
        <f aca="false">IF($B315="","",IF($D315="kg",N($E315),IF($D315="sacos",N($E315)*95,IF($D315="jabas",N($E315)*IFERROR(VLOOKUP($C315,LISTAS!$A$2:$B$12,2,0),0),""))))</f>
        <v/>
      </c>
      <c r="G315" s="42"/>
      <c r="H315" s="42"/>
      <c r="I315" s="1" t="n">
        <f aca="false">N($F315)</f>
        <v>0</v>
      </c>
    </row>
    <row r="316" customFormat="false" ht="15" hidden="false" customHeight="true" outlineLevel="0" collapsed="false">
      <c r="A316" s="41"/>
      <c r="B316" s="42"/>
      <c r="C316" s="42"/>
      <c r="D316" s="42"/>
      <c r="E316" s="43"/>
      <c r="F316" s="43" t="str">
        <f aca="false">IF($B316="","",IF($D316="kg",N($E316),IF($D316="sacos",N($E316)*95,IF($D316="jabas",N($E316)*IFERROR(VLOOKUP($C316,LISTAS!$A$2:$B$12,2,0),0),""))))</f>
        <v/>
      </c>
      <c r="G316" s="42"/>
      <c r="H316" s="42"/>
      <c r="I316" s="1" t="n">
        <f aca="false">N($F316)</f>
        <v>0</v>
      </c>
    </row>
    <row r="317" customFormat="false" ht="15" hidden="false" customHeight="true" outlineLevel="0" collapsed="false">
      <c r="A317" s="41"/>
      <c r="B317" s="42"/>
      <c r="C317" s="42"/>
      <c r="D317" s="42"/>
      <c r="E317" s="43"/>
      <c r="F317" s="43" t="str">
        <f aca="false">IF($B317="","",IF($D317="kg",N($E317),IF($D317="sacos",N($E317)*95,IF($D317="jabas",N($E317)*IFERROR(VLOOKUP($C317,LISTAS!$A$2:$B$12,2,0),0),""))))</f>
        <v/>
      </c>
      <c r="G317" s="42"/>
      <c r="H317" s="42"/>
      <c r="I317" s="1" t="n">
        <f aca="false">N($F317)</f>
        <v>0</v>
      </c>
    </row>
    <row r="318" customFormat="false" ht="15" hidden="false" customHeight="true" outlineLevel="0" collapsed="false">
      <c r="A318" s="41"/>
      <c r="B318" s="42"/>
      <c r="C318" s="42"/>
      <c r="D318" s="42"/>
      <c r="E318" s="43"/>
      <c r="F318" s="43" t="str">
        <f aca="false">IF($B318="","",IF($D318="kg",N($E318),IF($D318="sacos",N($E318)*95,IF($D318="jabas",N($E318)*IFERROR(VLOOKUP($C318,LISTAS!$A$2:$B$12,2,0),0),""))))</f>
        <v/>
      </c>
      <c r="G318" s="42"/>
      <c r="H318" s="42"/>
      <c r="I318" s="1" t="n">
        <f aca="false">N($F318)</f>
        <v>0</v>
      </c>
    </row>
    <row r="319" customFormat="false" ht="15" hidden="false" customHeight="true" outlineLevel="0" collapsed="false">
      <c r="A319" s="41"/>
      <c r="B319" s="42"/>
      <c r="C319" s="42"/>
      <c r="D319" s="42"/>
      <c r="E319" s="43"/>
      <c r="F319" s="43" t="str">
        <f aca="false">IF($B319="","",IF($D319="kg",N($E319),IF($D319="sacos",N($E319)*95,IF($D319="jabas",N($E319)*IFERROR(VLOOKUP($C319,LISTAS!$A$2:$B$12,2,0),0),""))))</f>
        <v/>
      </c>
      <c r="G319" s="42"/>
      <c r="H319" s="42"/>
      <c r="I319" s="1" t="n">
        <f aca="false">N($F319)</f>
        <v>0</v>
      </c>
    </row>
    <row r="320" customFormat="false" ht="15" hidden="false" customHeight="true" outlineLevel="0" collapsed="false">
      <c r="A320" s="41"/>
      <c r="B320" s="42"/>
      <c r="C320" s="42"/>
      <c r="D320" s="42"/>
      <c r="E320" s="43"/>
      <c r="F320" s="43" t="str">
        <f aca="false">IF($B320="","",IF($D320="kg",N($E320),IF($D320="sacos",N($E320)*95,IF($D320="jabas",N($E320)*IFERROR(VLOOKUP($C320,LISTAS!$A$2:$B$12,2,0),0),""))))</f>
        <v/>
      </c>
      <c r="G320" s="42"/>
      <c r="H320" s="42"/>
      <c r="I320" s="1" t="n">
        <f aca="false">N($F320)</f>
        <v>0</v>
      </c>
    </row>
    <row r="321" customFormat="false" ht="15" hidden="false" customHeight="true" outlineLevel="0" collapsed="false">
      <c r="A321" s="41"/>
      <c r="B321" s="42"/>
      <c r="C321" s="42"/>
      <c r="D321" s="42"/>
      <c r="E321" s="43"/>
      <c r="F321" s="43" t="str">
        <f aca="false">IF($B321="","",IF($D321="kg",N($E321),IF($D321="sacos",N($E321)*95,IF($D321="jabas",N($E321)*IFERROR(VLOOKUP($C321,LISTAS!$A$2:$B$12,2,0),0),""))))</f>
        <v/>
      </c>
      <c r="G321" s="42"/>
      <c r="H321" s="42"/>
      <c r="I321" s="1" t="n">
        <f aca="false">N($F321)</f>
        <v>0</v>
      </c>
    </row>
    <row r="322" customFormat="false" ht="15" hidden="false" customHeight="true" outlineLevel="0" collapsed="false">
      <c r="A322" s="41"/>
      <c r="B322" s="42"/>
      <c r="C322" s="42"/>
      <c r="D322" s="42"/>
      <c r="E322" s="43"/>
      <c r="F322" s="43" t="str">
        <f aca="false">IF($B322="","",IF($D322="kg",N($E322),IF($D322="sacos",N($E322)*95,IF($D322="jabas",N($E322)*IFERROR(VLOOKUP($C322,LISTAS!$A$2:$B$12,2,0),0),""))))</f>
        <v/>
      </c>
      <c r="G322" s="42"/>
      <c r="H322" s="42"/>
      <c r="I322" s="1" t="n">
        <f aca="false">N($F322)</f>
        <v>0</v>
      </c>
    </row>
    <row r="323" customFormat="false" ht="15" hidden="false" customHeight="true" outlineLevel="0" collapsed="false">
      <c r="A323" s="41"/>
      <c r="B323" s="42"/>
      <c r="C323" s="42"/>
      <c r="D323" s="42"/>
      <c r="E323" s="43"/>
      <c r="F323" s="43" t="str">
        <f aca="false">IF($B323="","",IF($D323="kg",N($E323),IF($D323="sacos",N($E323)*95,IF($D323="jabas",N($E323)*IFERROR(VLOOKUP($C323,LISTAS!$A$2:$B$12,2,0),0),""))))</f>
        <v/>
      </c>
      <c r="G323" s="42"/>
      <c r="H323" s="42"/>
      <c r="I323" s="1" t="n">
        <f aca="false">N($F323)</f>
        <v>0</v>
      </c>
    </row>
    <row r="324" customFormat="false" ht="15" hidden="false" customHeight="true" outlineLevel="0" collapsed="false">
      <c r="A324" s="41"/>
      <c r="B324" s="42"/>
      <c r="C324" s="42"/>
      <c r="D324" s="42"/>
      <c r="E324" s="43"/>
      <c r="F324" s="43" t="str">
        <f aca="false">IF($B324="","",IF($D324="kg",N($E324),IF($D324="sacos",N($E324)*95,IF($D324="jabas",N($E324)*IFERROR(VLOOKUP($C324,LISTAS!$A$2:$B$12,2,0),0),""))))</f>
        <v/>
      </c>
      <c r="G324" s="42"/>
      <c r="H324" s="42"/>
      <c r="I324" s="1" t="n">
        <f aca="false">N($F324)</f>
        <v>0</v>
      </c>
    </row>
    <row r="325" customFormat="false" ht="15" hidden="false" customHeight="true" outlineLevel="0" collapsed="false">
      <c r="A325" s="41"/>
      <c r="B325" s="42"/>
      <c r="C325" s="42"/>
      <c r="D325" s="42"/>
      <c r="E325" s="43"/>
      <c r="F325" s="43" t="str">
        <f aca="false">IF($B325="","",IF($D325="kg",N($E325),IF($D325="sacos",N($E325)*95,IF($D325="jabas",N($E325)*IFERROR(VLOOKUP($C325,LISTAS!$A$2:$B$12,2,0),0),""))))</f>
        <v/>
      </c>
      <c r="G325" s="42"/>
      <c r="H325" s="42"/>
      <c r="I325" s="1" t="n">
        <f aca="false">N($F325)</f>
        <v>0</v>
      </c>
    </row>
    <row r="326" customFormat="false" ht="15" hidden="false" customHeight="true" outlineLevel="0" collapsed="false">
      <c r="A326" s="41"/>
      <c r="B326" s="42"/>
      <c r="C326" s="42"/>
      <c r="D326" s="42"/>
      <c r="E326" s="43"/>
      <c r="F326" s="43" t="str">
        <f aca="false">IF($B326="","",IF($D326="kg",N($E326),IF($D326="sacos",N($E326)*95,IF($D326="jabas",N($E326)*IFERROR(VLOOKUP($C326,LISTAS!$A$2:$B$12,2,0),0),""))))</f>
        <v/>
      </c>
      <c r="G326" s="42"/>
      <c r="H326" s="42"/>
      <c r="I326" s="1" t="n">
        <f aca="false">N($F326)</f>
        <v>0</v>
      </c>
    </row>
    <row r="327" customFormat="false" ht="15" hidden="false" customHeight="true" outlineLevel="0" collapsed="false">
      <c r="A327" s="41"/>
      <c r="B327" s="42"/>
      <c r="C327" s="42"/>
      <c r="D327" s="42"/>
      <c r="E327" s="43"/>
      <c r="F327" s="43" t="str">
        <f aca="false">IF($B327="","",IF($D327="kg",N($E327),IF($D327="sacos",N($E327)*95,IF($D327="jabas",N($E327)*IFERROR(VLOOKUP($C327,LISTAS!$A$2:$B$12,2,0),0),""))))</f>
        <v/>
      </c>
      <c r="G327" s="42"/>
      <c r="H327" s="42"/>
      <c r="I327" s="1" t="n">
        <f aca="false">N($F327)</f>
        <v>0</v>
      </c>
    </row>
    <row r="328" customFormat="false" ht="15" hidden="false" customHeight="true" outlineLevel="0" collapsed="false">
      <c r="A328" s="41"/>
      <c r="B328" s="42"/>
      <c r="C328" s="42"/>
      <c r="D328" s="42"/>
      <c r="E328" s="43"/>
      <c r="F328" s="43" t="str">
        <f aca="false">IF($B328="","",IF($D328="kg",N($E328),IF($D328="sacos",N($E328)*95,IF($D328="jabas",N($E328)*IFERROR(VLOOKUP($C328,LISTAS!$A$2:$B$12,2,0),0),""))))</f>
        <v/>
      </c>
      <c r="G328" s="42"/>
      <c r="H328" s="42"/>
      <c r="I328" s="1" t="n">
        <f aca="false">N($F328)</f>
        <v>0</v>
      </c>
    </row>
    <row r="329" customFormat="false" ht="15" hidden="false" customHeight="true" outlineLevel="0" collapsed="false">
      <c r="A329" s="41"/>
      <c r="B329" s="42"/>
      <c r="C329" s="42"/>
      <c r="D329" s="42"/>
      <c r="E329" s="43"/>
      <c r="F329" s="43" t="str">
        <f aca="false">IF($B329="","",IF($D329="kg",N($E329),IF($D329="sacos",N($E329)*95,IF($D329="jabas",N($E329)*IFERROR(VLOOKUP($C329,LISTAS!$A$2:$B$12,2,0),0),""))))</f>
        <v/>
      </c>
      <c r="G329" s="42"/>
      <c r="H329" s="42"/>
      <c r="I329" s="1" t="n">
        <f aca="false">N($F329)</f>
        <v>0</v>
      </c>
    </row>
    <row r="330" customFormat="false" ht="15" hidden="false" customHeight="true" outlineLevel="0" collapsed="false">
      <c r="A330" s="41"/>
      <c r="B330" s="42"/>
      <c r="C330" s="42"/>
      <c r="D330" s="42"/>
      <c r="E330" s="43"/>
      <c r="F330" s="43" t="str">
        <f aca="false">IF($B330="","",IF($D330="kg",N($E330),IF($D330="sacos",N($E330)*95,IF($D330="jabas",N($E330)*IFERROR(VLOOKUP($C330,LISTAS!$A$2:$B$12,2,0),0),""))))</f>
        <v/>
      </c>
      <c r="G330" s="42"/>
      <c r="H330" s="42"/>
      <c r="I330" s="1" t="n">
        <f aca="false">N($F330)</f>
        <v>0</v>
      </c>
    </row>
    <row r="331" customFormat="false" ht="15" hidden="false" customHeight="true" outlineLevel="0" collapsed="false">
      <c r="A331" s="41"/>
      <c r="B331" s="42"/>
      <c r="C331" s="42"/>
      <c r="D331" s="42"/>
      <c r="E331" s="43"/>
      <c r="F331" s="43" t="str">
        <f aca="false">IF($B331="","",IF($D331="kg",N($E331),IF($D331="sacos",N($E331)*95,IF($D331="jabas",N($E331)*IFERROR(VLOOKUP($C331,LISTAS!$A$2:$B$12,2,0),0),""))))</f>
        <v/>
      </c>
      <c r="G331" s="42"/>
      <c r="H331" s="42"/>
      <c r="I331" s="1" t="n">
        <f aca="false">N($F331)</f>
        <v>0</v>
      </c>
    </row>
    <row r="332" customFormat="false" ht="15" hidden="false" customHeight="true" outlineLevel="0" collapsed="false">
      <c r="A332" s="41"/>
      <c r="B332" s="42"/>
      <c r="C332" s="42"/>
      <c r="D332" s="42"/>
      <c r="E332" s="43"/>
      <c r="F332" s="43" t="str">
        <f aca="false">IF($B332="","",IF($D332="kg",N($E332),IF($D332="sacos",N($E332)*95,IF($D332="jabas",N($E332)*IFERROR(VLOOKUP($C332,LISTAS!$A$2:$B$12,2,0),0),""))))</f>
        <v/>
      </c>
      <c r="G332" s="42"/>
      <c r="H332" s="42"/>
      <c r="I332" s="1" t="n">
        <f aca="false">N($F332)</f>
        <v>0</v>
      </c>
    </row>
    <row r="333" customFormat="false" ht="15" hidden="false" customHeight="true" outlineLevel="0" collapsed="false">
      <c r="A333" s="41"/>
      <c r="B333" s="42"/>
      <c r="C333" s="42"/>
      <c r="D333" s="42"/>
      <c r="E333" s="43"/>
      <c r="F333" s="43" t="str">
        <f aca="false">IF($B333="","",IF($D333="kg",N($E333),IF($D333="sacos",N($E333)*95,IF($D333="jabas",N($E333)*IFERROR(VLOOKUP($C333,LISTAS!$A$2:$B$12,2,0),0),""))))</f>
        <v/>
      </c>
      <c r="G333" s="42"/>
      <c r="H333" s="42"/>
      <c r="I333" s="1" t="n">
        <f aca="false">N($F333)</f>
        <v>0</v>
      </c>
    </row>
    <row r="334" customFormat="false" ht="15" hidden="false" customHeight="true" outlineLevel="0" collapsed="false">
      <c r="A334" s="41"/>
      <c r="B334" s="42"/>
      <c r="C334" s="42"/>
      <c r="D334" s="42"/>
      <c r="E334" s="43"/>
      <c r="F334" s="43" t="str">
        <f aca="false">IF($B334="","",IF($D334="kg",N($E334),IF($D334="sacos",N($E334)*95,IF($D334="jabas",N($E334)*IFERROR(VLOOKUP($C334,LISTAS!$A$2:$B$12,2,0),0),""))))</f>
        <v/>
      </c>
      <c r="G334" s="42"/>
      <c r="H334" s="42"/>
      <c r="I334" s="1" t="n">
        <f aca="false">N($F334)</f>
        <v>0</v>
      </c>
    </row>
    <row r="335" customFormat="false" ht="15" hidden="false" customHeight="true" outlineLevel="0" collapsed="false">
      <c r="A335" s="41"/>
      <c r="B335" s="42"/>
      <c r="C335" s="42"/>
      <c r="D335" s="42"/>
      <c r="E335" s="43"/>
      <c r="F335" s="43" t="str">
        <f aca="false">IF($B335="","",IF($D335="kg",N($E335),IF($D335="sacos",N($E335)*95,IF($D335="jabas",N($E335)*IFERROR(VLOOKUP($C335,LISTAS!$A$2:$B$12,2,0),0),""))))</f>
        <v/>
      </c>
      <c r="G335" s="42"/>
      <c r="H335" s="42"/>
      <c r="I335" s="1" t="n">
        <f aca="false">N($F335)</f>
        <v>0</v>
      </c>
    </row>
    <row r="336" customFormat="false" ht="15" hidden="false" customHeight="true" outlineLevel="0" collapsed="false">
      <c r="A336" s="41"/>
      <c r="B336" s="42"/>
      <c r="C336" s="42"/>
      <c r="D336" s="42"/>
      <c r="E336" s="43"/>
      <c r="F336" s="43" t="str">
        <f aca="false">IF($B336="","",IF($D336="kg",N($E336),IF($D336="sacos",N($E336)*95,IF($D336="jabas",N($E336)*IFERROR(VLOOKUP($C336,LISTAS!$A$2:$B$12,2,0),0),""))))</f>
        <v/>
      </c>
      <c r="G336" s="42"/>
      <c r="H336" s="42"/>
      <c r="I336" s="1" t="n">
        <f aca="false">N($F336)</f>
        <v>0</v>
      </c>
    </row>
    <row r="337" customFormat="false" ht="15" hidden="false" customHeight="true" outlineLevel="0" collapsed="false">
      <c r="A337" s="41"/>
      <c r="B337" s="42"/>
      <c r="C337" s="42"/>
      <c r="D337" s="42"/>
      <c r="E337" s="43"/>
      <c r="F337" s="43" t="str">
        <f aca="false">IF($B337="","",IF($D337="kg",N($E337),IF($D337="sacos",N($E337)*95,IF($D337="jabas",N($E337)*IFERROR(VLOOKUP($C337,LISTAS!$A$2:$B$12,2,0),0),""))))</f>
        <v/>
      </c>
      <c r="G337" s="42"/>
      <c r="H337" s="42"/>
      <c r="I337" s="1" t="n">
        <f aca="false">N($F337)</f>
        <v>0</v>
      </c>
    </row>
    <row r="338" customFormat="false" ht="15" hidden="false" customHeight="true" outlineLevel="0" collapsed="false">
      <c r="A338" s="41"/>
      <c r="B338" s="42"/>
      <c r="C338" s="42"/>
      <c r="D338" s="42"/>
      <c r="E338" s="43"/>
      <c r="F338" s="43" t="str">
        <f aca="false">IF($B338="","",IF($D338="kg",N($E338),IF($D338="sacos",N($E338)*95,IF($D338="jabas",N($E338)*IFERROR(VLOOKUP($C338,LISTAS!$A$2:$B$12,2,0),0),""))))</f>
        <v/>
      </c>
      <c r="G338" s="42"/>
      <c r="H338" s="42"/>
      <c r="I338" s="1" t="n">
        <f aca="false">N($F338)</f>
        <v>0</v>
      </c>
    </row>
    <row r="339" customFormat="false" ht="15" hidden="false" customHeight="true" outlineLevel="0" collapsed="false">
      <c r="A339" s="41"/>
      <c r="B339" s="42"/>
      <c r="C339" s="42"/>
      <c r="D339" s="42"/>
      <c r="E339" s="43"/>
      <c r="F339" s="43" t="str">
        <f aca="false">IF($B339="","",IF($D339="kg",N($E339),IF($D339="sacos",N($E339)*95,IF($D339="jabas",N($E339)*IFERROR(VLOOKUP($C339,LISTAS!$A$2:$B$12,2,0),0),""))))</f>
        <v/>
      </c>
      <c r="G339" s="42"/>
      <c r="H339" s="42"/>
      <c r="I339" s="1" t="n">
        <f aca="false">N($F339)</f>
        <v>0</v>
      </c>
    </row>
    <row r="340" customFormat="false" ht="15" hidden="false" customHeight="true" outlineLevel="0" collapsed="false">
      <c r="A340" s="41"/>
      <c r="B340" s="42"/>
      <c r="C340" s="42"/>
      <c r="D340" s="42"/>
      <c r="E340" s="43"/>
      <c r="F340" s="43" t="str">
        <f aca="false">IF($B340="","",IF($D340="kg",N($E340),IF($D340="sacos",N($E340)*95,IF($D340="jabas",N($E340)*IFERROR(VLOOKUP($C340,LISTAS!$A$2:$B$12,2,0),0),""))))</f>
        <v/>
      </c>
      <c r="G340" s="42"/>
      <c r="H340" s="42"/>
      <c r="I340" s="1" t="n">
        <f aca="false">N($F340)</f>
        <v>0</v>
      </c>
    </row>
    <row r="341" customFormat="false" ht="15" hidden="false" customHeight="true" outlineLevel="0" collapsed="false">
      <c r="A341" s="41"/>
      <c r="B341" s="42"/>
      <c r="C341" s="42"/>
      <c r="D341" s="42"/>
      <c r="E341" s="43"/>
      <c r="F341" s="43" t="str">
        <f aca="false">IF($B341="","",IF($D341="kg",N($E341),IF($D341="sacos",N($E341)*95,IF($D341="jabas",N($E341)*IFERROR(VLOOKUP($C341,LISTAS!$A$2:$B$12,2,0),0),""))))</f>
        <v/>
      </c>
      <c r="G341" s="42"/>
      <c r="H341" s="42"/>
      <c r="I341" s="1" t="n">
        <f aca="false">N($F341)</f>
        <v>0</v>
      </c>
    </row>
    <row r="342" customFormat="false" ht="15" hidden="false" customHeight="true" outlineLevel="0" collapsed="false">
      <c r="A342" s="41"/>
      <c r="B342" s="42"/>
      <c r="C342" s="42"/>
      <c r="D342" s="42"/>
      <c r="E342" s="43"/>
      <c r="F342" s="43" t="str">
        <f aca="false">IF($B342="","",IF($D342="kg",N($E342),IF($D342="sacos",N($E342)*95,IF($D342="jabas",N($E342)*IFERROR(VLOOKUP($C342,LISTAS!$A$2:$B$12,2,0),0),""))))</f>
        <v/>
      </c>
      <c r="G342" s="42"/>
      <c r="H342" s="42"/>
      <c r="I342" s="1" t="n">
        <f aca="false">N($F342)</f>
        <v>0</v>
      </c>
    </row>
    <row r="343" customFormat="false" ht="15" hidden="false" customHeight="true" outlineLevel="0" collapsed="false">
      <c r="A343" s="41"/>
      <c r="B343" s="42"/>
      <c r="C343" s="42"/>
      <c r="D343" s="42"/>
      <c r="E343" s="43"/>
      <c r="F343" s="43" t="str">
        <f aca="false">IF($B343="","",IF($D343="kg",N($E343),IF($D343="sacos",N($E343)*95,IF($D343="jabas",N($E343)*IFERROR(VLOOKUP($C343,LISTAS!$A$2:$B$12,2,0),0),""))))</f>
        <v/>
      </c>
      <c r="G343" s="42"/>
      <c r="H343" s="42"/>
      <c r="I343" s="1" t="n">
        <f aca="false">N($F343)</f>
        <v>0</v>
      </c>
    </row>
    <row r="344" customFormat="false" ht="15" hidden="false" customHeight="true" outlineLevel="0" collapsed="false">
      <c r="A344" s="41"/>
      <c r="B344" s="42"/>
      <c r="C344" s="42"/>
      <c r="D344" s="42"/>
      <c r="E344" s="43"/>
      <c r="F344" s="43" t="str">
        <f aca="false">IF($B344="","",IF($D344="kg",N($E344),IF($D344="sacos",N($E344)*95,IF($D344="jabas",N($E344)*IFERROR(VLOOKUP($C344,LISTAS!$A$2:$B$12,2,0),0),""))))</f>
        <v/>
      </c>
      <c r="G344" s="42"/>
      <c r="H344" s="42"/>
      <c r="I344" s="1" t="n">
        <f aca="false">N($F344)</f>
        <v>0</v>
      </c>
    </row>
    <row r="345" customFormat="false" ht="15" hidden="false" customHeight="true" outlineLevel="0" collapsed="false">
      <c r="A345" s="41"/>
      <c r="B345" s="42"/>
      <c r="C345" s="42"/>
      <c r="D345" s="42"/>
      <c r="E345" s="43"/>
      <c r="F345" s="43" t="str">
        <f aca="false">IF($B345="","",IF($D345="kg",N($E345),IF($D345="sacos",N($E345)*95,IF($D345="jabas",N($E345)*IFERROR(VLOOKUP($C345,LISTAS!$A$2:$B$12,2,0),0),""))))</f>
        <v/>
      </c>
      <c r="G345" s="42"/>
      <c r="H345" s="42"/>
      <c r="I345" s="1" t="n">
        <f aca="false">N($F345)</f>
        <v>0</v>
      </c>
    </row>
    <row r="346" customFormat="false" ht="15" hidden="false" customHeight="true" outlineLevel="0" collapsed="false">
      <c r="A346" s="41"/>
      <c r="B346" s="42"/>
      <c r="C346" s="42"/>
      <c r="D346" s="42"/>
      <c r="E346" s="43"/>
      <c r="F346" s="43" t="str">
        <f aca="false">IF($B346="","",IF($D346="kg",N($E346),IF($D346="sacos",N($E346)*95,IF($D346="jabas",N($E346)*IFERROR(VLOOKUP($C346,LISTAS!$A$2:$B$12,2,0),0),""))))</f>
        <v/>
      </c>
      <c r="G346" s="42"/>
      <c r="H346" s="42"/>
      <c r="I346" s="1" t="n">
        <f aca="false">N($F346)</f>
        <v>0</v>
      </c>
    </row>
    <row r="347" customFormat="false" ht="15" hidden="false" customHeight="true" outlineLevel="0" collapsed="false">
      <c r="A347" s="41"/>
      <c r="B347" s="42"/>
      <c r="C347" s="42"/>
      <c r="D347" s="42"/>
      <c r="E347" s="43"/>
      <c r="F347" s="43" t="str">
        <f aca="false">IF($B347="","",IF($D347="kg",N($E347),IF($D347="sacos",N($E347)*95,IF($D347="jabas",N($E347)*IFERROR(VLOOKUP($C347,LISTAS!$A$2:$B$12,2,0),0),""))))</f>
        <v/>
      </c>
      <c r="G347" s="42"/>
      <c r="H347" s="42"/>
      <c r="I347" s="1" t="n">
        <f aca="false">N($F347)</f>
        <v>0</v>
      </c>
    </row>
    <row r="348" customFormat="false" ht="15" hidden="false" customHeight="true" outlineLevel="0" collapsed="false">
      <c r="A348" s="41"/>
      <c r="B348" s="42"/>
      <c r="C348" s="42"/>
      <c r="D348" s="42"/>
      <c r="E348" s="43"/>
      <c r="F348" s="43" t="str">
        <f aca="false">IF($B348="","",IF($D348="kg",N($E348),IF($D348="sacos",N($E348)*95,IF($D348="jabas",N($E348)*IFERROR(VLOOKUP($C348,LISTAS!$A$2:$B$12,2,0),0),""))))</f>
        <v/>
      </c>
      <c r="G348" s="42"/>
      <c r="H348" s="42"/>
      <c r="I348" s="1" t="n">
        <f aca="false">N($F348)</f>
        <v>0</v>
      </c>
    </row>
    <row r="349" customFormat="false" ht="15" hidden="false" customHeight="true" outlineLevel="0" collapsed="false">
      <c r="A349" s="41"/>
      <c r="B349" s="42"/>
      <c r="C349" s="42"/>
      <c r="D349" s="42"/>
      <c r="E349" s="43"/>
      <c r="F349" s="43" t="str">
        <f aca="false">IF($B349="","",IF($D349="kg",N($E349),IF($D349="sacos",N($E349)*95,IF($D349="jabas",N($E349)*IFERROR(VLOOKUP($C349,LISTAS!$A$2:$B$12,2,0),0),""))))</f>
        <v/>
      </c>
      <c r="G349" s="42"/>
      <c r="H349" s="42"/>
      <c r="I349" s="1" t="n">
        <f aca="false">N($F349)</f>
        <v>0</v>
      </c>
    </row>
    <row r="350" customFormat="false" ht="15" hidden="false" customHeight="true" outlineLevel="0" collapsed="false">
      <c r="A350" s="41"/>
      <c r="B350" s="42"/>
      <c r="C350" s="42"/>
      <c r="D350" s="42"/>
      <c r="E350" s="43"/>
      <c r="F350" s="43" t="str">
        <f aca="false">IF($B350="","",IF($D350="kg",N($E350),IF($D350="sacos",N($E350)*95,IF($D350="jabas",N($E350)*IFERROR(VLOOKUP($C350,LISTAS!$A$2:$B$12,2,0),0),""))))</f>
        <v/>
      </c>
      <c r="G350" s="42"/>
      <c r="H350" s="42"/>
      <c r="I350" s="1" t="n">
        <f aca="false">N($F350)</f>
        <v>0</v>
      </c>
    </row>
    <row r="351" customFormat="false" ht="15" hidden="false" customHeight="true" outlineLevel="0" collapsed="false">
      <c r="A351" s="41"/>
      <c r="B351" s="42"/>
      <c r="C351" s="42"/>
      <c r="D351" s="42"/>
      <c r="E351" s="43"/>
      <c r="F351" s="43" t="str">
        <f aca="false">IF($B351="","",IF($D351="kg",N($E351),IF($D351="sacos",N($E351)*95,IF($D351="jabas",N($E351)*IFERROR(VLOOKUP($C351,LISTAS!$A$2:$B$12,2,0),0),""))))</f>
        <v/>
      </c>
      <c r="G351" s="42"/>
      <c r="H351" s="42"/>
      <c r="I351" s="1" t="n">
        <f aca="false">N($F351)</f>
        <v>0</v>
      </c>
    </row>
    <row r="352" customFormat="false" ht="15" hidden="false" customHeight="true" outlineLevel="0" collapsed="false">
      <c r="A352" s="41"/>
      <c r="B352" s="42"/>
      <c r="C352" s="42"/>
      <c r="D352" s="42"/>
      <c r="E352" s="43"/>
      <c r="F352" s="43" t="str">
        <f aca="false">IF($B352="","",IF($D352="kg",N($E352),IF($D352="sacos",N($E352)*95,IF($D352="jabas",N($E352)*IFERROR(VLOOKUP($C352,LISTAS!$A$2:$B$12,2,0),0),""))))</f>
        <v/>
      </c>
      <c r="G352" s="42"/>
      <c r="H352" s="42"/>
      <c r="I352" s="1" t="n">
        <f aca="false">N($F352)</f>
        <v>0</v>
      </c>
    </row>
    <row r="353" customFormat="false" ht="15" hidden="false" customHeight="true" outlineLevel="0" collapsed="false">
      <c r="A353" s="41"/>
      <c r="B353" s="42"/>
      <c r="C353" s="42"/>
      <c r="D353" s="42"/>
      <c r="E353" s="43"/>
      <c r="F353" s="43" t="str">
        <f aca="false">IF($B353="","",IF($D353="kg",N($E353),IF($D353="sacos",N($E353)*95,IF($D353="jabas",N($E353)*IFERROR(VLOOKUP($C353,LISTAS!$A$2:$B$12,2,0),0),""))))</f>
        <v/>
      </c>
      <c r="G353" s="42"/>
      <c r="H353" s="42"/>
      <c r="I353" s="1" t="n">
        <f aca="false">N($F353)</f>
        <v>0</v>
      </c>
    </row>
    <row r="354" customFormat="false" ht="15" hidden="false" customHeight="true" outlineLevel="0" collapsed="false">
      <c r="A354" s="41"/>
      <c r="B354" s="42"/>
      <c r="C354" s="42"/>
      <c r="D354" s="42"/>
      <c r="E354" s="43"/>
      <c r="F354" s="43" t="str">
        <f aca="false">IF($B354="","",IF($D354="kg",N($E354),IF($D354="sacos",N($E354)*95,IF($D354="jabas",N($E354)*IFERROR(VLOOKUP($C354,LISTAS!$A$2:$B$12,2,0),0),""))))</f>
        <v/>
      </c>
      <c r="G354" s="42"/>
      <c r="H354" s="42"/>
      <c r="I354" s="1" t="n">
        <f aca="false">N($F354)</f>
        <v>0</v>
      </c>
    </row>
    <row r="355" customFormat="false" ht="15" hidden="false" customHeight="true" outlineLevel="0" collapsed="false">
      <c r="A355" s="41"/>
      <c r="B355" s="42"/>
      <c r="C355" s="42"/>
      <c r="D355" s="42"/>
      <c r="E355" s="43"/>
      <c r="F355" s="43" t="str">
        <f aca="false">IF($B355="","",IF($D355="kg",N($E355),IF($D355="sacos",N($E355)*95,IF($D355="jabas",N($E355)*IFERROR(VLOOKUP($C355,LISTAS!$A$2:$B$12,2,0),0),""))))</f>
        <v/>
      </c>
      <c r="G355" s="42"/>
      <c r="H355" s="42"/>
      <c r="I355" s="1" t="n">
        <f aca="false">N($F355)</f>
        <v>0</v>
      </c>
    </row>
    <row r="356" customFormat="false" ht="15" hidden="false" customHeight="true" outlineLevel="0" collapsed="false">
      <c r="A356" s="41"/>
      <c r="B356" s="42"/>
      <c r="C356" s="42"/>
      <c r="D356" s="42"/>
      <c r="E356" s="43"/>
      <c r="F356" s="43" t="str">
        <f aca="false">IF($B356="","",IF($D356="kg",N($E356),IF($D356="sacos",N($E356)*95,IF($D356="jabas",N($E356)*IFERROR(VLOOKUP($C356,LISTAS!$A$2:$B$12,2,0),0),""))))</f>
        <v/>
      </c>
      <c r="G356" s="42"/>
      <c r="H356" s="42"/>
      <c r="I356" s="1" t="n">
        <f aca="false">N($F356)</f>
        <v>0</v>
      </c>
    </row>
    <row r="357" customFormat="false" ht="15" hidden="false" customHeight="true" outlineLevel="0" collapsed="false">
      <c r="A357" s="41"/>
      <c r="B357" s="42"/>
      <c r="C357" s="42"/>
      <c r="D357" s="42"/>
      <c r="E357" s="43"/>
      <c r="F357" s="43" t="str">
        <f aca="false">IF($B357="","",IF($D357="kg",N($E357),IF($D357="sacos",N($E357)*95,IF($D357="jabas",N($E357)*IFERROR(VLOOKUP($C357,LISTAS!$A$2:$B$12,2,0),0),""))))</f>
        <v/>
      </c>
      <c r="G357" s="42"/>
      <c r="H357" s="42"/>
      <c r="I357" s="1" t="n">
        <f aca="false">N($F357)</f>
        <v>0</v>
      </c>
    </row>
    <row r="358" customFormat="false" ht="15" hidden="false" customHeight="true" outlineLevel="0" collapsed="false">
      <c r="A358" s="41"/>
      <c r="B358" s="42"/>
      <c r="C358" s="42"/>
      <c r="D358" s="42"/>
      <c r="E358" s="43"/>
      <c r="F358" s="43" t="str">
        <f aca="false">IF($B358="","",IF($D358="kg",N($E358),IF($D358="sacos",N($E358)*95,IF($D358="jabas",N($E358)*IFERROR(VLOOKUP($C358,LISTAS!$A$2:$B$12,2,0),0),""))))</f>
        <v/>
      </c>
      <c r="G358" s="42"/>
      <c r="H358" s="42"/>
      <c r="I358" s="1" t="n">
        <f aca="false">N($F358)</f>
        <v>0</v>
      </c>
    </row>
    <row r="359" customFormat="false" ht="15" hidden="false" customHeight="true" outlineLevel="0" collapsed="false">
      <c r="A359" s="41"/>
      <c r="B359" s="42"/>
      <c r="C359" s="42"/>
      <c r="D359" s="42"/>
      <c r="E359" s="43"/>
      <c r="F359" s="43" t="str">
        <f aca="false">IF($B359="","",IF($D359="kg",N($E359),IF($D359="sacos",N($E359)*95,IF($D359="jabas",N($E359)*IFERROR(VLOOKUP($C359,LISTAS!$A$2:$B$12,2,0),0),""))))</f>
        <v/>
      </c>
      <c r="G359" s="42"/>
      <c r="H359" s="42"/>
      <c r="I359" s="1" t="n">
        <f aca="false">N($F359)</f>
        <v>0</v>
      </c>
    </row>
    <row r="360" customFormat="false" ht="15" hidden="false" customHeight="true" outlineLevel="0" collapsed="false">
      <c r="A360" s="41"/>
      <c r="B360" s="42"/>
      <c r="C360" s="42"/>
      <c r="D360" s="42"/>
      <c r="E360" s="43"/>
      <c r="F360" s="43" t="str">
        <f aca="false">IF($B360="","",IF($D360="kg",N($E360),IF($D360="sacos",N($E360)*95,IF($D360="jabas",N($E360)*IFERROR(VLOOKUP($C360,LISTAS!$A$2:$B$12,2,0),0),""))))</f>
        <v/>
      </c>
      <c r="G360" s="42"/>
      <c r="H360" s="42"/>
      <c r="I360" s="1" t="n">
        <f aca="false">N($F360)</f>
        <v>0</v>
      </c>
    </row>
    <row r="361" customFormat="false" ht="15" hidden="false" customHeight="true" outlineLevel="0" collapsed="false">
      <c r="A361" s="41"/>
      <c r="B361" s="42"/>
      <c r="C361" s="42"/>
      <c r="D361" s="42"/>
      <c r="E361" s="43"/>
      <c r="F361" s="43" t="str">
        <f aca="false">IF($B361="","",IF($D361="kg",N($E361),IF($D361="sacos",N($E361)*95,IF($D361="jabas",N($E361)*IFERROR(VLOOKUP($C361,LISTAS!$A$2:$B$12,2,0),0),""))))</f>
        <v/>
      </c>
      <c r="G361" s="42"/>
      <c r="H361" s="42"/>
      <c r="I361" s="1" t="n">
        <f aca="false">N($F361)</f>
        <v>0</v>
      </c>
    </row>
    <row r="362" customFormat="false" ht="15" hidden="false" customHeight="true" outlineLevel="0" collapsed="false">
      <c r="A362" s="41"/>
      <c r="B362" s="42"/>
      <c r="C362" s="42"/>
      <c r="D362" s="42"/>
      <c r="E362" s="43"/>
      <c r="F362" s="43" t="str">
        <f aca="false">IF($B362="","",IF($D362="kg",N($E362),IF($D362="sacos",N($E362)*95,IF($D362="jabas",N($E362)*IFERROR(VLOOKUP($C362,LISTAS!$A$2:$B$12,2,0),0),""))))</f>
        <v/>
      </c>
      <c r="G362" s="42"/>
      <c r="H362" s="42"/>
      <c r="I362" s="1" t="n">
        <f aca="false">N($F362)</f>
        <v>0</v>
      </c>
    </row>
    <row r="363" customFormat="false" ht="15" hidden="false" customHeight="true" outlineLevel="0" collapsed="false">
      <c r="A363" s="41"/>
      <c r="B363" s="42"/>
      <c r="C363" s="42"/>
      <c r="D363" s="42"/>
      <c r="E363" s="43"/>
      <c r="F363" s="43" t="str">
        <f aca="false">IF($B363="","",IF($D363="kg",N($E363),IF($D363="sacos",N($E363)*95,IF($D363="jabas",N($E363)*IFERROR(VLOOKUP($C363,LISTAS!$A$2:$B$12,2,0),0),""))))</f>
        <v/>
      </c>
      <c r="G363" s="42"/>
      <c r="H363" s="42"/>
      <c r="I363" s="1" t="n">
        <f aca="false">N($F363)</f>
        <v>0</v>
      </c>
    </row>
    <row r="364" customFormat="false" ht="15" hidden="false" customHeight="true" outlineLevel="0" collapsed="false">
      <c r="A364" s="41"/>
      <c r="B364" s="42"/>
      <c r="C364" s="42"/>
      <c r="D364" s="42"/>
      <c r="E364" s="43"/>
      <c r="F364" s="43" t="str">
        <f aca="false">IF($B364="","",IF($D364="kg",N($E364),IF($D364="sacos",N($E364)*95,IF($D364="jabas",N($E364)*IFERROR(VLOOKUP($C364,LISTAS!$A$2:$B$12,2,0),0),""))))</f>
        <v/>
      </c>
      <c r="G364" s="42"/>
      <c r="H364" s="42"/>
      <c r="I364" s="1" t="n">
        <f aca="false">N($F364)</f>
        <v>0</v>
      </c>
    </row>
    <row r="365" customFormat="false" ht="15" hidden="false" customHeight="true" outlineLevel="0" collapsed="false">
      <c r="A365" s="41"/>
      <c r="B365" s="42"/>
      <c r="C365" s="42"/>
      <c r="D365" s="42"/>
      <c r="E365" s="43"/>
      <c r="F365" s="43" t="str">
        <f aca="false">IF($B365="","",IF($D365="kg",N($E365),IF($D365="sacos",N($E365)*95,IF($D365="jabas",N($E365)*IFERROR(VLOOKUP($C365,LISTAS!$A$2:$B$12,2,0),0),""))))</f>
        <v/>
      </c>
      <c r="G365" s="42"/>
      <c r="H365" s="42"/>
      <c r="I365" s="1" t="n">
        <f aca="false">N($F365)</f>
        <v>0</v>
      </c>
    </row>
    <row r="366" customFormat="false" ht="15" hidden="false" customHeight="true" outlineLevel="0" collapsed="false">
      <c r="A366" s="41"/>
      <c r="B366" s="42"/>
      <c r="C366" s="42"/>
      <c r="D366" s="42"/>
      <c r="E366" s="43"/>
      <c r="F366" s="43" t="str">
        <f aca="false">IF($B366="","",IF($D366="kg",N($E366),IF($D366="sacos",N($E366)*95,IF($D366="jabas",N($E366)*IFERROR(VLOOKUP($C366,LISTAS!$A$2:$B$12,2,0),0),""))))</f>
        <v/>
      </c>
      <c r="G366" s="42"/>
      <c r="H366" s="42"/>
      <c r="I366" s="1" t="n">
        <f aca="false">N($F366)</f>
        <v>0</v>
      </c>
    </row>
    <row r="367" customFormat="false" ht="15" hidden="false" customHeight="true" outlineLevel="0" collapsed="false">
      <c r="A367" s="41"/>
      <c r="B367" s="42"/>
      <c r="C367" s="42"/>
      <c r="D367" s="42"/>
      <c r="E367" s="43"/>
      <c r="F367" s="43" t="str">
        <f aca="false">IF($B367="","",IF($D367="kg",N($E367),IF($D367="sacos",N($E367)*95,IF($D367="jabas",N($E367)*IFERROR(VLOOKUP($C367,LISTAS!$A$2:$B$12,2,0),0),""))))</f>
        <v/>
      </c>
      <c r="G367" s="42"/>
      <c r="H367" s="42"/>
      <c r="I367" s="1" t="n">
        <f aca="false">N($F367)</f>
        <v>0</v>
      </c>
    </row>
    <row r="368" customFormat="false" ht="15" hidden="false" customHeight="true" outlineLevel="0" collapsed="false">
      <c r="A368" s="41"/>
      <c r="B368" s="42"/>
      <c r="C368" s="42"/>
      <c r="D368" s="42"/>
      <c r="E368" s="43"/>
      <c r="F368" s="43" t="str">
        <f aca="false">IF($B368="","",IF($D368="kg",N($E368),IF($D368="sacos",N($E368)*95,IF($D368="jabas",N($E368)*IFERROR(VLOOKUP($C368,LISTAS!$A$2:$B$12,2,0),0),""))))</f>
        <v/>
      </c>
      <c r="G368" s="42"/>
      <c r="H368" s="42"/>
      <c r="I368" s="1" t="n">
        <f aca="false">N($F368)</f>
        <v>0</v>
      </c>
    </row>
    <row r="369" customFormat="false" ht="15" hidden="false" customHeight="true" outlineLevel="0" collapsed="false">
      <c r="A369" s="41"/>
      <c r="B369" s="42"/>
      <c r="C369" s="42"/>
      <c r="D369" s="42"/>
      <c r="E369" s="43"/>
      <c r="F369" s="43" t="str">
        <f aca="false">IF($B369="","",IF($D369="kg",N($E369),IF($D369="sacos",N($E369)*95,IF($D369="jabas",N($E369)*IFERROR(VLOOKUP($C369,LISTAS!$A$2:$B$12,2,0),0),""))))</f>
        <v/>
      </c>
      <c r="G369" s="42"/>
      <c r="H369" s="42"/>
      <c r="I369" s="1" t="n">
        <f aca="false">N($F369)</f>
        <v>0</v>
      </c>
    </row>
    <row r="370" customFormat="false" ht="15" hidden="false" customHeight="true" outlineLevel="0" collapsed="false">
      <c r="A370" s="41"/>
      <c r="B370" s="42"/>
      <c r="C370" s="42"/>
      <c r="D370" s="42"/>
      <c r="E370" s="43"/>
      <c r="F370" s="43" t="str">
        <f aca="false">IF($B370="","",IF($D370="kg",N($E370),IF($D370="sacos",N($E370)*95,IF($D370="jabas",N($E370)*IFERROR(VLOOKUP($C370,LISTAS!$A$2:$B$12,2,0),0),""))))</f>
        <v/>
      </c>
      <c r="G370" s="42"/>
      <c r="H370" s="42"/>
      <c r="I370" s="1" t="n">
        <f aca="false">N($F370)</f>
        <v>0</v>
      </c>
    </row>
    <row r="371" customFormat="false" ht="15" hidden="false" customHeight="true" outlineLevel="0" collapsed="false">
      <c r="A371" s="41"/>
      <c r="B371" s="42"/>
      <c r="C371" s="42"/>
      <c r="D371" s="42"/>
      <c r="E371" s="43"/>
      <c r="F371" s="43" t="str">
        <f aca="false">IF($B371="","",IF($D371="kg",N($E371),IF($D371="sacos",N($E371)*95,IF($D371="jabas",N($E371)*IFERROR(VLOOKUP($C371,LISTAS!$A$2:$B$12,2,0),0),""))))</f>
        <v/>
      </c>
      <c r="G371" s="42"/>
      <c r="H371" s="42"/>
      <c r="I371" s="1" t="n">
        <f aca="false">N($F371)</f>
        <v>0</v>
      </c>
    </row>
    <row r="372" customFormat="false" ht="15" hidden="false" customHeight="true" outlineLevel="0" collapsed="false">
      <c r="A372" s="41"/>
      <c r="B372" s="42"/>
      <c r="C372" s="42"/>
      <c r="D372" s="42"/>
      <c r="E372" s="43"/>
      <c r="F372" s="43" t="str">
        <f aca="false">IF($B372="","",IF($D372="kg",N($E372),IF($D372="sacos",N($E372)*95,IF($D372="jabas",N($E372)*IFERROR(VLOOKUP($C372,LISTAS!$A$2:$B$12,2,0),0),""))))</f>
        <v/>
      </c>
      <c r="G372" s="42"/>
      <c r="H372" s="42"/>
      <c r="I372" s="1" t="n">
        <f aca="false">N($F372)</f>
        <v>0</v>
      </c>
    </row>
    <row r="373" customFormat="false" ht="15" hidden="false" customHeight="true" outlineLevel="0" collapsed="false">
      <c r="A373" s="41"/>
      <c r="B373" s="42"/>
      <c r="C373" s="42"/>
      <c r="D373" s="42"/>
      <c r="E373" s="43"/>
      <c r="F373" s="43" t="str">
        <f aca="false">IF($B373="","",IF($D373="kg",N($E373),IF($D373="sacos",N($E373)*95,IF($D373="jabas",N($E373)*IFERROR(VLOOKUP($C373,LISTAS!$A$2:$B$12,2,0),0),""))))</f>
        <v/>
      </c>
      <c r="G373" s="42"/>
      <c r="H373" s="42"/>
      <c r="I373" s="1" t="n">
        <f aca="false">N($F373)</f>
        <v>0</v>
      </c>
    </row>
    <row r="374" customFormat="false" ht="15" hidden="false" customHeight="true" outlineLevel="0" collapsed="false">
      <c r="A374" s="41"/>
      <c r="B374" s="42"/>
      <c r="C374" s="42"/>
      <c r="D374" s="42"/>
      <c r="E374" s="43"/>
      <c r="F374" s="43" t="str">
        <f aca="false">IF($B374="","",IF($D374="kg",N($E374),IF($D374="sacos",N($E374)*95,IF($D374="jabas",N($E374)*IFERROR(VLOOKUP($C374,LISTAS!$A$2:$B$12,2,0),0),""))))</f>
        <v/>
      </c>
      <c r="G374" s="42"/>
      <c r="H374" s="42"/>
      <c r="I374" s="1" t="n">
        <f aca="false">N($F374)</f>
        <v>0</v>
      </c>
    </row>
    <row r="375" customFormat="false" ht="15" hidden="false" customHeight="true" outlineLevel="0" collapsed="false">
      <c r="A375" s="41"/>
      <c r="B375" s="42"/>
      <c r="C375" s="42"/>
      <c r="D375" s="42"/>
      <c r="E375" s="43"/>
      <c r="F375" s="43" t="str">
        <f aca="false">IF($B375="","",IF($D375="kg",N($E375),IF($D375="sacos",N($E375)*95,IF($D375="jabas",N($E375)*IFERROR(VLOOKUP($C375,LISTAS!$A$2:$B$12,2,0),0),""))))</f>
        <v/>
      </c>
      <c r="G375" s="42"/>
      <c r="H375" s="42"/>
      <c r="I375" s="1" t="n">
        <f aca="false">N($F375)</f>
        <v>0</v>
      </c>
    </row>
    <row r="376" customFormat="false" ht="15" hidden="false" customHeight="true" outlineLevel="0" collapsed="false">
      <c r="A376" s="41"/>
      <c r="B376" s="42"/>
      <c r="C376" s="42"/>
      <c r="D376" s="42"/>
      <c r="E376" s="43"/>
      <c r="F376" s="43" t="str">
        <f aca="false">IF($B376="","",IF($D376="kg",N($E376),IF($D376="sacos",N($E376)*95,IF($D376="jabas",N($E376)*IFERROR(VLOOKUP($C376,LISTAS!$A$2:$B$12,2,0),0),""))))</f>
        <v/>
      </c>
      <c r="G376" s="42"/>
      <c r="H376" s="42"/>
      <c r="I376" s="1" t="n">
        <f aca="false">N($F376)</f>
        <v>0</v>
      </c>
    </row>
    <row r="377" customFormat="false" ht="15" hidden="false" customHeight="true" outlineLevel="0" collapsed="false">
      <c r="A377" s="41"/>
      <c r="B377" s="42"/>
      <c r="C377" s="42"/>
      <c r="D377" s="42"/>
      <c r="E377" s="43"/>
      <c r="F377" s="43" t="str">
        <f aca="false">IF($B377="","",IF($D377="kg",N($E377),IF($D377="sacos",N($E377)*95,IF($D377="jabas",N($E377)*IFERROR(VLOOKUP($C377,LISTAS!$A$2:$B$12,2,0),0),""))))</f>
        <v/>
      </c>
      <c r="G377" s="42"/>
      <c r="H377" s="42"/>
      <c r="I377" s="1" t="n">
        <f aca="false">N($F377)</f>
        <v>0</v>
      </c>
    </row>
    <row r="378" customFormat="false" ht="15" hidden="false" customHeight="true" outlineLevel="0" collapsed="false">
      <c r="A378" s="41"/>
      <c r="B378" s="42"/>
      <c r="C378" s="42"/>
      <c r="D378" s="42"/>
      <c r="E378" s="43"/>
      <c r="F378" s="43" t="str">
        <f aca="false">IF($B378="","",IF($D378="kg",N($E378),IF($D378="sacos",N($E378)*95,IF($D378="jabas",N($E378)*IFERROR(VLOOKUP($C378,LISTAS!$A$2:$B$12,2,0),0),""))))</f>
        <v/>
      </c>
      <c r="G378" s="42"/>
      <c r="H378" s="42"/>
      <c r="I378" s="1" t="n">
        <f aca="false">N($F378)</f>
        <v>0</v>
      </c>
    </row>
    <row r="379" customFormat="false" ht="15" hidden="false" customHeight="true" outlineLevel="0" collapsed="false">
      <c r="A379" s="41"/>
      <c r="B379" s="42"/>
      <c r="C379" s="42"/>
      <c r="D379" s="42"/>
      <c r="E379" s="43"/>
      <c r="F379" s="43" t="str">
        <f aca="false">IF($B379="","",IF($D379="kg",N($E379),IF($D379="sacos",N($E379)*95,IF($D379="jabas",N($E379)*IFERROR(VLOOKUP($C379,LISTAS!$A$2:$B$12,2,0),0),""))))</f>
        <v/>
      </c>
      <c r="G379" s="42"/>
      <c r="H379" s="42"/>
      <c r="I379" s="1" t="n">
        <f aca="false">N($F379)</f>
        <v>0</v>
      </c>
    </row>
    <row r="380" customFormat="false" ht="15" hidden="false" customHeight="true" outlineLevel="0" collapsed="false">
      <c r="A380" s="41"/>
      <c r="B380" s="42"/>
      <c r="C380" s="42"/>
      <c r="D380" s="42"/>
      <c r="E380" s="43"/>
      <c r="F380" s="43" t="str">
        <f aca="false">IF($B380="","",IF($D380="kg",N($E380),IF($D380="sacos",N($E380)*95,IF($D380="jabas",N($E380)*IFERROR(VLOOKUP($C380,LISTAS!$A$2:$B$12,2,0),0),""))))</f>
        <v/>
      </c>
      <c r="G380" s="42"/>
      <c r="H380" s="42"/>
      <c r="I380" s="1" t="n">
        <f aca="false">N($F380)</f>
        <v>0</v>
      </c>
    </row>
    <row r="381" customFormat="false" ht="15" hidden="false" customHeight="true" outlineLevel="0" collapsed="false">
      <c r="A381" s="41"/>
      <c r="B381" s="42"/>
      <c r="C381" s="42"/>
      <c r="D381" s="42"/>
      <c r="E381" s="43"/>
      <c r="F381" s="43" t="str">
        <f aca="false">IF($B381="","",IF($D381="kg",N($E381),IF($D381="sacos",N($E381)*95,IF($D381="jabas",N($E381)*IFERROR(VLOOKUP($C381,LISTAS!$A$2:$B$12,2,0),0),""))))</f>
        <v/>
      </c>
      <c r="G381" s="42"/>
      <c r="H381" s="42"/>
      <c r="I381" s="1" t="n">
        <f aca="false">N($F381)</f>
        <v>0</v>
      </c>
    </row>
    <row r="382" customFormat="false" ht="15" hidden="false" customHeight="true" outlineLevel="0" collapsed="false">
      <c r="A382" s="41"/>
      <c r="B382" s="42"/>
      <c r="C382" s="42"/>
      <c r="D382" s="42"/>
      <c r="E382" s="43"/>
      <c r="F382" s="43" t="str">
        <f aca="false">IF($B382="","",IF($D382="kg",N($E382),IF($D382="sacos",N($E382)*95,IF($D382="jabas",N($E382)*IFERROR(VLOOKUP($C382,LISTAS!$A$2:$B$12,2,0),0),""))))</f>
        <v/>
      </c>
      <c r="G382" s="42"/>
      <c r="H382" s="42"/>
      <c r="I382" s="1" t="n">
        <f aca="false">N($F382)</f>
        <v>0</v>
      </c>
    </row>
    <row r="383" customFormat="false" ht="15" hidden="false" customHeight="true" outlineLevel="0" collapsed="false">
      <c r="A383" s="41"/>
      <c r="B383" s="42"/>
      <c r="C383" s="42"/>
      <c r="D383" s="42"/>
      <c r="E383" s="43"/>
      <c r="F383" s="43" t="str">
        <f aca="false">IF($B383="","",IF($D383="kg",N($E383),IF($D383="sacos",N($E383)*95,IF($D383="jabas",N($E383)*IFERROR(VLOOKUP($C383,LISTAS!$A$2:$B$12,2,0),0),""))))</f>
        <v/>
      </c>
      <c r="G383" s="42"/>
      <c r="H383" s="42"/>
      <c r="I383" s="1" t="n">
        <f aca="false">N($F383)</f>
        <v>0</v>
      </c>
    </row>
    <row r="384" customFormat="false" ht="15" hidden="false" customHeight="true" outlineLevel="0" collapsed="false">
      <c r="A384" s="41"/>
      <c r="B384" s="42"/>
      <c r="C384" s="42"/>
      <c r="D384" s="42"/>
      <c r="E384" s="43"/>
      <c r="F384" s="43" t="str">
        <f aca="false">IF($B384="","",IF($D384="kg",N($E384),IF($D384="sacos",N($E384)*95,IF($D384="jabas",N($E384)*IFERROR(VLOOKUP($C384,LISTAS!$A$2:$B$12,2,0),0),""))))</f>
        <v/>
      </c>
      <c r="G384" s="42"/>
      <c r="H384" s="42"/>
      <c r="I384" s="1" t="n">
        <f aca="false">N($F384)</f>
        <v>0</v>
      </c>
    </row>
    <row r="385" customFormat="false" ht="15" hidden="false" customHeight="true" outlineLevel="0" collapsed="false">
      <c r="A385" s="41"/>
      <c r="B385" s="42"/>
      <c r="C385" s="42"/>
      <c r="D385" s="42"/>
      <c r="E385" s="43"/>
      <c r="F385" s="43" t="str">
        <f aca="false">IF($B385="","",IF($D385="kg",N($E385),IF($D385="sacos",N($E385)*95,IF($D385="jabas",N($E385)*IFERROR(VLOOKUP($C385,LISTAS!$A$2:$B$12,2,0),0),""))))</f>
        <v/>
      </c>
      <c r="G385" s="42"/>
      <c r="H385" s="42"/>
      <c r="I385" s="1" t="n">
        <f aca="false">N($F385)</f>
        <v>0</v>
      </c>
    </row>
    <row r="386" customFormat="false" ht="15" hidden="false" customHeight="true" outlineLevel="0" collapsed="false">
      <c r="A386" s="41"/>
      <c r="B386" s="42"/>
      <c r="C386" s="42"/>
      <c r="D386" s="42"/>
      <c r="E386" s="43"/>
      <c r="F386" s="43" t="str">
        <f aca="false">IF($B386="","",IF($D386="kg",N($E386),IF($D386="sacos",N($E386)*95,IF($D386="jabas",N($E386)*IFERROR(VLOOKUP($C386,LISTAS!$A$2:$B$12,2,0),0),""))))</f>
        <v/>
      </c>
      <c r="G386" s="42"/>
      <c r="H386" s="42"/>
      <c r="I386" s="1" t="n">
        <f aca="false">N($F386)</f>
        <v>0</v>
      </c>
    </row>
    <row r="387" customFormat="false" ht="15" hidden="false" customHeight="true" outlineLevel="0" collapsed="false">
      <c r="A387" s="41"/>
      <c r="B387" s="42"/>
      <c r="C387" s="42"/>
      <c r="D387" s="42"/>
      <c r="E387" s="43"/>
      <c r="F387" s="43" t="str">
        <f aca="false">IF($B387="","",IF($D387="kg",N($E387),IF($D387="sacos",N($E387)*95,IF($D387="jabas",N($E387)*IFERROR(VLOOKUP($C387,LISTAS!$A$2:$B$12,2,0),0),""))))</f>
        <v/>
      </c>
      <c r="G387" s="42"/>
      <c r="H387" s="42"/>
      <c r="I387" s="1" t="n">
        <f aca="false">N($F387)</f>
        <v>0</v>
      </c>
    </row>
    <row r="388" customFormat="false" ht="15" hidden="false" customHeight="true" outlineLevel="0" collapsed="false">
      <c r="A388" s="41"/>
      <c r="B388" s="42"/>
      <c r="C388" s="42"/>
      <c r="D388" s="42"/>
      <c r="E388" s="43"/>
      <c r="F388" s="43" t="str">
        <f aca="false">IF($B388="","",IF($D388="kg",N($E388),IF($D388="sacos",N($E388)*95,IF($D388="jabas",N($E388)*IFERROR(VLOOKUP($C388,LISTAS!$A$2:$B$12,2,0),0),""))))</f>
        <v/>
      </c>
      <c r="G388" s="42"/>
      <c r="H388" s="42"/>
      <c r="I388" s="1" t="n">
        <f aca="false">N($F388)</f>
        <v>0</v>
      </c>
    </row>
    <row r="389" customFormat="false" ht="15" hidden="false" customHeight="true" outlineLevel="0" collapsed="false">
      <c r="A389" s="41"/>
      <c r="B389" s="42"/>
      <c r="C389" s="42"/>
      <c r="D389" s="42"/>
      <c r="E389" s="43"/>
      <c r="F389" s="43" t="str">
        <f aca="false">IF($B389="","",IF($D389="kg",N($E389),IF($D389="sacos",N($E389)*95,IF($D389="jabas",N($E389)*IFERROR(VLOOKUP($C389,LISTAS!$A$2:$B$12,2,0),0),""))))</f>
        <v/>
      </c>
      <c r="G389" s="42"/>
      <c r="H389" s="42"/>
      <c r="I389" s="1" t="n">
        <f aca="false">N($F389)</f>
        <v>0</v>
      </c>
    </row>
    <row r="390" customFormat="false" ht="15" hidden="false" customHeight="true" outlineLevel="0" collapsed="false">
      <c r="A390" s="41"/>
      <c r="B390" s="42"/>
      <c r="C390" s="42"/>
      <c r="D390" s="42"/>
      <c r="E390" s="43"/>
      <c r="F390" s="43" t="str">
        <f aca="false">IF($B390="","",IF($D390="kg",N($E390),IF($D390="sacos",N($E390)*95,IF($D390="jabas",N($E390)*IFERROR(VLOOKUP($C390,LISTAS!$A$2:$B$12,2,0),0),""))))</f>
        <v/>
      </c>
      <c r="G390" s="42"/>
      <c r="H390" s="42"/>
      <c r="I390" s="1" t="n">
        <f aca="false">N($F390)</f>
        <v>0</v>
      </c>
    </row>
    <row r="391" customFormat="false" ht="15" hidden="false" customHeight="true" outlineLevel="0" collapsed="false">
      <c r="A391" s="41"/>
      <c r="B391" s="42"/>
      <c r="C391" s="42"/>
      <c r="D391" s="42"/>
      <c r="E391" s="43"/>
      <c r="F391" s="43" t="str">
        <f aca="false">IF($B391="","",IF($D391="kg",N($E391),IF($D391="sacos",N($E391)*95,IF($D391="jabas",N($E391)*IFERROR(VLOOKUP($C391,LISTAS!$A$2:$B$12,2,0),0),""))))</f>
        <v/>
      </c>
      <c r="G391" s="42"/>
      <c r="H391" s="42"/>
      <c r="I391" s="1" t="n">
        <f aca="false">N($F391)</f>
        <v>0</v>
      </c>
    </row>
    <row r="392" customFormat="false" ht="15" hidden="false" customHeight="true" outlineLevel="0" collapsed="false">
      <c r="A392" s="41"/>
      <c r="B392" s="42"/>
      <c r="C392" s="42"/>
      <c r="D392" s="42"/>
      <c r="E392" s="43"/>
      <c r="F392" s="43" t="str">
        <f aca="false">IF($B392="","",IF($D392="kg",N($E392),IF($D392="sacos",N($E392)*95,IF($D392="jabas",N($E392)*IFERROR(VLOOKUP($C392,LISTAS!$A$2:$B$12,2,0),0),""))))</f>
        <v/>
      </c>
      <c r="G392" s="42"/>
      <c r="H392" s="42"/>
      <c r="I392" s="1" t="n">
        <f aca="false">N($F392)</f>
        <v>0</v>
      </c>
    </row>
    <row r="393" customFormat="false" ht="15" hidden="false" customHeight="true" outlineLevel="0" collapsed="false">
      <c r="A393" s="41"/>
      <c r="B393" s="42"/>
      <c r="C393" s="42"/>
      <c r="D393" s="42"/>
      <c r="E393" s="43"/>
      <c r="F393" s="43" t="str">
        <f aca="false">IF($B393="","",IF($D393="kg",N($E393),IF($D393="sacos",N($E393)*95,IF($D393="jabas",N($E393)*IFERROR(VLOOKUP($C393,LISTAS!$A$2:$B$12,2,0),0),""))))</f>
        <v/>
      </c>
      <c r="G393" s="42"/>
      <c r="H393" s="42"/>
      <c r="I393" s="1" t="n">
        <f aca="false">N($F393)</f>
        <v>0</v>
      </c>
    </row>
    <row r="394" customFormat="false" ht="15" hidden="false" customHeight="true" outlineLevel="0" collapsed="false">
      <c r="A394" s="41"/>
      <c r="B394" s="42"/>
      <c r="C394" s="42"/>
      <c r="D394" s="42"/>
      <c r="E394" s="43"/>
      <c r="F394" s="43" t="str">
        <f aca="false">IF($B394="","",IF($D394="kg",N($E394),IF($D394="sacos",N($E394)*95,IF($D394="jabas",N($E394)*IFERROR(VLOOKUP($C394,LISTAS!$A$2:$B$12,2,0),0),""))))</f>
        <v/>
      </c>
      <c r="G394" s="42"/>
      <c r="H394" s="42"/>
      <c r="I394" s="1" t="n">
        <f aca="false">N($F394)</f>
        <v>0</v>
      </c>
    </row>
    <row r="395" customFormat="false" ht="15" hidden="false" customHeight="true" outlineLevel="0" collapsed="false">
      <c r="A395" s="41"/>
      <c r="B395" s="42"/>
      <c r="C395" s="42"/>
      <c r="D395" s="42"/>
      <c r="E395" s="43"/>
      <c r="F395" s="43" t="str">
        <f aca="false">IF($B395="","",IF($D395="kg",N($E395),IF($D395="sacos",N($E395)*95,IF($D395="jabas",N($E395)*IFERROR(VLOOKUP($C395,LISTAS!$A$2:$B$12,2,0),0),""))))</f>
        <v/>
      </c>
      <c r="G395" s="42"/>
      <c r="H395" s="42"/>
      <c r="I395" s="1" t="n">
        <f aca="false">N($F395)</f>
        <v>0</v>
      </c>
    </row>
    <row r="396" customFormat="false" ht="15" hidden="false" customHeight="true" outlineLevel="0" collapsed="false">
      <c r="A396" s="41"/>
      <c r="B396" s="42"/>
      <c r="C396" s="42"/>
      <c r="D396" s="42"/>
      <c r="E396" s="43"/>
      <c r="F396" s="43" t="str">
        <f aca="false">IF($B396="","",IF($D396="kg",N($E396),IF($D396="sacos",N($E396)*95,IF($D396="jabas",N($E396)*IFERROR(VLOOKUP($C396,LISTAS!$A$2:$B$12,2,0),0),""))))</f>
        <v/>
      </c>
      <c r="G396" s="42"/>
      <c r="H396" s="42"/>
      <c r="I396" s="1" t="n">
        <f aca="false">N($F396)</f>
        <v>0</v>
      </c>
    </row>
    <row r="397" customFormat="false" ht="15" hidden="false" customHeight="true" outlineLevel="0" collapsed="false">
      <c r="A397" s="41"/>
      <c r="B397" s="42"/>
      <c r="C397" s="42"/>
      <c r="D397" s="42"/>
      <c r="E397" s="43"/>
      <c r="F397" s="43" t="str">
        <f aca="false">IF($B397="","",IF($D397="kg",N($E397),IF($D397="sacos",N($E397)*95,IF($D397="jabas",N($E397)*IFERROR(VLOOKUP($C397,LISTAS!$A$2:$B$12,2,0),0),""))))</f>
        <v/>
      </c>
      <c r="G397" s="42"/>
      <c r="H397" s="42"/>
      <c r="I397" s="1" t="n">
        <f aca="false">N($F397)</f>
        <v>0</v>
      </c>
    </row>
    <row r="398" customFormat="false" ht="15" hidden="false" customHeight="true" outlineLevel="0" collapsed="false">
      <c r="A398" s="41"/>
      <c r="B398" s="42"/>
      <c r="C398" s="42"/>
      <c r="D398" s="42"/>
      <c r="E398" s="43"/>
      <c r="F398" s="43" t="str">
        <f aca="false">IF($B398="","",IF($D398="kg",N($E398),IF($D398="sacos",N($E398)*95,IF($D398="jabas",N($E398)*IFERROR(VLOOKUP($C398,LISTAS!$A$2:$B$12,2,0),0),""))))</f>
        <v/>
      </c>
      <c r="G398" s="42"/>
      <c r="H398" s="42"/>
      <c r="I398" s="1" t="n">
        <f aca="false">N($F398)</f>
        <v>0</v>
      </c>
    </row>
    <row r="399" customFormat="false" ht="15" hidden="false" customHeight="true" outlineLevel="0" collapsed="false">
      <c r="A399" s="41"/>
      <c r="B399" s="42"/>
      <c r="C399" s="42"/>
      <c r="D399" s="42"/>
      <c r="E399" s="43"/>
      <c r="F399" s="43" t="str">
        <f aca="false">IF($B399="","",IF($D399="kg",N($E399),IF($D399="sacos",N($E399)*95,IF($D399="jabas",N($E399)*IFERROR(VLOOKUP($C399,LISTAS!$A$2:$B$12,2,0),0),""))))</f>
        <v/>
      </c>
      <c r="G399" s="42"/>
      <c r="H399" s="42"/>
      <c r="I399" s="1" t="n">
        <f aca="false">N($F399)</f>
        <v>0</v>
      </c>
    </row>
    <row r="400" customFormat="false" ht="15" hidden="false" customHeight="true" outlineLevel="0" collapsed="false">
      <c r="A400" s="41"/>
      <c r="B400" s="42"/>
      <c r="C400" s="42"/>
      <c r="D400" s="42"/>
      <c r="E400" s="43"/>
      <c r="F400" s="43" t="str">
        <f aca="false">IF($B400="","",IF($D400="kg",N($E400),IF($D400="sacos",N($E400)*95,IF($D400="jabas",N($E400)*IFERROR(VLOOKUP($C400,LISTAS!$A$2:$B$12,2,0),0),""))))</f>
        <v/>
      </c>
      <c r="G400" s="42"/>
      <c r="H400" s="42"/>
      <c r="I400" s="1" t="n">
        <f aca="false">N($F400)</f>
        <v>0</v>
      </c>
    </row>
    <row r="401" customFormat="false" ht="15" hidden="false" customHeight="true" outlineLevel="0" collapsed="false">
      <c r="A401" s="44"/>
      <c r="B401" s="45"/>
      <c r="C401" s="45"/>
      <c r="D401" s="45"/>
      <c r="E401" s="46"/>
      <c r="F401" s="46" t="str">
        <f aca="false">IF($B401="","",IF($D401="kg",N($E401),IF($D401="sacos",N($E401)*95,IF($D401="jabas",N($E401)*IFERROR(VLOOKUP($C401,LISTAS!$A$2:$B$12,2,0),0),""))))</f>
        <v/>
      </c>
      <c r="G401" s="45"/>
      <c r="H401" s="45"/>
      <c r="I401" s="1" t="n">
        <f aca="false">N($F401)</f>
        <v>0</v>
      </c>
    </row>
    <row r="402" customFormat="false" ht="15" hidden="false" customHeight="true" outlineLevel="0" collapsed="false">
      <c r="A402" s="44"/>
      <c r="B402" s="45"/>
      <c r="C402" s="45"/>
      <c r="D402" s="45"/>
      <c r="E402" s="46"/>
      <c r="F402" s="46" t="str">
        <f aca="false">IF($B402="","",IF($D402="kg",N($E402),IF($D402="sacos",N($E402)*95,IF($D402="jabas",N($E402)*IFERROR(VLOOKUP($C402,LISTAS!$A$2:$B$12,2,0),0),""))))</f>
        <v/>
      </c>
      <c r="G402" s="45"/>
      <c r="H402" s="45"/>
      <c r="I402" s="1" t="n">
        <f aca="false">N($F402)</f>
        <v>0</v>
      </c>
    </row>
    <row r="403" customFormat="false" ht="15" hidden="false" customHeight="true" outlineLevel="0" collapsed="false">
      <c r="A403" s="44"/>
      <c r="B403" s="45"/>
      <c r="C403" s="45"/>
      <c r="D403" s="45"/>
      <c r="E403" s="46"/>
      <c r="F403" s="46" t="str">
        <f aca="false">IF($B403="","",IF($D403="kg",N($E403),IF($D403="sacos",N($E403)*95,IF($D403="jabas",N($E403)*IFERROR(VLOOKUP($C403,LISTAS!$A$2:$B$12,2,0),0),""))))</f>
        <v/>
      </c>
      <c r="G403" s="45"/>
      <c r="H403" s="45"/>
      <c r="I403" s="1" t="n">
        <f aca="false">N($F403)</f>
        <v>0</v>
      </c>
    </row>
    <row r="404" customFormat="false" ht="15" hidden="false" customHeight="true" outlineLevel="0" collapsed="false">
      <c r="A404" s="44"/>
      <c r="B404" s="45"/>
      <c r="C404" s="45"/>
      <c r="D404" s="45"/>
      <c r="E404" s="46"/>
      <c r="F404" s="46" t="str">
        <f aca="false">IF($B404="","",IF($D404="kg",N($E404),IF($D404="sacos",N($E404)*95,IF($D404="jabas",N($E404)*IFERROR(VLOOKUP($C404,LISTAS!$A$2:$B$12,2,0),0),""))))</f>
        <v/>
      </c>
      <c r="G404" s="45"/>
      <c r="H404" s="45"/>
      <c r="I404" s="1" t="n">
        <f aca="false">N($F404)</f>
        <v>0</v>
      </c>
    </row>
    <row r="405" customFormat="false" ht="15" hidden="false" customHeight="true" outlineLevel="0" collapsed="false">
      <c r="A405" s="44"/>
      <c r="B405" s="45"/>
      <c r="C405" s="45"/>
      <c r="D405" s="45"/>
      <c r="E405" s="46"/>
      <c r="F405" s="46" t="str">
        <f aca="false">IF($B405="","",IF($D405="kg",N($E405),IF($D405="sacos",N($E405)*95,IF($D405="jabas",N($E405)*IFERROR(VLOOKUP($C405,LISTAS!$A$2:$B$12,2,0),0),""))))</f>
        <v/>
      </c>
      <c r="G405" s="45"/>
      <c r="H405" s="45"/>
      <c r="I405" s="1" t="n">
        <f aca="false">N($F405)</f>
        <v>0</v>
      </c>
    </row>
    <row r="406" customFormat="false" ht="15" hidden="false" customHeight="true" outlineLevel="0" collapsed="false">
      <c r="A406" s="44"/>
      <c r="B406" s="45"/>
      <c r="C406" s="45"/>
      <c r="D406" s="45"/>
      <c r="E406" s="46"/>
      <c r="F406" s="46" t="str">
        <f aca="false">IF($B406="","",IF($D406="kg",N($E406),IF($D406="sacos",N($E406)*95,IF($D406="jabas",N($E406)*IFERROR(VLOOKUP($C406,LISTAS!$A$2:$B$12,2,0),0),""))))</f>
        <v/>
      </c>
      <c r="G406" s="45"/>
      <c r="H406" s="45"/>
      <c r="I406" s="1" t="n">
        <f aca="false">N($F406)</f>
        <v>0</v>
      </c>
    </row>
    <row r="407" customFormat="false" ht="15" hidden="false" customHeight="true" outlineLevel="0" collapsed="false">
      <c r="A407" s="44"/>
      <c r="B407" s="45"/>
      <c r="C407" s="45"/>
      <c r="D407" s="45"/>
      <c r="E407" s="46"/>
      <c r="F407" s="46" t="str">
        <f aca="false">IF($B407="","",IF($D407="kg",N($E407),IF($D407="sacos",N($E407)*95,IF($D407="jabas",N($E407)*IFERROR(VLOOKUP($C407,LISTAS!$A$2:$B$12,2,0),0),""))))</f>
        <v/>
      </c>
      <c r="G407" s="45"/>
      <c r="H407" s="45"/>
      <c r="I407" s="1" t="n">
        <f aca="false">N($F407)</f>
        <v>0</v>
      </c>
    </row>
    <row r="408" customFormat="false" ht="15" hidden="false" customHeight="true" outlineLevel="0" collapsed="false">
      <c r="A408" s="44"/>
      <c r="B408" s="45"/>
      <c r="C408" s="45"/>
      <c r="D408" s="45"/>
      <c r="E408" s="46"/>
      <c r="F408" s="46" t="str">
        <f aca="false">IF($B408="","",IF($D408="kg",N($E408),IF($D408="sacos",N($E408)*95,IF($D408="jabas",N($E408)*IFERROR(VLOOKUP($C408,LISTAS!$A$2:$B$12,2,0),0),""))))</f>
        <v/>
      </c>
      <c r="G408" s="45"/>
      <c r="H408" s="45"/>
      <c r="I408" s="1" t="n">
        <f aca="false">N($F408)</f>
        <v>0</v>
      </c>
    </row>
    <row r="409" customFormat="false" ht="15" hidden="false" customHeight="true" outlineLevel="0" collapsed="false">
      <c r="A409" s="44"/>
      <c r="B409" s="45"/>
      <c r="C409" s="45"/>
      <c r="D409" s="45"/>
      <c r="E409" s="46"/>
      <c r="F409" s="46" t="str">
        <f aca="false">IF($B409="","",IF($D409="kg",N($E409),IF($D409="sacos",N($E409)*95,IF($D409="jabas",N($E409)*IFERROR(VLOOKUP($C409,LISTAS!$A$2:$B$12,2,0),0),""))))</f>
        <v/>
      </c>
      <c r="G409" s="45"/>
      <c r="H409" s="45"/>
      <c r="I409" s="1" t="n">
        <f aca="false">N($F409)</f>
        <v>0</v>
      </c>
    </row>
    <row r="410" customFormat="false" ht="15" hidden="false" customHeight="true" outlineLevel="0" collapsed="false">
      <c r="A410" s="44"/>
      <c r="B410" s="45"/>
      <c r="C410" s="45"/>
      <c r="D410" s="45"/>
      <c r="E410" s="46"/>
      <c r="F410" s="46" t="str">
        <f aca="false">IF($B410="","",IF($D410="kg",N($E410),IF($D410="sacos",N($E410)*95,IF($D410="jabas",N($E410)*IFERROR(VLOOKUP($C410,LISTAS!$A$2:$B$12,2,0),0),""))))</f>
        <v/>
      </c>
      <c r="G410" s="45"/>
      <c r="H410" s="45"/>
      <c r="I410" s="1" t="n">
        <f aca="false">N($F410)</f>
        <v>0</v>
      </c>
    </row>
    <row r="411" customFormat="false" ht="15" hidden="false" customHeight="true" outlineLevel="0" collapsed="false">
      <c r="A411" s="44"/>
      <c r="B411" s="45"/>
      <c r="C411" s="45"/>
      <c r="D411" s="45"/>
      <c r="E411" s="46"/>
      <c r="F411" s="46" t="str">
        <f aca="false">IF($B411="","",IF($D411="kg",N($E411),IF($D411="sacos",N($E411)*95,IF($D411="jabas",N($E411)*IFERROR(VLOOKUP($C411,LISTAS!$A$2:$B$12,2,0),0),""))))</f>
        <v/>
      </c>
      <c r="G411" s="45"/>
      <c r="H411" s="45"/>
      <c r="I411" s="1" t="n">
        <f aca="false">N($F411)</f>
        <v>0</v>
      </c>
    </row>
    <row r="412" customFormat="false" ht="15" hidden="false" customHeight="true" outlineLevel="0" collapsed="false">
      <c r="A412" s="44"/>
      <c r="B412" s="45"/>
      <c r="C412" s="45"/>
      <c r="D412" s="45"/>
      <c r="E412" s="46"/>
      <c r="F412" s="46" t="str">
        <f aca="false">IF($B412="","",IF($D412="kg",N($E412),IF($D412="sacos",N($E412)*95,IF($D412="jabas",N($E412)*IFERROR(VLOOKUP($C412,LISTAS!$A$2:$B$12,2,0),0),""))))</f>
        <v/>
      </c>
      <c r="G412" s="45"/>
      <c r="H412" s="45"/>
      <c r="I412" s="1" t="n">
        <f aca="false">N($F412)</f>
        <v>0</v>
      </c>
    </row>
  </sheetData>
  <autoFilter ref="A4:H400"/>
  <mergeCells count="2">
    <mergeCell ref="A1:H1"/>
    <mergeCell ref="A2:H2"/>
  </mergeCells>
  <conditionalFormatting sqref="A5:H412">
    <cfRule type="expression" priority="2" aboveAverage="0" equalAverage="0" bottom="0" percent="0" rank="0" text="" dxfId="23">
      <formula>$B5="COMPRA"</formula>
    </cfRule>
    <cfRule type="expression" priority="3" aboveAverage="0" equalAverage="0" bottom="0" percent="0" rank="0" text="" dxfId="24">
      <formula>$B5="PROCESO"</formula>
    </cfRule>
    <cfRule type="expression" priority="4" aboveAverage="0" equalAverage="0" bottom="0" percent="0" rank="0" text="" dxfId="25">
      <formula>$B5="ENVÍO A SUPESA"</formula>
    </cfRule>
    <cfRule type="expression" priority="5" aboveAverage="0" equalAverage="0" bottom="0" percent="0" rank="0" text="" dxfId="26">
      <formula>$B5="VENTA"</formula>
    </cfRule>
    <cfRule type="expression" priority="6" aboveAverage="0" equalAverage="0" bottom="0" percent="0" rank="0" text="" dxfId="27">
      <formula>$B5="VENTA CHANCHO"</formula>
    </cfRule>
    <cfRule type="expression" priority="7" aboveAverage="0" equalAverage="0" bottom="0" percent="0" rank="0" text="" dxfId="28">
      <formula>$B5="DEVOLUCIÓN"</formula>
    </cfRule>
    <cfRule type="expression" priority="8" aboveAverage="0" equalAverage="0" bottom="0" percent="0" rank="0" text="" dxfId="29">
      <formula>$B5="REPROCESO"</formula>
    </cfRule>
    <cfRule type="expression" priority="9" aboveAverage="0" equalAverage="0" bottom="0" percent="0" rank="0" text="" dxfId="30">
      <formula>$B5="MALOGRADO"</formula>
    </cfRule>
    <cfRule type="expression" priority="10" aboveAverage="0" equalAverage="0" bottom="0" percent="0" rank="0" text="" dxfId="31">
      <formula>$B5="OTRA SALIDA"</formula>
    </cfRule>
    <cfRule type="expression" priority="11" aboveAverage="0" equalAverage="0" bottom="0" percent="0" rank="0" text="" dxfId="32">
      <formula>$B5="TRASIEGO"</formula>
    </cfRule>
    <cfRule type="expression" priority="12" aboveAverage="0" equalAverage="0" bottom="0" percent="0" rank="0" text="" dxfId="33">
      <formula>$B5="AJUSTE"</formula>
    </cfRule>
    <cfRule type="expression" priority="13" aboveAverage="0" equalAverage="0" bottom="0" percent="0" rank="0" text="" dxfId="34">
      <formula>$B5="REGALO"</formula>
    </cfRule>
    <cfRule type="expression" priority="14" aboveAverage="0" equalAverage="0" bottom="0" percent="0" rank="0" text="" dxfId="35">
      <formula>$B5="SALDO INICIAL"</formula>
    </cfRule>
  </conditionalFormatting>
  <dataValidations count="3">
    <dataValidation allowBlank="true" errorStyle="stop" operator="between" showDropDown="false" showErrorMessage="false" showInputMessage="false" sqref="B5:B400" type="list">
      <formula1>LISTAS!$D$2:$D$15</formula1>
      <formula2>0</formula2>
    </dataValidation>
    <dataValidation allowBlank="true" errorStyle="stop" operator="between" showDropDown="false" showErrorMessage="false" showInputMessage="false" sqref="C5:C400" type="list">
      <formula1>LISTAS!$F$2:$F$9</formula1>
      <formula2>0</formula2>
    </dataValidation>
    <dataValidation allowBlank="true" errorStyle="stop" operator="between" showDropDown="false" showErrorMessage="false" showInputMessage="false" sqref="D5:D4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AC090"/>
    <pageSetUpPr fitToPage="false"/>
  </sheetPr>
  <dimension ref="A1:N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B21" activeCellId="0" sqref="B2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9"/>
    <col collapsed="false" customWidth="true" hidden="false" outlineLevel="0" max="6" min="6" style="1" width="10"/>
    <col collapsed="false" customWidth="true" hidden="false" outlineLevel="0" max="7" min="7" style="1" width="9"/>
    <col collapsed="false" customWidth="true" hidden="false" outlineLevel="0" max="8" min="8" style="1" width="11"/>
    <col collapsed="false" customWidth="true" hidden="true" outlineLevel="0" max="12" min="10" style="1" width="13"/>
  </cols>
  <sheetData>
    <row r="1" customFormat="false" ht="21.75" hidden="false" customHeight="true" outlineLevel="0" collapsed="false">
      <c r="A1" s="47" t="s">
        <v>68</v>
      </c>
      <c r="B1" s="47"/>
      <c r="C1" s="47"/>
      <c r="D1" s="47"/>
      <c r="E1" s="47"/>
      <c r="F1" s="47"/>
      <c r="G1" s="47"/>
      <c r="H1" s="47"/>
      <c r="I1" s="48"/>
      <c r="J1" s="48"/>
      <c r="K1" s="48"/>
      <c r="L1" s="48"/>
      <c r="M1" s="48"/>
      <c r="N1" s="48"/>
    </row>
    <row r="2" customFormat="false" ht="15" hidden="false" customHeight="true" outlineLevel="0" collapsed="false">
      <c r="A2" s="49" t="s">
        <v>69</v>
      </c>
      <c r="B2" s="49"/>
      <c r="C2" s="49"/>
      <c r="D2" s="49"/>
      <c r="E2" s="49"/>
      <c r="F2" s="49"/>
      <c r="G2" s="49"/>
      <c r="H2" s="49"/>
      <c r="I2" s="48"/>
      <c r="J2" s="48"/>
      <c r="K2" s="48"/>
      <c r="L2" s="48"/>
      <c r="M2" s="48"/>
      <c r="N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</row>
    <row r="4" customFormat="false" ht="30" hidden="false" customHeight="true" outlineLevel="0" collapsed="false">
      <c r="A4" s="50" t="s">
        <v>2</v>
      </c>
      <c r="B4" s="50" t="s">
        <v>70</v>
      </c>
      <c r="C4" s="50" t="s">
        <v>71</v>
      </c>
      <c r="D4" s="50" t="s">
        <v>72</v>
      </c>
      <c r="E4" s="50" t="s">
        <v>73</v>
      </c>
      <c r="F4" s="50" t="s">
        <v>74</v>
      </c>
      <c r="G4" s="50" t="s">
        <v>75</v>
      </c>
      <c r="H4" s="50" t="s">
        <v>76</v>
      </c>
      <c r="I4" s="48"/>
      <c r="J4" s="48"/>
      <c r="K4" s="48"/>
      <c r="L4" s="48"/>
      <c r="M4" s="48"/>
      <c r="N4" s="48"/>
    </row>
    <row r="5" customFormat="false" ht="15" hidden="false" customHeight="true" outlineLevel="0" collapsed="false">
      <c r="A5" s="51" t="n">
        <f aca="false">IFERROR(INDEX(K$5:K$400,MATCH(ROW()-4,J$5:J$400,0)),"")</f>
        <v>46214</v>
      </c>
      <c r="B5" s="52" t="n">
        <f aca="false">IF($A5="","",SUMPRODUCT((MOVIMIENTOS!$B$5:$B$400="SALDO INICIAL")*(MOVIMIENTOS!$C$5:$C$400="A")*(MOVIMIENTOS!$D$5:$D$400="jabas")*(MOVIMIENTOS!$A$5:$A$400&lt;&gt;"")*(MOVIMIENTOS!$A$5:$A$400&lt;=$A5)*MOVIMIENTOS!$E$5:$E$400)+SUMPRODUCT((MOVIMIENTOS!$B$5:$B$400="PROCESO")*(MOVIMIENTOS!$C$5:$C$400="A")*(MOVIMIENTOS!$D$5:$D$400="jabas")*(MOVIMIENTOS!$A$5:$A$400&lt;&gt;"")*(MOVIMIENTOS!$A$5:$A$400&lt;=$A5)*MOVIMIENTOS!$E$5:$E$400)-SUMPRODUCT((MOVIMIENTOS!$B$5:$B$400="ENVÍO A SUPESA")*(MOVIMIENTOS!$C$5:$C$400="A")*(MOVIMIENTOS!$D$5:$D$400="jabas")*(MOVIMIENTOS!$A$5:$A$400&lt;&gt;"")*(MOVIMIENTOS!$A$5:$A$400&lt;=$A5)*MOVIMIENTOS!$E$5:$E$400)+SUMPRODUCT((MOVIMIENTOS!$B$5:$B$400="DEVOLUCIÓN")*(MOVIMIENTOS!$C$5:$C$400="A")*(MOVIMIENTOS!$D$5:$D$400="jabas")*(MOVIMIENTOS!$A$5:$A$400&lt;&gt;"")*(MOVIMIENTOS!$A$5:$A$400&lt;=$A5)*MOVIMIENTOS!$E$5:$E$400)-SUMPRODUCT((MOVIMIENTOS!$B$5:$B$400="TRASIEGO")*(MOVIMIENTOS!$C$5:$C$400="A")*(MOVIMIENTOS!$D$5:$D$400="jabas")*(MOVIMIENTOS!$A$5:$A$400&lt;&gt;"")*(MOVIMIENTOS!$A$5:$A$400&lt;=$A5)*MOVIMIENTOS!$E$5:$E$400)-SUMPRODUCT((MOVIMIENTOS!$B$5:$B$400="REGALO")*(MOVIMIENTOS!$C$5:$C$400="A")*(MOVIMIENTOS!$D$5:$D$400="jabas")*(MOVIMIENTOS!$A$5:$A$400&lt;&gt;"")*(MOVIMIENTOS!$A$5:$A$400&lt;=$A5)*MOVIMIENTOS!$E$5:$E$400)-SUMPRODUCT((MOVIMIENTOS!$B$5:$B$400="VENTA")*(MOVIMIENTOS!$C$5:$C$400="A")*(MOVIMIENTOS!$D$5:$D$400="jabas")*(MOVIMIENTOS!$A$5:$A$400&lt;&gt;"")*(MOVIMIENTOS!$A$5:$A$400&lt;=$A5)*MOVIMIENTOS!$E$5:$E$400)+SUMPRODUCT((MOVIMIENTOS!$B$5:$B$400="AJUSTE")*(MOVIMIENTOS!$C$5:$C$400="A")*(MOVIMIENTOS!$D$5:$D$400="jabas")*(MOVIMIENTOS!$A$5:$A$400&lt;&gt;"")*(MOVIMIENTOS!$A$5:$A$400&lt;=$A5)*MOVIMIENTOS!$E$5:$E$400))</f>
        <v>2</v>
      </c>
      <c r="C5" s="52" t="n">
        <f aca="false">IF($A5="","",SUMPRODUCT((MOVIMIENTOS!$B$5:$B$400="SALDO INICIAL")*(MOVIMIENTOS!$C$5:$C$400="P")*(MOVIMIENTOS!$D$5:$D$400="jabas")*(MOVIMIENTOS!$A$5:$A$400&lt;&gt;"")*(MOVIMIENTOS!$A$5:$A$400&lt;=$A5)*MOVIMIENTOS!$E$5:$E$400)+SUMPRODUCT((MOVIMIENTOS!$B$5:$B$400="PROCESO")*(MOVIMIENTOS!$C$5:$C$400="P")*(MOVIMIENTOS!$D$5:$D$400="jabas")*(MOVIMIENTOS!$A$5:$A$400&lt;&gt;"")*(MOVIMIENTOS!$A$5:$A$400&lt;=$A5)*MOVIMIENTOS!$E$5:$E$400)-SUMPRODUCT((MOVIMIENTOS!$B$5:$B$400="ENVÍO A SUPESA")*(MOVIMIENTOS!$C$5:$C$400="P")*(MOVIMIENTOS!$D$5:$D$400="jabas")*(MOVIMIENTOS!$A$5:$A$400&lt;&gt;"")*(MOVIMIENTOS!$A$5:$A$400&lt;=$A5)*MOVIMIENTOS!$E$5:$E$400)+SUMPRODUCT((MOVIMIENTOS!$B$5:$B$400="DEVOLUCIÓN")*(MOVIMIENTOS!$C$5:$C$400="P")*(MOVIMIENTOS!$D$5:$D$400="jabas")*(MOVIMIENTOS!$A$5:$A$400&lt;&gt;"")*(MOVIMIENTOS!$A$5:$A$400&lt;=$A5)*MOVIMIENTOS!$E$5:$E$400)-SUMPRODUCT((MOVIMIENTOS!$B$5:$B$400="TRASIEGO")*(MOVIMIENTOS!$C$5:$C$400="P")*(MOVIMIENTOS!$D$5:$D$400="jabas")*(MOVIMIENTOS!$A$5:$A$400&lt;&gt;"")*(MOVIMIENTOS!$A$5:$A$400&lt;=$A5)*MOVIMIENTOS!$E$5:$E$400)-SUMPRODUCT((MOVIMIENTOS!$B$5:$B$400="REGALO")*(MOVIMIENTOS!$C$5:$C$400="P")*(MOVIMIENTOS!$D$5:$D$400="jabas")*(MOVIMIENTOS!$A$5:$A$400&lt;&gt;"")*(MOVIMIENTOS!$A$5:$A$400&lt;=$A5)*MOVIMIENTOS!$E$5:$E$400)-SUMPRODUCT((MOVIMIENTOS!$B$5:$B$400="VENTA")*(MOVIMIENTOS!$C$5:$C$400="P")*(MOVIMIENTOS!$D$5:$D$400="jabas")*(MOVIMIENTOS!$A$5:$A$400&lt;&gt;"")*(MOVIMIENTOS!$A$5:$A$400&lt;=$A5)*MOVIMIENTOS!$E$5:$E$400)+SUMPRODUCT((MOVIMIENTOS!$B$5:$B$400="AJUSTE")*(MOVIMIENTOS!$C$5:$C$400="P")*(MOVIMIENTOS!$D$5:$D$400="jabas")*(MOVIMIENTOS!$A$5:$A$400&lt;&gt;"")*(MOVIMIENTOS!$A$5:$A$400&lt;=$A5)*MOVIMIENTOS!$E$5:$E$400))</f>
        <v>0</v>
      </c>
      <c r="D5" s="52" t="n">
        <f aca="false">IF($A5="","",SUMPRODUCT((MOVIMIENTOS!$B$5:$B$400="SALDO INICIAL")*(MOVIMIENTOS!$C$5:$C$400="C")*(MOVIMIENTOS!$D$5:$D$400="jabas")*(MOVIMIENTOS!$A$5:$A$400&lt;&gt;"")*(MOVIMIENTOS!$A$5:$A$400&lt;=$A5)*MOVIMIENTOS!$E$5:$E$400)+SUMPRODUCT((MOVIMIENTOS!$B$5:$B$400="PROCESO")*(MOVIMIENTOS!$C$5:$C$400="C")*(MOVIMIENTOS!$D$5:$D$400="jabas")*(MOVIMIENTOS!$A$5:$A$400&lt;&gt;"")*(MOVIMIENTOS!$A$5:$A$400&lt;=$A5)*MOVIMIENTOS!$E$5:$E$400)-SUMPRODUCT((MOVIMIENTOS!$B$5:$B$400="ENVÍO A SUPESA")*(MOVIMIENTOS!$C$5:$C$400="C")*(MOVIMIENTOS!$D$5:$D$400="jabas")*(MOVIMIENTOS!$A$5:$A$400&lt;&gt;"")*(MOVIMIENTOS!$A$5:$A$400&lt;=$A5)*MOVIMIENTOS!$E$5:$E$400)+SUMPRODUCT((MOVIMIENTOS!$B$5:$B$400="DEVOLUCIÓN")*(MOVIMIENTOS!$C$5:$C$400="C")*(MOVIMIENTOS!$D$5:$D$400="jabas")*(MOVIMIENTOS!$A$5:$A$400&lt;&gt;"")*(MOVIMIENTOS!$A$5:$A$400&lt;=$A5)*MOVIMIENTOS!$E$5:$E$400)-SUMPRODUCT((MOVIMIENTOS!$B$5:$B$400="TRASIEGO")*(MOVIMIENTOS!$C$5:$C$400="C")*(MOVIMIENTOS!$D$5:$D$400="jabas")*(MOVIMIENTOS!$A$5:$A$400&lt;&gt;"")*(MOVIMIENTOS!$A$5:$A$400&lt;=$A5)*MOVIMIENTOS!$E$5:$E$400)-SUMPRODUCT((MOVIMIENTOS!$B$5:$B$400="REGALO")*(MOVIMIENTOS!$C$5:$C$400="C")*(MOVIMIENTOS!$D$5:$D$400="jabas")*(MOVIMIENTOS!$A$5:$A$400&lt;&gt;"")*(MOVIMIENTOS!$A$5:$A$400&lt;=$A5)*MOVIMIENTOS!$E$5:$E$400)-SUMPRODUCT((MOVIMIENTOS!$B$5:$B$400="VENTA")*(MOVIMIENTOS!$C$5:$C$400="C")*(MOVIMIENTOS!$D$5:$D$400="jabas")*(MOVIMIENTOS!$A$5:$A$400&lt;&gt;"")*(MOVIMIENTOS!$A$5:$A$400&lt;=$A5)*MOVIMIENTOS!$E$5:$E$400)+SUMPRODUCT((MOVIMIENTOS!$B$5:$B$400="AJUSTE")*(MOVIMIENTOS!$C$5:$C$400="C")*(MOVIMIENTOS!$D$5:$D$400="jabas")*(MOVIMIENTOS!$A$5:$A$400&lt;&gt;"")*(MOVIMIENTOS!$A$5:$A$400&lt;=$A5)*MOVIMIENTOS!$E$5:$E$400))</f>
        <v>0</v>
      </c>
      <c r="E5" s="52" t="n">
        <f aca="false">IF($A5="","",SUMPRODUCT((MOVIMIENTOS!$B$5:$B$400="SALDO INICIAL")*(MOVIMIENTOS!$C$5:$C$400="M")*(MOVIMIENTOS!$D$5:$D$400="jabas")*(MOVIMIENTOS!$A$5:$A$400&lt;&gt;"")*(MOVIMIENTOS!$A$5:$A$400&lt;=$A5)*MOVIMIENTOS!$E$5:$E$400)+SUMPRODUCT((MOVIMIENTOS!$B$5:$B$400="PROCESO")*(MOVIMIENTOS!$C$5:$C$400="M")*(MOVIMIENTOS!$D$5:$D$400="jabas")*(MOVIMIENTOS!$A$5:$A$400&lt;&gt;"")*(MOVIMIENTOS!$A$5:$A$400&lt;=$A5)*MOVIMIENTOS!$E$5:$E$400)-SUMPRODUCT((MOVIMIENTOS!$B$5:$B$400="ENVÍO A SUPESA")*(MOVIMIENTOS!$C$5:$C$400="M")*(MOVIMIENTOS!$D$5:$D$400="jabas")*(MOVIMIENTOS!$A$5:$A$400&lt;&gt;"")*(MOVIMIENTOS!$A$5:$A$400&lt;=$A5)*MOVIMIENTOS!$E$5:$E$400)+SUMPRODUCT((MOVIMIENTOS!$B$5:$B$400="DEVOLUCIÓN")*(MOVIMIENTOS!$C$5:$C$400="M")*(MOVIMIENTOS!$D$5:$D$400="jabas")*(MOVIMIENTOS!$A$5:$A$400&lt;&gt;"")*(MOVIMIENTOS!$A$5:$A$400&lt;=$A5)*MOVIMIENTOS!$E$5:$E$400)-SUMPRODUCT((MOVIMIENTOS!$B$5:$B$400="TRASIEGO")*(MOVIMIENTOS!$C$5:$C$400="M")*(MOVIMIENTOS!$D$5:$D$400="jabas")*(MOVIMIENTOS!$A$5:$A$400&lt;&gt;"")*(MOVIMIENTOS!$A$5:$A$400&lt;=$A5)*MOVIMIENTOS!$E$5:$E$400)-SUMPRODUCT((MOVIMIENTOS!$B$5:$B$400="REGALO")*(MOVIMIENTOS!$C$5:$C$400="M")*(MOVIMIENTOS!$D$5:$D$400="jabas")*(MOVIMIENTOS!$A$5:$A$400&lt;&gt;"")*(MOVIMIENTOS!$A$5:$A$400&lt;=$A5)*MOVIMIENTOS!$E$5:$E$400)-SUMPRODUCT((MOVIMIENTOS!$B$5:$B$400="VENTA")*(MOVIMIENTOS!$C$5:$C$400="M")*(MOVIMIENTOS!$D$5:$D$400="jabas")*(MOVIMIENTOS!$A$5:$A$400&lt;&gt;"")*(MOVIMIENTOS!$A$5:$A$400&lt;=$A5)*MOVIMIENTOS!$E$5:$E$400)+SUMPRODUCT((MOVIMIENTOS!$B$5:$B$400="AJUSTE")*(MOVIMIENTOS!$C$5:$C$400="M")*(MOVIMIENTOS!$D$5:$D$400="jabas")*(MOVIMIENTOS!$A$5:$A$400&lt;&gt;"")*(MOVIMIENTOS!$A$5:$A$400&lt;=$A5)*MOVIMIENTOS!$E$5:$E$400))</f>
        <v>8</v>
      </c>
      <c r="F5" s="52" t="n">
        <f aca="false">IF($A5="","",SUMPRODUCT((MOVIMIENTOS!$B$5:$B$400="SALDO INICIAL")*(MOVIMIENTOS!$C$5:$C$400="Chancho")*(MOVIMIENTOS!$D$5:$D$400="sacos")*(MOVIMIENTOS!$A$5:$A$400&lt;&gt;"")*(MOVIMIENTOS!$A$5:$A$400&lt;=$A5)*MOVIMIENTOS!$E$5:$E$400)+SUMPRODUCT((MOVIMIENTOS!$B$5:$B$400="PROCESO")*(MOVIMIENTOS!$C$5:$C$400="Chancho")*(MOVIMIENTOS!$D$5:$D$400="sacos")*(MOVIMIENTOS!$A$5:$A$400&lt;&gt;"")*(MOVIMIENTOS!$A$5:$A$400&lt;=$A5)*MOVIMIENTOS!$E$5:$E$400)-SUMPRODUCT((MOVIMIENTOS!$B$5:$B$400="VENTA CHANCHO")*(MOVIMIENTOS!$C$5:$C$400="Chancho")*(MOVIMIENTOS!$D$5:$D$400="sacos")*(MOVIMIENTOS!$A$5:$A$400&lt;&gt;"")*(MOVIMIENTOS!$A$5:$A$400&lt;=$A5)*MOVIMIENTOS!$E$5:$E$400)-SUMPRODUCT((MOVIMIENTOS!$B$5:$B$400="REGALO")*(MOVIMIENTOS!$C$5:$C$400="Chancho")*(MOVIMIENTOS!$D$5:$D$400="sacos")*(MOVIMIENTOS!$A$5:$A$400&lt;&gt;"")*(MOVIMIENTOS!$A$5:$A$400&lt;=$A5)*MOVIMIENTOS!$E$5:$E$400)-SUMPRODUCT((MOVIMIENTOS!$B$5:$B$400="VENTA")*(MOVIMIENTOS!$C$5:$C$400="Chancho")*(MOVIMIENTOS!$D$5:$D$400="sacos")*(MOVIMIENTOS!$A$5:$A$400&lt;&gt;"")*(MOVIMIENTOS!$A$5:$A$400&lt;=$A5)*MOVIMIENTOS!$E$5:$E$400)+SUMPRODUCT((MOVIMIENTOS!$B$5:$B$400="AJUSTE")*(MOVIMIENTOS!$C$5:$C$400="Chancho")*(MOVIMIENTOS!$D$5:$D$400="sacos")*(MOVIMIENTOS!$A$5:$A$400&lt;&gt;"")*(MOVIMIENTOS!$A$5:$A$400&lt;=$A5)*MOVIMIENTOS!$E$5:$E$400))</f>
        <v>20</v>
      </c>
      <c r="G5" s="52" t="n">
        <f aca="false">IF($A5="","",SUM(B5:E5))</f>
        <v>10</v>
      </c>
      <c r="H5" s="52" t="n">
        <f aca="false">IF($A5="","",SUMPRODUCT((((MOVIMIENTOS!$B$5:$B$400="SALDO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5)*MOVIMIENTOS!$I$5:$I$400))</f>
        <v>166</v>
      </c>
      <c r="I5" s="48"/>
      <c r="J5" s="48" t="n">
        <f aca="false">IF(MOVIMIENTOS!$A$5&lt;&gt;"",1,"")</f>
        <v>1</v>
      </c>
      <c r="K5" s="53" t="n">
        <f aca="false">MOVIMIENTOS!$A5</f>
        <v>46214</v>
      </c>
      <c r="L5" s="48"/>
      <c r="M5" s="48"/>
      <c r="N5" s="48"/>
    </row>
    <row r="6" customFormat="false" ht="15" hidden="false" customHeight="true" outlineLevel="0" collapsed="false">
      <c r="A6" s="51" t="n">
        <f aca="false">IFERROR(INDEX(K$5:K$400,MATCH(ROW()-4,J$5:J$400,0)),"")</f>
        <v>46215</v>
      </c>
      <c r="B6" s="52" t="n">
        <f aca="false">IF($A6="","",SUMPRODUCT((MOVIMIENTOS!$B$5:$B$400="SALDO INICIAL")*(MOVIMIENTOS!$C$5:$C$400="A")*(MOVIMIENTOS!$D$5:$D$400="jabas")*(MOVIMIENTOS!$A$5:$A$400&lt;&gt;"")*(MOVIMIENTOS!$A$5:$A$400&lt;=$A6)*MOVIMIENTOS!$E$5:$E$400)+SUMPRODUCT((MOVIMIENTOS!$B$5:$B$400="PROCESO")*(MOVIMIENTOS!$C$5:$C$400="A")*(MOVIMIENTOS!$D$5:$D$400="jabas")*(MOVIMIENTOS!$A$5:$A$400&lt;&gt;"")*(MOVIMIENTOS!$A$5:$A$400&lt;=$A6)*MOVIMIENTOS!$E$5:$E$400)-SUMPRODUCT((MOVIMIENTOS!$B$5:$B$400="ENVÍO A SUPESA")*(MOVIMIENTOS!$C$5:$C$400="A")*(MOVIMIENTOS!$D$5:$D$400="jabas")*(MOVIMIENTOS!$A$5:$A$400&lt;&gt;"")*(MOVIMIENTOS!$A$5:$A$400&lt;=$A6)*MOVIMIENTOS!$E$5:$E$400)+SUMPRODUCT((MOVIMIENTOS!$B$5:$B$400="DEVOLUCIÓN")*(MOVIMIENTOS!$C$5:$C$400="A")*(MOVIMIENTOS!$D$5:$D$400="jabas")*(MOVIMIENTOS!$A$5:$A$400&lt;&gt;"")*(MOVIMIENTOS!$A$5:$A$400&lt;=$A6)*MOVIMIENTOS!$E$5:$E$400)-SUMPRODUCT((MOVIMIENTOS!$B$5:$B$400="TRASIEGO")*(MOVIMIENTOS!$C$5:$C$400="A")*(MOVIMIENTOS!$D$5:$D$400="jabas")*(MOVIMIENTOS!$A$5:$A$400&lt;&gt;"")*(MOVIMIENTOS!$A$5:$A$400&lt;=$A6)*MOVIMIENTOS!$E$5:$E$400)-SUMPRODUCT((MOVIMIENTOS!$B$5:$B$400="REGALO")*(MOVIMIENTOS!$C$5:$C$400="A")*(MOVIMIENTOS!$D$5:$D$400="jabas")*(MOVIMIENTOS!$A$5:$A$400&lt;&gt;"")*(MOVIMIENTOS!$A$5:$A$400&lt;=$A6)*MOVIMIENTOS!$E$5:$E$400)-SUMPRODUCT((MOVIMIENTOS!$B$5:$B$400="VENTA")*(MOVIMIENTOS!$C$5:$C$400="A")*(MOVIMIENTOS!$D$5:$D$400="jabas")*(MOVIMIENTOS!$A$5:$A$400&lt;&gt;"")*(MOVIMIENTOS!$A$5:$A$400&lt;=$A6)*MOVIMIENTOS!$E$5:$E$400)+SUMPRODUCT((MOVIMIENTOS!$B$5:$B$400="AJUSTE")*(MOVIMIENTOS!$C$5:$C$400="A")*(MOVIMIENTOS!$D$5:$D$400="jabas")*(MOVIMIENTOS!$A$5:$A$400&lt;&gt;"")*(MOVIMIENTOS!$A$5:$A$400&lt;=$A6)*MOVIMIENTOS!$E$5:$E$400))</f>
        <v>-6</v>
      </c>
      <c r="C6" s="52" t="n">
        <f aca="false">IF($A6="","",SUMPRODUCT((MOVIMIENTOS!$B$5:$B$400="SALDO INICIAL")*(MOVIMIENTOS!$C$5:$C$400="P")*(MOVIMIENTOS!$D$5:$D$400="jabas")*(MOVIMIENTOS!$A$5:$A$400&lt;&gt;"")*(MOVIMIENTOS!$A$5:$A$400&lt;=$A6)*MOVIMIENTOS!$E$5:$E$400)+SUMPRODUCT((MOVIMIENTOS!$B$5:$B$400="PROCESO")*(MOVIMIENTOS!$C$5:$C$400="P")*(MOVIMIENTOS!$D$5:$D$400="jabas")*(MOVIMIENTOS!$A$5:$A$400&lt;&gt;"")*(MOVIMIENTOS!$A$5:$A$400&lt;=$A6)*MOVIMIENTOS!$E$5:$E$400)-SUMPRODUCT((MOVIMIENTOS!$B$5:$B$400="ENVÍO A SUPESA")*(MOVIMIENTOS!$C$5:$C$400="P")*(MOVIMIENTOS!$D$5:$D$400="jabas")*(MOVIMIENTOS!$A$5:$A$400&lt;&gt;"")*(MOVIMIENTOS!$A$5:$A$400&lt;=$A6)*MOVIMIENTOS!$E$5:$E$400)+SUMPRODUCT((MOVIMIENTOS!$B$5:$B$400="DEVOLUCIÓN")*(MOVIMIENTOS!$C$5:$C$400="P")*(MOVIMIENTOS!$D$5:$D$400="jabas")*(MOVIMIENTOS!$A$5:$A$400&lt;&gt;"")*(MOVIMIENTOS!$A$5:$A$400&lt;=$A6)*MOVIMIENTOS!$E$5:$E$400)-SUMPRODUCT((MOVIMIENTOS!$B$5:$B$400="TRASIEGO")*(MOVIMIENTOS!$C$5:$C$400="P")*(MOVIMIENTOS!$D$5:$D$400="jabas")*(MOVIMIENTOS!$A$5:$A$400&lt;&gt;"")*(MOVIMIENTOS!$A$5:$A$400&lt;=$A6)*MOVIMIENTOS!$E$5:$E$400)-SUMPRODUCT((MOVIMIENTOS!$B$5:$B$400="REGALO")*(MOVIMIENTOS!$C$5:$C$400="P")*(MOVIMIENTOS!$D$5:$D$400="jabas")*(MOVIMIENTOS!$A$5:$A$400&lt;&gt;"")*(MOVIMIENTOS!$A$5:$A$400&lt;=$A6)*MOVIMIENTOS!$E$5:$E$400)-SUMPRODUCT((MOVIMIENTOS!$B$5:$B$400="VENTA")*(MOVIMIENTOS!$C$5:$C$400="P")*(MOVIMIENTOS!$D$5:$D$400="jabas")*(MOVIMIENTOS!$A$5:$A$400&lt;&gt;"")*(MOVIMIENTOS!$A$5:$A$400&lt;=$A6)*MOVIMIENTOS!$E$5:$E$400)+SUMPRODUCT((MOVIMIENTOS!$B$5:$B$400="AJUSTE")*(MOVIMIENTOS!$C$5:$C$400="P")*(MOVIMIENTOS!$D$5:$D$400="jabas")*(MOVIMIENTOS!$A$5:$A$400&lt;&gt;"")*(MOVIMIENTOS!$A$5:$A$400&lt;=$A6)*MOVIMIENTOS!$E$5:$E$400))</f>
        <v>0</v>
      </c>
      <c r="D6" s="52" t="n">
        <f aca="false">IF($A6="","",SUMPRODUCT((MOVIMIENTOS!$B$5:$B$400="SALDO INICIAL")*(MOVIMIENTOS!$C$5:$C$400="C")*(MOVIMIENTOS!$D$5:$D$400="jabas")*(MOVIMIENTOS!$A$5:$A$400&lt;&gt;"")*(MOVIMIENTOS!$A$5:$A$400&lt;=$A6)*MOVIMIENTOS!$E$5:$E$400)+SUMPRODUCT((MOVIMIENTOS!$B$5:$B$400="PROCESO")*(MOVIMIENTOS!$C$5:$C$400="C")*(MOVIMIENTOS!$D$5:$D$400="jabas")*(MOVIMIENTOS!$A$5:$A$400&lt;&gt;"")*(MOVIMIENTOS!$A$5:$A$400&lt;=$A6)*MOVIMIENTOS!$E$5:$E$400)-SUMPRODUCT((MOVIMIENTOS!$B$5:$B$400="ENVÍO A SUPESA")*(MOVIMIENTOS!$C$5:$C$400="C")*(MOVIMIENTOS!$D$5:$D$400="jabas")*(MOVIMIENTOS!$A$5:$A$400&lt;&gt;"")*(MOVIMIENTOS!$A$5:$A$400&lt;=$A6)*MOVIMIENTOS!$E$5:$E$400)+SUMPRODUCT((MOVIMIENTOS!$B$5:$B$400="DEVOLUCIÓN")*(MOVIMIENTOS!$C$5:$C$400="C")*(MOVIMIENTOS!$D$5:$D$400="jabas")*(MOVIMIENTOS!$A$5:$A$400&lt;&gt;"")*(MOVIMIENTOS!$A$5:$A$400&lt;=$A6)*MOVIMIENTOS!$E$5:$E$400)-SUMPRODUCT((MOVIMIENTOS!$B$5:$B$400="TRASIEGO")*(MOVIMIENTOS!$C$5:$C$400="C")*(MOVIMIENTOS!$D$5:$D$400="jabas")*(MOVIMIENTOS!$A$5:$A$400&lt;&gt;"")*(MOVIMIENTOS!$A$5:$A$400&lt;=$A6)*MOVIMIENTOS!$E$5:$E$400)-SUMPRODUCT((MOVIMIENTOS!$B$5:$B$400="REGALO")*(MOVIMIENTOS!$C$5:$C$400="C")*(MOVIMIENTOS!$D$5:$D$400="jabas")*(MOVIMIENTOS!$A$5:$A$400&lt;&gt;"")*(MOVIMIENTOS!$A$5:$A$400&lt;=$A6)*MOVIMIENTOS!$E$5:$E$400)-SUMPRODUCT((MOVIMIENTOS!$B$5:$B$400="VENTA")*(MOVIMIENTOS!$C$5:$C$400="C")*(MOVIMIENTOS!$D$5:$D$400="jabas")*(MOVIMIENTOS!$A$5:$A$400&lt;&gt;"")*(MOVIMIENTOS!$A$5:$A$400&lt;=$A6)*MOVIMIENTOS!$E$5:$E$400)+SUMPRODUCT((MOVIMIENTOS!$B$5:$B$400="AJUSTE")*(MOVIMIENTOS!$C$5:$C$400="C")*(MOVIMIENTOS!$D$5:$D$400="jabas")*(MOVIMIENTOS!$A$5:$A$400&lt;&gt;"")*(MOVIMIENTOS!$A$5:$A$400&lt;=$A6)*MOVIMIENTOS!$E$5:$E$400))</f>
        <v>0</v>
      </c>
      <c r="E6" s="52" t="n">
        <f aca="false">IF($A6="","",SUMPRODUCT((MOVIMIENTOS!$B$5:$B$400="SALDO INICIAL")*(MOVIMIENTOS!$C$5:$C$400="M")*(MOVIMIENTOS!$D$5:$D$400="jabas")*(MOVIMIENTOS!$A$5:$A$400&lt;&gt;"")*(MOVIMIENTOS!$A$5:$A$400&lt;=$A6)*MOVIMIENTOS!$E$5:$E$400)+SUMPRODUCT((MOVIMIENTOS!$B$5:$B$400="PROCESO")*(MOVIMIENTOS!$C$5:$C$400="M")*(MOVIMIENTOS!$D$5:$D$400="jabas")*(MOVIMIENTOS!$A$5:$A$400&lt;&gt;"")*(MOVIMIENTOS!$A$5:$A$400&lt;=$A6)*MOVIMIENTOS!$E$5:$E$400)-SUMPRODUCT((MOVIMIENTOS!$B$5:$B$400="ENVÍO A SUPESA")*(MOVIMIENTOS!$C$5:$C$400="M")*(MOVIMIENTOS!$D$5:$D$400="jabas")*(MOVIMIENTOS!$A$5:$A$400&lt;&gt;"")*(MOVIMIENTOS!$A$5:$A$400&lt;=$A6)*MOVIMIENTOS!$E$5:$E$400)+SUMPRODUCT((MOVIMIENTOS!$B$5:$B$400="DEVOLUCIÓN")*(MOVIMIENTOS!$C$5:$C$400="M")*(MOVIMIENTOS!$D$5:$D$400="jabas")*(MOVIMIENTOS!$A$5:$A$400&lt;&gt;"")*(MOVIMIENTOS!$A$5:$A$400&lt;=$A6)*MOVIMIENTOS!$E$5:$E$400)-SUMPRODUCT((MOVIMIENTOS!$B$5:$B$400="TRASIEGO")*(MOVIMIENTOS!$C$5:$C$400="M")*(MOVIMIENTOS!$D$5:$D$400="jabas")*(MOVIMIENTOS!$A$5:$A$400&lt;&gt;"")*(MOVIMIENTOS!$A$5:$A$400&lt;=$A6)*MOVIMIENTOS!$E$5:$E$400)-SUMPRODUCT((MOVIMIENTOS!$B$5:$B$400="REGALO")*(MOVIMIENTOS!$C$5:$C$400="M")*(MOVIMIENTOS!$D$5:$D$400="jabas")*(MOVIMIENTOS!$A$5:$A$400&lt;&gt;"")*(MOVIMIENTOS!$A$5:$A$400&lt;=$A6)*MOVIMIENTOS!$E$5:$E$400)-SUMPRODUCT((MOVIMIENTOS!$B$5:$B$400="VENTA")*(MOVIMIENTOS!$C$5:$C$400="M")*(MOVIMIENTOS!$D$5:$D$400="jabas")*(MOVIMIENTOS!$A$5:$A$400&lt;&gt;"")*(MOVIMIENTOS!$A$5:$A$400&lt;=$A6)*MOVIMIENTOS!$E$5:$E$400)+SUMPRODUCT((MOVIMIENTOS!$B$5:$B$400="AJUSTE")*(MOVIMIENTOS!$C$5:$C$400="M")*(MOVIMIENTOS!$D$5:$D$400="jabas")*(MOVIMIENTOS!$A$5:$A$400&lt;&gt;"")*(MOVIMIENTOS!$A$5:$A$400&lt;=$A6)*MOVIMIENTOS!$E$5:$E$400))</f>
        <v>30</v>
      </c>
      <c r="F6" s="52" t="n">
        <f aca="false">IF($A6="","",SUMPRODUCT((MOVIMIENTOS!$B$5:$B$400="SALDO INICIAL")*(MOVIMIENTOS!$C$5:$C$400="Chancho")*(MOVIMIENTOS!$D$5:$D$400="sacos")*(MOVIMIENTOS!$A$5:$A$400&lt;&gt;"")*(MOVIMIENTOS!$A$5:$A$400&lt;=$A6)*MOVIMIENTOS!$E$5:$E$400)+SUMPRODUCT((MOVIMIENTOS!$B$5:$B$400="PROCESO")*(MOVIMIENTOS!$C$5:$C$400="Chancho")*(MOVIMIENTOS!$D$5:$D$400="sacos")*(MOVIMIENTOS!$A$5:$A$400&lt;&gt;"")*(MOVIMIENTOS!$A$5:$A$400&lt;=$A6)*MOVIMIENTOS!$E$5:$E$400)-SUMPRODUCT((MOVIMIENTOS!$B$5:$B$400="VENTA CHANCHO")*(MOVIMIENTOS!$C$5:$C$400="Chancho")*(MOVIMIENTOS!$D$5:$D$400="sacos")*(MOVIMIENTOS!$A$5:$A$400&lt;&gt;"")*(MOVIMIENTOS!$A$5:$A$400&lt;=$A6)*MOVIMIENTOS!$E$5:$E$400)-SUMPRODUCT((MOVIMIENTOS!$B$5:$B$400="REGALO")*(MOVIMIENTOS!$C$5:$C$400="Chancho")*(MOVIMIENTOS!$D$5:$D$400="sacos")*(MOVIMIENTOS!$A$5:$A$400&lt;&gt;"")*(MOVIMIENTOS!$A$5:$A$400&lt;=$A6)*MOVIMIENTOS!$E$5:$E$400)-SUMPRODUCT((MOVIMIENTOS!$B$5:$B$400="VENTA")*(MOVIMIENTOS!$C$5:$C$400="Chancho")*(MOVIMIENTOS!$D$5:$D$400="sacos")*(MOVIMIENTOS!$A$5:$A$400&lt;&gt;"")*(MOVIMIENTOS!$A$5:$A$400&lt;=$A6)*MOVIMIENTOS!$E$5:$E$400)+SUMPRODUCT((MOVIMIENTOS!$B$5:$B$400="AJUSTE")*(MOVIMIENTOS!$C$5:$C$400="Chancho")*(MOVIMIENTOS!$D$5:$D$400="sacos")*(MOVIMIENTOS!$A$5:$A$400&lt;&gt;"")*(MOVIMIENTOS!$A$5:$A$400&lt;=$A6)*MOVIMIENTOS!$E$5:$E$400))</f>
        <v>26</v>
      </c>
      <c r="G6" s="52" t="n">
        <f aca="false">IF($A6="","",SUM(B6:E6))</f>
        <v>24</v>
      </c>
      <c r="H6" s="52" t="n">
        <f aca="false">IF($A6="","",SUMPRODUCT((((MOVIMIENTOS!$B$5:$B$400="SALDO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6)*MOVIMIENTOS!$I$5:$I$400))</f>
        <v>325</v>
      </c>
      <c r="I6" s="48"/>
      <c r="J6" s="48" t="str">
        <f aca="false">IF(AND(MOVIMIENTOS!$A6&lt;&gt;"",COUNTIF(MOVIMIENTOS!$A$5:$A5,MOVIMIENTOS!$A6)=0),COUNT(J$4:J5)+1,"")</f>
        <v/>
      </c>
      <c r="K6" s="53" t="n">
        <f aca="false">MOVIMIENTOS!$A6</f>
        <v>46214</v>
      </c>
      <c r="L6" s="48"/>
      <c r="M6" s="48"/>
      <c r="N6" s="48"/>
    </row>
    <row r="7" customFormat="false" ht="15" hidden="false" customHeight="true" outlineLevel="0" collapsed="false">
      <c r="A7" s="51" t="n">
        <f aca="false">IFERROR(INDEX(K$5:K$400,MATCH(ROW()-4,J$5:J$400,0)),"")</f>
        <v>46216</v>
      </c>
      <c r="B7" s="52" t="n">
        <f aca="false">IF($A7="","",SUMPRODUCT((MOVIMIENTOS!$B$5:$B$400="SALDO INICIAL")*(MOVIMIENTOS!$C$5:$C$400="A")*(MOVIMIENTOS!$D$5:$D$400="jabas")*(MOVIMIENTOS!$A$5:$A$400&lt;&gt;"")*(MOVIMIENTOS!$A$5:$A$400&lt;=$A7)*MOVIMIENTOS!$E$5:$E$400)+SUMPRODUCT((MOVIMIENTOS!$B$5:$B$400="PROCESO")*(MOVIMIENTOS!$C$5:$C$400="A")*(MOVIMIENTOS!$D$5:$D$400="jabas")*(MOVIMIENTOS!$A$5:$A$400&lt;&gt;"")*(MOVIMIENTOS!$A$5:$A$400&lt;=$A7)*MOVIMIENTOS!$E$5:$E$400)-SUMPRODUCT((MOVIMIENTOS!$B$5:$B$400="ENVÍO A SUPESA")*(MOVIMIENTOS!$C$5:$C$400="A")*(MOVIMIENTOS!$D$5:$D$400="jabas")*(MOVIMIENTOS!$A$5:$A$400&lt;&gt;"")*(MOVIMIENTOS!$A$5:$A$400&lt;=$A7)*MOVIMIENTOS!$E$5:$E$400)+SUMPRODUCT((MOVIMIENTOS!$B$5:$B$400="DEVOLUCIÓN")*(MOVIMIENTOS!$C$5:$C$400="A")*(MOVIMIENTOS!$D$5:$D$400="jabas")*(MOVIMIENTOS!$A$5:$A$400&lt;&gt;"")*(MOVIMIENTOS!$A$5:$A$400&lt;=$A7)*MOVIMIENTOS!$E$5:$E$400)-SUMPRODUCT((MOVIMIENTOS!$B$5:$B$400="TRASIEGO")*(MOVIMIENTOS!$C$5:$C$400="A")*(MOVIMIENTOS!$D$5:$D$400="jabas")*(MOVIMIENTOS!$A$5:$A$400&lt;&gt;"")*(MOVIMIENTOS!$A$5:$A$400&lt;=$A7)*MOVIMIENTOS!$E$5:$E$400)-SUMPRODUCT((MOVIMIENTOS!$B$5:$B$400="REGALO")*(MOVIMIENTOS!$C$5:$C$400="A")*(MOVIMIENTOS!$D$5:$D$400="jabas")*(MOVIMIENTOS!$A$5:$A$400&lt;&gt;"")*(MOVIMIENTOS!$A$5:$A$400&lt;=$A7)*MOVIMIENTOS!$E$5:$E$400)-SUMPRODUCT((MOVIMIENTOS!$B$5:$B$400="VENTA")*(MOVIMIENTOS!$C$5:$C$400="A")*(MOVIMIENTOS!$D$5:$D$400="jabas")*(MOVIMIENTOS!$A$5:$A$400&lt;&gt;"")*(MOVIMIENTOS!$A$5:$A$400&lt;=$A7)*MOVIMIENTOS!$E$5:$E$400)+SUMPRODUCT((MOVIMIENTOS!$B$5:$B$400="AJUSTE")*(MOVIMIENTOS!$C$5:$C$400="A")*(MOVIMIENTOS!$D$5:$D$400="jabas")*(MOVIMIENTOS!$A$5:$A$400&lt;&gt;"")*(MOVIMIENTOS!$A$5:$A$400&lt;=$A7)*MOVIMIENTOS!$E$5:$E$400))</f>
        <v>34</v>
      </c>
      <c r="C7" s="52" t="n">
        <f aca="false">IF($A7="","",SUMPRODUCT((MOVIMIENTOS!$B$5:$B$400="SALDO INICIAL")*(MOVIMIENTOS!$C$5:$C$400="P")*(MOVIMIENTOS!$D$5:$D$400="jabas")*(MOVIMIENTOS!$A$5:$A$400&lt;&gt;"")*(MOVIMIENTOS!$A$5:$A$400&lt;=$A7)*MOVIMIENTOS!$E$5:$E$400)+SUMPRODUCT((MOVIMIENTOS!$B$5:$B$400="PROCESO")*(MOVIMIENTOS!$C$5:$C$400="P")*(MOVIMIENTOS!$D$5:$D$400="jabas")*(MOVIMIENTOS!$A$5:$A$400&lt;&gt;"")*(MOVIMIENTOS!$A$5:$A$400&lt;=$A7)*MOVIMIENTOS!$E$5:$E$400)-SUMPRODUCT((MOVIMIENTOS!$B$5:$B$400="ENVÍO A SUPESA")*(MOVIMIENTOS!$C$5:$C$400="P")*(MOVIMIENTOS!$D$5:$D$400="jabas")*(MOVIMIENTOS!$A$5:$A$400&lt;&gt;"")*(MOVIMIENTOS!$A$5:$A$400&lt;=$A7)*MOVIMIENTOS!$E$5:$E$400)+SUMPRODUCT((MOVIMIENTOS!$B$5:$B$400="DEVOLUCIÓN")*(MOVIMIENTOS!$C$5:$C$400="P")*(MOVIMIENTOS!$D$5:$D$400="jabas")*(MOVIMIENTOS!$A$5:$A$400&lt;&gt;"")*(MOVIMIENTOS!$A$5:$A$400&lt;=$A7)*MOVIMIENTOS!$E$5:$E$400)-SUMPRODUCT((MOVIMIENTOS!$B$5:$B$400="TRASIEGO")*(MOVIMIENTOS!$C$5:$C$400="P")*(MOVIMIENTOS!$D$5:$D$400="jabas")*(MOVIMIENTOS!$A$5:$A$400&lt;&gt;"")*(MOVIMIENTOS!$A$5:$A$400&lt;=$A7)*MOVIMIENTOS!$E$5:$E$400)-SUMPRODUCT((MOVIMIENTOS!$B$5:$B$400="REGALO")*(MOVIMIENTOS!$C$5:$C$400="P")*(MOVIMIENTOS!$D$5:$D$400="jabas")*(MOVIMIENTOS!$A$5:$A$400&lt;&gt;"")*(MOVIMIENTOS!$A$5:$A$400&lt;=$A7)*MOVIMIENTOS!$E$5:$E$400)-SUMPRODUCT((MOVIMIENTOS!$B$5:$B$400="VENTA")*(MOVIMIENTOS!$C$5:$C$400="P")*(MOVIMIENTOS!$D$5:$D$400="jabas")*(MOVIMIENTOS!$A$5:$A$400&lt;&gt;"")*(MOVIMIENTOS!$A$5:$A$400&lt;=$A7)*MOVIMIENTOS!$E$5:$E$400)+SUMPRODUCT((MOVIMIENTOS!$B$5:$B$400="AJUSTE")*(MOVIMIENTOS!$C$5:$C$400="P")*(MOVIMIENTOS!$D$5:$D$400="jabas")*(MOVIMIENTOS!$A$5:$A$400&lt;&gt;"")*(MOVIMIENTOS!$A$5:$A$400&lt;=$A7)*MOVIMIENTOS!$E$5:$E$400))</f>
        <v>0</v>
      </c>
      <c r="D7" s="52" t="n">
        <f aca="false">IF($A7="","",SUMPRODUCT((MOVIMIENTOS!$B$5:$B$400="SALDO INICIAL")*(MOVIMIENTOS!$C$5:$C$400="C")*(MOVIMIENTOS!$D$5:$D$400="jabas")*(MOVIMIENTOS!$A$5:$A$400&lt;&gt;"")*(MOVIMIENTOS!$A$5:$A$400&lt;=$A7)*MOVIMIENTOS!$E$5:$E$400)+SUMPRODUCT((MOVIMIENTOS!$B$5:$B$400="PROCESO")*(MOVIMIENTOS!$C$5:$C$400="C")*(MOVIMIENTOS!$D$5:$D$400="jabas")*(MOVIMIENTOS!$A$5:$A$400&lt;&gt;"")*(MOVIMIENTOS!$A$5:$A$400&lt;=$A7)*MOVIMIENTOS!$E$5:$E$400)-SUMPRODUCT((MOVIMIENTOS!$B$5:$B$400="ENVÍO A SUPESA")*(MOVIMIENTOS!$C$5:$C$400="C")*(MOVIMIENTOS!$D$5:$D$400="jabas")*(MOVIMIENTOS!$A$5:$A$400&lt;&gt;"")*(MOVIMIENTOS!$A$5:$A$400&lt;=$A7)*MOVIMIENTOS!$E$5:$E$400)+SUMPRODUCT((MOVIMIENTOS!$B$5:$B$400="DEVOLUCIÓN")*(MOVIMIENTOS!$C$5:$C$400="C")*(MOVIMIENTOS!$D$5:$D$400="jabas")*(MOVIMIENTOS!$A$5:$A$400&lt;&gt;"")*(MOVIMIENTOS!$A$5:$A$400&lt;=$A7)*MOVIMIENTOS!$E$5:$E$400)-SUMPRODUCT((MOVIMIENTOS!$B$5:$B$400="TRASIEGO")*(MOVIMIENTOS!$C$5:$C$400="C")*(MOVIMIENTOS!$D$5:$D$400="jabas")*(MOVIMIENTOS!$A$5:$A$400&lt;&gt;"")*(MOVIMIENTOS!$A$5:$A$400&lt;=$A7)*MOVIMIENTOS!$E$5:$E$400)-SUMPRODUCT((MOVIMIENTOS!$B$5:$B$400="REGALO")*(MOVIMIENTOS!$C$5:$C$400="C")*(MOVIMIENTOS!$D$5:$D$400="jabas")*(MOVIMIENTOS!$A$5:$A$400&lt;&gt;"")*(MOVIMIENTOS!$A$5:$A$400&lt;=$A7)*MOVIMIENTOS!$E$5:$E$400)-SUMPRODUCT((MOVIMIENTOS!$B$5:$B$400="VENTA")*(MOVIMIENTOS!$C$5:$C$400="C")*(MOVIMIENTOS!$D$5:$D$400="jabas")*(MOVIMIENTOS!$A$5:$A$400&lt;&gt;"")*(MOVIMIENTOS!$A$5:$A$400&lt;=$A7)*MOVIMIENTOS!$E$5:$E$400)+SUMPRODUCT((MOVIMIENTOS!$B$5:$B$400="AJUSTE")*(MOVIMIENTOS!$C$5:$C$400="C")*(MOVIMIENTOS!$D$5:$D$400="jabas")*(MOVIMIENTOS!$A$5:$A$400&lt;&gt;"")*(MOVIMIENTOS!$A$5:$A$400&lt;=$A7)*MOVIMIENTOS!$E$5:$E$400))</f>
        <v>0</v>
      </c>
      <c r="E7" s="52" t="n">
        <f aca="false">IF($A7="","",SUMPRODUCT((MOVIMIENTOS!$B$5:$B$400="SALDO INICIAL")*(MOVIMIENTOS!$C$5:$C$400="M")*(MOVIMIENTOS!$D$5:$D$400="jabas")*(MOVIMIENTOS!$A$5:$A$400&lt;&gt;"")*(MOVIMIENTOS!$A$5:$A$400&lt;=$A7)*MOVIMIENTOS!$E$5:$E$400)+SUMPRODUCT((MOVIMIENTOS!$B$5:$B$400="PROCESO")*(MOVIMIENTOS!$C$5:$C$400="M")*(MOVIMIENTOS!$D$5:$D$400="jabas")*(MOVIMIENTOS!$A$5:$A$400&lt;&gt;"")*(MOVIMIENTOS!$A$5:$A$400&lt;=$A7)*MOVIMIENTOS!$E$5:$E$400)-SUMPRODUCT((MOVIMIENTOS!$B$5:$B$400="ENVÍO A SUPESA")*(MOVIMIENTOS!$C$5:$C$400="M")*(MOVIMIENTOS!$D$5:$D$400="jabas")*(MOVIMIENTOS!$A$5:$A$400&lt;&gt;"")*(MOVIMIENTOS!$A$5:$A$400&lt;=$A7)*MOVIMIENTOS!$E$5:$E$400)+SUMPRODUCT((MOVIMIENTOS!$B$5:$B$400="DEVOLUCIÓN")*(MOVIMIENTOS!$C$5:$C$400="M")*(MOVIMIENTOS!$D$5:$D$400="jabas")*(MOVIMIENTOS!$A$5:$A$400&lt;&gt;"")*(MOVIMIENTOS!$A$5:$A$400&lt;=$A7)*MOVIMIENTOS!$E$5:$E$400)-SUMPRODUCT((MOVIMIENTOS!$B$5:$B$400="TRASIEGO")*(MOVIMIENTOS!$C$5:$C$400="M")*(MOVIMIENTOS!$D$5:$D$400="jabas")*(MOVIMIENTOS!$A$5:$A$400&lt;&gt;"")*(MOVIMIENTOS!$A$5:$A$400&lt;=$A7)*MOVIMIENTOS!$E$5:$E$400)-SUMPRODUCT((MOVIMIENTOS!$B$5:$B$400="REGALO")*(MOVIMIENTOS!$C$5:$C$400="M")*(MOVIMIENTOS!$D$5:$D$400="jabas")*(MOVIMIENTOS!$A$5:$A$400&lt;&gt;"")*(MOVIMIENTOS!$A$5:$A$400&lt;=$A7)*MOVIMIENTOS!$E$5:$E$400)-SUMPRODUCT((MOVIMIENTOS!$B$5:$B$400="VENTA")*(MOVIMIENTOS!$C$5:$C$400="M")*(MOVIMIENTOS!$D$5:$D$400="jabas")*(MOVIMIENTOS!$A$5:$A$400&lt;&gt;"")*(MOVIMIENTOS!$A$5:$A$400&lt;=$A7)*MOVIMIENTOS!$E$5:$E$400)+SUMPRODUCT((MOVIMIENTOS!$B$5:$B$400="AJUSTE")*(MOVIMIENTOS!$C$5:$C$400="M")*(MOVIMIENTOS!$D$5:$D$400="jabas")*(MOVIMIENTOS!$A$5:$A$400&lt;&gt;"")*(MOVIMIENTOS!$A$5:$A$400&lt;=$A7)*MOVIMIENTOS!$E$5:$E$400))</f>
        <v>43</v>
      </c>
      <c r="F7" s="52" t="n">
        <f aca="false">IF($A7="","",SUMPRODUCT((MOVIMIENTOS!$B$5:$B$400="SALDO INICIAL")*(MOVIMIENTOS!$C$5:$C$400="Chancho")*(MOVIMIENTOS!$D$5:$D$400="sacos")*(MOVIMIENTOS!$A$5:$A$400&lt;&gt;"")*(MOVIMIENTOS!$A$5:$A$400&lt;=$A7)*MOVIMIENTOS!$E$5:$E$400)+SUMPRODUCT((MOVIMIENTOS!$B$5:$B$400="PROCESO")*(MOVIMIENTOS!$C$5:$C$400="Chancho")*(MOVIMIENTOS!$D$5:$D$400="sacos")*(MOVIMIENTOS!$A$5:$A$400&lt;&gt;"")*(MOVIMIENTOS!$A$5:$A$400&lt;=$A7)*MOVIMIENTOS!$E$5:$E$400)-SUMPRODUCT((MOVIMIENTOS!$B$5:$B$400="VENTA CHANCHO")*(MOVIMIENTOS!$C$5:$C$400="Chancho")*(MOVIMIENTOS!$D$5:$D$400="sacos")*(MOVIMIENTOS!$A$5:$A$400&lt;&gt;"")*(MOVIMIENTOS!$A$5:$A$400&lt;=$A7)*MOVIMIENTOS!$E$5:$E$400)-SUMPRODUCT((MOVIMIENTOS!$B$5:$B$400="REGALO")*(MOVIMIENTOS!$C$5:$C$400="Chancho")*(MOVIMIENTOS!$D$5:$D$400="sacos")*(MOVIMIENTOS!$A$5:$A$400&lt;&gt;"")*(MOVIMIENTOS!$A$5:$A$400&lt;=$A7)*MOVIMIENTOS!$E$5:$E$400)-SUMPRODUCT((MOVIMIENTOS!$B$5:$B$400="VENTA")*(MOVIMIENTOS!$C$5:$C$400="Chancho")*(MOVIMIENTOS!$D$5:$D$400="sacos")*(MOVIMIENTOS!$A$5:$A$400&lt;&gt;"")*(MOVIMIENTOS!$A$5:$A$400&lt;=$A7)*MOVIMIENTOS!$E$5:$E$400)+SUMPRODUCT((MOVIMIENTOS!$B$5:$B$400="AJUSTE")*(MOVIMIENTOS!$C$5:$C$400="Chancho")*(MOVIMIENTOS!$D$5:$D$400="sacos")*(MOVIMIENTOS!$A$5:$A$400&lt;&gt;"")*(MOVIMIENTOS!$A$5:$A$400&lt;=$A7)*MOVIMIENTOS!$E$5:$E$400))</f>
        <v>28</v>
      </c>
      <c r="G7" s="52" t="n">
        <f aca="false">IF($A7="","",SUM(B7:E7))</f>
        <v>77</v>
      </c>
      <c r="H7" s="52" t="n">
        <f aca="false">IF($A7="","",SUMPRODUCT((((MOVIMIENTOS!$B$5:$B$400="SALDO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7)*MOVIMIENTOS!$I$5:$I$400))</f>
        <v>879</v>
      </c>
      <c r="I7" s="48"/>
      <c r="J7" s="48" t="str">
        <f aca="false">IF(AND(MOVIMIENTOS!$A7&lt;&gt;"",COUNTIF(MOVIMIENTOS!$A$5:$A6,MOVIMIENTOS!$A7)=0),COUNT(J$4:J6)+1,"")</f>
        <v/>
      </c>
      <c r="K7" s="53" t="n">
        <f aca="false">MOVIMIENTOS!$A7</f>
        <v>46214</v>
      </c>
      <c r="L7" s="48"/>
      <c r="M7" s="48"/>
      <c r="N7" s="48"/>
    </row>
    <row r="8" customFormat="false" ht="15" hidden="false" customHeight="true" outlineLevel="0" collapsed="false">
      <c r="A8" s="51" t="n">
        <f aca="false">IFERROR(INDEX(K$5:K$400,MATCH(ROW()-4,J$5:J$400,0)),"")</f>
        <v>46217</v>
      </c>
      <c r="B8" s="52" t="n">
        <f aca="false">IF($A8="","",SUMPRODUCT((MOVIMIENTOS!$B$5:$B$400="SALDO INICIAL")*(MOVIMIENTOS!$C$5:$C$400="A")*(MOVIMIENTOS!$D$5:$D$400="jabas")*(MOVIMIENTOS!$A$5:$A$400&lt;&gt;"")*(MOVIMIENTOS!$A$5:$A$400&lt;=$A8)*MOVIMIENTOS!$E$5:$E$400)+SUMPRODUCT((MOVIMIENTOS!$B$5:$B$400="PROCESO")*(MOVIMIENTOS!$C$5:$C$400="A")*(MOVIMIENTOS!$D$5:$D$400="jabas")*(MOVIMIENTOS!$A$5:$A$400&lt;&gt;"")*(MOVIMIENTOS!$A$5:$A$400&lt;=$A8)*MOVIMIENTOS!$E$5:$E$400)-SUMPRODUCT((MOVIMIENTOS!$B$5:$B$400="ENVÍO A SUPESA")*(MOVIMIENTOS!$C$5:$C$400="A")*(MOVIMIENTOS!$D$5:$D$400="jabas")*(MOVIMIENTOS!$A$5:$A$400&lt;&gt;"")*(MOVIMIENTOS!$A$5:$A$400&lt;=$A8)*MOVIMIENTOS!$E$5:$E$400)+SUMPRODUCT((MOVIMIENTOS!$B$5:$B$400="DEVOLUCIÓN")*(MOVIMIENTOS!$C$5:$C$400="A")*(MOVIMIENTOS!$D$5:$D$400="jabas")*(MOVIMIENTOS!$A$5:$A$400&lt;&gt;"")*(MOVIMIENTOS!$A$5:$A$400&lt;=$A8)*MOVIMIENTOS!$E$5:$E$400)-SUMPRODUCT((MOVIMIENTOS!$B$5:$B$400="TRASIEGO")*(MOVIMIENTOS!$C$5:$C$400="A")*(MOVIMIENTOS!$D$5:$D$400="jabas")*(MOVIMIENTOS!$A$5:$A$400&lt;&gt;"")*(MOVIMIENTOS!$A$5:$A$400&lt;=$A8)*MOVIMIENTOS!$E$5:$E$400)-SUMPRODUCT((MOVIMIENTOS!$B$5:$B$400="REGALO")*(MOVIMIENTOS!$C$5:$C$400="A")*(MOVIMIENTOS!$D$5:$D$400="jabas")*(MOVIMIENTOS!$A$5:$A$400&lt;&gt;"")*(MOVIMIENTOS!$A$5:$A$400&lt;=$A8)*MOVIMIENTOS!$E$5:$E$400)-SUMPRODUCT((MOVIMIENTOS!$B$5:$B$400="VENTA")*(MOVIMIENTOS!$C$5:$C$400="A")*(MOVIMIENTOS!$D$5:$D$400="jabas")*(MOVIMIENTOS!$A$5:$A$400&lt;&gt;"")*(MOVIMIENTOS!$A$5:$A$400&lt;=$A8)*MOVIMIENTOS!$E$5:$E$400)+SUMPRODUCT((MOVIMIENTOS!$B$5:$B$400="AJUSTE")*(MOVIMIENTOS!$C$5:$C$400="A")*(MOVIMIENTOS!$D$5:$D$400="jabas")*(MOVIMIENTOS!$A$5:$A$400&lt;&gt;"")*(MOVIMIENTOS!$A$5:$A$400&lt;=$A8)*MOVIMIENTOS!$E$5:$E$400))</f>
        <v>12</v>
      </c>
      <c r="C8" s="52" t="n">
        <f aca="false">IF($A8="","",SUMPRODUCT((MOVIMIENTOS!$B$5:$B$400="SALDO INICIAL")*(MOVIMIENTOS!$C$5:$C$400="P")*(MOVIMIENTOS!$D$5:$D$400="jabas")*(MOVIMIENTOS!$A$5:$A$400&lt;&gt;"")*(MOVIMIENTOS!$A$5:$A$400&lt;=$A8)*MOVIMIENTOS!$E$5:$E$400)+SUMPRODUCT((MOVIMIENTOS!$B$5:$B$400="PROCESO")*(MOVIMIENTOS!$C$5:$C$400="P")*(MOVIMIENTOS!$D$5:$D$400="jabas")*(MOVIMIENTOS!$A$5:$A$400&lt;&gt;"")*(MOVIMIENTOS!$A$5:$A$400&lt;=$A8)*MOVIMIENTOS!$E$5:$E$400)-SUMPRODUCT((MOVIMIENTOS!$B$5:$B$400="ENVÍO A SUPESA")*(MOVIMIENTOS!$C$5:$C$400="P")*(MOVIMIENTOS!$D$5:$D$400="jabas")*(MOVIMIENTOS!$A$5:$A$400&lt;&gt;"")*(MOVIMIENTOS!$A$5:$A$400&lt;=$A8)*MOVIMIENTOS!$E$5:$E$400)+SUMPRODUCT((MOVIMIENTOS!$B$5:$B$400="DEVOLUCIÓN")*(MOVIMIENTOS!$C$5:$C$400="P")*(MOVIMIENTOS!$D$5:$D$400="jabas")*(MOVIMIENTOS!$A$5:$A$400&lt;&gt;"")*(MOVIMIENTOS!$A$5:$A$400&lt;=$A8)*MOVIMIENTOS!$E$5:$E$400)-SUMPRODUCT((MOVIMIENTOS!$B$5:$B$400="TRASIEGO")*(MOVIMIENTOS!$C$5:$C$400="P")*(MOVIMIENTOS!$D$5:$D$400="jabas")*(MOVIMIENTOS!$A$5:$A$400&lt;&gt;"")*(MOVIMIENTOS!$A$5:$A$400&lt;=$A8)*MOVIMIENTOS!$E$5:$E$400)-SUMPRODUCT((MOVIMIENTOS!$B$5:$B$400="REGALO")*(MOVIMIENTOS!$C$5:$C$400="P")*(MOVIMIENTOS!$D$5:$D$400="jabas")*(MOVIMIENTOS!$A$5:$A$400&lt;&gt;"")*(MOVIMIENTOS!$A$5:$A$400&lt;=$A8)*MOVIMIENTOS!$E$5:$E$400)-SUMPRODUCT((MOVIMIENTOS!$B$5:$B$400="VENTA")*(MOVIMIENTOS!$C$5:$C$400="P")*(MOVIMIENTOS!$D$5:$D$400="jabas")*(MOVIMIENTOS!$A$5:$A$400&lt;&gt;"")*(MOVIMIENTOS!$A$5:$A$400&lt;=$A8)*MOVIMIENTOS!$E$5:$E$400)+SUMPRODUCT((MOVIMIENTOS!$B$5:$B$400="AJUSTE")*(MOVIMIENTOS!$C$5:$C$400="P")*(MOVIMIENTOS!$D$5:$D$400="jabas")*(MOVIMIENTOS!$A$5:$A$400&lt;&gt;"")*(MOVIMIENTOS!$A$5:$A$400&lt;=$A8)*MOVIMIENTOS!$E$5:$E$400))</f>
        <v>0</v>
      </c>
      <c r="D8" s="52" t="n">
        <f aca="false">IF($A8="","",SUMPRODUCT((MOVIMIENTOS!$B$5:$B$400="SALDO INICIAL")*(MOVIMIENTOS!$C$5:$C$400="C")*(MOVIMIENTOS!$D$5:$D$400="jabas")*(MOVIMIENTOS!$A$5:$A$400&lt;&gt;"")*(MOVIMIENTOS!$A$5:$A$400&lt;=$A8)*MOVIMIENTOS!$E$5:$E$400)+SUMPRODUCT((MOVIMIENTOS!$B$5:$B$400="PROCESO")*(MOVIMIENTOS!$C$5:$C$400="C")*(MOVIMIENTOS!$D$5:$D$400="jabas")*(MOVIMIENTOS!$A$5:$A$400&lt;&gt;"")*(MOVIMIENTOS!$A$5:$A$400&lt;=$A8)*MOVIMIENTOS!$E$5:$E$400)-SUMPRODUCT((MOVIMIENTOS!$B$5:$B$400="ENVÍO A SUPESA")*(MOVIMIENTOS!$C$5:$C$400="C")*(MOVIMIENTOS!$D$5:$D$400="jabas")*(MOVIMIENTOS!$A$5:$A$400&lt;&gt;"")*(MOVIMIENTOS!$A$5:$A$400&lt;=$A8)*MOVIMIENTOS!$E$5:$E$400)+SUMPRODUCT((MOVIMIENTOS!$B$5:$B$400="DEVOLUCIÓN")*(MOVIMIENTOS!$C$5:$C$400="C")*(MOVIMIENTOS!$D$5:$D$400="jabas")*(MOVIMIENTOS!$A$5:$A$400&lt;&gt;"")*(MOVIMIENTOS!$A$5:$A$400&lt;=$A8)*MOVIMIENTOS!$E$5:$E$400)-SUMPRODUCT((MOVIMIENTOS!$B$5:$B$400="TRASIEGO")*(MOVIMIENTOS!$C$5:$C$400="C")*(MOVIMIENTOS!$D$5:$D$400="jabas")*(MOVIMIENTOS!$A$5:$A$400&lt;&gt;"")*(MOVIMIENTOS!$A$5:$A$400&lt;=$A8)*MOVIMIENTOS!$E$5:$E$400)-SUMPRODUCT((MOVIMIENTOS!$B$5:$B$400="REGALO")*(MOVIMIENTOS!$C$5:$C$400="C")*(MOVIMIENTOS!$D$5:$D$400="jabas")*(MOVIMIENTOS!$A$5:$A$400&lt;&gt;"")*(MOVIMIENTOS!$A$5:$A$400&lt;=$A8)*MOVIMIENTOS!$E$5:$E$400)-SUMPRODUCT((MOVIMIENTOS!$B$5:$B$400="VENTA")*(MOVIMIENTOS!$C$5:$C$400="C")*(MOVIMIENTOS!$D$5:$D$400="jabas")*(MOVIMIENTOS!$A$5:$A$400&lt;&gt;"")*(MOVIMIENTOS!$A$5:$A$400&lt;=$A8)*MOVIMIENTOS!$E$5:$E$400)+SUMPRODUCT((MOVIMIENTOS!$B$5:$B$400="AJUSTE")*(MOVIMIENTOS!$C$5:$C$400="C")*(MOVIMIENTOS!$D$5:$D$400="jabas")*(MOVIMIENTOS!$A$5:$A$400&lt;&gt;"")*(MOVIMIENTOS!$A$5:$A$400&lt;=$A8)*MOVIMIENTOS!$E$5:$E$400))</f>
        <v>0</v>
      </c>
      <c r="E8" s="52" t="n">
        <f aca="false">IF($A8="","",SUMPRODUCT((MOVIMIENTOS!$B$5:$B$400="SALDO INICIAL")*(MOVIMIENTOS!$C$5:$C$400="M")*(MOVIMIENTOS!$D$5:$D$400="jabas")*(MOVIMIENTOS!$A$5:$A$400&lt;&gt;"")*(MOVIMIENTOS!$A$5:$A$400&lt;=$A8)*MOVIMIENTOS!$E$5:$E$400)+SUMPRODUCT((MOVIMIENTOS!$B$5:$B$400="PROCESO")*(MOVIMIENTOS!$C$5:$C$400="M")*(MOVIMIENTOS!$D$5:$D$400="jabas")*(MOVIMIENTOS!$A$5:$A$400&lt;&gt;"")*(MOVIMIENTOS!$A$5:$A$400&lt;=$A8)*MOVIMIENTOS!$E$5:$E$400)-SUMPRODUCT((MOVIMIENTOS!$B$5:$B$400="ENVÍO A SUPESA")*(MOVIMIENTOS!$C$5:$C$400="M")*(MOVIMIENTOS!$D$5:$D$400="jabas")*(MOVIMIENTOS!$A$5:$A$400&lt;&gt;"")*(MOVIMIENTOS!$A$5:$A$400&lt;=$A8)*MOVIMIENTOS!$E$5:$E$400)+SUMPRODUCT((MOVIMIENTOS!$B$5:$B$400="DEVOLUCIÓN")*(MOVIMIENTOS!$C$5:$C$400="M")*(MOVIMIENTOS!$D$5:$D$400="jabas")*(MOVIMIENTOS!$A$5:$A$400&lt;&gt;"")*(MOVIMIENTOS!$A$5:$A$400&lt;=$A8)*MOVIMIENTOS!$E$5:$E$400)-SUMPRODUCT((MOVIMIENTOS!$B$5:$B$400="TRASIEGO")*(MOVIMIENTOS!$C$5:$C$400="M")*(MOVIMIENTOS!$D$5:$D$400="jabas")*(MOVIMIENTOS!$A$5:$A$400&lt;&gt;"")*(MOVIMIENTOS!$A$5:$A$400&lt;=$A8)*MOVIMIENTOS!$E$5:$E$400)-SUMPRODUCT((MOVIMIENTOS!$B$5:$B$400="REGALO")*(MOVIMIENTOS!$C$5:$C$400="M")*(MOVIMIENTOS!$D$5:$D$400="jabas")*(MOVIMIENTOS!$A$5:$A$400&lt;&gt;"")*(MOVIMIENTOS!$A$5:$A$400&lt;=$A8)*MOVIMIENTOS!$E$5:$E$400)-SUMPRODUCT((MOVIMIENTOS!$B$5:$B$400="VENTA")*(MOVIMIENTOS!$C$5:$C$400="M")*(MOVIMIENTOS!$D$5:$D$400="jabas")*(MOVIMIENTOS!$A$5:$A$400&lt;&gt;"")*(MOVIMIENTOS!$A$5:$A$400&lt;=$A8)*MOVIMIENTOS!$E$5:$E$400)+SUMPRODUCT((MOVIMIENTOS!$B$5:$B$400="AJUSTE")*(MOVIMIENTOS!$C$5:$C$400="M")*(MOVIMIENTOS!$D$5:$D$400="jabas")*(MOVIMIENTOS!$A$5:$A$400&lt;&gt;"")*(MOVIMIENTOS!$A$5:$A$400&lt;=$A8)*MOVIMIENTOS!$E$5:$E$400))</f>
        <v>48</v>
      </c>
      <c r="F8" s="52" t="n">
        <f aca="false">IF($A8="","",SUMPRODUCT((MOVIMIENTOS!$B$5:$B$400="SALDO INICIAL")*(MOVIMIENTOS!$C$5:$C$400="Chancho")*(MOVIMIENTOS!$D$5:$D$400="sacos")*(MOVIMIENTOS!$A$5:$A$400&lt;&gt;"")*(MOVIMIENTOS!$A$5:$A$400&lt;=$A8)*MOVIMIENTOS!$E$5:$E$400)+SUMPRODUCT((MOVIMIENTOS!$B$5:$B$400="PROCESO")*(MOVIMIENTOS!$C$5:$C$400="Chancho")*(MOVIMIENTOS!$D$5:$D$400="sacos")*(MOVIMIENTOS!$A$5:$A$400&lt;&gt;"")*(MOVIMIENTOS!$A$5:$A$400&lt;=$A8)*MOVIMIENTOS!$E$5:$E$400)-SUMPRODUCT((MOVIMIENTOS!$B$5:$B$400="VENTA CHANCHO")*(MOVIMIENTOS!$C$5:$C$400="Chancho")*(MOVIMIENTOS!$D$5:$D$400="sacos")*(MOVIMIENTOS!$A$5:$A$400&lt;&gt;"")*(MOVIMIENTOS!$A$5:$A$400&lt;=$A8)*MOVIMIENTOS!$E$5:$E$400)-SUMPRODUCT((MOVIMIENTOS!$B$5:$B$400="REGALO")*(MOVIMIENTOS!$C$5:$C$400="Chancho")*(MOVIMIENTOS!$D$5:$D$400="sacos")*(MOVIMIENTOS!$A$5:$A$400&lt;&gt;"")*(MOVIMIENTOS!$A$5:$A$400&lt;=$A8)*MOVIMIENTOS!$E$5:$E$400)-SUMPRODUCT((MOVIMIENTOS!$B$5:$B$400="VENTA")*(MOVIMIENTOS!$C$5:$C$400="Chancho")*(MOVIMIENTOS!$D$5:$D$400="sacos")*(MOVIMIENTOS!$A$5:$A$400&lt;&gt;"")*(MOVIMIENTOS!$A$5:$A$400&lt;=$A8)*MOVIMIENTOS!$E$5:$E$400)+SUMPRODUCT((MOVIMIENTOS!$B$5:$B$400="AJUSTE")*(MOVIMIENTOS!$C$5:$C$400="Chancho")*(MOVIMIENTOS!$D$5:$D$400="sacos")*(MOVIMIENTOS!$A$5:$A$400&lt;&gt;"")*(MOVIMIENTOS!$A$5:$A$400&lt;=$A8)*MOVIMIENTOS!$E$5:$E$400))</f>
        <v>35</v>
      </c>
      <c r="G8" s="52" t="n">
        <f aca="false">IF($A8="","",SUM(B8:E8))</f>
        <v>60</v>
      </c>
      <c r="H8" s="52" t="n">
        <f aca="false">IF($A8="","",SUMPRODUCT((((MOVIMIENTOS!$B$5:$B$400="SALDO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8)*MOVIMIENTOS!$I$5:$I$400))</f>
        <v>635</v>
      </c>
      <c r="I8" s="48"/>
      <c r="J8" s="48" t="str">
        <f aca="false">IF(AND(MOVIMIENTOS!$A8&lt;&gt;"",COUNTIF(MOVIMIENTOS!$A$5:$A7,MOVIMIENTOS!$A8)=0),COUNT(J$4:J7)+1,"")</f>
        <v/>
      </c>
      <c r="K8" s="53" t="n">
        <f aca="false">MOVIMIENTOS!$A8</f>
        <v>46214</v>
      </c>
      <c r="L8" s="48"/>
      <c r="M8" s="48"/>
      <c r="N8" s="48"/>
    </row>
    <row r="9" customFormat="false" ht="15" hidden="false" customHeight="true" outlineLevel="0" collapsed="false">
      <c r="A9" s="51" t="n">
        <f aca="false">IFERROR(INDEX(K$5:K$400,MATCH(ROW()-4,J$5:J$400,0)),"")</f>
        <v>46218</v>
      </c>
      <c r="B9" s="52" t="n">
        <f aca="false">IF($A9="","",SUMPRODUCT((MOVIMIENTOS!$B$5:$B$400="SALDO INICIAL")*(MOVIMIENTOS!$C$5:$C$400="A")*(MOVIMIENTOS!$D$5:$D$400="jabas")*(MOVIMIENTOS!$A$5:$A$400&lt;&gt;"")*(MOVIMIENTOS!$A$5:$A$400&lt;=$A9)*MOVIMIENTOS!$E$5:$E$400)+SUMPRODUCT((MOVIMIENTOS!$B$5:$B$400="PROCESO")*(MOVIMIENTOS!$C$5:$C$400="A")*(MOVIMIENTOS!$D$5:$D$400="jabas")*(MOVIMIENTOS!$A$5:$A$400&lt;&gt;"")*(MOVIMIENTOS!$A$5:$A$400&lt;=$A9)*MOVIMIENTOS!$E$5:$E$400)-SUMPRODUCT((MOVIMIENTOS!$B$5:$B$400="ENVÍO A SUPESA")*(MOVIMIENTOS!$C$5:$C$400="A")*(MOVIMIENTOS!$D$5:$D$400="jabas")*(MOVIMIENTOS!$A$5:$A$400&lt;&gt;"")*(MOVIMIENTOS!$A$5:$A$400&lt;=$A9)*MOVIMIENTOS!$E$5:$E$400)+SUMPRODUCT((MOVIMIENTOS!$B$5:$B$400="DEVOLUCIÓN")*(MOVIMIENTOS!$C$5:$C$400="A")*(MOVIMIENTOS!$D$5:$D$400="jabas")*(MOVIMIENTOS!$A$5:$A$400&lt;&gt;"")*(MOVIMIENTOS!$A$5:$A$400&lt;=$A9)*MOVIMIENTOS!$E$5:$E$400)-SUMPRODUCT((MOVIMIENTOS!$B$5:$B$400="TRASIEGO")*(MOVIMIENTOS!$C$5:$C$400="A")*(MOVIMIENTOS!$D$5:$D$400="jabas")*(MOVIMIENTOS!$A$5:$A$400&lt;&gt;"")*(MOVIMIENTOS!$A$5:$A$400&lt;=$A9)*MOVIMIENTOS!$E$5:$E$400)-SUMPRODUCT((MOVIMIENTOS!$B$5:$B$400="REGALO")*(MOVIMIENTOS!$C$5:$C$400="A")*(MOVIMIENTOS!$D$5:$D$400="jabas")*(MOVIMIENTOS!$A$5:$A$400&lt;&gt;"")*(MOVIMIENTOS!$A$5:$A$400&lt;=$A9)*MOVIMIENTOS!$E$5:$E$400)-SUMPRODUCT((MOVIMIENTOS!$B$5:$B$400="VENTA")*(MOVIMIENTOS!$C$5:$C$400="A")*(MOVIMIENTOS!$D$5:$D$400="jabas")*(MOVIMIENTOS!$A$5:$A$400&lt;&gt;"")*(MOVIMIENTOS!$A$5:$A$400&lt;=$A9)*MOVIMIENTOS!$E$5:$E$400)+SUMPRODUCT((MOVIMIENTOS!$B$5:$B$400="AJUSTE")*(MOVIMIENTOS!$C$5:$C$400="A")*(MOVIMIENTOS!$D$5:$D$400="jabas")*(MOVIMIENTOS!$A$5:$A$400&lt;&gt;"")*(MOVIMIENTOS!$A$5:$A$400&lt;=$A9)*MOVIMIENTOS!$E$5:$E$400))</f>
        <v>24</v>
      </c>
      <c r="C9" s="52" t="n">
        <f aca="false">IF($A9="","",SUMPRODUCT((MOVIMIENTOS!$B$5:$B$400="SALDO INICIAL")*(MOVIMIENTOS!$C$5:$C$400="P")*(MOVIMIENTOS!$D$5:$D$400="jabas")*(MOVIMIENTOS!$A$5:$A$400&lt;&gt;"")*(MOVIMIENTOS!$A$5:$A$400&lt;=$A9)*MOVIMIENTOS!$E$5:$E$400)+SUMPRODUCT((MOVIMIENTOS!$B$5:$B$400="PROCESO")*(MOVIMIENTOS!$C$5:$C$400="P")*(MOVIMIENTOS!$D$5:$D$400="jabas")*(MOVIMIENTOS!$A$5:$A$400&lt;&gt;"")*(MOVIMIENTOS!$A$5:$A$400&lt;=$A9)*MOVIMIENTOS!$E$5:$E$400)-SUMPRODUCT((MOVIMIENTOS!$B$5:$B$400="ENVÍO A SUPESA")*(MOVIMIENTOS!$C$5:$C$400="P")*(MOVIMIENTOS!$D$5:$D$400="jabas")*(MOVIMIENTOS!$A$5:$A$400&lt;&gt;"")*(MOVIMIENTOS!$A$5:$A$400&lt;=$A9)*MOVIMIENTOS!$E$5:$E$400)+SUMPRODUCT((MOVIMIENTOS!$B$5:$B$400="DEVOLUCIÓN")*(MOVIMIENTOS!$C$5:$C$400="P")*(MOVIMIENTOS!$D$5:$D$400="jabas")*(MOVIMIENTOS!$A$5:$A$400&lt;&gt;"")*(MOVIMIENTOS!$A$5:$A$400&lt;=$A9)*MOVIMIENTOS!$E$5:$E$400)-SUMPRODUCT((MOVIMIENTOS!$B$5:$B$400="TRASIEGO")*(MOVIMIENTOS!$C$5:$C$400="P")*(MOVIMIENTOS!$D$5:$D$400="jabas")*(MOVIMIENTOS!$A$5:$A$400&lt;&gt;"")*(MOVIMIENTOS!$A$5:$A$400&lt;=$A9)*MOVIMIENTOS!$E$5:$E$400)-SUMPRODUCT((MOVIMIENTOS!$B$5:$B$400="REGALO")*(MOVIMIENTOS!$C$5:$C$400="P")*(MOVIMIENTOS!$D$5:$D$400="jabas")*(MOVIMIENTOS!$A$5:$A$400&lt;&gt;"")*(MOVIMIENTOS!$A$5:$A$400&lt;=$A9)*MOVIMIENTOS!$E$5:$E$400)-SUMPRODUCT((MOVIMIENTOS!$B$5:$B$400="VENTA")*(MOVIMIENTOS!$C$5:$C$400="P")*(MOVIMIENTOS!$D$5:$D$400="jabas")*(MOVIMIENTOS!$A$5:$A$400&lt;&gt;"")*(MOVIMIENTOS!$A$5:$A$400&lt;=$A9)*MOVIMIENTOS!$E$5:$E$400)+SUMPRODUCT((MOVIMIENTOS!$B$5:$B$400="AJUSTE")*(MOVIMIENTOS!$C$5:$C$400="P")*(MOVIMIENTOS!$D$5:$D$400="jabas")*(MOVIMIENTOS!$A$5:$A$400&lt;&gt;"")*(MOVIMIENTOS!$A$5:$A$400&lt;=$A9)*MOVIMIENTOS!$E$5:$E$400))</f>
        <v>11</v>
      </c>
      <c r="D9" s="52" t="n">
        <f aca="false">IF($A9="","",SUMPRODUCT((MOVIMIENTOS!$B$5:$B$400="SALDO INICIAL")*(MOVIMIENTOS!$C$5:$C$400="C")*(MOVIMIENTOS!$D$5:$D$400="jabas")*(MOVIMIENTOS!$A$5:$A$400&lt;&gt;"")*(MOVIMIENTOS!$A$5:$A$400&lt;=$A9)*MOVIMIENTOS!$E$5:$E$400)+SUMPRODUCT((MOVIMIENTOS!$B$5:$B$400="PROCESO")*(MOVIMIENTOS!$C$5:$C$400="C")*(MOVIMIENTOS!$D$5:$D$400="jabas")*(MOVIMIENTOS!$A$5:$A$400&lt;&gt;"")*(MOVIMIENTOS!$A$5:$A$400&lt;=$A9)*MOVIMIENTOS!$E$5:$E$400)-SUMPRODUCT((MOVIMIENTOS!$B$5:$B$400="ENVÍO A SUPESA")*(MOVIMIENTOS!$C$5:$C$400="C")*(MOVIMIENTOS!$D$5:$D$400="jabas")*(MOVIMIENTOS!$A$5:$A$400&lt;&gt;"")*(MOVIMIENTOS!$A$5:$A$400&lt;=$A9)*MOVIMIENTOS!$E$5:$E$400)+SUMPRODUCT((MOVIMIENTOS!$B$5:$B$400="DEVOLUCIÓN")*(MOVIMIENTOS!$C$5:$C$400="C")*(MOVIMIENTOS!$D$5:$D$400="jabas")*(MOVIMIENTOS!$A$5:$A$400&lt;&gt;"")*(MOVIMIENTOS!$A$5:$A$400&lt;=$A9)*MOVIMIENTOS!$E$5:$E$400)-SUMPRODUCT((MOVIMIENTOS!$B$5:$B$400="TRASIEGO")*(MOVIMIENTOS!$C$5:$C$400="C")*(MOVIMIENTOS!$D$5:$D$400="jabas")*(MOVIMIENTOS!$A$5:$A$400&lt;&gt;"")*(MOVIMIENTOS!$A$5:$A$400&lt;=$A9)*MOVIMIENTOS!$E$5:$E$400)-SUMPRODUCT((MOVIMIENTOS!$B$5:$B$400="REGALO")*(MOVIMIENTOS!$C$5:$C$400="C")*(MOVIMIENTOS!$D$5:$D$400="jabas")*(MOVIMIENTOS!$A$5:$A$400&lt;&gt;"")*(MOVIMIENTOS!$A$5:$A$400&lt;=$A9)*MOVIMIENTOS!$E$5:$E$400)-SUMPRODUCT((MOVIMIENTOS!$B$5:$B$400="VENTA")*(MOVIMIENTOS!$C$5:$C$400="C")*(MOVIMIENTOS!$D$5:$D$400="jabas")*(MOVIMIENTOS!$A$5:$A$400&lt;&gt;"")*(MOVIMIENTOS!$A$5:$A$400&lt;=$A9)*MOVIMIENTOS!$E$5:$E$400)+SUMPRODUCT((MOVIMIENTOS!$B$5:$B$400="AJUSTE")*(MOVIMIENTOS!$C$5:$C$400="C")*(MOVIMIENTOS!$D$5:$D$400="jabas")*(MOVIMIENTOS!$A$5:$A$400&lt;&gt;"")*(MOVIMIENTOS!$A$5:$A$400&lt;=$A9)*MOVIMIENTOS!$E$5:$E$400))</f>
        <v>12</v>
      </c>
      <c r="E9" s="52" t="n">
        <f aca="false">IF($A9="","",SUMPRODUCT((MOVIMIENTOS!$B$5:$B$400="SALDO INICIAL")*(MOVIMIENTOS!$C$5:$C$400="M")*(MOVIMIENTOS!$D$5:$D$400="jabas")*(MOVIMIENTOS!$A$5:$A$400&lt;&gt;"")*(MOVIMIENTOS!$A$5:$A$400&lt;=$A9)*MOVIMIENTOS!$E$5:$E$400)+SUMPRODUCT((MOVIMIENTOS!$B$5:$B$400="PROCESO")*(MOVIMIENTOS!$C$5:$C$400="M")*(MOVIMIENTOS!$D$5:$D$400="jabas")*(MOVIMIENTOS!$A$5:$A$400&lt;&gt;"")*(MOVIMIENTOS!$A$5:$A$400&lt;=$A9)*MOVIMIENTOS!$E$5:$E$400)-SUMPRODUCT((MOVIMIENTOS!$B$5:$B$400="ENVÍO A SUPESA")*(MOVIMIENTOS!$C$5:$C$400="M")*(MOVIMIENTOS!$D$5:$D$400="jabas")*(MOVIMIENTOS!$A$5:$A$400&lt;&gt;"")*(MOVIMIENTOS!$A$5:$A$400&lt;=$A9)*MOVIMIENTOS!$E$5:$E$400)+SUMPRODUCT((MOVIMIENTOS!$B$5:$B$400="DEVOLUCIÓN")*(MOVIMIENTOS!$C$5:$C$400="M")*(MOVIMIENTOS!$D$5:$D$400="jabas")*(MOVIMIENTOS!$A$5:$A$400&lt;&gt;"")*(MOVIMIENTOS!$A$5:$A$400&lt;=$A9)*MOVIMIENTOS!$E$5:$E$400)-SUMPRODUCT((MOVIMIENTOS!$B$5:$B$400="TRASIEGO")*(MOVIMIENTOS!$C$5:$C$400="M")*(MOVIMIENTOS!$D$5:$D$400="jabas")*(MOVIMIENTOS!$A$5:$A$400&lt;&gt;"")*(MOVIMIENTOS!$A$5:$A$400&lt;=$A9)*MOVIMIENTOS!$E$5:$E$400)-SUMPRODUCT((MOVIMIENTOS!$B$5:$B$400="REGALO")*(MOVIMIENTOS!$C$5:$C$400="M")*(MOVIMIENTOS!$D$5:$D$400="jabas")*(MOVIMIENTOS!$A$5:$A$400&lt;&gt;"")*(MOVIMIENTOS!$A$5:$A$400&lt;=$A9)*MOVIMIENTOS!$E$5:$E$400)-SUMPRODUCT((MOVIMIENTOS!$B$5:$B$400="VENTA")*(MOVIMIENTOS!$C$5:$C$400="M")*(MOVIMIENTOS!$D$5:$D$400="jabas")*(MOVIMIENTOS!$A$5:$A$400&lt;&gt;"")*(MOVIMIENTOS!$A$5:$A$400&lt;=$A9)*MOVIMIENTOS!$E$5:$E$400)+SUMPRODUCT((MOVIMIENTOS!$B$5:$B$400="AJUSTE")*(MOVIMIENTOS!$C$5:$C$400="M")*(MOVIMIENTOS!$D$5:$D$400="jabas")*(MOVIMIENTOS!$A$5:$A$400&lt;&gt;"")*(MOVIMIENTOS!$A$5:$A$400&lt;=$A9)*MOVIMIENTOS!$E$5:$E$400))</f>
        <v>36</v>
      </c>
      <c r="F9" s="52" t="n">
        <f aca="false">IF($A9="","",SUMPRODUCT((MOVIMIENTOS!$B$5:$B$400="SALDO INICIAL")*(MOVIMIENTOS!$C$5:$C$400="Chancho")*(MOVIMIENTOS!$D$5:$D$400="sacos")*(MOVIMIENTOS!$A$5:$A$400&lt;&gt;"")*(MOVIMIENTOS!$A$5:$A$400&lt;=$A9)*MOVIMIENTOS!$E$5:$E$400)+SUMPRODUCT((MOVIMIENTOS!$B$5:$B$400="PROCESO")*(MOVIMIENTOS!$C$5:$C$400="Chancho")*(MOVIMIENTOS!$D$5:$D$400="sacos")*(MOVIMIENTOS!$A$5:$A$400&lt;&gt;"")*(MOVIMIENTOS!$A$5:$A$400&lt;=$A9)*MOVIMIENTOS!$E$5:$E$400)-SUMPRODUCT((MOVIMIENTOS!$B$5:$B$400="VENTA CHANCHO")*(MOVIMIENTOS!$C$5:$C$400="Chancho")*(MOVIMIENTOS!$D$5:$D$400="sacos")*(MOVIMIENTOS!$A$5:$A$400&lt;&gt;"")*(MOVIMIENTOS!$A$5:$A$400&lt;=$A9)*MOVIMIENTOS!$E$5:$E$400)-SUMPRODUCT((MOVIMIENTOS!$B$5:$B$400="REGALO")*(MOVIMIENTOS!$C$5:$C$400="Chancho")*(MOVIMIENTOS!$D$5:$D$400="sacos")*(MOVIMIENTOS!$A$5:$A$400&lt;&gt;"")*(MOVIMIENTOS!$A$5:$A$400&lt;=$A9)*MOVIMIENTOS!$E$5:$E$400)-SUMPRODUCT((MOVIMIENTOS!$B$5:$B$400="VENTA")*(MOVIMIENTOS!$C$5:$C$400="Chancho")*(MOVIMIENTOS!$D$5:$D$400="sacos")*(MOVIMIENTOS!$A$5:$A$400&lt;&gt;"")*(MOVIMIENTOS!$A$5:$A$400&lt;=$A9)*MOVIMIENTOS!$E$5:$E$400)+SUMPRODUCT((MOVIMIENTOS!$B$5:$B$400="AJUSTE")*(MOVIMIENTOS!$C$5:$C$400="Chancho")*(MOVIMIENTOS!$D$5:$D$400="sacos")*(MOVIMIENTOS!$A$5:$A$400&lt;&gt;"")*(MOVIMIENTOS!$A$5:$A$400&lt;=$A9)*MOVIMIENTOS!$E$5:$E$400))</f>
        <v>5</v>
      </c>
      <c r="G9" s="52" t="n">
        <f aca="false">IF($A9="","",SUM(B9:E9))</f>
        <v>83</v>
      </c>
      <c r="H9" s="52" t="n">
        <f aca="false">IF($A9="","",SUMPRODUCT((((MOVIMIENTOS!$B$5:$B$400="SALDO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9)*MOVIMIENTOS!$I$5:$I$400))</f>
        <v>989</v>
      </c>
      <c r="I9" s="48"/>
      <c r="J9" s="48" t="n">
        <f aca="false">IF(AND(MOVIMIENTOS!$A9&lt;&gt;"",COUNTIF(MOVIMIENTOS!$A$5:$A8,MOVIMIENTOS!$A9)=0),COUNT(J$4:J8)+1,"")</f>
        <v>2</v>
      </c>
      <c r="K9" s="53" t="n">
        <f aca="false">MOVIMIENTOS!$A9</f>
        <v>46215</v>
      </c>
      <c r="L9" s="48"/>
      <c r="M9" s="48"/>
      <c r="N9" s="48"/>
    </row>
    <row r="10" customFormat="false" ht="15" hidden="false" customHeight="true" outlineLevel="0" collapsed="false">
      <c r="A10" s="51" t="n">
        <f aca="false">IFERROR(INDEX(K$5:K$400,MATCH(ROW()-4,J$5:J$400,0)),"")</f>
        <v>46219</v>
      </c>
      <c r="B10" s="52" t="n">
        <f aca="false">IF($A10="","",SUMPRODUCT((MOVIMIENTOS!$B$5:$B$400="SALDO INICIAL")*(MOVIMIENTOS!$C$5:$C$400="A")*(MOVIMIENTOS!$D$5:$D$400="jabas")*(MOVIMIENTOS!$A$5:$A$400&lt;&gt;"")*(MOVIMIENTOS!$A$5:$A$400&lt;=$A10)*MOVIMIENTOS!$E$5:$E$400)+SUMPRODUCT((MOVIMIENTOS!$B$5:$B$400="PROCESO")*(MOVIMIENTOS!$C$5:$C$400="A")*(MOVIMIENTOS!$D$5:$D$400="jabas")*(MOVIMIENTOS!$A$5:$A$400&lt;&gt;"")*(MOVIMIENTOS!$A$5:$A$400&lt;=$A10)*MOVIMIENTOS!$E$5:$E$400)-SUMPRODUCT((MOVIMIENTOS!$B$5:$B$400="ENVÍO A SUPESA")*(MOVIMIENTOS!$C$5:$C$400="A")*(MOVIMIENTOS!$D$5:$D$400="jabas")*(MOVIMIENTOS!$A$5:$A$400&lt;&gt;"")*(MOVIMIENTOS!$A$5:$A$400&lt;=$A10)*MOVIMIENTOS!$E$5:$E$400)+SUMPRODUCT((MOVIMIENTOS!$B$5:$B$400="DEVOLUCIÓN")*(MOVIMIENTOS!$C$5:$C$400="A")*(MOVIMIENTOS!$D$5:$D$400="jabas")*(MOVIMIENTOS!$A$5:$A$400&lt;&gt;"")*(MOVIMIENTOS!$A$5:$A$400&lt;=$A10)*MOVIMIENTOS!$E$5:$E$400)-SUMPRODUCT((MOVIMIENTOS!$B$5:$B$400="TRASIEGO")*(MOVIMIENTOS!$C$5:$C$400="A")*(MOVIMIENTOS!$D$5:$D$400="jabas")*(MOVIMIENTOS!$A$5:$A$400&lt;&gt;"")*(MOVIMIENTOS!$A$5:$A$400&lt;=$A10)*MOVIMIENTOS!$E$5:$E$400)-SUMPRODUCT((MOVIMIENTOS!$B$5:$B$400="REGALO")*(MOVIMIENTOS!$C$5:$C$400="A")*(MOVIMIENTOS!$D$5:$D$400="jabas")*(MOVIMIENTOS!$A$5:$A$400&lt;&gt;"")*(MOVIMIENTOS!$A$5:$A$400&lt;=$A10)*MOVIMIENTOS!$E$5:$E$400)-SUMPRODUCT((MOVIMIENTOS!$B$5:$B$400="VENTA")*(MOVIMIENTOS!$C$5:$C$400="A")*(MOVIMIENTOS!$D$5:$D$400="jabas")*(MOVIMIENTOS!$A$5:$A$400&lt;&gt;"")*(MOVIMIENTOS!$A$5:$A$400&lt;=$A10)*MOVIMIENTOS!$E$5:$E$400)+SUMPRODUCT((MOVIMIENTOS!$B$5:$B$400="AJUSTE")*(MOVIMIENTOS!$C$5:$C$400="A")*(MOVIMIENTOS!$D$5:$D$400="jabas")*(MOVIMIENTOS!$A$5:$A$400&lt;&gt;"")*(MOVIMIENTOS!$A$5:$A$400&lt;=$A10)*MOVIMIENTOS!$E$5:$E$400))</f>
        <v>29</v>
      </c>
      <c r="C10" s="52" t="n">
        <f aca="false">IF($A10="","",SUMPRODUCT((MOVIMIENTOS!$B$5:$B$400="SALDO INICIAL")*(MOVIMIENTOS!$C$5:$C$400="P")*(MOVIMIENTOS!$D$5:$D$400="jabas")*(MOVIMIENTOS!$A$5:$A$400&lt;&gt;"")*(MOVIMIENTOS!$A$5:$A$400&lt;=$A10)*MOVIMIENTOS!$E$5:$E$400)+SUMPRODUCT((MOVIMIENTOS!$B$5:$B$400="PROCESO")*(MOVIMIENTOS!$C$5:$C$400="P")*(MOVIMIENTOS!$D$5:$D$400="jabas")*(MOVIMIENTOS!$A$5:$A$400&lt;&gt;"")*(MOVIMIENTOS!$A$5:$A$400&lt;=$A10)*MOVIMIENTOS!$E$5:$E$400)-SUMPRODUCT((MOVIMIENTOS!$B$5:$B$400="ENVÍO A SUPESA")*(MOVIMIENTOS!$C$5:$C$400="P")*(MOVIMIENTOS!$D$5:$D$400="jabas")*(MOVIMIENTOS!$A$5:$A$400&lt;&gt;"")*(MOVIMIENTOS!$A$5:$A$400&lt;=$A10)*MOVIMIENTOS!$E$5:$E$400)+SUMPRODUCT((MOVIMIENTOS!$B$5:$B$400="DEVOLUCIÓN")*(MOVIMIENTOS!$C$5:$C$400="P")*(MOVIMIENTOS!$D$5:$D$400="jabas")*(MOVIMIENTOS!$A$5:$A$400&lt;&gt;"")*(MOVIMIENTOS!$A$5:$A$400&lt;=$A10)*MOVIMIENTOS!$E$5:$E$400)-SUMPRODUCT((MOVIMIENTOS!$B$5:$B$400="TRASIEGO")*(MOVIMIENTOS!$C$5:$C$400="P")*(MOVIMIENTOS!$D$5:$D$400="jabas")*(MOVIMIENTOS!$A$5:$A$400&lt;&gt;"")*(MOVIMIENTOS!$A$5:$A$400&lt;=$A10)*MOVIMIENTOS!$E$5:$E$400)-SUMPRODUCT((MOVIMIENTOS!$B$5:$B$400="REGALO")*(MOVIMIENTOS!$C$5:$C$400="P")*(MOVIMIENTOS!$D$5:$D$400="jabas")*(MOVIMIENTOS!$A$5:$A$400&lt;&gt;"")*(MOVIMIENTOS!$A$5:$A$400&lt;=$A10)*MOVIMIENTOS!$E$5:$E$400)-SUMPRODUCT((MOVIMIENTOS!$B$5:$B$400="VENTA")*(MOVIMIENTOS!$C$5:$C$400="P")*(MOVIMIENTOS!$D$5:$D$400="jabas")*(MOVIMIENTOS!$A$5:$A$400&lt;&gt;"")*(MOVIMIENTOS!$A$5:$A$400&lt;=$A10)*MOVIMIENTOS!$E$5:$E$400)+SUMPRODUCT((MOVIMIENTOS!$B$5:$B$400="AJUSTE")*(MOVIMIENTOS!$C$5:$C$400="P")*(MOVIMIENTOS!$D$5:$D$400="jabas")*(MOVIMIENTOS!$A$5:$A$400&lt;&gt;"")*(MOVIMIENTOS!$A$5:$A$400&lt;=$A10)*MOVIMIENTOS!$E$5:$E$400))</f>
        <v>11</v>
      </c>
      <c r="D10" s="52" t="n">
        <f aca="false">IF($A10="","",SUMPRODUCT((MOVIMIENTOS!$B$5:$B$400="SALDO INICIAL")*(MOVIMIENTOS!$C$5:$C$400="C")*(MOVIMIENTOS!$D$5:$D$400="jabas")*(MOVIMIENTOS!$A$5:$A$400&lt;&gt;"")*(MOVIMIENTOS!$A$5:$A$400&lt;=$A10)*MOVIMIENTOS!$E$5:$E$400)+SUMPRODUCT((MOVIMIENTOS!$B$5:$B$400="PROCESO")*(MOVIMIENTOS!$C$5:$C$400="C")*(MOVIMIENTOS!$D$5:$D$400="jabas")*(MOVIMIENTOS!$A$5:$A$400&lt;&gt;"")*(MOVIMIENTOS!$A$5:$A$400&lt;=$A10)*MOVIMIENTOS!$E$5:$E$400)-SUMPRODUCT((MOVIMIENTOS!$B$5:$B$400="ENVÍO A SUPESA")*(MOVIMIENTOS!$C$5:$C$400="C")*(MOVIMIENTOS!$D$5:$D$400="jabas")*(MOVIMIENTOS!$A$5:$A$400&lt;&gt;"")*(MOVIMIENTOS!$A$5:$A$400&lt;=$A10)*MOVIMIENTOS!$E$5:$E$400)+SUMPRODUCT((MOVIMIENTOS!$B$5:$B$400="DEVOLUCIÓN")*(MOVIMIENTOS!$C$5:$C$400="C")*(MOVIMIENTOS!$D$5:$D$400="jabas")*(MOVIMIENTOS!$A$5:$A$400&lt;&gt;"")*(MOVIMIENTOS!$A$5:$A$400&lt;=$A10)*MOVIMIENTOS!$E$5:$E$400)-SUMPRODUCT((MOVIMIENTOS!$B$5:$B$400="TRASIEGO")*(MOVIMIENTOS!$C$5:$C$400="C")*(MOVIMIENTOS!$D$5:$D$400="jabas")*(MOVIMIENTOS!$A$5:$A$400&lt;&gt;"")*(MOVIMIENTOS!$A$5:$A$400&lt;=$A10)*MOVIMIENTOS!$E$5:$E$400)-SUMPRODUCT((MOVIMIENTOS!$B$5:$B$400="REGALO")*(MOVIMIENTOS!$C$5:$C$400="C")*(MOVIMIENTOS!$D$5:$D$400="jabas")*(MOVIMIENTOS!$A$5:$A$400&lt;&gt;"")*(MOVIMIENTOS!$A$5:$A$400&lt;=$A10)*MOVIMIENTOS!$E$5:$E$400)-SUMPRODUCT((MOVIMIENTOS!$B$5:$B$400="VENTA")*(MOVIMIENTOS!$C$5:$C$400="C")*(MOVIMIENTOS!$D$5:$D$400="jabas")*(MOVIMIENTOS!$A$5:$A$400&lt;&gt;"")*(MOVIMIENTOS!$A$5:$A$400&lt;=$A10)*MOVIMIENTOS!$E$5:$E$400)+SUMPRODUCT((MOVIMIENTOS!$B$5:$B$400="AJUSTE")*(MOVIMIENTOS!$C$5:$C$400="C")*(MOVIMIENTOS!$D$5:$D$400="jabas")*(MOVIMIENTOS!$A$5:$A$400&lt;&gt;"")*(MOVIMIENTOS!$A$5:$A$400&lt;=$A10)*MOVIMIENTOS!$E$5:$E$400))</f>
        <v>12</v>
      </c>
      <c r="E10" s="52" t="n">
        <f aca="false">IF($A10="","",SUMPRODUCT((MOVIMIENTOS!$B$5:$B$400="SALDO INICIAL")*(MOVIMIENTOS!$C$5:$C$400="M")*(MOVIMIENTOS!$D$5:$D$400="jabas")*(MOVIMIENTOS!$A$5:$A$400&lt;&gt;"")*(MOVIMIENTOS!$A$5:$A$400&lt;=$A10)*MOVIMIENTOS!$E$5:$E$400)+SUMPRODUCT((MOVIMIENTOS!$B$5:$B$400="PROCESO")*(MOVIMIENTOS!$C$5:$C$400="M")*(MOVIMIENTOS!$D$5:$D$400="jabas")*(MOVIMIENTOS!$A$5:$A$400&lt;&gt;"")*(MOVIMIENTOS!$A$5:$A$400&lt;=$A10)*MOVIMIENTOS!$E$5:$E$400)-SUMPRODUCT((MOVIMIENTOS!$B$5:$B$400="ENVÍO A SUPESA")*(MOVIMIENTOS!$C$5:$C$400="M")*(MOVIMIENTOS!$D$5:$D$400="jabas")*(MOVIMIENTOS!$A$5:$A$400&lt;&gt;"")*(MOVIMIENTOS!$A$5:$A$400&lt;=$A10)*MOVIMIENTOS!$E$5:$E$400)+SUMPRODUCT((MOVIMIENTOS!$B$5:$B$400="DEVOLUCIÓN")*(MOVIMIENTOS!$C$5:$C$400="M")*(MOVIMIENTOS!$D$5:$D$400="jabas")*(MOVIMIENTOS!$A$5:$A$400&lt;&gt;"")*(MOVIMIENTOS!$A$5:$A$400&lt;=$A10)*MOVIMIENTOS!$E$5:$E$400)-SUMPRODUCT((MOVIMIENTOS!$B$5:$B$400="TRASIEGO")*(MOVIMIENTOS!$C$5:$C$400="M")*(MOVIMIENTOS!$D$5:$D$400="jabas")*(MOVIMIENTOS!$A$5:$A$400&lt;&gt;"")*(MOVIMIENTOS!$A$5:$A$400&lt;=$A10)*MOVIMIENTOS!$E$5:$E$400)-SUMPRODUCT((MOVIMIENTOS!$B$5:$B$400="REGALO")*(MOVIMIENTOS!$C$5:$C$400="M")*(MOVIMIENTOS!$D$5:$D$400="jabas")*(MOVIMIENTOS!$A$5:$A$400&lt;&gt;"")*(MOVIMIENTOS!$A$5:$A$400&lt;=$A10)*MOVIMIENTOS!$E$5:$E$400)-SUMPRODUCT((MOVIMIENTOS!$B$5:$B$400="VENTA")*(MOVIMIENTOS!$C$5:$C$400="M")*(MOVIMIENTOS!$D$5:$D$400="jabas")*(MOVIMIENTOS!$A$5:$A$400&lt;&gt;"")*(MOVIMIENTOS!$A$5:$A$400&lt;=$A10)*MOVIMIENTOS!$E$5:$E$400)+SUMPRODUCT((MOVIMIENTOS!$B$5:$B$400="AJUSTE")*(MOVIMIENTOS!$C$5:$C$400="M")*(MOVIMIENTOS!$D$5:$D$400="jabas")*(MOVIMIENTOS!$A$5:$A$400&lt;&gt;"")*(MOVIMIENTOS!$A$5:$A$400&lt;=$A10)*MOVIMIENTOS!$E$5:$E$400))</f>
        <v>37</v>
      </c>
      <c r="F10" s="52" t="n">
        <f aca="false">IF($A10="","",SUMPRODUCT((MOVIMIENTOS!$B$5:$B$400="SALDO INICIAL")*(MOVIMIENTOS!$C$5:$C$400="Chancho")*(MOVIMIENTOS!$D$5:$D$400="sacos")*(MOVIMIENTOS!$A$5:$A$400&lt;&gt;"")*(MOVIMIENTOS!$A$5:$A$400&lt;=$A10)*MOVIMIENTOS!$E$5:$E$400)+SUMPRODUCT((MOVIMIENTOS!$B$5:$B$400="PROCESO")*(MOVIMIENTOS!$C$5:$C$400="Chancho")*(MOVIMIENTOS!$D$5:$D$400="sacos")*(MOVIMIENTOS!$A$5:$A$400&lt;&gt;"")*(MOVIMIENTOS!$A$5:$A$400&lt;=$A10)*MOVIMIENTOS!$E$5:$E$400)-SUMPRODUCT((MOVIMIENTOS!$B$5:$B$400="VENTA CHANCHO")*(MOVIMIENTOS!$C$5:$C$400="Chancho")*(MOVIMIENTOS!$D$5:$D$400="sacos")*(MOVIMIENTOS!$A$5:$A$400&lt;&gt;"")*(MOVIMIENTOS!$A$5:$A$400&lt;=$A10)*MOVIMIENTOS!$E$5:$E$400)-SUMPRODUCT((MOVIMIENTOS!$B$5:$B$400="REGALO")*(MOVIMIENTOS!$C$5:$C$400="Chancho")*(MOVIMIENTOS!$D$5:$D$400="sacos")*(MOVIMIENTOS!$A$5:$A$400&lt;&gt;"")*(MOVIMIENTOS!$A$5:$A$400&lt;=$A10)*MOVIMIENTOS!$E$5:$E$400)-SUMPRODUCT((MOVIMIENTOS!$B$5:$B$400="VENTA")*(MOVIMIENTOS!$C$5:$C$400="Chancho")*(MOVIMIENTOS!$D$5:$D$400="sacos")*(MOVIMIENTOS!$A$5:$A$400&lt;&gt;"")*(MOVIMIENTOS!$A$5:$A$400&lt;=$A10)*MOVIMIENTOS!$E$5:$E$400)+SUMPRODUCT((MOVIMIENTOS!$B$5:$B$400="AJUSTE")*(MOVIMIENTOS!$C$5:$C$400="Chancho")*(MOVIMIENTOS!$D$5:$D$400="sacos")*(MOVIMIENTOS!$A$5:$A$400&lt;&gt;"")*(MOVIMIENTOS!$A$5:$A$400&lt;=$A10)*MOVIMIENTOS!$E$5:$E$400))</f>
        <v>9</v>
      </c>
      <c r="G10" s="52" t="n">
        <f aca="false">IF($A10="","",SUM(B10:E10))</f>
        <v>89</v>
      </c>
      <c r="H10" s="52" t="n">
        <f aca="false">IF($A10="","",SUMPRODUCT((((MOVIMIENTOS!$B$5:$B$400="SALDO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10)*MOVIMIENTOS!$I$5:$I$400))</f>
        <v>1107</v>
      </c>
      <c r="I10" s="48"/>
      <c r="J10" s="48" t="str">
        <f aca="false">IF(AND(MOVIMIENTOS!$A10&lt;&gt;"",COUNTIF(MOVIMIENTOS!$A$5:$A9,MOVIMIENTOS!$A10)=0),COUNT(J$4:J9)+1,"")</f>
        <v/>
      </c>
      <c r="K10" s="53" t="n">
        <f aca="false">MOVIMIENTOS!$A10</f>
        <v>46215</v>
      </c>
      <c r="L10" s="48"/>
      <c r="M10" s="48"/>
      <c r="N10" s="48"/>
    </row>
    <row r="11" customFormat="false" ht="15" hidden="false" customHeight="true" outlineLevel="0" collapsed="false">
      <c r="A11" s="51" t="n">
        <f aca="false">IFERROR(INDEX(K$5:K$400,MATCH(ROW()-4,J$5:J$400,0)),"")</f>
        <v>46220</v>
      </c>
      <c r="B11" s="52" t="n">
        <f aca="false">IF($A11="","",SUMPRODUCT((MOVIMIENTOS!$B$5:$B$400="SALDO INICIAL")*(MOVIMIENTOS!$C$5:$C$400="A")*(MOVIMIENTOS!$D$5:$D$400="jabas")*(MOVIMIENTOS!$A$5:$A$400&lt;&gt;"")*(MOVIMIENTOS!$A$5:$A$400&lt;=$A11)*MOVIMIENTOS!$E$5:$E$400)+SUMPRODUCT((MOVIMIENTOS!$B$5:$B$400="PROCESO")*(MOVIMIENTOS!$C$5:$C$400="A")*(MOVIMIENTOS!$D$5:$D$400="jabas")*(MOVIMIENTOS!$A$5:$A$400&lt;&gt;"")*(MOVIMIENTOS!$A$5:$A$400&lt;=$A11)*MOVIMIENTOS!$E$5:$E$400)-SUMPRODUCT((MOVIMIENTOS!$B$5:$B$400="ENVÍO A SUPESA")*(MOVIMIENTOS!$C$5:$C$400="A")*(MOVIMIENTOS!$D$5:$D$400="jabas")*(MOVIMIENTOS!$A$5:$A$400&lt;&gt;"")*(MOVIMIENTOS!$A$5:$A$400&lt;=$A11)*MOVIMIENTOS!$E$5:$E$400)+SUMPRODUCT((MOVIMIENTOS!$B$5:$B$400="DEVOLUCIÓN")*(MOVIMIENTOS!$C$5:$C$400="A")*(MOVIMIENTOS!$D$5:$D$400="jabas")*(MOVIMIENTOS!$A$5:$A$400&lt;&gt;"")*(MOVIMIENTOS!$A$5:$A$400&lt;=$A11)*MOVIMIENTOS!$E$5:$E$400)-SUMPRODUCT((MOVIMIENTOS!$B$5:$B$400="TRASIEGO")*(MOVIMIENTOS!$C$5:$C$400="A")*(MOVIMIENTOS!$D$5:$D$400="jabas")*(MOVIMIENTOS!$A$5:$A$400&lt;&gt;"")*(MOVIMIENTOS!$A$5:$A$400&lt;=$A11)*MOVIMIENTOS!$E$5:$E$400)-SUMPRODUCT((MOVIMIENTOS!$B$5:$B$400="REGALO")*(MOVIMIENTOS!$C$5:$C$400="A")*(MOVIMIENTOS!$D$5:$D$400="jabas")*(MOVIMIENTOS!$A$5:$A$400&lt;&gt;"")*(MOVIMIENTOS!$A$5:$A$400&lt;=$A11)*MOVIMIENTOS!$E$5:$E$400)-SUMPRODUCT((MOVIMIENTOS!$B$5:$B$400="VENTA")*(MOVIMIENTOS!$C$5:$C$400="A")*(MOVIMIENTOS!$D$5:$D$400="jabas")*(MOVIMIENTOS!$A$5:$A$400&lt;&gt;"")*(MOVIMIENTOS!$A$5:$A$400&lt;=$A11)*MOVIMIENTOS!$E$5:$E$400)+SUMPRODUCT((MOVIMIENTOS!$B$5:$B$400="AJUSTE")*(MOVIMIENTOS!$C$5:$C$400="A")*(MOVIMIENTOS!$D$5:$D$400="jabas")*(MOVIMIENTOS!$A$5:$A$400&lt;&gt;"")*(MOVIMIENTOS!$A$5:$A$400&lt;=$A11)*MOVIMIENTOS!$E$5:$E$400))</f>
        <v>65</v>
      </c>
      <c r="C11" s="52" t="n">
        <f aca="false">IF($A11="","",SUMPRODUCT((MOVIMIENTOS!$B$5:$B$400="SALDO INICIAL")*(MOVIMIENTOS!$C$5:$C$400="P")*(MOVIMIENTOS!$D$5:$D$400="jabas")*(MOVIMIENTOS!$A$5:$A$400&lt;&gt;"")*(MOVIMIENTOS!$A$5:$A$400&lt;=$A11)*MOVIMIENTOS!$E$5:$E$400)+SUMPRODUCT((MOVIMIENTOS!$B$5:$B$400="PROCESO")*(MOVIMIENTOS!$C$5:$C$400="P")*(MOVIMIENTOS!$D$5:$D$400="jabas")*(MOVIMIENTOS!$A$5:$A$400&lt;&gt;"")*(MOVIMIENTOS!$A$5:$A$400&lt;=$A11)*MOVIMIENTOS!$E$5:$E$400)-SUMPRODUCT((MOVIMIENTOS!$B$5:$B$400="ENVÍO A SUPESA")*(MOVIMIENTOS!$C$5:$C$400="P")*(MOVIMIENTOS!$D$5:$D$400="jabas")*(MOVIMIENTOS!$A$5:$A$400&lt;&gt;"")*(MOVIMIENTOS!$A$5:$A$400&lt;=$A11)*MOVIMIENTOS!$E$5:$E$400)+SUMPRODUCT((MOVIMIENTOS!$B$5:$B$400="DEVOLUCIÓN")*(MOVIMIENTOS!$C$5:$C$400="P")*(MOVIMIENTOS!$D$5:$D$400="jabas")*(MOVIMIENTOS!$A$5:$A$400&lt;&gt;"")*(MOVIMIENTOS!$A$5:$A$400&lt;=$A11)*MOVIMIENTOS!$E$5:$E$400)-SUMPRODUCT((MOVIMIENTOS!$B$5:$B$400="TRASIEGO")*(MOVIMIENTOS!$C$5:$C$400="P")*(MOVIMIENTOS!$D$5:$D$400="jabas")*(MOVIMIENTOS!$A$5:$A$400&lt;&gt;"")*(MOVIMIENTOS!$A$5:$A$400&lt;=$A11)*MOVIMIENTOS!$E$5:$E$400)-SUMPRODUCT((MOVIMIENTOS!$B$5:$B$400="REGALO")*(MOVIMIENTOS!$C$5:$C$400="P")*(MOVIMIENTOS!$D$5:$D$400="jabas")*(MOVIMIENTOS!$A$5:$A$400&lt;&gt;"")*(MOVIMIENTOS!$A$5:$A$400&lt;=$A11)*MOVIMIENTOS!$E$5:$E$400)-SUMPRODUCT((MOVIMIENTOS!$B$5:$B$400="VENTA")*(MOVIMIENTOS!$C$5:$C$400="P")*(MOVIMIENTOS!$D$5:$D$400="jabas")*(MOVIMIENTOS!$A$5:$A$400&lt;&gt;"")*(MOVIMIENTOS!$A$5:$A$400&lt;=$A11)*MOVIMIENTOS!$E$5:$E$400)+SUMPRODUCT((MOVIMIENTOS!$B$5:$B$400="AJUSTE")*(MOVIMIENTOS!$C$5:$C$400="P")*(MOVIMIENTOS!$D$5:$D$400="jabas")*(MOVIMIENTOS!$A$5:$A$400&lt;&gt;"")*(MOVIMIENTOS!$A$5:$A$400&lt;=$A11)*MOVIMIENTOS!$E$5:$E$400))</f>
        <v>4</v>
      </c>
      <c r="D11" s="52" t="n">
        <f aca="false">IF($A11="","",SUMPRODUCT((MOVIMIENTOS!$B$5:$B$400="SALDO INICIAL")*(MOVIMIENTOS!$C$5:$C$400="C")*(MOVIMIENTOS!$D$5:$D$400="jabas")*(MOVIMIENTOS!$A$5:$A$400&lt;&gt;"")*(MOVIMIENTOS!$A$5:$A$400&lt;=$A11)*MOVIMIENTOS!$E$5:$E$400)+SUMPRODUCT((MOVIMIENTOS!$B$5:$B$400="PROCESO")*(MOVIMIENTOS!$C$5:$C$400="C")*(MOVIMIENTOS!$D$5:$D$400="jabas")*(MOVIMIENTOS!$A$5:$A$400&lt;&gt;"")*(MOVIMIENTOS!$A$5:$A$400&lt;=$A11)*MOVIMIENTOS!$E$5:$E$400)-SUMPRODUCT((MOVIMIENTOS!$B$5:$B$400="ENVÍO A SUPESA")*(MOVIMIENTOS!$C$5:$C$400="C")*(MOVIMIENTOS!$D$5:$D$400="jabas")*(MOVIMIENTOS!$A$5:$A$400&lt;&gt;"")*(MOVIMIENTOS!$A$5:$A$400&lt;=$A11)*MOVIMIENTOS!$E$5:$E$400)+SUMPRODUCT((MOVIMIENTOS!$B$5:$B$400="DEVOLUCIÓN")*(MOVIMIENTOS!$C$5:$C$400="C")*(MOVIMIENTOS!$D$5:$D$400="jabas")*(MOVIMIENTOS!$A$5:$A$400&lt;&gt;"")*(MOVIMIENTOS!$A$5:$A$400&lt;=$A11)*MOVIMIENTOS!$E$5:$E$400)-SUMPRODUCT((MOVIMIENTOS!$B$5:$B$400="TRASIEGO")*(MOVIMIENTOS!$C$5:$C$400="C")*(MOVIMIENTOS!$D$5:$D$400="jabas")*(MOVIMIENTOS!$A$5:$A$400&lt;&gt;"")*(MOVIMIENTOS!$A$5:$A$400&lt;=$A11)*MOVIMIENTOS!$E$5:$E$400)-SUMPRODUCT((MOVIMIENTOS!$B$5:$B$400="REGALO")*(MOVIMIENTOS!$C$5:$C$400="C")*(MOVIMIENTOS!$D$5:$D$400="jabas")*(MOVIMIENTOS!$A$5:$A$400&lt;&gt;"")*(MOVIMIENTOS!$A$5:$A$400&lt;=$A11)*MOVIMIENTOS!$E$5:$E$400)-SUMPRODUCT((MOVIMIENTOS!$B$5:$B$400="VENTA")*(MOVIMIENTOS!$C$5:$C$400="C")*(MOVIMIENTOS!$D$5:$D$400="jabas")*(MOVIMIENTOS!$A$5:$A$400&lt;&gt;"")*(MOVIMIENTOS!$A$5:$A$400&lt;=$A11)*MOVIMIENTOS!$E$5:$E$400)+SUMPRODUCT((MOVIMIENTOS!$B$5:$B$400="AJUSTE")*(MOVIMIENTOS!$C$5:$C$400="C")*(MOVIMIENTOS!$D$5:$D$400="jabas")*(MOVIMIENTOS!$A$5:$A$400&lt;&gt;"")*(MOVIMIENTOS!$A$5:$A$400&lt;=$A11)*MOVIMIENTOS!$E$5:$E$400))</f>
        <v>9</v>
      </c>
      <c r="E11" s="52" t="n">
        <f aca="false">IF($A11="","",SUMPRODUCT((MOVIMIENTOS!$B$5:$B$400="SALDO INICIAL")*(MOVIMIENTOS!$C$5:$C$400="M")*(MOVIMIENTOS!$D$5:$D$400="jabas")*(MOVIMIENTOS!$A$5:$A$400&lt;&gt;"")*(MOVIMIENTOS!$A$5:$A$400&lt;=$A11)*MOVIMIENTOS!$E$5:$E$400)+SUMPRODUCT((MOVIMIENTOS!$B$5:$B$400="PROCESO")*(MOVIMIENTOS!$C$5:$C$400="M")*(MOVIMIENTOS!$D$5:$D$400="jabas")*(MOVIMIENTOS!$A$5:$A$400&lt;&gt;"")*(MOVIMIENTOS!$A$5:$A$400&lt;=$A11)*MOVIMIENTOS!$E$5:$E$400)-SUMPRODUCT((MOVIMIENTOS!$B$5:$B$400="ENVÍO A SUPESA")*(MOVIMIENTOS!$C$5:$C$400="M")*(MOVIMIENTOS!$D$5:$D$400="jabas")*(MOVIMIENTOS!$A$5:$A$400&lt;&gt;"")*(MOVIMIENTOS!$A$5:$A$400&lt;=$A11)*MOVIMIENTOS!$E$5:$E$400)+SUMPRODUCT((MOVIMIENTOS!$B$5:$B$400="DEVOLUCIÓN")*(MOVIMIENTOS!$C$5:$C$400="M")*(MOVIMIENTOS!$D$5:$D$400="jabas")*(MOVIMIENTOS!$A$5:$A$400&lt;&gt;"")*(MOVIMIENTOS!$A$5:$A$400&lt;=$A11)*MOVIMIENTOS!$E$5:$E$400)-SUMPRODUCT((MOVIMIENTOS!$B$5:$B$400="TRASIEGO")*(MOVIMIENTOS!$C$5:$C$400="M")*(MOVIMIENTOS!$D$5:$D$400="jabas")*(MOVIMIENTOS!$A$5:$A$400&lt;&gt;"")*(MOVIMIENTOS!$A$5:$A$400&lt;=$A11)*MOVIMIENTOS!$E$5:$E$400)-SUMPRODUCT((MOVIMIENTOS!$B$5:$B$400="REGALO")*(MOVIMIENTOS!$C$5:$C$400="M")*(MOVIMIENTOS!$D$5:$D$400="jabas")*(MOVIMIENTOS!$A$5:$A$400&lt;&gt;"")*(MOVIMIENTOS!$A$5:$A$400&lt;=$A11)*MOVIMIENTOS!$E$5:$E$400)-SUMPRODUCT((MOVIMIENTOS!$B$5:$B$400="VENTA")*(MOVIMIENTOS!$C$5:$C$400="M")*(MOVIMIENTOS!$D$5:$D$400="jabas")*(MOVIMIENTOS!$A$5:$A$400&lt;&gt;"")*(MOVIMIENTOS!$A$5:$A$400&lt;=$A11)*MOVIMIENTOS!$E$5:$E$400)+SUMPRODUCT((MOVIMIENTOS!$B$5:$B$400="AJUSTE")*(MOVIMIENTOS!$C$5:$C$400="M")*(MOVIMIENTOS!$D$5:$D$400="jabas")*(MOVIMIENTOS!$A$5:$A$400&lt;&gt;"")*(MOVIMIENTOS!$A$5:$A$400&lt;=$A11)*MOVIMIENTOS!$E$5:$E$400))</f>
        <v>115</v>
      </c>
      <c r="F11" s="52" t="n">
        <f aca="false">IF($A11="","",SUMPRODUCT((MOVIMIENTOS!$B$5:$B$400="SALDO INICIAL")*(MOVIMIENTOS!$C$5:$C$400="Chancho")*(MOVIMIENTOS!$D$5:$D$400="sacos")*(MOVIMIENTOS!$A$5:$A$400&lt;&gt;"")*(MOVIMIENTOS!$A$5:$A$400&lt;=$A11)*MOVIMIENTOS!$E$5:$E$400)+SUMPRODUCT((MOVIMIENTOS!$B$5:$B$400="PROCESO")*(MOVIMIENTOS!$C$5:$C$400="Chancho")*(MOVIMIENTOS!$D$5:$D$400="sacos")*(MOVIMIENTOS!$A$5:$A$400&lt;&gt;"")*(MOVIMIENTOS!$A$5:$A$400&lt;=$A11)*MOVIMIENTOS!$E$5:$E$400)-SUMPRODUCT((MOVIMIENTOS!$B$5:$B$400="VENTA CHANCHO")*(MOVIMIENTOS!$C$5:$C$400="Chancho")*(MOVIMIENTOS!$D$5:$D$400="sacos")*(MOVIMIENTOS!$A$5:$A$400&lt;&gt;"")*(MOVIMIENTOS!$A$5:$A$400&lt;=$A11)*MOVIMIENTOS!$E$5:$E$400)-SUMPRODUCT((MOVIMIENTOS!$B$5:$B$400="REGALO")*(MOVIMIENTOS!$C$5:$C$400="Chancho")*(MOVIMIENTOS!$D$5:$D$400="sacos")*(MOVIMIENTOS!$A$5:$A$400&lt;&gt;"")*(MOVIMIENTOS!$A$5:$A$400&lt;=$A11)*MOVIMIENTOS!$E$5:$E$400)-SUMPRODUCT((MOVIMIENTOS!$B$5:$B$400="VENTA")*(MOVIMIENTOS!$C$5:$C$400="Chancho")*(MOVIMIENTOS!$D$5:$D$400="sacos")*(MOVIMIENTOS!$A$5:$A$400&lt;&gt;"")*(MOVIMIENTOS!$A$5:$A$400&lt;=$A11)*MOVIMIENTOS!$E$5:$E$400)+SUMPRODUCT((MOVIMIENTOS!$B$5:$B$400="AJUSTE")*(MOVIMIENTOS!$C$5:$C$400="Chancho")*(MOVIMIENTOS!$D$5:$D$400="sacos")*(MOVIMIENTOS!$A$5:$A$400&lt;&gt;"")*(MOVIMIENTOS!$A$5:$A$400&lt;=$A11)*MOVIMIENTOS!$E$5:$E$400))</f>
        <v>5</v>
      </c>
      <c r="G11" s="52" t="n">
        <f aca="false">IF($A11="","",SUM(B11:E11))</f>
        <v>193</v>
      </c>
      <c r="H11" s="52" t="n">
        <f aca="false">IF($A11="","",SUMPRODUCT((((MOVIMIENTOS!$B$5:$B$400="SALDO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11)*MOVIMIENTOS!$I$5:$I$400))</f>
        <v>2824</v>
      </c>
      <c r="I11" s="48"/>
      <c r="J11" s="48" t="str">
        <f aca="false">IF(AND(MOVIMIENTOS!$A11&lt;&gt;"",COUNTIF(MOVIMIENTOS!$A$5:$A10,MOVIMIENTOS!$A11)=0),COUNT(J$4:J10)+1,"")</f>
        <v/>
      </c>
      <c r="K11" s="53" t="n">
        <f aca="false">MOVIMIENTOS!$A11</f>
        <v>46215</v>
      </c>
      <c r="L11" s="48"/>
      <c r="M11" s="48"/>
      <c r="N11" s="48"/>
    </row>
    <row r="12" customFormat="false" ht="15" hidden="false" customHeight="true" outlineLevel="0" collapsed="false">
      <c r="A12" s="51" t="n">
        <f aca="false">IFERROR(INDEX(K$5:K$400,MATCH(ROW()-4,J$5:J$400,0)),"")</f>
        <v>46221</v>
      </c>
      <c r="B12" s="52" t="n">
        <f aca="false">IF($A12="","",SUMPRODUCT((MOVIMIENTOS!$B$5:$B$400="SALDO INICIAL")*(MOVIMIENTOS!$C$5:$C$400="A")*(MOVIMIENTOS!$D$5:$D$400="jabas")*(MOVIMIENTOS!$A$5:$A$400&lt;&gt;"")*(MOVIMIENTOS!$A$5:$A$400&lt;=$A12)*MOVIMIENTOS!$E$5:$E$400)+SUMPRODUCT((MOVIMIENTOS!$B$5:$B$400="PROCESO")*(MOVIMIENTOS!$C$5:$C$400="A")*(MOVIMIENTOS!$D$5:$D$400="jabas")*(MOVIMIENTOS!$A$5:$A$400&lt;&gt;"")*(MOVIMIENTOS!$A$5:$A$400&lt;=$A12)*MOVIMIENTOS!$E$5:$E$400)-SUMPRODUCT((MOVIMIENTOS!$B$5:$B$400="ENVÍO A SUPESA")*(MOVIMIENTOS!$C$5:$C$400="A")*(MOVIMIENTOS!$D$5:$D$400="jabas")*(MOVIMIENTOS!$A$5:$A$400&lt;&gt;"")*(MOVIMIENTOS!$A$5:$A$400&lt;=$A12)*MOVIMIENTOS!$E$5:$E$400)+SUMPRODUCT((MOVIMIENTOS!$B$5:$B$400="DEVOLUCIÓN")*(MOVIMIENTOS!$C$5:$C$400="A")*(MOVIMIENTOS!$D$5:$D$400="jabas")*(MOVIMIENTOS!$A$5:$A$400&lt;&gt;"")*(MOVIMIENTOS!$A$5:$A$400&lt;=$A12)*MOVIMIENTOS!$E$5:$E$400)-SUMPRODUCT((MOVIMIENTOS!$B$5:$B$400="TRASIEGO")*(MOVIMIENTOS!$C$5:$C$400="A")*(MOVIMIENTOS!$D$5:$D$400="jabas")*(MOVIMIENTOS!$A$5:$A$400&lt;&gt;"")*(MOVIMIENTOS!$A$5:$A$400&lt;=$A12)*MOVIMIENTOS!$E$5:$E$400)-SUMPRODUCT((MOVIMIENTOS!$B$5:$B$400="REGALO")*(MOVIMIENTOS!$C$5:$C$400="A")*(MOVIMIENTOS!$D$5:$D$400="jabas")*(MOVIMIENTOS!$A$5:$A$400&lt;&gt;"")*(MOVIMIENTOS!$A$5:$A$400&lt;=$A12)*MOVIMIENTOS!$E$5:$E$400)-SUMPRODUCT((MOVIMIENTOS!$B$5:$B$400="VENTA")*(MOVIMIENTOS!$C$5:$C$400="A")*(MOVIMIENTOS!$D$5:$D$400="jabas")*(MOVIMIENTOS!$A$5:$A$400&lt;&gt;"")*(MOVIMIENTOS!$A$5:$A$400&lt;=$A12)*MOVIMIENTOS!$E$5:$E$400)+SUMPRODUCT((MOVIMIENTOS!$B$5:$B$400="AJUSTE")*(MOVIMIENTOS!$C$5:$C$400="A")*(MOVIMIENTOS!$D$5:$D$400="jabas")*(MOVIMIENTOS!$A$5:$A$400&lt;&gt;"")*(MOVIMIENTOS!$A$5:$A$400&lt;=$A12)*MOVIMIENTOS!$E$5:$E$400))</f>
        <v>64</v>
      </c>
      <c r="C12" s="52" t="n">
        <f aca="false">IF($A12="","",SUMPRODUCT((MOVIMIENTOS!$B$5:$B$400="SALDO INICIAL")*(MOVIMIENTOS!$C$5:$C$400="P")*(MOVIMIENTOS!$D$5:$D$400="jabas")*(MOVIMIENTOS!$A$5:$A$400&lt;&gt;"")*(MOVIMIENTOS!$A$5:$A$400&lt;=$A12)*MOVIMIENTOS!$E$5:$E$400)+SUMPRODUCT((MOVIMIENTOS!$B$5:$B$400="PROCESO")*(MOVIMIENTOS!$C$5:$C$400="P")*(MOVIMIENTOS!$D$5:$D$400="jabas")*(MOVIMIENTOS!$A$5:$A$400&lt;&gt;"")*(MOVIMIENTOS!$A$5:$A$400&lt;=$A12)*MOVIMIENTOS!$E$5:$E$400)-SUMPRODUCT((MOVIMIENTOS!$B$5:$B$400="ENVÍO A SUPESA")*(MOVIMIENTOS!$C$5:$C$400="P")*(MOVIMIENTOS!$D$5:$D$400="jabas")*(MOVIMIENTOS!$A$5:$A$400&lt;&gt;"")*(MOVIMIENTOS!$A$5:$A$400&lt;=$A12)*MOVIMIENTOS!$E$5:$E$400)+SUMPRODUCT((MOVIMIENTOS!$B$5:$B$400="DEVOLUCIÓN")*(MOVIMIENTOS!$C$5:$C$400="P")*(MOVIMIENTOS!$D$5:$D$400="jabas")*(MOVIMIENTOS!$A$5:$A$400&lt;&gt;"")*(MOVIMIENTOS!$A$5:$A$400&lt;=$A12)*MOVIMIENTOS!$E$5:$E$400)-SUMPRODUCT((MOVIMIENTOS!$B$5:$B$400="TRASIEGO")*(MOVIMIENTOS!$C$5:$C$400="P")*(MOVIMIENTOS!$D$5:$D$400="jabas")*(MOVIMIENTOS!$A$5:$A$400&lt;&gt;"")*(MOVIMIENTOS!$A$5:$A$400&lt;=$A12)*MOVIMIENTOS!$E$5:$E$400)-SUMPRODUCT((MOVIMIENTOS!$B$5:$B$400="REGALO")*(MOVIMIENTOS!$C$5:$C$400="P")*(MOVIMIENTOS!$D$5:$D$400="jabas")*(MOVIMIENTOS!$A$5:$A$400&lt;&gt;"")*(MOVIMIENTOS!$A$5:$A$400&lt;=$A12)*MOVIMIENTOS!$E$5:$E$400)-SUMPRODUCT((MOVIMIENTOS!$B$5:$B$400="VENTA")*(MOVIMIENTOS!$C$5:$C$400="P")*(MOVIMIENTOS!$D$5:$D$400="jabas")*(MOVIMIENTOS!$A$5:$A$400&lt;&gt;"")*(MOVIMIENTOS!$A$5:$A$400&lt;=$A12)*MOVIMIENTOS!$E$5:$E$400)+SUMPRODUCT((MOVIMIENTOS!$B$5:$B$400="AJUSTE")*(MOVIMIENTOS!$C$5:$C$400="P")*(MOVIMIENTOS!$D$5:$D$400="jabas")*(MOVIMIENTOS!$A$5:$A$400&lt;&gt;"")*(MOVIMIENTOS!$A$5:$A$400&lt;=$A12)*MOVIMIENTOS!$E$5:$E$400))</f>
        <v>11</v>
      </c>
      <c r="D12" s="52" t="n">
        <f aca="false">IF($A12="","",SUMPRODUCT((MOVIMIENTOS!$B$5:$B$400="SALDO INICIAL")*(MOVIMIENTOS!$C$5:$C$400="C")*(MOVIMIENTOS!$D$5:$D$400="jabas")*(MOVIMIENTOS!$A$5:$A$400&lt;&gt;"")*(MOVIMIENTOS!$A$5:$A$400&lt;=$A12)*MOVIMIENTOS!$E$5:$E$400)+SUMPRODUCT((MOVIMIENTOS!$B$5:$B$400="PROCESO")*(MOVIMIENTOS!$C$5:$C$400="C")*(MOVIMIENTOS!$D$5:$D$400="jabas")*(MOVIMIENTOS!$A$5:$A$400&lt;&gt;"")*(MOVIMIENTOS!$A$5:$A$400&lt;=$A12)*MOVIMIENTOS!$E$5:$E$400)-SUMPRODUCT((MOVIMIENTOS!$B$5:$B$400="ENVÍO A SUPESA")*(MOVIMIENTOS!$C$5:$C$400="C")*(MOVIMIENTOS!$D$5:$D$400="jabas")*(MOVIMIENTOS!$A$5:$A$400&lt;&gt;"")*(MOVIMIENTOS!$A$5:$A$400&lt;=$A12)*MOVIMIENTOS!$E$5:$E$400)+SUMPRODUCT((MOVIMIENTOS!$B$5:$B$400="DEVOLUCIÓN")*(MOVIMIENTOS!$C$5:$C$400="C")*(MOVIMIENTOS!$D$5:$D$400="jabas")*(MOVIMIENTOS!$A$5:$A$400&lt;&gt;"")*(MOVIMIENTOS!$A$5:$A$400&lt;=$A12)*MOVIMIENTOS!$E$5:$E$400)-SUMPRODUCT((MOVIMIENTOS!$B$5:$B$400="TRASIEGO")*(MOVIMIENTOS!$C$5:$C$400="C")*(MOVIMIENTOS!$D$5:$D$400="jabas")*(MOVIMIENTOS!$A$5:$A$400&lt;&gt;"")*(MOVIMIENTOS!$A$5:$A$400&lt;=$A12)*MOVIMIENTOS!$E$5:$E$400)-SUMPRODUCT((MOVIMIENTOS!$B$5:$B$400="REGALO")*(MOVIMIENTOS!$C$5:$C$400="C")*(MOVIMIENTOS!$D$5:$D$400="jabas")*(MOVIMIENTOS!$A$5:$A$400&lt;&gt;"")*(MOVIMIENTOS!$A$5:$A$400&lt;=$A12)*MOVIMIENTOS!$E$5:$E$400)-SUMPRODUCT((MOVIMIENTOS!$B$5:$B$400="VENTA")*(MOVIMIENTOS!$C$5:$C$400="C")*(MOVIMIENTOS!$D$5:$D$400="jabas")*(MOVIMIENTOS!$A$5:$A$400&lt;&gt;"")*(MOVIMIENTOS!$A$5:$A$400&lt;=$A12)*MOVIMIENTOS!$E$5:$E$400)+SUMPRODUCT((MOVIMIENTOS!$B$5:$B$400="AJUSTE")*(MOVIMIENTOS!$C$5:$C$400="C")*(MOVIMIENTOS!$D$5:$D$400="jabas")*(MOVIMIENTOS!$A$5:$A$400&lt;&gt;"")*(MOVIMIENTOS!$A$5:$A$400&lt;=$A12)*MOVIMIENTOS!$E$5:$E$400))</f>
        <v>12</v>
      </c>
      <c r="E12" s="52" t="n">
        <f aca="false">IF($A12="","",SUMPRODUCT((MOVIMIENTOS!$B$5:$B$400="SALDO INICIAL")*(MOVIMIENTOS!$C$5:$C$400="M")*(MOVIMIENTOS!$D$5:$D$400="jabas")*(MOVIMIENTOS!$A$5:$A$400&lt;&gt;"")*(MOVIMIENTOS!$A$5:$A$400&lt;=$A12)*MOVIMIENTOS!$E$5:$E$400)+SUMPRODUCT((MOVIMIENTOS!$B$5:$B$400="PROCESO")*(MOVIMIENTOS!$C$5:$C$400="M")*(MOVIMIENTOS!$D$5:$D$400="jabas")*(MOVIMIENTOS!$A$5:$A$400&lt;&gt;"")*(MOVIMIENTOS!$A$5:$A$400&lt;=$A12)*MOVIMIENTOS!$E$5:$E$400)-SUMPRODUCT((MOVIMIENTOS!$B$5:$B$400="ENVÍO A SUPESA")*(MOVIMIENTOS!$C$5:$C$400="M")*(MOVIMIENTOS!$D$5:$D$400="jabas")*(MOVIMIENTOS!$A$5:$A$400&lt;&gt;"")*(MOVIMIENTOS!$A$5:$A$400&lt;=$A12)*MOVIMIENTOS!$E$5:$E$400)+SUMPRODUCT((MOVIMIENTOS!$B$5:$B$400="DEVOLUCIÓN")*(MOVIMIENTOS!$C$5:$C$400="M")*(MOVIMIENTOS!$D$5:$D$400="jabas")*(MOVIMIENTOS!$A$5:$A$400&lt;&gt;"")*(MOVIMIENTOS!$A$5:$A$400&lt;=$A12)*MOVIMIENTOS!$E$5:$E$400)-SUMPRODUCT((MOVIMIENTOS!$B$5:$B$400="TRASIEGO")*(MOVIMIENTOS!$C$5:$C$400="M")*(MOVIMIENTOS!$D$5:$D$400="jabas")*(MOVIMIENTOS!$A$5:$A$400&lt;&gt;"")*(MOVIMIENTOS!$A$5:$A$400&lt;=$A12)*MOVIMIENTOS!$E$5:$E$400)-SUMPRODUCT((MOVIMIENTOS!$B$5:$B$400="REGALO")*(MOVIMIENTOS!$C$5:$C$400="M")*(MOVIMIENTOS!$D$5:$D$400="jabas")*(MOVIMIENTOS!$A$5:$A$400&lt;&gt;"")*(MOVIMIENTOS!$A$5:$A$400&lt;=$A12)*MOVIMIENTOS!$E$5:$E$400)-SUMPRODUCT((MOVIMIENTOS!$B$5:$B$400="VENTA")*(MOVIMIENTOS!$C$5:$C$400="M")*(MOVIMIENTOS!$D$5:$D$400="jabas")*(MOVIMIENTOS!$A$5:$A$400&lt;&gt;"")*(MOVIMIENTOS!$A$5:$A$400&lt;=$A12)*MOVIMIENTOS!$E$5:$E$400)+SUMPRODUCT((MOVIMIENTOS!$B$5:$B$400="AJUSTE")*(MOVIMIENTOS!$C$5:$C$400="M")*(MOVIMIENTOS!$D$5:$D$400="jabas")*(MOVIMIENTOS!$A$5:$A$400&lt;&gt;"")*(MOVIMIENTOS!$A$5:$A$400&lt;=$A12)*MOVIMIENTOS!$E$5:$E$400))</f>
        <v>55</v>
      </c>
      <c r="F12" s="52" t="n">
        <f aca="false">IF($A12="","",SUMPRODUCT((MOVIMIENTOS!$B$5:$B$400="SALDO INICIAL")*(MOVIMIENTOS!$C$5:$C$400="Chancho")*(MOVIMIENTOS!$D$5:$D$400="sacos")*(MOVIMIENTOS!$A$5:$A$400&lt;&gt;"")*(MOVIMIENTOS!$A$5:$A$400&lt;=$A12)*MOVIMIENTOS!$E$5:$E$400)+SUMPRODUCT((MOVIMIENTOS!$B$5:$B$400="PROCESO")*(MOVIMIENTOS!$C$5:$C$400="Chancho")*(MOVIMIENTOS!$D$5:$D$400="sacos")*(MOVIMIENTOS!$A$5:$A$400&lt;&gt;"")*(MOVIMIENTOS!$A$5:$A$400&lt;=$A12)*MOVIMIENTOS!$E$5:$E$400)-SUMPRODUCT((MOVIMIENTOS!$B$5:$B$400="VENTA CHANCHO")*(MOVIMIENTOS!$C$5:$C$400="Chancho")*(MOVIMIENTOS!$D$5:$D$400="sacos")*(MOVIMIENTOS!$A$5:$A$400&lt;&gt;"")*(MOVIMIENTOS!$A$5:$A$400&lt;=$A12)*MOVIMIENTOS!$E$5:$E$400)-SUMPRODUCT((MOVIMIENTOS!$B$5:$B$400="REGALO")*(MOVIMIENTOS!$C$5:$C$400="Chancho")*(MOVIMIENTOS!$D$5:$D$400="sacos")*(MOVIMIENTOS!$A$5:$A$400&lt;&gt;"")*(MOVIMIENTOS!$A$5:$A$400&lt;=$A12)*MOVIMIENTOS!$E$5:$E$400)-SUMPRODUCT((MOVIMIENTOS!$B$5:$B$400="VENTA")*(MOVIMIENTOS!$C$5:$C$400="Chancho")*(MOVIMIENTOS!$D$5:$D$400="sacos")*(MOVIMIENTOS!$A$5:$A$400&lt;&gt;"")*(MOVIMIENTOS!$A$5:$A$400&lt;=$A12)*MOVIMIENTOS!$E$5:$E$400)+SUMPRODUCT((MOVIMIENTOS!$B$5:$B$400="AJUSTE")*(MOVIMIENTOS!$C$5:$C$400="Chancho")*(MOVIMIENTOS!$D$5:$D$400="sacos")*(MOVIMIENTOS!$A$5:$A$400&lt;&gt;"")*(MOVIMIENTOS!$A$5:$A$400&lt;=$A12)*MOVIMIENTOS!$E$5:$E$400))</f>
        <v>15</v>
      </c>
      <c r="G12" s="52" t="n">
        <f aca="false">IF($A12="","",SUM(B12:E12))</f>
        <v>142</v>
      </c>
      <c r="H12" s="52" t="n">
        <f aca="false">IF($A12="","",SUMPRODUCT((((MOVIMIENTOS!$B$5:$B$400="SALDO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12)*MOVIMIENTOS!$I$5:$I$400))</f>
        <v>1826</v>
      </c>
      <c r="I12" s="48"/>
      <c r="J12" s="48" t="str">
        <f aca="false">IF(AND(MOVIMIENTOS!$A12&lt;&gt;"",COUNTIF(MOVIMIENTOS!$A$5:$A11,MOVIMIENTOS!$A12)=0),COUNT(J$4:J11)+1,"")</f>
        <v/>
      </c>
      <c r="K12" s="53" t="n">
        <f aca="false">MOVIMIENTOS!$A12</f>
        <v>46215</v>
      </c>
      <c r="L12" s="48"/>
      <c r="M12" s="48"/>
      <c r="N12" s="48"/>
    </row>
    <row r="13" customFormat="false" ht="15" hidden="false" customHeight="true" outlineLevel="0" collapsed="false">
      <c r="A13" s="51" t="n">
        <f aca="false">IFERROR(INDEX(K$5:K$400,MATCH(ROW()-4,J$5:J$400,0)),"")</f>
        <v>46222</v>
      </c>
      <c r="B13" s="52" t="n">
        <f aca="false">IF($A13="","",SUMPRODUCT((MOVIMIENTOS!$B$5:$B$400="SALDO INICIAL")*(MOVIMIENTOS!$C$5:$C$400="A")*(MOVIMIENTOS!$D$5:$D$400="jabas")*(MOVIMIENTOS!$A$5:$A$400&lt;&gt;"")*(MOVIMIENTOS!$A$5:$A$400&lt;=$A13)*MOVIMIENTOS!$E$5:$E$400)+SUMPRODUCT((MOVIMIENTOS!$B$5:$B$400="PROCESO")*(MOVIMIENTOS!$C$5:$C$400="A")*(MOVIMIENTOS!$D$5:$D$400="jabas")*(MOVIMIENTOS!$A$5:$A$400&lt;&gt;"")*(MOVIMIENTOS!$A$5:$A$400&lt;=$A13)*MOVIMIENTOS!$E$5:$E$400)-SUMPRODUCT((MOVIMIENTOS!$B$5:$B$400="ENVÍO A SUPESA")*(MOVIMIENTOS!$C$5:$C$400="A")*(MOVIMIENTOS!$D$5:$D$400="jabas")*(MOVIMIENTOS!$A$5:$A$400&lt;&gt;"")*(MOVIMIENTOS!$A$5:$A$400&lt;=$A13)*MOVIMIENTOS!$E$5:$E$400)+SUMPRODUCT((MOVIMIENTOS!$B$5:$B$400="DEVOLUCIÓN")*(MOVIMIENTOS!$C$5:$C$400="A")*(MOVIMIENTOS!$D$5:$D$400="jabas")*(MOVIMIENTOS!$A$5:$A$400&lt;&gt;"")*(MOVIMIENTOS!$A$5:$A$400&lt;=$A13)*MOVIMIENTOS!$E$5:$E$400)-SUMPRODUCT((MOVIMIENTOS!$B$5:$B$400="TRASIEGO")*(MOVIMIENTOS!$C$5:$C$400="A")*(MOVIMIENTOS!$D$5:$D$400="jabas")*(MOVIMIENTOS!$A$5:$A$400&lt;&gt;"")*(MOVIMIENTOS!$A$5:$A$400&lt;=$A13)*MOVIMIENTOS!$E$5:$E$400)-SUMPRODUCT((MOVIMIENTOS!$B$5:$B$400="REGALO")*(MOVIMIENTOS!$C$5:$C$400="A")*(MOVIMIENTOS!$D$5:$D$400="jabas")*(MOVIMIENTOS!$A$5:$A$400&lt;&gt;"")*(MOVIMIENTOS!$A$5:$A$400&lt;=$A13)*MOVIMIENTOS!$E$5:$E$400)-SUMPRODUCT((MOVIMIENTOS!$B$5:$B$400="VENTA")*(MOVIMIENTOS!$C$5:$C$400="A")*(MOVIMIENTOS!$D$5:$D$400="jabas")*(MOVIMIENTOS!$A$5:$A$400&lt;&gt;"")*(MOVIMIENTOS!$A$5:$A$400&lt;=$A13)*MOVIMIENTOS!$E$5:$E$400)+SUMPRODUCT((MOVIMIENTOS!$B$5:$B$400="AJUSTE")*(MOVIMIENTOS!$C$5:$C$400="A")*(MOVIMIENTOS!$D$5:$D$400="jabas")*(MOVIMIENTOS!$A$5:$A$400&lt;&gt;"")*(MOVIMIENTOS!$A$5:$A$400&lt;=$A13)*MOVIMIENTOS!$E$5:$E$400))</f>
        <v>37</v>
      </c>
      <c r="C13" s="52" t="n">
        <f aca="false">IF($A13="","",SUMPRODUCT((MOVIMIENTOS!$B$5:$B$400="SALDO INICIAL")*(MOVIMIENTOS!$C$5:$C$400="P")*(MOVIMIENTOS!$D$5:$D$400="jabas")*(MOVIMIENTOS!$A$5:$A$400&lt;&gt;"")*(MOVIMIENTOS!$A$5:$A$400&lt;=$A13)*MOVIMIENTOS!$E$5:$E$400)+SUMPRODUCT((MOVIMIENTOS!$B$5:$B$400="PROCESO")*(MOVIMIENTOS!$C$5:$C$400="P")*(MOVIMIENTOS!$D$5:$D$400="jabas")*(MOVIMIENTOS!$A$5:$A$400&lt;&gt;"")*(MOVIMIENTOS!$A$5:$A$400&lt;=$A13)*MOVIMIENTOS!$E$5:$E$400)-SUMPRODUCT((MOVIMIENTOS!$B$5:$B$400="ENVÍO A SUPESA")*(MOVIMIENTOS!$C$5:$C$400="P")*(MOVIMIENTOS!$D$5:$D$400="jabas")*(MOVIMIENTOS!$A$5:$A$400&lt;&gt;"")*(MOVIMIENTOS!$A$5:$A$400&lt;=$A13)*MOVIMIENTOS!$E$5:$E$400)+SUMPRODUCT((MOVIMIENTOS!$B$5:$B$400="DEVOLUCIÓN")*(MOVIMIENTOS!$C$5:$C$400="P")*(MOVIMIENTOS!$D$5:$D$400="jabas")*(MOVIMIENTOS!$A$5:$A$400&lt;&gt;"")*(MOVIMIENTOS!$A$5:$A$400&lt;=$A13)*MOVIMIENTOS!$E$5:$E$400)-SUMPRODUCT((MOVIMIENTOS!$B$5:$B$400="TRASIEGO")*(MOVIMIENTOS!$C$5:$C$400="P")*(MOVIMIENTOS!$D$5:$D$400="jabas")*(MOVIMIENTOS!$A$5:$A$400&lt;&gt;"")*(MOVIMIENTOS!$A$5:$A$400&lt;=$A13)*MOVIMIENTOS!$E$5:$E$400)-SUMPRODUCT((MOVIMIENTOS!$B$5:$B$400="REGALO")*(MOVIMIENTOS!$C$5:$C$400="P")*(MOVIMIENTOS!$D$5:$D$400="jabas")*(MOVIMIENTOS!$A$5:$A$400&lt;&gt;"")*(MOVIMIENTOS!$A$5:$A$400&lt;=$A13)*MOVIMIENTOS!$E$5:$E$400)-SUMPRODUCT((MOVIMIENTOS!$B$5:$B$400="VENTA")*(MOVIMIENTOS!$C$5:$C$400="P")*(MOVIMIENTOS!$D$5:$D$400="jabas")*(MOVIMIENTOS!$A$5:$A$400&lt;&gt;"")*(MOVIMIENTOS!$A$5:$A$400&lt;=$A13)*MOVIMIENTOS!$E$5:$E$400)+SUMPRODUCT((MOVIMIENTOS!$B$5:$B$400="AJUSTE")*(MOVIMIENTOS!$C$5:$C$400="P")*(MOVIMIENTOS!$D$5:$D$400="jabas")*(MOVIMIENTOS!$A$5:$A$400&lt;&gt;"")*(MOVIMIENTOS!$A$5:$A$400&lt;=$A13)*MOVIMIENTOS!$E$5:$E$400))</f>
        <v>0</v>
      </c>
      <c r="D13" s="52" t="n">
        <f aca="false">IF($A13="","",SUMPRODUCT((MOVIMIENTOS!$B$5:$B$400="SALDO INICIAL")*(MOVIMIENTOS!$C$5:$C$400="C")*(MOVIMIENTOS!$D$5:$D$400="jabas")*(MOVIMIENTOS!$A$5:$A$400&lt;&gt;"")*(MOVIMIENTOS!$A$5:$A$400&lt;=$A13)*MOVIMIENTOS!$E$5:$E$400)+SUMPRODUCT((MOVIMIENTOS!$B$5:$B$400="PROCESO")*(MOVIMIENTOS!$C$5:$C$400="C")*(MOVIMIENTOS!$D$5:$D$400="jabas")*(MOVIMIENTOS!$A$5:$A$400&lt;&gt;"")*(MOVIMIENTOS!$A$5:$A$400&lt;=$A13)*MOVIMIENTOS!$E$5:$E$400)-SUMPRODUCT((MOVIMIENTOS!$B$5:$B$400="ENVÍO A SUPESA")*(MOVIMIENTOS!$C$5:$C$400="C")*(MOVIMIENTOS!$D$5:$D$400="jabas")*(MOVIMIENTOS!$A$5:$A$400&lt;&gt;"")*(MOVIMIENTOS!$A$5:$A$400&lt;=$A13)*MOVIMIENTOS!$E$5:$E$400)+SUMPRODUCT((MOVIMIENTOS!$B$5:$B$400="DEVOLUCIÓN")*(MOVIMIENTOS!$C$5:$C$400="C")*(MOVIMIENTOS!$D$5:$D$400="jabas")*(MOVIMIENTOS!$A$5:$A$400&lt;&gt;"")*(MOVIMIENTOS!$A$5:$A$400&lt;=$A13)*MOVIMIENTOS!$E$5:$E$400)-SUMPRODUCT((MOVIMIENTOS!$B$5:$B$400="TRASIEGO")*(MOVIMIENTOS!$C$5:$C$400="C")*(MOVIMIENTOS!$D$5:$D$400="jabas")*(MOVIMIENTOS!$A$5:$A$400&lt;&gt;"")*(MOVIMIENTOS!$A$5:$A$400&lt;=$A13)*MOVIMIENTOS!$E$5:$E$400)-SUMPRODUCT((MOVIMIENTOS!$B$5:$B$400="REGALO")*(MOVIMIENTOS!$C$5:$C$400="C")*(MOVIMIENTOS!$D$5:$D$400="jabas")*(MOVIMIENTOS!$A$5:$A$400&lt;&gt;"")*(MOVIMIENTOS!$A$5:$A$400&lt;=$A13)*MOVIMIENTOS!$E$5:$E$400)-SUMPRODUCT((MOVIMIENTOS!$B$5:$B$400="VENTA")*(MOVIMIENTOS!$C$5:$C$400="C")*(MOVIMIENTOS!$D$5:$D$400="jabas")*(MOVIMIENTOS!$A$5:$A$400&lt;&gt;"")*(MOVIMIENTOS!$A$5:$A$400&lt;=$A13)*MOVIMIENTOS!$E$5:$E$400)+SUMPRODUCT((MOVIMIENTOS!$B$5:$B$400="AJUSTE")*(MOVIMIENTOS!$C$5:$C$400="C")*(MOVIMIENTOS!$D$5:$D$400="jabas")*(MOVIMIENTOS!$A$5:$A$400&lt;&gt;"")*(MOVIMIENTOS!$A$5:$A$400&lt;=$A13)*MOVIMIENTOS!$E$5:$E$400))</f>
        <v>0</v>
      </c>
      <c r="E13" s="52" t="n">
        <f aca="false">IF($A13="","",SUMPRODUCT((MOVIMIENTOS!$B$5:$B$400="SALDO INICIAL")*(MOVIMIENTOS!$C$5:$C$400="M")*(MOVIMIENTOS!$D$5:$D$400="jabas")*(MOVIMIENTOS!$A$5:$A$400&lt;&gt;"")*(MOVIMIENTOS!$A$5:$A$400&lt;=$A13)*MOVIMIENTOS!$E$5:$E$400)+SUMPRODUCT((MOVIMIENTOS!$B$5:$B$400="PROCESO")*(MOVIMIENTOS!$C$5:$C$400="M")*(MOVIMIENTOS!$D$5:$D$400="jabas")*(MOVIMIENTOS!$A$5:$A$400&lt;&gt;"")*(MOVIMIENTOS!$A$5:$A$400&lt;=$A13)*MOVIMIENTOS!$E$5:$E$400)-SUMPRODUCT((MOVIMIENTOS!$B$5:$B$400="ENVÍO A SUPESA")*(MOVIMIENTOS!$C$5:$C$400="M")*(MOVIMIENTOS!$D$5:$D$400="jabas")*(MOVIMIENTOS!$A$5:$A$400&lt;&gt;"")*(MOVIMIENTOS!$A$5:$A$400&lt;=$A13)*MOVIMIENTOS!$E$5:$E$400)+SUMPRODUCT((MOVIMIENTOS!$B$5:$B$400="DEVOLUCIÓN")*(MOVIMIENTOS!$C$5:$C$400="M")*(MOVIMIENTOS!$D$5:$D$400="jabas")*(MOVIMIENTOS!$A$5:$A$400&lt;&gt;"")*(MOVIMIENTOS!$A$5:$A$400&lt;=$A13)*MOVIMIENTOS!$E$5:$E$400)-SUMPRODUCT((MOVIMIENTOS!$B$5:$B$400="TRASIEGO")*(MOVIMIENTOS!$C$5:$C$400="M")*(MOVIMIENTOS!$D$5:$D$400="jabas")*(MOVIMIENTOS!$A$5:$A$400&lt;&gt;"")*(MOVIMIENTOS!$A$5:$A$400&lt;=$A13)*MOVIMIENTOS!$E$5:$E$400)-SUMPRODUCT((MOVIMIENTOS!$B$5:$B$400="REGALO")*(MOVIMIENTOS!$C$5:$C$400="M")*(MOVIMIENTOS!$D$5:$D$400="jabas")*(MOVIMIENTOS!$A$5:$A$400&lt;&gt;"")*(MOVIMIENTOS!$A$5:$A$400&lt;=$A13)*MOVIMIENTOS!$E$5:$E$400)-SUMPRODUCT((MOVIMIENTOS!$B$5:$B$400="VENTA")*(MOVIMIENTOS!$C$5:$C$400="M")*(MOVIMIENTOS!$D$5:$D$400="jabas")*(MOVIMIENTOS!$A$5:$A$400&lt;&gt;"")*(MOVIMIENTOS!$A$5:$A$400&lt;=$A13)*MOVIMIENTOS!$E$5:$E$400)+SUMPRODUCT((MOVIMIENTOS!$B$5:$B$400="AJUSTE")*(MOVIMIENTOS!$C$5:$C$400="M")*(MOVIMIENTOS!$D$5:$D$400="jabas")*(MOVIMIENTOS!$A$5:$A$400&lt;&gt;"")*(MOVIMIENTOS!$A$5:$A$400&lt;=$A13)*MOVIMIENTOS!$E$5:$E$400))</f>
        <v>61</v>
      </c>
      <c r="F13" s="52" t="n">
        <f aca="false">IF($A13="","",SUMPRODUCT((MOVIMIENTOS!$B$5:$B$400="SALDO INICIAL")*(MOVIMIENTOS!$C$5:$C$400="Chancho")*(MOVIMIENTOS!$D$5:$D$400="sacos")*(MOVIMIENTOS!$A$5:$A$400&lt;&gt;"")*(MOVIMIENTOS!$A$5:$A$400&lt;=$A13)*MOVIMIENTOS!$E$5:$E$400)+SUMPRODUCT((MOVIMIENTOS!$B$5:$B$400="PROCESO")*(MOVIMIENTOS!$C$5:$C$400="Chancho")*(MOVIMIENTOS!$D$5:$D$400="sacos")*(MOVIMIENTOS!$A$5:$A$400&lt;&gt;"")*(MOVIMIENTOS!$A$5:$A$400&lt;=$A13)*MOVIMIENTOS!$E$5:$E$400)-SUMPRODUCT((MOVIMIENTOS!$B$5:$B$400="VENTA CHANCHO")*(MOVIMIENTOS!$C$5:$C$400="Chancho")*(MOVIMIENTOS!$D$5:$D$400="sacos")*(MOVIMIENTOS!$A$5:$A$400&lt;&gt;"")*(MOVIMIENTOS!$A$5:$A$400&lt;=$A13)*MOVIMIENTOS!$E$5:$E$400)-SUMPRODUCT((MOVIMIENTOS!$B$5:$B$400="REGALO")*(MOVIMIENTOS!$C$5:$C$400="Chancho")*(MOVIMIENTOS!$D$5:$D$400="sacos")*(MOVIMIENTOS!$A$5:$A$400&lt;&gt;"")*(MOVIMIENTOS!$A$5:$A$400&lt;=$A13)*MOVIMIENTOS!$E$5:$E$400)-SUMPRODUCT((MOVIMIENTOS!$B$5:$B$400="VENTA")*(MOVIMIENTOS!$C$5:$C$400="Chancho")*(MOVIMIENTOS!$D$5:$D$400="sacos")*(MOVIMIENTOS!$A$5:$A$400&lt;&gt;"")*(MOVIMIENTOS!$A$5:$A$400&lt;=$A13)*MOVIMIENTOS!$E$5:$E$400)+SUMPRODUCT((MOVIMIENTOS!$B$5:$B$400="AJUSTE")*(MOVIMIENTOS!$C$5:$C$400="Chancho")*(MOVIMIENTOS!$D$5:$D$400="sacos")*(MOVIMIENTOS!$A$5:$A$400&lt;&gt;"")*(MOVIMIENTOS!$A$5:$A$400&lt;=$A13)*MOVIMIENTOS!$E$5:$E$400))</f>
        <v>18</v>
      </c>
      <c r="G13" s="52" t="n">
        <f aca="false">IF($A13="","",SUM(B13:E13))</f>
        <v>98</v>
      </c>
      <c r="H13" s="52" t="n">
        <f aca="false">IF($A13="","",SUMPRODUCT((((MOVIMIENTOS!$B$5:$B$400="SALDO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13)*MOVIMIENTOS!$I$5:$I$400))</f>
        <v>1273</v>
      </c>
      <c r="I13" s="48"/>
      <c r="J13" s="48" t="str">
        <f aca="false">IF(AND(MOVIMIENTOS!$A13&lt;&gt;"",COUNTIF(MOVIMIENTOS!$A$5:$A12,MOVIMIENTOS!$A13)=0),COUNT(J$4:J12)+1,"")</f>
        <v/>
      </c>
      <c r="K13" s="53" t="n">
        <f aca="false">MOVIMIENTOS!$A13</f>
        <v>46215</v>
      </c>
      <c r="L13" s="48"/>
      <c r="M13" s="48"/>
      <c r="N13" s="48"/>
    </row>
    <row r="14" customFormat="false" ht="15" hidden="false" customHeight="true" outlineLevel="0" collapsed="false">
      <c r="A14" s="51" t="n">
        <f aca="false">IFERROR(INDEX(K$5:K$400,MATCH(ROW()-4,J$5:J$400,0)),"")</f>
        <v>46223</v>
      </c>
      <c r="B14" s="52" t="n">
        <f aca="false">IF($A14="","",SUMPRODUCT((MOVIMIENTOS!$B$5:$B$400="SALDO INICIAL")*(MOVIMIENTOS!$C$5:$C$400="A")*(MOVIMIENTOS!$D$5:$D$400="jabas")*(MOVIMIENTOS!$A$5:$A$400&lt;&gt;"")*(MOVIMIENTOS!$A$5:$A$400&lt;=$A14)*MOVIMIENTOS!$E$5:$E$400)+SUMPRODUCT((MOVIMIENTOS!$B$5:$B$400="PROCESO")*(MOVIMIENTOS!$C$5:$C$400="A")*(MOVIMIENTOS!$D$5:$D$400="jabas")*(MOVIMIENTOS!$A$5:$A$400&lt;&gt;"")*(MOVIMIENTOS!$A$5:$A$400&lt;=$A14)*MOVIMIENTOS!$E$5:$E$400)-SUMPRODUCT((MOVIMIENTOS!$B$5:$B$400="ENVÍO A SUPESA")*(MOVIMIENTOS!$C$5:$C$400="A")*(MOVIMIENTOS!$D$5:$D$400="jabas")*(MOVIMIENTOS!$A$5:$A$400&lt;&gt;"")*(MOVIMIENTOS!$A$5:$A$400&lt;=$A14)*MOVIMIENTOS!$E$5:$E$400)+SUMPRODUCT((MOVIMIENTOS!$B$5:$B$400="DEVOLUCIÓN")*(MOVIMIENTOS!$C$5:$C$400="A")*(MOVIMIENTOS!$D$5:$D$400="jabas")*(MOVIMIENTOS!$A$5:$A$400&lt;&gt;"")*(MOVIMIENTOS!$A$5:$A$400&lt;=$A14)*MOVIMIENTOS!$E$5:$E$400)-SUMPRODUCT((MOVIMIENTOS!$B$5:$B$400="TRASIEGO")*(MOVIMIENTOS!$C$5:$C$400="A")*(MOVIMIENTOS!$D$5:$D$400="jabas")*(MOVIMIENTOS!$A$5:$A$400&lt;&gt;"")*(MOVIMIENTOS!$A$5:$A$400&lt;=$A14)*MOVIMIENTOS!$E$5:$E$400)-SUMPRODUCT((MOVIMIENTOS!$B$5:$B$400="REGALO")*(MOVIMIENTOS!$C$5:$C$400="A")*(MOVIMIENTOS!$D$5:$D$400="jabas")*(MOVIMIENTOS!$A$5:$A$400&lt;&gt;"")*(MOVIMIENTOS!$A$5:$A$400&lt;=$A14)*MOVIMIENTOS!$E$5:$E$400)-SUMPRODUCT((MOVIMIENTOS!$B$5:$B$400="VENTA")*(MOVIMIENTOS!$C$5:$C$400="A")*(MOVIMIENTOS!$D$5:$D$400="jabas")*(MOVIMIENTOS!$A$5:$A$400&lt;&gt;"")*(MOVIMIENTOS!$A$5:$A$400&lt;=$A14)*MOVIMIENTOS!$E$5:$E$400)+SUMPRODUCT((MOVIMIENTOS!$B$5:$B$400="AJUSTE")*(MOVIMIENTOS!$C$5:$C$400="A")*(MOVIMIENTOS!$D$5:$D$400="jabas")*(MOVIMIENTOS!$A$5:$A$400&lt;&gt;"")*(MOVIMIENTOS!$A$5:$A$400&lt;=$A14)*MOVIMIENTOS!$E$5:$E$400))</f>
        <v>38</v>
      </c>
      <c r="C14" s="52" t="n">
        <f aca="false">IF($A14="","",SUMPRODUCT((MOVIMIENTOS!$B$5:$B$400="SALDO INICIAL")*(MOVIMIENTOS!$C$5:$C$400="P")*(MOVIMIENTOS!$D$5:$D$400="jabas")*(MOVIMIENTOS!$A$5:$A$400&lt;&gt;"")*(MOVIMIENTOS!$A$5:$A$400&lt;=$A14)*MOVIMIENTOS!$E$5:$E$400)+SUMPRODUCT((MOVIMIENTOS!$B$5:$B$400="PROCESO")*(MOVIMIENTOS!$C$5:$C$400="P")*(MOVIMIENTOS!$D$5:$D$400="jabas")*(MOVIMIENTOS!$A$5:$A$400&lt;&gt;"")*(MOVIMIENTOS!$A$5:$A$400&lt;=$A14)*MOVIMIENTOS!$E$5:$E$400)-SUMPRODUCT((MOVIMIENTOS!$B$5:$B$400="ENVÍO A SUPESA")*(MOVIMIENTOS!$C$5:$C$400="P")*(MOVIMIENTOS!$D$5:$D$400="jabas")*(MOVIMIENTOS!$A$5:$A$400&lt;&gt;"")*(MOVIMIENTOS!$A$5:$A$400&lt;=$A14)*MOVIMIENTOS!$E$5:$E$400)+SUMPRODUCT((MOVIMIENTOS!$B$5:$B$400="DEVOLUCIÓN")*(MOVIMIENTOS!$C$5:$C$400="P")*(MOVIMIENTOS!$D$5:$D$400="jabas")*(MOVIMIENTOS!$A$5:$A$400&lt;&gt;"")*(MOVIMIENTOS!$A$5:$A$400&lt;=$A14)*MOVIMIENTOS!$E$5:$E$400)-SUMPRODUCT((MOVIMIENTOS!$B$5:$B$400="TRASIEGO")*(MOVIMIENTOS!$C$5:$C$400="P")*(MOVIMIENTOS!$D$5:$D$400="jabas")*(MOVIMIENTOS!$A$5:$A$400&lt;&gt;"")*(MOVIMIENTOS!$A$5:$A$400&lt;=$A14)*MOVIMIENTOS!$E$5:$E$400)-SUMPRODUCT((MOVIMIENTOS!$B$5:$B$400="REGALO")*(MOVIMIENTOS!$C$5:$C$400="P")*(MOVIMIENTOS!$D$5:$D$400="jabas")*(MOVIMIENTOS!$A$5:$A$400&lt;&gt;"")*(MOVIMIENTOS!$A$5:$A$400&lt;=$A14)*MOVIMIENTOS!$E$5:$E$400)-SUMPRODUCT((MOVIMIENTOS!$B$5:$B$400="VENTA")*(MOVIMIENTOS!$C$5:$C$400="P")*(MOVIMIENTOS!$D$5:$D$400="jabas")*(MOVIMIENTOS!$A$5:$A$400&lt;&gt;"")*(MOVIMIENTOS!$A$5:$A$400&lt;=$A14)*MOVIMIENTOS!$E$5:$E$400)+SUMPRODUCT((MOVIMIENTOS!$B$5:$B$400="AJUSTE")*(MOVIMIENTOS!$C$5:$C$400="P")*(MOVIMIENTOS!$D$5:$D$400="jabas")*(MOVIMIENTOS!$A$5:$A$400&lt;&gt;"")*(MOVIMIENTOS!$A$5:$A$400&lt;=$A14)*MOVIMIENTOS!$E$5:$E$400))</f>
        <v>11</v>
      </c>
      <c r="D14" s="52" t="n">
        <f aca="false">IF($A14="","",SUMPRODUCT((MOVIMIENTOS!$B$5:$B$400="SALDO INICIAL")*(MOVIMIENTOS!$C$5:$C$400="C")*(MOVIMIENTOS!$D$5:$D$400="jabas")*(MOVIMIENTOS!$A$5:$A$400&lt;&gt;"")*(MOVIMIENTOS!$A$5:$A$400&lt;=$A14)*MOVIMIENTOS!$E$5:$E$400)+SUMPRODUCT((MOVIMIENTOS!$B$5:$B$400="PROCESO")*(MOVIMIENTOS!$C$5:$C$400="C")*(MOVIMIENTOS!$D$5:$D$400="jabas")*(MOVIMIENTOS!$A$5:$A$400&lt;&gt;"")*(MOVIMIENTOS!$A$5:$A$400&lt;=$A14)*MOVIMIENTOS!$E$5:$E$400)-SUMPRODUCT((MOVIMIENTOS!$B$5:$B$400="ENVÍO A SUPESA")*(MOVIMIENTOS!$C$5:$C$400="C")*(MOVIMIENTOS!$D$5:$D$400="jabas")*(MOVIMIENTOS!$A$5:$A$400&lt;&gt;"")*(MOVIMIENTOS!$A$5:$A$400&lt;=$A14)*MOVIMIENTOS!$E$5:$E$400)+SUMPRODUCT((MOVIMIENTOS!$B$5:$B$400="DEVOLUCIÓN")*(MOVIMIENTOS!$C$5:$C$400="C")*(MOVIMIENTOS!$D$5:$D$400="jabas")*(MOVIMIENTOS!$A$5:$A$400&lt;&gt;"")*(MOVIMIENTOS!$A$5:$A$400&lt;=$A14)*MOVIMIENTOS!$E$5:$E$400)-SUMPRODUCT((MOVIMIENTOS!$B$5:$B$400="TRASIEGO")*(MOVIMIENTOS!$C$5:$C$400="C")*(MOVIMIENTOS!$D$5:$D$400="jabas")*(MOVIMIENTOS!$A$5:$A$400&lt;&gt;"")*(MOVIMIENTOS!$A$5:$A$400&lt;=$A14)*MOVIMIENTOS!$E$5:$E$400)-SUMPRODUCT((MOVIMIENTOS!$B$5:$B$400="REGALO")*(MOVIMIENTOS!$C$5:$C$400="C")*(MOVIMIENTOS!$D$5:$D$400="jabas")*(MOVIMIENTOS!$A$5:$A$400&lt;&gt;"")*(MOVIMIENTOS!$A$5:$A$400&lt;=$A14)*MOVIMIENTOS!$E$5:$E$400)-SUMPRODUCT((MOVIMIENTOS!$B$5:$B$400="VENTA")*(MOVIMIENTOS!$C$5:$C$400="C")*(MOVIMIENTOS!$D$5:$D$400="jabas")*(MOVIMIENTOS!$A$5:$A$400&lt;&gt;"")*(MOVIMIENTOS!$A$5:$A$400&lt;=$A14)*MOVIMIENTOS!$E$5:$E$400)+SUMPRODUCT((MOVIMIENTOS!$B$5:$B$400="AJUSTE")*(MOVIMIENTOS!$C$5:$C$400="C")*(MOVIMIENTOS!$D$5:$D$400="jabas")*(MOVIMIENTOS!$A$5:$A$400&lt;&gt;"")*(MOVIMIENTOS!$A$5:$A$400&lt;=$A14)*MOVIMIENTOS!$E$5:$E$400))</f>
        <v>10</v>
      </c>
      <c r="E14" s="52" t="n">
        <f aca="false">IF($A14="","",SUMPRODUCT((MOVIMIENTOS!$B$5:$B$400="SALDO INICIAL")*(MOVIMIENTOS!$C$5:$C$400="M")*(MOVIMIENTOS!$D$5:$D$400="jabas")*(MOVIMIENTOS!$A$5:$A$400&lt;&gt;"")*(MOVIMIENTOS!$A$5:$A$400&lt;=$A14)*MOVIMIENTOS!$E$5:$E$400)+SUMPRODUCT((MOVIMIENTOS!$B$5:$B$400="PROCESO")*(MOVIMIENTOS!$C$5:$C$400="M")*(MOVIMIENTOS!$D$5:$D$400="jabas")*(MOVIMIENTOS!$A$5:$A$400&lt;&gt;"")*(MOVIMIENTOS!$A$5:$A$400&lt;=$A14)*MOVIMIENTOS!$E$5:$E$400)-SUMPRODUCT((MOVIMIENTOS!$B$5:$B$400="ENVÍO A SUPESA")*(MOVIMIENTOS!$C$5:$C$400="M")*(MOVIMIENTOS!$D$5:$D$400="jabas")*(MOVIMIENTOS!$A$5:$A$400&lt;&gt;"")*(MOVIMIENTOS!$A$5:$A$400&lt;=$A14)*MOVIMIENTOS!$E$5:$E$400)+SUMPRODUCT((MOVIMIENTOS!$B$5:$B$400="DEVOLUCIÓN")*(MOVIMIENTOS!$C$5:$C$400="M")*(MOVIMIENTOS!$D$5:$D$400="jabas")*(MOVIMIENTOS!$A$5:$A$400&lt;&gt;"")*(MOVIMIENTOS!$A$5:$A$400&lt;=$A14)*MOVIMIENTOS!$E$5:$E$400)-SUMPRODUCT((MOVIMIENTOS!$B$5:$B$400="TRASIEGO")*(MOVIMIENTOS!$C$5:$C$400="M")*(MOVIMIENTOS!$D$5:$D$400="jabas")*(MOVIMIENTOS!$A$5:$A$400&lt;&gt;"")*(MOVIMIENTOS!$A$5:$A$400&lt;=$A14)*MOVIMIENTOS!$E$5:$E$400)-SUMPRODUCT((MOVIMIENTOS!$B$5:$B$400="REGALO")*(MOVIMIENTOS!$C$5:$C$400="M")*(MOVIMIENTOS!$D$5:$D$400="jabas")*(MOVIMIENTOS!$A$5:$A$400&lt;&gt;"")*(MOVIMIENTOS!$A$5:$A$400&lt;=$A14)*MOVIMIENTOS!$E$5:$E$400)-SUMPRODUCT((MOVIMIENTOS!$B$5:$B$400="VENTA")*(MOVIMIENTOS!$C$5:$C$400="M")*(MOVIMIENTOS!$D$5:$D$400="jabas")*(MOVIMIENTOS!$A$5:$A$400&lt;&gt;"")*(MOVIMIENTOS!$A$5:$A$400&lt;=$A14)*MOVIMIENTOS!$E$5:$E$400)+SUMPRODUCT((MOVIMIENTOS!$B$5:$B$400="AJUSTE")*(MOVIMIENTOS!$C$5:$C$400="M")*(MOVIMIENTOS!$D$5:$D$400="jabas")*(MOVIMIENTOS!$A$5:$A$400&lt;&gt;"")*(MOVIMIENTOS!$A$5:$A$400&lt;=$A14)*MOVIMIENTOS!$E$5:$E$400))</f>
        <v>79</v>
      </c>
      <c r="F14" s="52" t="n">
        <f aca="false">IF($A14="","",SUMPRODUCT((MOVIMIENTOS!$B$5:$B$400="SALDO INICIAL")*(MOVIMIENTOS!$C$5:$C$400="Chancho")*(MOVIMIENTOS!$D$5:$D$400="sacos")*(MOVIMIENTOS!$A$5:$A$400&lt;&gt;"")*(MOVIMIENTOS!$A$5:$A$400&lt;=$A14)*MOVIMIENTOS!$E$5:$E$400)+SUMPRODUCT((MOVIMIENTOS!$B$5:$B$400="PROCESO")*(MOVIMIENTOS!$C$5:$C$400="Chancho")*(MOVIMIENTOS!$D$5:$D$400="sacos")*(MOVIMIENTOS!$A$5:$A$400&lt;&gt;"")*(MOVIMIENTOS!$A$5:$A$400&lt;=$A14)*MOVIMIENTOS!$E$5:$E$400)-SUMPRODUCT((MOVIMIENTOS!$B$5:$B$400="VENTA CHANCHO")*(MOVIMIENTOS!$C$5:$C$400="Chancho")*(MOVIMIENTOS!$D$5:$D$400="sacos")*(MOVIMIENTOS!$A$5:$A$400&lt;&gt;"")*(MOVIMIENTOS!$A$5:$A$400&lt;=$A14)*MOVIMIENTOS!$E$5:$E$400)-SUMPRODUCT((MOVIMIENTOS!$B$5:$B$400="REGALO")*(MOVIMIENTOS!$C$5:$C$400="Chancho")*(MOVIMIENTOS!$D$5:$D$400="sacos")*(MOVIMIENTOS!$A$5:$A$400&lt;&gt;"")*(MOVIMIENTOS!$A$5:$A$400&lt;=$A14)*MOVIMIENTOS!$E$5:$E$400)-SUMPRODUCT((MOVIMIENTOS!$B$5:$B$400="VENTA")*(MOVIMIENTOS!$C$5:$C$400="Chancho")*(MOVIMIENTOS!$D$5:$D$400="sacos")*(MOVIMIENTOS!$A$5:$A$400&lt;&gt;"")*(MOVIMIENTOS!$A$5:$A$400&lt;=$A14)*MOVIMIENTOS!$E$5:$E$400)+SUMPRODUCT((MOVIMIENTOS!$B$5:$B$400="AJUSTE")*(MOVIMIENTOS!$C$5:$C$400="Chancho")*(MOVIMIENTOS!$D$5:$D$400="sacos")*(MOVIMIENTOS!$A$5:$A$400&lt;&gt;"")*(MOVIMIENTOS!$A$5:$A$400&lt;=$A14)*MOVIMIENTOS!$E$5:$E$400))</f>
        <v>6.5</v>
      </c>
      <c r="G14" s="52" t="n">
        <f aca="false">IF($A14="","",SUM(B14:E14))</f>
        <v>138</v>
      </c>
      <c r="H14" s="52" t="n">
        <f aca="false">IF($A14="","",SUMPRODUCT((((MOVIMIENTOS!$B$5:$B$400="SALDO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14)*MOVIMIENTOS!$I$5:$I$400))</f>
        <v>3976.5</v>
      </c>
      <c r="I14" s="48"/>
      <c r="J14" s="48" t="str">
        <f aca="false">IF(AND(MOVIMIENTOS!$A14&lt;&gt;"",COUNTIF(MOVIMIENTOS!$A$5:$A13,MOVIMIENTOS!$A14)=0),COUNT(J$4:J13)+1,"")</f>
        <v/>
      </c>
      <c r="K14" s="53" t="n">
        <f aca="false">MOVIMIENTOS!$A14</f>
        <v>46215</v>
      </c>
      <c r="L14" s="48"/>
      <c r="M14" s="48"/>
      <c r="N14" s="48"/>
    </row>
    <row r="15" customFormat="false" ht="15" hidden="false" customHeight="true" outlineLevel="0" collapsed="false">
      <c r="A15" s="51" t="n">
        <f aca="false">IFERROR(INDEX(K$5:K$400,MATCH(ROW()-4,J$5:J$400,0)),"")</f>
        <v>46224</v>
      </c>
      <c r="B15" s="52" t="n">
        <f aca="false">IF($A15="","",SUMPRODUCT((MOVIMIENTOS!$B$5:$B$400="SALDO INICIAL")*(MOVIMIENTOS!$C$5:$C$400="A")*(MOVIMIENTOS!$D$5:$D$400="jabas")*(MOVIMIENTOS!$A$5:$A$400&lt;&gt;"")*(MOVIMIENTOS!$A$5:$A$400&lt;=$A15)*MOVIMIENTOS!$E$5:$E$400)+SUMPRODUCT((MOVIMIENTOS!$B$5:$B$400="PROCESO")*(MOVIMIENTOS!$C$5:$C$400="A")*(MOVIMIENTOS!$D$5:$D$400="jabas")*(MOVIMIENTOS!$A$5:$A$400&lt;&gt;"")*(MOVIMIENTOS!$A$5:$A$400&lt;=$A15)*MOVIMIENTOS!$E$5:$E$400)-SUMPRODUCT((MOVIMIENTOS!$B$5:$B$400="ENVÍO A SUPESA")*(MOVIMIENTOS!$C$5:$C$400="A")*(MOVIMIENTOS!$D$5:$D$400="jabas")*(MOVIMIENTOS!$A$5:$A$400&lt;&gt;"")*(MOVIMIENTOS!$A$5:$A$400&lt;=$A15)*MOVIMIENTOS!$E$5:$E$400)+SUMPRODUCT((MOVIMIENTOS!$B$5:$B$400="DEVOLUCIÓN")*(MOVIMIENTOS!$C$5:$C$400="A")*(MOVIMIENTOS!$D$5:$D$400="jabas")*(MOVIMIENTOS!$A$5:$A$400&lt;&gt;"")*(MOVIMIENTOS!$A$5:$A$400&lt;=$A15)*MOVIMIENTOS!$E$5:$E$400)-SUMPRODUCT((MOVIMIENTOS!$B$5:$B$400="TRASIEGO")*(MOVIMIENTOS!$C$5:$C$400="A")*(MOVIMIENTOS!$D$5:$D$400="jabas")*(MOVIMIENTOS!$A$5:$A$400&lt;&gt;"")*(MOVIMIENTOS!$A$5:$A$400&lt;=$A15)*MOVIMIENTOS!$E$5:$E$400)-SUMPRODUCT((MOVIMIENTOS!$B$5:$B$400="REGALO")*(MOVIMIENTOS!$C$5:$C$400="A")*(MOVIMIENTOS!$D$5:$D$400="jabas")*(MOVIMIENTOS!$A$5:$A$400&lt;&gt;"")*(MOVIMIENTOS!$A$5:$A$400&lt;=$A15)*MOVIMIENTOS!$E$5:$E$400)-SUMPRODUCT((MOVIMIENTOS!$B$5:$B$400="VENTA")*(MOVIMIENTOS!$C$5:$C$400="A")*(MOVIMIENTOS!$D$5:$D$400="jabas")*(MOVIMIENTOS!$A$5:$A$400&lt;&gt;"")*(MOVIMIENTOS!$A$5:$A$400&lt;=$A15)*MOVIMIENTOS!$E$5:$E$400)+SUMPRODUCT((MOVIMIENTOS!$B$5:$B$400="AJUSTE")*(MOVIMIENTOS!$C$5:$C$400="A")*(MOVIMIENTOS!$D$5:$D$400="jabas")*(MOVIMIENTOS!$A$5:$A$400&lt;&gt;"")*(MOVIMIENTOS!$A$5:$A$400&lt;=$A15)*MOVIMIENTOS!$E$5:$E$400))</f>
        <v>60</v>
      </c>
      <c r="C15" s="52" t="n">
        <f aca="false">IF($A15="","",SUMPRODUCT((MOVIMIENTOS!$B$5:$B$400="SALDO INICIAL")*(MOVIMIENTOS!$C$5:$C$400="P")*(MOVIMIENTOS!$D$5:$D$400="jabas")*(MOVIMIENTOS!$A$5:$A$400&lt;&gt;"")*(MOVIMIENTOS!$A$5:$A$400&lt;=$A15)*MOVIMIENTOS!$E$5:$E$400)+SUMPRODUCT((MOVIMIENTOS!$B$5:$B$400="PROCESO")*(MOVIMIENTOS!$C$5:$C$400="P")*(MOVIMIENTOS!$D$5:$D$400="jabas")*(MOVIMIENTOS!$A$5:$A$400&lt;&gt;"")*(MOVIMIENTOS!$A$5:$A$400&lt;=$A15)*MOVIMIENTOS!$E$5:$E$400)-SUMPRODUCT((MOVIMIENTOS!$B$5:$B$400="ENVÍO A SUPESA")*(MOVIMIENTOS!$C$5:$C$400="P")*(MOVIMIENTOS!$D$5:$D$400="jabas")*(MOVIMIENTOS!$A$5:$A$400&lt;&gt;"")*(MOVIMIENTOS!$A$5:$A$400&lt;=$A15)*MOVIMIENTOS!$E$5:$E$400)+SUMPRODUCT((MOVIMIENTOS!$B$5:$B$400="DEVOLUCIÓN")*(MOVIMIENTOS!$C$5:$C$400="P")*(MOVIMIENTOS!$D$5:$D$400="jabas")*(MOVIMIENTOS!$A$5:$A$400&lt;&gt;"")*(MOVIMIENTOS!$A$5:$A$400&lt;=$A15)*MOVIMIENTOS!$E$5:$E$400)-SUMPRODUCT((MOVIMIENTOS!$B$5:$B$400="TRASIEGO")*(MOVIMIENTOS!$C$5:$C$400="P")*(MOVIMIENTOS!$D$5:$D$400="jabas")*(MOVIMIENTOS!$A$5:$A$400&lt;&gt;"")*(MOVIMIENTOS!$A$5:$A$400&lt;=$A15)*MOVIMIENTOS!$E$5:$E$400)-SUMPRODUCT((MOVIMIENTOS!$B$5:$B$400="REGALO")*(MOVIMIENTOS!$C$5:$C$400="P")*(MOVIMIENTOS!$D$5:$D$400="jabas")*(MOVIMIENTOS!$A$5:$A$400&lt;&gt;"")*(MOVIMIENTOS!$A$5:$A$400&lt;=$A15)*MOVIMIENTOS!$E$5:$E$400)-SUMPRODUCT((MOVIMIENTOS!$B$5:$B$400="VENTA")*(MOVIMIENTOS!$C$5:$C$400="P")*(MOVIMIENTOS!$D$5:$D$400="jabas")*(MOVIMIENTOS!$A$5:$A$400&lt;&gt;"")*(MOVIMIENTOS!$A$5:$A$400&lt;=$A15)*MOVIMIENTOS!$E$5:$E$400)+SUMPRODUCT((MOVIMIENTOS!$B$5:$B$400="AJUSTE")*(MOVIMIENTOS!$C$5:$C$400="P")*(MOVIMIENTOS!$D$5:$D$400="jabas")*(MOVIMIENTOS!$A$5:$A$400&lt;&gt;"")*(MOVIMIENTOS!$A$5:$A$400&lt;=$A15)*MOVIMIENTOS!$E$5:$E$400))</f>
        <v>11</v>
      </c>
      <c r="D15" s="52" t="n">
        <f aca="false">IF($A15="","",SUMPRODUCT((MOVIMIENTOS!$B$5:$B$400="SALDO INICIAL")*(MOVIMIENTOS!$C$5:$C$400="C")*(MOVIMIENTOS!$D$5:$D$400="jabas")*(MOVIMIENTOS!$A$5:$A$400&lt;&gt;"")*(MOVIMIENTOS!$A$5:$A$400&lt;=$A15)*MOVIMIENTOS!$E$5:$E$400)+SUMPRODUCT((MOVIMIENTOS!$B$5:$B$400="PROCESO")*(MOVIMIENTOS!$C$5:$C$400="C")*(MOVIMIENTOS!$D$5:$D$400="jabas")*(MOVIMIENTOS!$A$5:$A$400&lt;&gt;"")*(MOVIMIENTOS!$A$5:$A$400&lt;=$A15)*MOVIMIENTOS!$E$5:$E$400)-SUMPRODUCT((MOVIMIENTOS!$B$5:$B$400="ENVÍO A SUPESA")*(MOVIMIENTOS!$C$5:$C$400="C")*(MOVIMIENTOS!$D$5:$D$400="jabas")*(MOVIMIENTOS!$A$5:$A$400&lt;&gt;"")*(MOVIMIENTOS!$A$5:$A$400&lt;=$A15)*MOVIMIENTOS!$E$5:$E$400)+SUMPRODUCT((MOVIMIENTOS!$B$5:$B$400="DEVOLUCIÓN")*(MOVIMIENTOS!$C$5:$C$400="C")*(MOVIMIENTOS!$D$5:$D$400="jabas")*(MOVIMIENTOS!$A$5:$A$400&lt;&gt;"")*(MOVIMIENTOS!$A$5:$A$400&lt;=$A15)*MOVIMIENTOS!$E$5:$E$400)-SUMPRODUCT((MOVIMIENTOS!$B$5:$B$400="TRASIEGO")*(MOVIMIENTOS!$C$5:$C$400="C")*(MOVIMIENTOS!$D$5:$D$400="jabas")*(MOVIMIENTOS!$A$5:$A$400&lt;&gt;"")*(MOVIMIENTOS!$A$5:$A$400&lt;=$A15)*MOVIMIENTOS!$E$5:$E$400)-SUMPRODUCT((MOVIMIENTOS!$B$5:$B$400="REGALO")*(MOVIMIENTOS!$C$5:$C$400="C")*(MOVIMIENTOS!$D$5:$D$400="jabas")*(MOVIMIENTOS!$A$5:$A$400&lt;&gt;"")*(MOVIMIENTOS!$A$5:$A$400&lt;=$A15)*MOVIMIENTOS!$E$5:$E$400)-SUMPRODUCT((MOVIMIENTOS!$B$5:$B$400="VENTA")*(MOVIMIENTOS!$C$5:$C$400="C")*(MOVIMIENTOS!$D$5:$D$400="jabas")*(MOVIMIENTOS!$A$5:$A$400&lt;&gt;"")*(MOVIMIENTOS!$A$5:$A$400&lt;=$A15)*MOVIMIENTOS!$E$5:$E$400)+SUMPRODUCT((MOVIMIENTOS!$B$5:$B$400="AJUSTE")*(MOVIMIENTOS!$C$5:$C$400="C")*(MOVIMIENTOS!$D$5:$D$400="jabas")*(MOVIMIENTOS!$A$5:$A$400&lt;&gt;"")*(MOVIMIENTOS!$A$5:$A$400&lt;=$A15)*MOVIMIENTOS!$E$5:$E$400))</f>
        <v>12</v>
      </c>
      <c r="E15" s="52" t="n">
        <f aca="false">IF($A15="","",SUMPRODUCT((MOVIMIENTOS!$B$5:$B$400="SALDO INICIAL")*(MOVIMIENTOS!$C$5:$C$400="M")*(MOVIMIENTOS!$D$5:$D$400="jabas")*(MOVIMIENTOS!$A$5:$A$400&lt;&gt;"")*(MOVIMIENTOS!$A$5:$A$400&lt;=$A15)*MOVIMIENTOS!$E$5:$E$400)+SUMPRODUCT((MOVIMIENTOS!$B$5:$B$400="PROCESO")*(MOVIMIENTOS!$C$5:$C$400="M")*(MOVIMIENTOS!$D$5:$D$400="jabas")*(MOVIMIENTOS!$A$5:$A$400&lt;&gt;"")*(MOVIMIENTOS!$A$5:$A$400&lt;=$A15)*MOVIMIENTOS!$E$5:$E$400)-SUMPRODUCT((MOVIMIENTOS!$B$5:$B$400="ENVÍO A SUPESA")*(MOVIMIENTOS!$C$5:$C$400="M")*(MOVIMIENTOS!$D$5:$D$400="jabas")*(MOVIMIENTOS!$A$5:$A$400&lt;&gt;"")*(MOVIMIENTOS!$A$5:$A$400&lt;=$A15)*MOVIMIENTOS!$E$5:$E$400)+SUMPRODUCT((MOVIMIENTOS!$B$5:$B$400="DEVOLUCIÓN")*(MOVIMIENTOS!$C$5:$C$400="M")*(MOVIMIENTOS!$D$5:$D$400="jabas")*(MOVIMIENTOS!$A$5:$A$400&lt;&gt;"")*(MOVIMIENTOS!$A$5:$A$400&lt;=$A15)*MOVIMIENTOS!$E$5:$E$400)-SUMPRODUCT((MOVIMIENTOS!$B$5:$B$400="TRASIEGO")*(MOVIMIENTOS!$C$5:$C$400="M")*(MOVIMIENTOS!$D$5:$D$400="jabas")*(MOVIMIENTOS!$A$5:$A$400&lt;&gt;"")*(MOVIMIENTOS!$A$5:$A$400&lt;=$A15)*MOVIMIENTOS!$E$5:$E$400)-SUMPRODUCT((MOVIMIENTOS!$B$5:$B$400="REGALO")*(MOVIMIENTOS!$C$5:$C$400="M")*(MOVIMIENTOS!$D$5:$D$400="jabas")*(MOVIMIENTOS!$A$5:$A$400&lt;&gt;"")*(MOVIMIENTOS!$A$5:$A$400&lt;=$A15)*MOVIMIENTOS!$E$5:$E$400)-SUMPRODUCT((MOVIMIENTOS!$B$5:$B$400="VENTA")*(MOVIMIENTOS!$C$5:$C$400="M")*(MOVIMIENTOS!$D$5:$D$400="jabas")*(MOVIMIENTOS!$A$5:$A$400&lt;&gt;"")*(MOVIMIENTOS!$A$5:$A$400&lt;=$A15)*MOVIMIENTOS!$E$5:$E$400)+SUMPRODUCT((MOVIMIENTOS!$B$5:$B$400="AJUSTE")*(MOVIMIENTOS!$C$5:$C$400="M")*(MOVIMIENTOS!$D$5:$D$400="jabas")*(MOVIMIENTOS!$A$5:$A$400&lt;&gt;"")*(MOVIMIENTOS!$A$5:$A$400&lt;=$A15)*MOVIMIENTOS!$E$5:$E$400))</f>
        <v>111</v>
      </c>
      <c r="F15" s="52" t="n">
        <f aca="false">IF($A15="","",SUMPRODUCT((MOVIMIENTOS!$B$5:$B$400="SALDO INICIAL")*(MOVIMIENTOS!$C$5:$C$400="Chancho")*(MOVIMIENTOS!$D$5:$D$400="sacos")*(MOVIMIENTOS!$A$5:$A$400&lt;&gt;"")*(MOVIMIENTOS!$A$5:$A$400&lt;=$A15)*MOVIMIENTOS!$E$5:$E$400)+SUMPRODUCT((MOVIMIENTOS!$B$5:$B$400="PROCESO")*(MOVIMIENTOS!$C$5:$C$400="Chancho")*(MOVIMIENTOS!$D$5:$D$400="sacos")*(MOVIMIENTOS!$A$5:$A$400&lt;&gt;"")*(MOVIMIENTOS!$A$5:$A$400&lt;=$A15)*MOVIMIENTOS!$E$5:$E$400)-SUMPRODUCT((MOVIMIENTOS!$B$5:$B$400="VENTA CHANCHO")*(MOVIMIENTOS!$C$5:$C$400="Chancho")*(MOVIMIENTOS!$D$5:$D$400="sacos")*(MOVIMIENTOS!$A$5:$A$400&lt;&gt;"")*(MOVIMIENTOS!$A$5:$A$400&lt;=$A15)*MOVIMIENTOS!$E$5:$E$400)-SUMPRODUCT((MOVIMIENTOS!$B$5:$B$400="REGALO")*(MOVIMIENTOS!$C$5:$C$400="Chancho")*(MOVIMIENTOS!$D$5:$D$400="sacos")*(MOVIMIENTOS!$A$5:$A$400&lt;&gt;"")*(MOVIMIENTOS!$A$5:$A$400&lt;=$A15)*MOVIMIENTOS!$E$5:$E$400)-SUMPRODUCT((MOVIMIENTOS!$B$5:$B$400="VENTA")*(MOVIMIENTOS!$C$5:$C$400="Chancho")*(MOVIMIENTOS!$D$5:$D$400="sacos")*(MOVIMIENTOS!$A$5:$A$400&lt;&gt;"")*(MOVIMIENTOS!$A$5:$A$400&lt;=$A15)*MOVIMIENTOS!$E$5:$E$400)+SUMPRODUCT((MOVIMIENTOS!$B$5:$B$400="AJUSTE")*(MOVIMIENTOS!$C$5:$C$400="Chancho")*(MOVIMIENTOS!$D$5:$D$400="sacos")*(MOVIMIENTOS!$A$5:$A$400&lt;&gt;"")*(MOVIMIENTOS!$A$5:$A$400&lt;=$A15)*MOVIMIENTOS!$E$5:$E$400))</f>
        <v>13.5</v>
      </c>
      <c r="G15" s="52" t="n">
        <f aca="false">IF($A15="","",SUM(B15:E15))</f>
        <v>194</v>
      </c>
      <c r="H15" s="52" t="n">
        <f aca="false">IF($A15="","",SUMPRODUCT((((MOVIMIENTOS!$B$5:$B$400="SALDO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15)*MOVIMIENTOS!$I$5:$I$400))</f>
        <v>6686.5</v>
      </c>
      <c r="I15" s="48"/>
      <c r="J15" s="48" t="str">
        <f aca="false">IF(AND(MOVIMIENTOS!$A15&lt;&gt;"",COUNTIF(MOVIMIENTOS!$A$5:$A14,MOVIMIENTOS!$A15)=0),COUNT(J$4:J14)+1,"")</f>
        <v/>
      </c>
      <c r="K15" s="53" t="n">
        <f aca="false">MOVIMIENTOS!$A15</f>
        <v>46215</v>
      </c>
      <c r="L15" s="48"/>
      <c r="M15" s="48"/>
      <c r="N15" s="48"/>
    </row>
    <row r="16" customFormat="false" ht="15" hidden="false" customHeight="true" outlineLevel="0" collapsed="false">
      <c r="A16" s="51" t="n">
        <f aca="false">IFERROR(INDEX(K$5:K$400,MATCH(ROW()-4,J$5:J$400,0)),"")</f>
        <v>46225</v>
      </c>
      <c r="B16" s="52" t="n">
        <f aca="false">IF($A16="","",SUMPRODUCT((MOVIMIENTOS!$B$5:$B$400="SALDO INICIAL")*(MOVIMIENTOS!$C$5:$C$400="A")*(MOVIMIENTOS!$D$5:$D$400="jabas")*(MOVIMIENTOS!$A$5:$A$400&lt;&gt;"")*(MOVIMIENTOS!$A$5:$A$400&lt;=$A16)*MOVIMIENTOS!$E$5:$E$400)+SUMPRODUCT((MOVIMIENTOS!$B$5:$B$400="PROCESO")*(MOVIMIENTOS!$C$5:$C$400="A")*(MOVIMIENTOS!$D$5:$D$400="jabas")*(MOVIMIENTOS!$A$5:$A$400&lt;&gt;"")*(MOVIMIENTOS!$A$5:$A$400&lt;=$A16)*MOVIMIENTOS!$E$5:$E$400)-SUMPRODUCT((MOVIMIENTOS!$B$5:$B$400="ENVÍO A SUPESA")*(MOVIMIENTOS!$C$5:$C$400="A")*(MOVIMIENTOS!$D$5:$D$400="jabas")*(MOVIMIENTOS!$A$5:$A$400&lt;&gt;"")*(MOVIMIENTOS!$A$5:$A$400&lt;=$A16)*MOVIMIENTOS!$E$5:$E$400)+SUMPRODUCT((MOVIMIENTOS!$B$5:$B$400="DEVOLUCIÓN")*(MOVIMIENTOS!$C$5:$C$400="A")*(MOVIMIENTOS!$D$5:$D$400="jabas")*(MOVIMIENTOS!$A$5:$A$400&lt;&gt;"")*(MOVIMIENTOS!$A$5:$A$400&lt;=$A16)*MOVIMIENTOS!$E$5:$E$400)-SUMPRODUCT((MOVIMIENTOS!$B$5:$B$400="TRASIEGO")*(MOVIMIENTOS!$C$5:$C$400="A")*(MOVIMIENTOS!$D$5:$D$400="jabas")*(MOVIMIENTOS!$A$5:$A$400&lt;&gt;"")*(MOVIMIENTOS!$A$5:$A$400&lt;=$A16)*MOVIMIENTOS!$E$5:$E$400)-SUMPRODUCT((MOVIMIENTOS!$B$5:$B$400="REGALO")*(MOVIMIENTOS!$C$5:$C$400="A")*(MOVIMIENTOS!$D$5:$D$400="jabas")*(MOVIMIENTOS!$A$5:$A$400&lt;&gt;"")*(MOVIMIENTOS!$A$5:$A$400&lt;=$A16)*MOVIMIENTOS!$E$5:$E$400)-SUMPRODUCT((MOVIMIENTOS!$B$5:$B$400="VENTA")*(MOVIMIENTOS!$C$5:$C$400="A")*(MOVIMIENTOS!$D$5:$D$400="jabas")*(MOVIMIENTOS!$A$5:$A$400&lt;&gt;"")*(MOVIMIENTOS!$A$5:$A$400&lt;=$A16)*MOVIMIENTOS!$E$5:$E$400)+SUMPRODUCT((MOVIMIENTOS!$B$5:$B$400="AJUSTE")*(MOVIMIENTOS!$C$5:$C$400="A")*(MOVIMIENTOS!$D$5:$D$400="jabas")*(MOVIMIENTOS!$A$5:$A$400&lt;&gt;"")*(MOVIMIENTOS!$A$5:$A$400&lt;=$A16)*MOVIMIENTOS!$E$5:$E$400))</f>
        <v>56</v>
      </c>
      <c r="C16" s="52" t="n">
        <f aca="false">IF($A16="","",SUMPRODUCT((MOVIMIENTOS!$B$5:$B$400="SALDO INICIAL")*(MOVIMIENTOS!$C$5:$C$400="P")*(MOVIMIENTOS!$D$5:$D$400="jabas")*(MOVIMIENTOS!$A$5:$A$400&lt;&gt;"")*(MOVIMIENTOS!$A$5:$A$400&lt;=$A16)*MOVIMIENTOS!$E$5:$E$400)+SUMPRODUCT((MOVIMIENTOS!$B$5:$B$400="PROCESO")*(MOVIMIENTOS!$C$5:$C$400="P")*(MOVIMIENTOS!$D$5:$D$400="jabas")*(MOVIMIENTOS!$A$5:$A$400&lt;&gt;"")*(MOVIMIENTOS!$A$5:$A$400&lt;=$A16)*MOVIMIENTOS!$E$5:$E$400)-SUMPRODUCT((MOVIMIENTOS!$B$5:$B$400="ENVÍO A SUPESA")*(MOVIMIENTOS!$C$5:$C$400="P")*(MOVIMIENTOS!$D$5:$D$400="jabas")*(MOVIMIENTOS!$A$5:$A$400&lt;&gt;"")*(MOVIMIENTOS!$A$5:$A$400&lt;=$A16)*MOVIMIENTOS!$E$5:$E$400)+SUMPRODUCT((MOVIMIENTOS!$B$5:$B$400="DEVOLUCIÓN")*(MOVIMIENTOS!$C$5:$C$400="P")*(MOVIMIENTOS!$D$5:$D$400="jabas")*(MOVIMIENTOS!$A$5:$A$400&lt;&gt;"")*(MOVIMIENTOS!$A$5:$A$400&lt;=$A16)*MOVIMIENTOS!$E$5:$E$400)-SUMPRODUCT((MOVIMIENTOS!$B$5:$B$400="TRASIEGO")*(MOVIMIENTOS!$C$5:$C$400="P")*(MOVIMIENTOS!$D$5:$D$400="jabas")*(MOVIMIENTOS!$A$5:$A$400&lt;&gt;"")*(MOVIMIENTOS!$A$5:$A$400&lt;=$A16)*MOVIMIENTOS!$E$5:$E$400)-SUMPRODUCT((MOVIMIENTOS!$B$5:$B$400="REGALO")*(MOVIMIENTOS!$C$5:$C$400="P")*(MOVIMIENTOS!$D$5:$D$400="jabas")*(MOVIMIENTOS!$A$5:$A$400&lt;&gt;"")*(MOVIMIENTOS!$A$5:$A$400&lt;=$A16)*MOVIMIENTOS!$E$5:$E$400)-SUMPRODUCT((MOVIMIENTOS!$B$5:$B$400="VENTA")*(MOVIMIENTOS!$C$5:$C$400="P")*(MOVIMIENTOS!$D$5:$D$400="jabas")*(MOVIMIENTOS!$A$5:$A$400&lt;&gt;"")*(MOVIMIENTOS!$A$5:$A$400&lt;=$A16)*MOVIMIENTOS!$E$5:$E$400)+SUMPRODUCT((MOVIMIENTOS!$B$5:$B$400="AJUSTE")*(MOVIMIENTOS!$C$5:$C$400="P")*(MOVIMIENTOS!$D$5:$D$400="jabas")*(MOVIMIENTOS!$A$5:$A$400&lt;&gt;"")*(MOVIMIENTOS!$A$5:$A$400&lt;=$A16)*MOVIMIENTOS!$E$5:$E$400))</f>
        <v>11</v>
      </c>
      <c r="D16" s="52" t="n">
        <f aca="false">IF($A16="","",SUMPRODUCT((MOVIMIENTOS!$B$5:$B$400="SALDO INICIAL")*(MOVIMIENTOS!$C$5:$C$400="C")*(MOVIMIENTOS!$D$5:$D$400="jabas")*(MOVIMIENTOS!$A$5:$A$400&lt;&gt;"")*(MOVIMIENTOS!$A$5:$A$400&lt;=$A16)*MOVIMIENTOS!$E$5:$E$400)+SUMPRODUCT((MOVIMIENTOS!$B$5:$B$400="PROCESO")*(MOVIMIENTOS!$C$5:$C$400="C")*(MOVIMIENTOS!$D$5:$D$400="jabas")*(MOVIMIENTOS!$A$5:$A$400&lt;&gt;"")*(MOVIMIENTOS!$A$5:$A$400&lt;=$A16)*MOVIMIENTOS!$E$5:$E$400)-SUMPRODUCT((MOVIMIENTOS!$B$5:$B$400="ENVÍO A SUPESA")*(MOVIMIENTOS!$C$5:$C$400="C")*(MOVIMIENTOS!$D$5:$D$400="jabas")*(MOVIMIENTOS!$A$5:$A$400&lt;&gt;"")*(MOVIMIENTOS!$A$5:$A$400&lt;=$A16)*MOVIMIENTOS!$E$5:$E$400)+SUMPRODUCT((MOVIMIENTOS!$B$5:$B$400="DEVOLUCIÓN")*(MOVIMIENTOS!$C$5:$C$400="C")*(MOVIMIENTOS!$D$5:$D$400="jabas")*(MOVIMIENTOS!$A$5:$A$400&lt;&gt;"")*(MOVIMIENTOS!$A$5:$A$400&lt;=$A16)*MOVIMIENTOS!$E$5:$E$400)-SUMPRODUCT((MOVIMIENTOS!$B$5:$B$400="TRASIEGO")*(MOVIMIENTOS!$C$5:$C$400="C")*(MOVIMIENTOS!$D$5:$D$400="jabas")*(MOVIMIENTOS!$A$5:$A$400&lt;&gt;"")*(MOVIMIENTOS!$A$5:$A$400&lt;=$A16)*MOVIMIENTOS!$E$5:$E$400)-SUMPRODUCT((MOVIMIENTOS!$B$5:$B$400="REGALO")*(MOVIMIENTOS!$C$5:$C$400="C")*(MOVIMIENTOS!$D$5:$D$400="jabas")*(MOVIMIENTOS!$A$5:$A$400&lt;&gt;"")*(MOVIMIENTOS!$A$5:$A$400&lt;=$A16)*MOVIMIENTOS!$E$5:$E$400)-SUMPRODUCT((MOVIMIENTOS!$B$5:$B$400="VENTA")*(MOVIMIENTOS!$C$5:$C$400="C")*(MOVIMIENTOS!$D$5:$D$400="jabas")*(MOVIMIENTOS!$A$5:$A$400&lt;&gt;"")*(MOVIMIENTOS!$A$5:$A$400&lt;=$A16)*MOVIMIENTOS!$E$5:$E$400)+SUMPRODUCT((MOVIMIENTOS!$B$5:$B$400="AJUSTE")*(MOVIMIENTOS!$C$5:$C$400="C")*(MOVIMIENTOS!$D$5:$D$400="jabas")*(MOVIMIENTOS!$A$5:$A$400&lt;&gt;"")*(MOVIMIENTOS!$A$5:$A$400&lt;=$A16)*MOVIMIENTOS!$E$5:$E$400))</f>
        <v>12</v>
      </c>
      <c r="E16" s="52" t="n">
        <f aca="false">IF($A16="","",SUMPRODUCT((MOVIMIENTOS!$B$5:$B$400="SALDO INICIAL")*(MOVIMIENTOS!$C$5:$C$400="M")*(MOVIMIENTOS!$D$5:$D$400="jabas")*(MOVIMIENTOS!$A$5:$A$400&lt;&gt;"")*(MOVIMIENTOS!$A$5:$A$400&lt;=$A16)*MOVIMIENTOS!$E$5:$E$400)+SUMPRODUCT((MOVIMIENTOS!$B$5:$B$400="PROCESO")*(MOVIMIENTOS!$C$5:$C$400="M")*(MOVIMIENTOS!$D$5:$D$400="jabas")*(MOVIMIENTOS!$A$5:$A$400&lt;&gt;"")*(MOVIMIENTOS!$A$5:$A$400&lt;=$A16)*MOVIMIENTOS!$E$5:$E$400)-SUMPRODUCT((MOVIMIENTOS!$B$5:$B$400="ENVÍO A SUPESA")*(MOVIMIENTOS!$C$5:$C$400="M")*(MOVIMIENTOS!$D$5:$D$400="jabas")*(MOVIMIENTOS!$A$5:$A$400&lt;&gt;"")*(MOVIMIENTOS!$A$5:$A$400&lt;=$A16)*MOVIMIENTOS!$E$5:$E$400)+SUMPRODUCT((MOVIMIENTOS!$B$5:$B$400="DEVOLUCIÓN")*(MOVIMIENTOS!$C$5:$C$400="M")*(MOVIMIENTOS!$D$5:$D$400="jabas")*(MOVIMIENTOS!$A$5:$A$400&lt;&gt;"")*(MOVIMIENTOS!$A$5:$A$400&lt;=$A16)*MOVIMIENTOS!$E$5:$E$400)-SUMPRODUCT((MOVIMIENTOS!$B$5:$B$400="TRASIEGO")*(MOVIMIENTOS!$C$5:$C$400="M")*(MOVIMIENTOS!$D$5:$D$400="jabas")*(MOVIMIENTOS!$A$5:$A$400&lt;&gt;"")*(MOVIMIENTOS!$A$5:$A$400&lt;=$A16)*MOVIMIENTOS!$E$5:$E$400)-SUMPRODUCT((MOVIMIENTOS!$B$5:$B$400="REGALO")*(MOVIMIENTOS!$C$5:$C$400="M")*(MOVIMIENTOS!$D$5:$D$400="jabas")*(MOVIMIENTOS!$A$5:$A$400&lt;&gt;"")*(MOVIMIENTOS!$A$5:$A$400&lt;=$A16)*MOVIMIENTOS!$E$5:$E$400)-SUMPRODUCT((MOVIMIENTOS!$B$5:$B$400="VENTA")*(MOVIMIENTOS!$C$5:$C$400="M")*(MOVIMIENTOS!$D$5:$D$400="jabas")*(MOVIMIENTOS!$A$5:$A$400&lt;&gt;"")*(MOVIMIENTOS!$A$5:$A$400&lt;=$A16)*MOVIMIENTOS!$E$5:$E$400)+SUMPRODUCT((MOVIMIENTOS!$B$5:$B$400="AJUSTE")*(MOVIMIENTOS!$C$5:$C$400="M")*(MOVIMIENTOS!$D$5:$D$400="jabas")*(MOVIMIENTOS!$A$5:$A$400&lt;&gt;"")*(MOVIMIENTOS!$A$5:$A$400&lt;=$A16)*MOVIMIENTOS!$E$5:$E$400))</f>
        <v>120</v>
      </c>
      <c r="F16" s="52" t="n">
        <f aca="false">IF($A16="","",SUMPRODUCT((MOVIMIENTOS!$B$5:$B$400="SALDO INICIAL")*(MOVIMIENTOS!$C$5:$C$400="Chancho")*(MOVIMIENTOS!$D$5:$D$400="sacos")*(MOVIMIENTOS!$A$5:$A$400&lt;&gt;"")*(MOVIMIENTOS!$A$5:$A$400&lt;=$A16)*MOVIMIENTOS!$E$5:$E$400)+SUMPRODUCT((MOVIMIENTOS!$B$5:$B$400="PROCESO")*(MOVIMIENTOS!$C$5:$C$400="Chancho")*(MOVIMIENTOS!$D$5:$D$400="sacos")*(MOVIMIENTOS!$A$5:$A$400&lt;&gt;"")*(MOVIMIENTOS!$A$5:$A$400&lt;=$A16)*MOVIMIENTOS!$E$5:$E$400)-SUMPRODUCT((MOVIMIENTOS!$B$5:$B$400="VENTA CHANCHO")*(MOVIMIENTOS!$C$5:$C$400="Chancho")*(MOVIMIENTOS!$D$5:$D$400="sacos")*(MOVIMIENTOS!$A$5:$A$400&lt;&gt;"")*(MOVIMIENTOS!$A$5:$A$400&lt;=$A16)*MOVIMIENTOS!$E$5:$E$400)-SUMPRODUCT((MOVIMIENTOS!$B$5:$B$400="REGALO")*(MOVIMIENTOS!$C$5:$C$400="Chancho")*(MOVIMIENTOS!$D$5:$D$400="sacos")*(MOVIMIENTOS!$A$5:$A$400&lt;&gt;"")*(MOVIMIENTOS!$A$5:$A$400&lt;=$A16)*MOVIMIENTOS!$E$5:$E$400)-SUMPRODUCT((MOVIMIENTOS!$B$5:$B$400="VENTA")*(MOVIMIENTOS!$C$5:$C$400="Chancho")*(MOVIMIENTOS!$D$5:$D$400="sacos")*(MOVIMIENTOS!$A$5:$A$400&lt;&gt;"")*(MOVIMIENTOS!$A$5:$A$400&lt;=$A16)*MOVIMIENTOS!$E$5:$E$400)+SUMPRODUCT((MOVIMIENTOS!$B$5:$B$400="AJUSTE")*(MOVIMIENTOS!$C$5:$C$400="Chancho")*(MOVIMIENTOS!$D$5:$D$400="sacos")*(MOVIMIENTOS!$A$5:$A$400&lt;&gt;"")*(MOVIMIENTOS!$A$5:$A$400&lt;=$A16)*MOVIMIENTOS!$E$5:$E$400))</f>
        <v>11.5</v>
      </c>
      <c r="G16" s="52" t="n">
        <f aca="false">IF($A16="","",SUM(B16:E16))</f>
        <v>199</v>
      </c>
      <c r="H16" s="52" t="n">
        <f aca="false">IF($A16="","",SUMPRODUCT((((MOVIMIENTOS!$B$5:$B$400="SALDO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16)*MOVIMIENTOS!$I$5:$I$400))</f>
        <v>6529.5</v>
      </c>
      <c r="I16" s="48"/>
      <c r="J16" s="48" t="str">
        <f aca="false">IF(AND(MOVIMIENTOS!$A16&lt;&gt;"",COUNTIF(MOVIMIENTOS!$A$5:$A15,MOVIMIENTOS!$A16)=0),COUNT(J$4:J15)+1,"")</f>
        <v/>
      </c>
      <c r="K16" s="53" t="n">
        <f aca="false">MOVIMIENTOS!$A16</f>
        <v>46215</v>
      </c>
      <c r="L16" s="48"/>
      <c r="M16" s="48"/>
      <c r="N16" s="48"/>
    </row>
    <row r="17" customFormat="false" ht="15" hidden="false" customHeight="true" outlineLevel="0" collapsed="false">
      <c r="A17" s="51" t="n">
        <f aca="false">IFERROR(INDEX(K$5:K$400,MATCH(ROW()-4,J$5:J$400,0)),"")</f>
        <v>46226</v>
      </c>
      <c r="B17" s="52" t="n">
        <f aca="false">IF($A17="","",SUMPRODUCT((MOVIMIENTOS!$B$5:$B$400="SALDO INICIAL")*(MOVIMIENTOS!$C$5:$C$400="A")*(MOVIMIENTOS!$D$5:$D$400="jabas")*(MOVIMIENTOS!$A$5:$A$400&lt;&gt;"")*(MOVIMIENTOS!$A$5:$A$400&lt;=$A17)*MOVIMIENTOS!$E$5:$E$400)+SUMPRODUCT((MOVIMIENTOS!$B$5:$B$400="PROCESO")*(MOVIMIENTOS!$C$5:$C$400="A")*(MOVIMIENTOS!$D$5:$D$400="jabas")*(MOVIMIENTOS!$A$5:$A$400&lt;&gt;"")*(MOVIMIENTOS!$A$5:$A$400&lt;=$A17)*MOVIMIENTOS!$E$5:$E$400)-SUMPRODUCT((MOVIMIENTOS!$B$5:$B$400="ENVÍO A SUPESA")*(MOVIMIENTOS!$C$5:$C$400="A")*(MOVIMIENTOS!$D$5:$D$400="jabas")*(MOVIMIENTOS!$A$5:$A$400&lt;&gt;"")*(MOVIMIENTOS!$A$5:$A$400&lt;=$A17)*MOVIMIENTOS!$E$5:$E$400)+SUMPRODUCT((MOVIMIENTOS!$B$5:$B$400="DEVOLUCIÓN")*(MOVIMIENTOS!$C$5:$C$400="A")*(MOVIMIENTOS!$D$5:$D$400="jabas")*(MOVIMIENTOS!$A$5:$A$400&lt;&gt;"")*(MOVIMIENTOS!$A$5:$A$400&lt;=$A17)*MOVIMIENTOS!$E$5:$E$400)-SUMPRODUCT((MOVIMIENTOS!$B$5:$B$400="TRASIEGO")*(MOVIMIENTOS!$C$5:$C$400="A")*(MOVIMIENTOS!$D$5:$D$400="jabas")*(MOVIMIENTOS!$A$5:$A$400&lt;&gt;"")*(MOVIMIENTOS!$A$5:$A$400&lt;=$A17)*MOVIMIENTOS!$E$5:$E$400)-SUMPRODUCT((MOVIMIENTOS!$B$5:$B$400="REGALO")*(MOVIMIENTOS!$C$5:$C$400="A")*(MOVIMIENTOS!$D$5:$D$400="jabas")*(MOVIMIENTOS!$A$5:$A$400&lt;&gt;"")*(MOVIMIENTOS!$A$5:$A$400&lt;=$A17)*MOVIMIENTOS!$E$5:$E$400)-SUMPRODUCT((MOVIMIENTOS!$B$5:$B$400="VENTA")*(MOVIMIENTOS!$C$5:$C$400="A")*(MOVIMIENTOS!$D$5:$D$400="jabas")*(MOVIMIENTOS!$A$5:$A$400&lt;&gt;"")*(MOVIMIENTOS!$A$5:$A$400&lt;=$A17)*MOVIMIENTOS!$E$5:$E$400)+SUMPRODUCT((MOVIMIENTOS!$B$5:$B$400="AJUSTE")*(MOVIMIENTOS!$C$5:$C$400="A")*(MOVIMIENTOS!$D$5:$D$400="jabas")*(MOVIMIENTOS!$A$5:$A$400&lt;&gt;"")*(MOVIMIENTOS!$A$5:$A$400&lt;=$A17)*MOVIMIENTOS!$E$5:$E$400))</f>
        <v>67</v>
      </c>
      <c r="C17" s="52" t="n">
        <f aca="false">IF($A17="","",SUMPRODUCT((MOVIMIENTOS!$B$5:$B$400="SALDO INICIAL")*(MOVIMIENTOS!$C$5:$C$400="P")*(MOVIMIENTOS!$D$5:$D$400="jabas")*(MOVIMIENTOS!$A$5:$A$400&lt;&gt;"")*(MOVIMIENTOS!$A$5:$A$400&lt;=$A17)*MOVIMIENTOS!$E$5:$E$400)+SUMPRODUCT((MOVIMIENTOS!$B$5:$B$400="PROCESO")*(MOVIMIENTOS!$C$5:$C$400="P")*(MOVIMIENTOS!$D$5:$D$400="jabas")*(MOVIMIENTOS!$A$5:$A$400&lt;&gt;"")*(MOVIMIENTOS!$A$5:$A$400&lt;=$A17)*MOVIMIENTOS!$E$5:$E$400)-SUMPRODUCT((MOVIMIENTOS!$B$5:$B$400="ENVÍO A SUPESA")*(MOVIMIENTOS!$C$5:$C$400="P")*(MOVIMIENTOS!$D$5:$D$400="jabas")*(MOVIMIENTOS!$A$5:$A$400&lt;&gt;"")*(MOVIMIENTOS!$A$5:$A$400&lt;=$A17)*MOVIMIENTOS!$E$5:$E$400)+SUMPRODUCT((MOVIMIENTOS!$B$5:$B$400="DEVOLUCIÓN")*(MOVIMIENTOS!$C$5:$C$400="P")*(MOVIMIENTOS!$D$5:$D$400="jabas")*(MOVIMIENTOS!$A$5:$A$400&lt;&gt;"")*(MOVIMIENTOS!$A$5:$A$400&lt;=$A17)*MOVIMIENTOS!$E$5:$E$400)-SUMPRODUCT((MOVIMIENTOS!$B$5:$B$400="TRASIEGO")*(MOVIMIENTOS!$C$5:$C$400="P")*(MOVIMIENTOS!$D$5:$D$400="jabas")*(MOVIMIENTOS!$A$5:$A$400&lt;&gt;"")*(MOVIMIENTOS!$A$5:$A$400&lt;=$A17)*MOVIMIENTOS!$E$5:$E$400)-SUMPRODUCT((MOVIMIENTOS!$B$5:$B$400="REGALO")*(MOVIMIENTOS!$C$5:$C$400="P")*(MOVIMIENTOS!$D$5:$D$400="jabas")*(MOVIMIENTOS!$A$5:$A$400&lt;&gt;"")*(MOVIMIENTOS!$A$5:$A$400&lt;=$A17)*MOVIMIENTOS!$E$5:$E$400)-SUMPRODUCT((MOVIMIENTOS!$B$5:$B$400="VENTA")*(MOVIMIENTOS!$C$5:$C$400="P")*(MOVIMIENTOS!$D$5:$D$400="jabas")*(MOVIMIENTOS!$A$5:$A$400&lt;&gt;"")*(MOVIMIENTOS!$A$5:$A$400&lt;=$A17)*MOVIMIENTOS!$E$5:$E$400)+SUMPRODUCT((MOVIMIENTOS!$B$5:$B$400="AJUSTE")*(MOVIMIENTOS!$C$5:$C$400="P")*(MOVIMIENTOS!$D$5:$D$400="jabas")*(MOVIMIENTOS!$A$5:$A$400&lt;&gt;"")*(MOVIMIENTOS!$A$5:$A$400&lt;=$A17)*MOVIMIENTOS!$E$5:$E$400))</f>
        <v>11</v>
      </c>
      <c r="D17" s="52" t="n">
        <f aca="false">IF($A17="","",SUMPRODUCT((MOVIMIENTOS!$B$5:$B$400="SALDO INICIAL")*(MOVIMIENTOS!$C$5:$C$400="C")*(MOVIMIENTOS!$D$5:$D$400="jabas")*(MOVIMIENTOS!$A$5:$A$400&lt;&gt;"")*(MOVIMIENTOS!$A$5:$A$400&lt;=$A17)*MOVIMIENTOS!$E$5:$E$400)+SUMPRODUCT((MOVIMIENTOS!$B$5:$B$400="PROCESO")*(MOVIMIENTOS!$C$5:$C$400="C")*(MOVIMIENTOS!$D$5:$D$400="jabas")*(MOVIMIENTOS!$A$5:$A$400&lt;&gt;"")*(MOVIMIENTOS!$A$5:$A$400&lt;=$A17)*MOVIMIENTOS!$E$5:$E$400)-SUMPRODUCT((MOVIMIENTOS!$B$5:$B$400="ENVÍO A SUPESA")*(MOVIMIENTOS!$C$5:$C$400="C")*(MOVIMIENTOS!$D$5:$D$400="jabas")*(MOVIMIENTOS!$A$5:$A$400&lt;&gt;"")*(MOVIMIENTOS!$A$5:$A$400&lt;=$A17)*MOVIMIENTOS!$E$5:$E$400)+SUMPRODUCT((MOVIMIENTOS!$B$5:$B$400="DEVOLUCIÓN")*(MOVIMIENTOS!$C$5:$C$400="C")*(MOVIMIENTOS!$D$5:$D$400="jabas")*(MOVIMIENTOS!$A$5:$A$400&lt;&gt;"")*(MOVIMIENTOS!$A$5:$A$400&lt;=$A17)*MOVIMIENTOS!$E$5:$E$400)-SUMPRODUCT((MOVIMIENTOS!$B$5:$B$400="TRASIEGO")*(MOVIMIENTOS!$C$5:$C$400="C")*(MOVIMIENTOS!$D$5:$D$400="jabas")*(MOVIMIENTOS!$A$5:$A$400&lt;&gt;"")*(MOVIMIENTOS!$A$5:$A$400&lt;=$A17)*MOVIMIENTOS!$E$5:$E$400)-SUMPRODUCT((MOVIMIENTOS!$B$5:$B$400="REGALO")*(MOVIMIENTOS!$C$5:$C$400="C")*(MOVIMIENTOS!$D$5:$D$400="jabas")*(MOVIMIENTOS!$A$5:$A$400&lt;&gt;"")*(MOVIMIENTOS!$A$5:$A$400&lt;=$A17)*MOVIMIENTOS!$E$5:$E$400)-SUMPRODUCT((MOVIMIENTOS!$B$5:$B$400="VENTA")*(MOVIMIENTOS!$C$5:$C$400="C")*(MOVIMIENTOS!$D$5:$D$400="jabas")*(MOVIMIENTOS!$A$5:$A$400&lt;&gt;"")*(MOVIMIENTOS!$A$5:$A$400&lt;=$A17)*MOVIMIENTOS!$E$5:$E$400)+SUMPRODUCT((MOVIMIENTOS!$B$5:$B$400="AJUSTE")*(MOVIMIENTOS!$C$5:$C$400="C")*(MOVIMIENTOS!$D$5:$D$400="jabas")*(MOVIMIENTOS!$A$5:$A$400&lt;&gt;"")*(MOVIMIENTOS!$A$5:$A$400&lt;=$A17)*MOVIMIENTOS!$E$5:$E$400))</f>
        <v>12</v>
      </c>
      <c r="E17" s="52" t="n">
        <f aca="false">IF($A17="","",SUMPRODUCT((MOVIMIENTOS!$B$5:$B$400="SALDO INICIAL")*(MOVIMIENTOS!$C$5:$C$400="M")*(MOVIMIENTOS!$D$5:$D$400="jabas")*(MOVIMIENTOS!$A$5:$A$400&lt;&gt;"")*(MOVIMIENTOS!$A$5:$A$400&lt;=$A17)*MOVIMIENTOS!$E$5:$E$400)+SUMPRODUCT((MOVIMIENTOS!$B$5:$B$400="PROCESO")*(MOVIMIENTOS!$C$5:$C$400="M")*(MOVIMIENTOS!$D$5:$D$400="jabas")*(MOVIMIENTOS!$A$5:$A$400&lt;&gt;"")*(MOVIMIENTOS!$A$5:$A$400&lt;=$A17)*MOVIMIENTOS!$E$5:$E$400)-SUMPRODUCT((MOVIMIENTOS!$B$5:$B$400="ENVÍO A SUPESA")*(MOVIMIENTOS!$C$5:$C$400="M")*(MOVIMIENTOS!$D$5:$D$400="jabas")*(MOVIMIENTOS!$A$5:$A$400&lt;&gt;"")*(MOVIMIENTOS!$A$5:$A$400&lt;=$A17)*MOVIMIENTOS!$E$5:$E$400)+SUMPRODUCT((MOVIMIENTOS!$B$5:$B$400="DEVOLUCIÓN")*(MOVIMIENTOS!$C$5:$C$400="M")*(MOVIMIENTOS!$D$5:$D$400="jabas")*(MOVIMIENTOS!$A$5:$A$400&lt;&gt;"")*(MOVIMIENTOS!$A$5:$A$400&lt;=$A17)*MOVIMIENTOS!$E$5:$E$400)-SUMPRODUCT((MOVIMIENTOS!$B$5:$B$400="TRASIEGO")*(MOVIMIENTOS!$C$5:$C$400="M")*(MOVIMIENTOS!$D$5:$D$400="jabas")*(MOVIMIENTOS!$A$5:$A$400&lt;&gt;"")*(MOVIMIENTOS!$A$5:$A$400&lt;=$A17)*MOVIMIENTOS!$E$5:$E$400)-SUMPRODUCT((MOVIMIENTOS!$B$5:$B$400="REGALO")*(MOVIMIENTOS!$C$5:$C$400="M")*(MOVIMIENTOS!$D$5:$D$400="jabas")*(MOVIMIENTOS!$A$5:$A$400&lt;&gt;"")*(MOVIMIENTOS!$A$5:$A$400&lt;=$A17)*MOVIMIENTOS!$E$5:$E$400)-SUMPRODUCT((MOVIMIENTOS!$B$5:$B$400="VENTA")*(MOVIMIENTOS!$C$5:$C$400="M")*(MOVIMIENTOS!$D$5:$D$400="jabas")*(MOVIMIENTOS!$A$5:$A$400&lt;&gt;"")*(MOVIMIENTOS!$A$5:$A$400&lt;=$A17)*MOVIMIENTOS!$E$5:$E$400)+SUMPRODUCT((MOVIMIENTOS!$B$5:$B$400="AJUSTE")*(MOVIMIENTOS!$C$5:$C$400="M")*(MOVIMIENTOS!$D$5:$D$400="jabas")*(MOVIMIENTOS!$A$5:$A$400&lt;&gt;"")*(MOVIMIENTOS!$A$5:$A$400&lt;=$A17)*MOVIMIENTOS!$E$5:$E$400))</f>
        <v>96</v>
      </c>
      <c r="F17" s="52" t="n">
        <f aca="false">IF($A17="","",SUMPRODUCT((MOVIMIENTOS!$B$5:$B$400="SALDO INICIAL")*(MOVIMIENTOS!$C$5:$C$400="Chancho")*(MOVIMIENTOS!$D$5:$D$400="sacos")*(MOVIMIENTOS!$A$5:$A$400&lt;&gt;"")*(MOVIMIENTOS!$A$5:$A$400&lt;=$A17)*MOVIMIENTOS!$E$5:$E$400)+SUMPRODUCT((MOVIMIENTOS!$B$5:$B$400="PROCESO")*(MOVIMIENTOS!$C$5:$C$400="Chancho")*(MOVIMIENTOS!$D$5:$D$400="sacos")*(MOVIMIENTOS!$A$5:$A$400&lt;&gt;"")*(MOVIMIENTOS!$A$5:$A$400&lt;=$A17)*MOVIMIENTOS!$E$5:$E$400)-SUMPRODUCT((MOVIMIENTOS!$B$5:$B$400="VENTA CHANCHO")*(MOVIMIENTOS!$C$5:$C$400="Chancho")*(MOVIMIENTOS!$D$5:$D$400="sacos")*(MOVIMIENTOS!$A$5:$A$400&lt;&gt;"")*(MOVIMIENTOS!$A$5:$A$400&lt;=$A17)*MOVIMIENTOS!$E$5:$E$400)-SUMPRODUCT((MOVIMIENTOS!$B$5:$B$400="REGALO")*(MOVIMIENTOS!$C$5:$C$400="Chancho")*(MOVIMIENTOS!$D$5:$D$400="sacos")*(MOVIMIENTOS!$A$5:$A$400&lt;&gt;"")*(MOVIMIENTOS!$A$5:$A$400&lt;=$A17)*MOVIMIENTOS!$E$5:$E$400)-SUMPRODUCT((MOVIMIENTOS!$B$5:$B$400="VENTA")*(MOVIMIENTOS!$C$5:$C$400="Chancho")*(MOVIMIENTOS!$D$5:$D$400="sacos")*(MOVIMIENTOS!$A$5:$A$400&lt;&gt;"")*(MOVIMIENTOS!$A$5:$A$400&lt;=$A17)*MOVIMIENTOS!$E$5:$E$400)+SUMPRODUCT((MOVIMIENTOS!$B$5:$B$400="AJUSTE")*(MOVIMIENTOS!$C$5:$C$400="Chancho")*(MOVIMIENTOS!$D$5:$D$400="sacos")*(MOVIMIENTOS!$A$5:$A$400&lt;&gt;"")*(MOVIMIENTOS!$A$5:$A$400&lt;=$A17)*MOVIMIENTOS!$E$5:$E$400))</f>
        <v>17.5</v>
      </c>
      <c r="G17" s="52" t="n">
        <f aca="false">IF($A17="","",SUM(B17:E17))</f>
        <v>186</v>
      </c>
      <c r="H17" s="52" t="n">
        <f aca="false">IF($A17="","",SUMPRODUCT((((MOVIMIENTOS!$B$5:$B$400="SALDO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17)*MOVIMIENTOS!$I$5:$I$400))</f>
        <v>10099</v>
      </c>
      <c r="I17" s="48"/>
      <c r="J17" s="48" t="str">
        <f aca="false">IF(AND(MOVIMIENTOS!$A17&lt;&gt;"",COUNTIF(MOVIMIENTOS!$A$5:$A16,MOVIMIENTOS!$A17)=0),COUNT(J$4:J16)+1,"")</f>
        <v/>
      </c>
      <c r="K17" s="53" t="n">
        <f aca="false">MOVIMIENTOS!$A17</f>
        <v>46215</v>
      </c>
      <c r="L17" s="48"/>
      <c r="M17" s="48"/>
      <c r="N17" s="48"/>
    </row>
    <row r="18" customFormat="false" ht="15" hidden="false" customHeight="true" outlineLevel="0" collapsed="false">
      <c r="A18" s="51" t="n">
        <f aca="false">IFERROR(INDEX(K$5:K$400,MATCH(ROW()-4,J$5:J$400,0)),"")</f>
        <v>46227</v>
      </c>
      <c r="B18" s="52" t="n">
        <f aca="false">IF($A18="","",SUMPRODUCT((MOVIMIENTOS!$B$5:$B$400="SALDO INICIAL")*(MOVIMIENTOS!$C$5:$C$400="A")*(MOVIMIENTOS!$D$5:$D$400="jabas")*(MOVIMIENTOS!$A$5:$A$400&lt;&gt;"")*(MOVIMIENTOS!$A$5:$A$400&lt;=$A18)*MOVIMIENTOS!$E$5:$E$400)+SUMPRODUCT((MOVIMIENTOS!$B$5:$B$400="PROCESO")*(MOVIMIENTOS!$C$5:$C$400="A")*(MOVIMIENTOS!$D$5:$D$400="jabas")*(MOVIMIENTOS!$A$5:$A$400&lt;&gt;"")*(MOVIMIENTOS!$A$5:$A$400&lt;=$A18)*MOVIMIENTOS!$E$5:$E$400)-SUMPRODUCT((MOVIMIENTOS!$B$5:$B$400="ENVÍO A SUPESA")*(MOVIMIENTOS!$C$5:$C$400="A")*(MOVIMIENTOS!$D$5:$D$400="jabas")*(MOVIMIENTOS!$A$5:$A$400&lt;&gt;"")*(MOVIMIENTOS!$A$5:$A$400&lt;=$A18)*MOVIMIENTOS!$E$5:$E$400)+SUMPRODUCT((MOVIMIENTOS!$B$5:$B$400="DEVOLUCIÓN")*(MOVIMIENTOS!$C$5:$C$400="A")*(MOVIMIENTOS!$D$5:$D$400="jabas")*(MOVIMIENTOS!$A$5:$A$400&lt;&gt;"")*(MOVIMIENTOS!$A$5:$A$400&lt;=$A18)*MOVIMIENTOS!$E$5:$E$400)-SUMPRODUCT((MOVIMIENTOS!$B$5:$B$400="TRASIEGO")*(MOVIMIENTOS!$C$5:$C$400="A")*(MOVIMIENTOS!$D$5:$D$400="jabas")*(MOVIMIENTOS!$A$5:$A$400&lt;&gt;"")*(MOVIMIENTOS!$A$5:$A$400&lt;=$A18)*MOVIMIENTOS!$E$5:$E$400)-SUMPRODUCT((MOVIMIENTOS!$B$5:$B$400="REGALO")*(MOVIMIENTOS!$C$5:$C$400="A")*(MOVIMIENTOS!$D$5:$D$400="jabas")*(MOVIMIENTOS!$A$5:$A$400&lt;&gt;"")*(MOVIMIENTOS!$A$5:$A$400&lt;=$A18)*MOVIMIENTOS!$E$5:$E$400)-SUMPRODUCT((MOVIMIENTOS!$B$5:$B$400="VENTA")*(MOVIMIENTOS!$C$5:$C$400="A")*(MOVIMIENTOS!$D$5:$D$400="jabas")*(MOVIMIENTOS!$A$5:$A$400&lt;&gt;"")*(MOVIMIENTOS!$A$5:$A$400&lt;=$A18)*MOVIMIENTOS!$E$5:$E$400)+SUMPRODUCT((MOVIMIENTOS!$B$5:$B$400="AJUSTE")*(MOVIMIENTOS!$C$5:$C$400="A")*(MOVIMIENTOS!$D$5:$D$400="jabas")*(MOVIMIENTOS!$A$5:$A$400&lt;&gt;"")*(MOVIMIENTOS!$A$5:$A$400&lt;=$A18)*MOVIMIENTOS!$E$5:$E$400))</f>
        <v>48</v>
      </c>
      <c r="C18" s="52" t="n">
        <f aca="false">IF($A18="","",SUMPRODUCT((MOVIMIENTOS!$B$5:$B$400="SALDO INICIAL")*(MOVIMIENTOS!$C$5:$C$400="P")*(MOVIMIENTOS!$D$5:$D$400="jabas")*(MOVIMIENTOS!$A$5:$A$400&lt;&gt;"")*(MOVIMIENTOS!$A$5:$A$400&lt;=$A18)*MOVIMIENTOS!$E$5:$E$400)+SUMPRODUCT((MOVIMIENTOS!$B$5:$B$400="PROCESO")*(MOVIMIENTOS!$C$5:$C$400="P")*(MOVIMIENTOS!$D$5:$D$400="jabas")*(MOVIMIENTOS!$A$5:$A$400&lt;&gt;"")*(MOVIMIENTOS!$A$5:$A$400&lt;=$A18)*MOVIMIENTOS!$E$5:$E$400)-SUMPRODUCT((MOVIMIENTOS!$B$5:$B$400="ENVÍO A SUPESA")*(MOVIMIENTOS!$C$5:$C$400="P")*(MOVIMIENTOS!$D$5:$D$400="jabas")*(MOVIMIENTOS!$A$5:$A$400&lt;&gt;"")*(MOVIMIENTOS!$A$5:$A$400&lt;=$A18)*MOVIMIENTOS!$E$5:$E$400)+SUMPRODUCT((MOVIMIENTOS!$B$5:$B$400="DEVOLUCIÓN")*(MOVIMIENTOS!$C$5:$C$400="P")*(MOVIMIENTOS!$D$5:$D$400="jabas")*(MOVIMIENTOS!$A$5:$A$400&lt;&gt;"")*(MOVIMIENTOS!$A$5:$A$400&lt;=$A18)*MOVIMIENTOS!$E$5:$E$400)-SUMPRODUCT((MOVIMIENTOS!$B$5:$B$400="TRASIEGO")*(MOVIMIENTOS!$C$5:$C$400="P")*(MOVIMIENTOS!$D$5:$D$400="jabas")*(MOVIMIENTOS!$A$5:$A$400&lt;&gt;"")*(MOVIMIENTOS!$A$5:$A$400&lt;=$A18)*MOVIMIENTOS!$E$5:$E$400)-SUMPRODUCT((MOVIMIENTOS!$B$5:$B$400="REGALO")*(MOVIMIENTOS!$C$5:$C$400="P")*(MOVIMIENTOS!$D$5:$D$400="jabas")*(MOVIMIENTOS!$A$5:$A$400&lt;&gt;"")*(MOVIMIENTOS!$A$5:$A$400&lt;=$A18)*MOVIMIENTOS!$E$5:$E$400)-SUMPRODUCT((MOVIMIENTOS!$B$5:$B$400="VENTA")*(MOVIMIENTOS!$C$5:$C$400="P")*(MOVIMIENTOS!$D$5:$D$400="jabas")*(MOVIMIENTOS!$A$5:$A$400&lt;&gt;"")*(MOVIMIENTOS!$A$5:$A$400&lt;=$A18)*MOVIMIENTOS!$E$5:$E$400)+SUMPRODUCT((MOVIMIENTOS!$B$5:$B$400="AJUSTE")*(MOVIMIENTOS!$C$5:$C$400="P")*(MOVIMIENTOS!$D$5:$D$400="jabas")*(MOVIMIENTOS!$A$5:$A$400&lt;&gt;"")*(MOVIMIENTOS!$A$5:$A$400&lt;=$A18)*MOVIMIENTOS!$E$5:$E$400))</f>
        <v>3</v>
      </c>
      <c r="D18" s="52" t="n">
        <f aca="false">IF($A18="","",SUMPRODUCT((MOVIMIENTOS!$B$5:$B$400="SALDO INICIAL")*(MOVIMIENTOS!$C$5:$C$400="C")*(MOVIMIENTOS!$D$5:$D$400="jabas")*(MOVIMIENTOS!$A$5:$A$400&lt;&gt;"")*(MOVIMIENTOS!$A$5:$A$400&lt;=$A18)*MOVIMIENTOS!$E$5:$E$400)+SUMPRODUCT((MOVIMIENTOS!$B$5:$B$400="PROCESO")*(MOVIMIENTOS!$C$5:$C$400="C")*(MOVIMIENTOS!$D$5:$D$400="jabas")*(MOVIMIENTOS!$A$5:$A$400&lt;&gt;"")*(MOVIMIENTOS!$A$5:$A$400&lt;=$A18)*MOVIMIENTOS!$E$5:$E$400)-SUMPRODUCT((MOVIMIENTOS!$B$5:$B$400="ENVÍO A SUPESA")*(MOVIMIENTOS!$C$5:$C$400="C")*(MOVIMIENTOS!$D$5:$D$400="jabas")*(MOVIMIENTOS!$A$5:$A$400&lt;&gt;"")*(MOVIMIENTOS!$A$5:$A$400&lt;=$A18)*MOVIMIENTOS!$E$5:$E$400)+SUMPRODUCT((MOVIMIENTOS!$B$5:$B$400="DEVOLUCIÓN")*(MOVIMIENTOS!$C$5:$C$400="C")*(MOVIMIENTOS!$D$5:$D$400="jabas")*(MOVIMIENTOS!$A$5:$A$400&lt;&gt;"")*(MOVIMIENTOS!$A$5:$A$400&lt;=$A18)*MOVIMIENTOS!$E$5:$E$400)-SUMPRODUCT((MOVIMIENTOS!$B$5:$B$400="TRASIEGO")*(MOVIMIENTOS!$C$5:$C$400="C")*(MOVIMIENTOS!$D$5:$D$400="jabas")*(MOVIMIENTOS!$A$5:$A$400&lt;&gt;"")*(MOVIMIENTOS!$A$5:$A$400&lt;=$A18)*MOVIMIENTOS!$E$5:$E$400)-SUMPRODUCT((MOVIMIENTOS!$B$5:$B$400="REGALO")*(MOVIMIENTOS!$C$5:$C$400="C")*(MOVIMIENTOS!$D$5:$D$400="jabas")*(MOVIMIENTOS!$A$5:$A$400&lt;&gt;"")*(MOVIMIENTOS!$A$5:$A$400&lt;=$A18)*MOVIMIENTOS!$E$5:$E$400)-SUMPRODUCT((MOVIMIENTOS!$B$5:$B$400="VENTA")*(MOVIMIENTOS!$C$5:$C$400="C")*(MOVIMIENTOS!$D$5:$D$400="jabas")*(MOVIMIENTOS!$A$5:$A$400&lt;&gt;"")*(MOVIMIENTOS!$A$5:$A$400&lt;=$A18)*MOVIMIENTOS!$E$5:$E$400)+SUMPRODUCT((MOVIMIENTOS!$B$5:$B$400="AJUSTE")*(MOVIMIENTOS!$C$5:$C$400="C")*(MOVIMIENTOS!$D$5:$D$400="jabas")*(MOVIMIENTOS!$A$5:$A$400&lt;&gt;"")*(MOVIMIENTOS!$A$5:$A$400&lt;=$A18)*MOVIMIENTOS!$E$5:$E$400))</f>
        <v>5</v>
      </c>
      <c r="E18" s="52" t="n">
        <f aca="false">IF($A18="","",SUMPRODUCT((MOVIMIENTOS!$B$5:$B$400="SALDO INICIAL")*(MOVIMIENTOS!$C$5:$C$400="M")*(MOVIMIENTOS!$D$5:$D$400="jabas")*(MOVIMIENTOS!$A$5:$A$400&lt;&gt;"")*(MOVIMIENTOS!$A$5:$A$400&lt;=$A18)*MOVIMIENTOS!$E$5:$E$400)+SUMPRODUCT((MOVIMIENTOS!$B$5:$B$400="PROCESO")*(MOVIMIENTOS!$C$5:$C$400="M")*(MOVIMIENTOS!$D$5:$D$400="jabas")*(MOVIMIENTOS!$A$5:$A$400&lt;&gt;"")*(MOVIMIENTOS!$A$5:$A$400&lt;=$A18)*MOVIMIENTOS!$E$5:$E$400)-SUMPRODUCT((MOVIMIENTOS!$B$5:$B$400="ENVÍO A SUPESA")*(MOVIMIENTOS!$C$5:$C$400="M")*(MOVIMIENTOS!$D$5:$D$400="jabas")*(MOVIMIENTOS!$A$5:$A$400&lt;&gt;"")*(MOVIMIENTOS!$A$5:$A$400&lt;=$A18)*MOVIMIENTOS!$E$5:$E$400)+SUMPRODUCT((MOVIMIENTOS!$B$5:$B$400="DEVOLUCIÓN")*(MOVIMIENTOS!$C$5:$C$400="M")*(MOVIMIENTOS!$D$5:$D$400="jabas")*(MOVIMIENTOS!$A$5:$A$400&lt;&gt;"")*(MOVIMIENTOS!$A$5:$A$400&lt;=$A18)*MOVIMIENTOS!$E$5:$E$400)-SUMPRODUCT((MOVIMIENTOS!$B$5:$B$400="TRASIEGO")*(MOVIMIENTOS!$C$5:$C$400="M")*(MOVIMIENTOS!$D$5:$D$400="jabas")*(MOVIMIENTOS!$A$5:$A$400&lt;&gt;"")*(MOVIMIENTOS!$A$5:$A$400&lt;=$A18)*MOVIMIENTOS!$E$5:$E$400)-SUMPRODUCT((MOVIMIENTOS!$B$5:$B$400="REGALO")*(MOVIMIENTOS!$C$5:$C$400="M")*(MOVIMIENTOS!$D$5:$D$400="jabas")*(MOVIMIENTOS!$A$5:$A$400&lt;&gt;"")*(MOVIMIENTOS!$A$5:$A$400&lt;=$A18)*MOVIMIENTOS!$E$5:$E$400)-SUMPRODUCT((MOVIMIENTOS!$B$5:$B$400="VENTA")*(MOVIMIENTOS!$C$5:$C$400="M")*(MOVIMIENTOS!$D$5:$D$400="jabas")*(MOVIMIENTOS!$A$5:$A$400&lt;&gt;"")*(MOVIMIENTOS!$A$5:$A$400&lt;=$A18)*MOVIMIENTOS!$E$5:$E$400)+SUMPRODUCT((MOVIMIENTOS!$B$5:$B$400="AJUSTE")*(MOVIMIENTOS!$C$5:$C$400="M")*(MOVIMIENTOS!$D$5:$D$400="jabas")*(MOVIMIENTOS!$A$5:$A$400&lt;&gt;"")*(MOVIMIENTOS!$A$5:$A$400&lt;=$A18)*MOVIMIENTOS!$E$5:$E$400))</f>
        <v>73</v>
      </c>
      <c r="F18" s="52" t="n">
        <f aca="false">IF($A18="","",SUMPRODUCT((MOVIMIENTOS!$B$5:$B$400="SALDO INICIAL")*(MOVIMIENTOS!$C$5:$C$400="Chancho")*(MOVIMIENTOS!$D$5:$D$400="sacos")*(MOVIMIENTOS!$A$5:$A$400&lt;&gt;"")*(MOVIMIENTOS!$A$5:$A$400&lt;=$A18)*MOVIMIENTOS!$E$5:$E$400)+SUMPRODUCT((MOVIMIENTOS!$B$5:$B$400="PROCESO")*(MOVIMIENTOS!$C$5:$C$400="Chancho")*(MOVIMIENTOS!$D$5:$D$400="sacos")*(MOVIMIENTOS!$A$5:$A$400&lt;&gt;"")*(MOVIMIENTOS!$A$5:$A$400&lt;=$A18)*MOVIMIENTOS!$E$5:$E$400)-SUMPRODUCT((MOVIMIENTOS!$B$5:$B$400="VENTA CHANCHO")*(MOVIMIENTOS!$C$5:$C$400="Chancho")*(MOVIMIENTOS!$D$5:$D$400="sacos")*(MOVIMIENTOS!$A$5:$A$400&lt;&gt;"")*(MOVIMIENTOS!$A$5:$A$400&lt;=$A18)*MOVIMIENTOS!$E$5:$E$400)-SUMPRODUCT((MOVIMIENTOS!$B$5:$B$400="REGALO")*(MOVIMIENTOS!$C$5:$C$400="Chancho")*(MOVIMIENTOS!$D$5:$D$400="sacos")*(MOVIMIENTOS!$A$5:$A$400&lt;&gt;"")*(MOVIMIENTOS!$A$5:$A$400&lt;=$A18)*MOVIMIENTOS!$E$5:$E$400)-SUMPRODUCT((MOVIMIENTOS!$B$5:$B$400="VENTA")*(MOVIMIENTOS!$C$5:$C$400="Chancho")*(MOVIMIENTOS!$D$5:$D$400="sacos")*(MOVIMIENTOS!$A$5:$A$400&lt;&gt;"")*(MOVIMIENTOS!$A$5:$A$400&lt;=$A18)*MOVIMIENTOS!$E$5:$E$400)+SUMPRODUCT((MOVIMIENTOS!$B$5:$B$400="AJUSTE")*(MOVIMIENTOS!$C$5:$C$400="Chancho")*(MOVIMIENTOS!$D$5:$D$400="sacos")*(MOVIMIENTOS!$A$5:$A$400&lt;&gt;"")*(MOVIMIENTOS!$A$5:$A$400&lt;=$A18)*MOVIMIENTOS!$E$5:$E$400))</f>
        <v>13.5</v>
      </c>
      <c r="G18" s="52" t="n">
        <f aca="false">IF($A18="","",SUM(B18:E18))</f>
        <v>129</v>
      </c>
      <c r="H18" s="52" t="n">
        <f aca="false">IF($A18="","",SUMPRODUCT((((MOVIMIENTOS!$B$5:$B$400="SALDO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18)*MOVIMIENTOS!$I$5:$I$400))</f>
        <v>6137</v>
      </c>
      <c r="I18" s="48"/>
      <c r="J18" s="48" t="str">
        <f aca="false">IF(AND(MOVIMIENTOS!$A18&lt;&gt;"",COUNTIF(MOVIMIENTOS!$A$5:$A17,MOVIMIENTOS!$A18)=0),COUNT(J$4:J17)+1,"")</f>
        <v/>
      </c>
      <c r="K18" s="53" t="n">
        <f aca="false">MOVIMIENTOS!$A18</f>
        <v>46215</v>
      </c>
      <c r="L18" s="48"/>
      <c r="M18" s="48"/>
      <c r="N18" s="48"/>
    </row>
    <row r="19" customFormat="false" ht="15" hidden="false" customHeight="true" outlineLevel="0" collapsed="false">
      <c r="A19" s="51" t="n">
        <f aca="false">IFERROR(INDEX(K$5:K$400,MATCH(ROW()-4,J$5:J$400,0)),"")</f>
        <v>46228</v>
      </c>
      <c r="B19" s="52" t="n">
        <f aca="false">IF($A19="","",SUMPRODUCT((MOVIMIENTOS!$B$5:$B$400="SALDO INICIAL")*(MOVIMIENTOS!$C$5:$C$400="A")*(MOVIMIENTOS!$D$5:$D$400="jabas")*(MOVIMIENTOS!$A$5:$A$400&lt;&gt;"")*(MOVIMIENTOS!$A$5:$A$400&lt;=$A19)*MOVIMIENTOS!$E$5:$E$400)+SUMPRODUCT((MOVIMIENTOS!$B$5:$B$400="PROCESO")*(MOVIMIENTOS!$C$5:$C$400="A")*(MOVIMIENTOS!$D$5:$D$400="jabas")*(MOVIMIENTOS!$A$5:$A$400&lt;&gt;"")*(MOVIMIENTOS!$A$5:$A$400&lt;=$A19)*MOVIMIENTOS!$E$5:$E$400)-SUMPRODUCT((MOVIMIENTOS!$B$5:$B$400="ENVÍO A SUPESA")*(MOVIMIENTOS!$C$5:$C$400="A")*(MOVIMIENTOS!$D$5:$D$400="jabas")*(MOVIMIENTOS!$A$5:$A$400&lt;&gt;"")*(MOVIMIENTOS!$A$5:$A$400&lt;=$A19)*MOVIMIENTOS!$E$5:$E$400)+SUMPRODUCT((MOVIMIENTOS!$B$5:$B$400="DEVOLUCIÓN")*(MOVIMIENTOS!$C$5:$C$400="A")*(MOVIMIENTOS!$D$5:$D$400="jabas")*(MOVIMIENTOS!$A$5:$A$400&lt;&gt;"")*(MOVIMIENTOS!$A$5:$A$400&lt;=$A19)*MOVIMIENTOS!$E$5:$E$400)-SUMPRODUCT((MOVIMIENTOS!$B$5:$B$400="TRASIEGO")*(MOVIMIENTOS!$C$5:$C$400="A")*(MOVIMIENTOS!$D$5:$D$400="jabas")*(MOVIMIENTOS!$A$5:$A$400&lt;&gt;"")*(MOVIMIENTOS!$A$5:$A$400&lt;=$A19)*MOVIMIENTOS!$E$5:$E$400)-SUMPRODUCT((MOVIMIENTOS!$B$5:$B$400="REGALO")*(MOVIMIENTOS!$C$5:$C$400="A")*(MOVIMIENTOS!$D$5:$D$400="jabas")*(MOVIMIENTOS!$A$5:$A$400&lt;&gt;"")*(MOVIMIENTOS!$A$5:$A$400&lt;=$A19)*MOVIMIENTOS!$E$5:$E$400)-SUMPRODUCT((MOVIMIENTOS!$B$5:$B$400="VENTA")*(MOVIMIENTOS!$C$5:$C$400="A")*(MOVIMIENTOS!$D$5:$D$400="jabas")*(MOVIMIENTOS!$A$5:$A$400&lt;&gt;"")*(MOVIMIENTOS!$A$5:$A$400&lt;=$A19)*MOVIMIENTOS!$E$5:$E$400)+SUMPRODUCT((MOVIMIENTOS!$B$5:$B$400="AJUSTE")*(MOVIMIENTOS!$C$5:$C$400="A")*(MOVIMIENTOS!$D$5:$D$400="jabas")*(MOVIMIENTOS!$A$5:$A$400&lt;&gt;"")*(MOVIMIENTOS!$A$5:$A$400&lt;=$A19)*MOVIMIENTOS!$E$5:$E$400))</f>
        <v>77</v>
      </c>
      <c r="C19" s="52" t="n">
        <f aca="false">IF($A19="","",SUMPRODUCT((MOVIMIENTOS!$B$5:$B$400="SALDO INICIAL")*(MOVIMIENTOS!$C$5:$C$400="P")*(MOVIMIENTOS!$D$5:$D$400="jabas")*(MOVIMIENTOS!$A$5:$A$400&lt;&gt;"")*(MOVIMIENTOS!$A$5:$A$400&lt;=$A19)*MOVIMIENTOS!$E$5:$E$400)+SUMPRODUCT((MOVIMIENTOS!$B$5:$B$400="PROCESO")*(MOVIMIENTOS!$C$5:$C$400="P")*(MOVIMIENTOS!$D$5:$D$400="jabas")*(MOVIMIENTOS!$A$5:$A$400&lt;&gt;"")*(MOVIMIENTOS!$A$5:$A$400&lt;=$A19)*MOVIMIENTOS!$E$5:$E$400)-SUMPRODUCT((MOVIMIENTOS!$B$5:$B$400="ENVÍO A SUPESA")*(MOVIMIENTOS!$C$5:$C$400="P")*(MOVIMIENTOS!$D$5:$D$400="jabas")*(MOVIMIENTOS!$A$5:$A$400&lt;&gt;"")*(MOVIMIENTOS!$A$5:$A$400&lt;=$A19)*MOVIMIENTOS!$E$5:$E$400)+SUMPRODUCT((MOVIMIENTOS!$B$5:$B$400="DEVOLUCIÓN")*(MOVIMIENTOS!$C$5:$C$400="P")*(MOVIMIENTOS!$D$5:$D$400="jabas")*(MOVIMIENTOS!$A$5:$A$400&lt;&gt;"")*(MOVIMIENTOS!$A$5:$A$400&lt;=$A19)*MOVIMIENTOS!$E$5:$E$400)-SUMPRODUCT((MOVIMIENTOS!$B$5:$B$400="TRASIEGO")*(MOVIMIENTOS!$C$5:$C$400="P")*(MOVIMIENTOS!$D$5:$D$400="jabas")*(MOVIMIENTOS!$A$5:$A$400&lt;&gt;"")*(MOVIMIENTOS!$A$5:$A$400&lt;=$A19)*MOVIMIENTOS!$E$5:$E$400)-SUMPRODUCT((MOVIMIENTOS!$B$5:$B$400="REGALO")*(MOVIMIENTOS!$C$5:$C$400="P")*(MOVIMIENTOS!$D$5:$D$400="jabas")*(MOVIMIENTOS!$A$5:$A$400&lt;&gt;"")*(MOVIMIENTOS!$A$5:$A$400&lt;=$A19)*MOVIMIENTOS!$E$5:$E$400)-SUMPRODUCT((MOVIMIENTOS!$B$5:$B$400="VENTA")*(MOVIMIENTOS!$C$5:$C$400="P")*(MOVIMIENTOS!$D$5:$D$400="jabas")*(MOVIMIENTOS!$A$5:$A$400&lt;&gt;"")*(MOVIMIENTOS!$A$5:$A$400&lt;=$A19)*MOVIMIENTOS!$E$5:$E$400)+SUMPRODUCT((MOVIMIENTOS!$B$5:$B$400="AJUSTE")*(MOVIMIENTOS!$C$5:$C$400="P")*(MOVIMIENTOS!$D$5:$D$400="jabas")*(MOVIMIENTOS!$A$5:$A$400&lt;&gt;"")*(MOVIMIENTOS!$A$5:$A$400&lt;=$A19)*MOVIMIENTOS!$E$5:$E$400))</f>
        <v>20</v>
      </c>
      <c r="D19" s="52" t="n">
        <f aca="false">IF($A19="","",SUMPRODUCT((MOVIMIENTOS!$B$5:$B$400="SALDO INICIAL")*(MOVIMIENTOS!$C$5:$C$400="C")*(MOVIMIENTOS!$D$5:$D$400="jabas")*(MOVIMIENTOS!$A$5:$A$400&lt;&gt;"")*(MOVIMIENTOS!$A$5:$A$400&lt;=$A19)*MOVIMIENTOS!$E$5:$E$400)+SUMPRODUCT((MOVIMIENTOS!$B$5:$B$400="PROCESO")*(MOVIMIENTOS!$C$5:$C$400="C")*(MOVIMIENTOS!$D$5:$D$400="jabas")*(MOVIMIENTOS!$A$5:$A$400&lt;&gt;"")*(MOVIMIENTOS!$A$5:$A$400&lt;=$A19)*MOVIMIENTOS!$E$5:$E$400)-SUMPRODUCT((MOVIMIENTOS!$B$5:$B$400="ENVÍO A SUPESA")*(MOVIMIENTOS!$C$5:$C$400="C")*(MOVIMIENTOS!$D$5:$D$400="jabas")*(MOVIMIENTOS!$A$5:$A$400&lt;&gt;"")*(MOVIMIENTOS!$A$5:$A$400&lt;=$A19)*MOVIMIENTOS!$E$5:$E$400)+SUMPRODUCT((MOVIMIENTOS!$B$5:$B$400="DEVOLUCIÓN")*(MOVIMIENTOS!$C$5:$C$400="C")*(MOVIMIENTOS!$D$5:$D$400="jabas")*(MOVIMIENTOS!$A$5:$A$400&lt;&gt;"")*(MOVIMIENTOS!$A$5:$A$400&lt;=$A19)*MOVIMIENTOS!$E$5:$E$400)-SUMPRODUCT((MOVIMIENTOS!$B$5:$B$400="TRASIEGO")*(MOVIMIENTOS!$C$5:$C$400="C")*(MOVIMIENTOS!$D$5:$D$400="jabas")*(MOVIMIENTOS!$A$5:$A$400&lt;&gt;"")*(MOVIMIENTOS!$A$5:$A$400&lt;=$A19)*MOVIMIENTOS!$E$5:$E$400)-SUMPRODUCT((MOVIMIENTOS!$B$5:$B$400="REGALO")*(MOVIMIENTOS!$C$5:$C$400="C")*(MOVIMIENTOS!$D$5:$D$400="jabas")*(MOVIMIENTOS!$A$5:$A$400&lt;&gt;"")*(MOVIMIENTOS!$A$5:$A$400&lt;=$A19)*MOVIMIENTOS!$E$5:$E$400)-SUMPRODUCT((MOVIMIENTOS!$B$5:$B$400="VENTA")*(MOVIMIENTOS!$C$5:$C$400="C")*(MOVIMIENTOS!$D$5:$D$400="jabas")*(MOVIMIENTOS!$A$5:$A$400&lt;&gt;"")*(MOVIMIENTOS!$A$5:$A$400&lt;=$A19)*MOVIMIENTOS!$E$5:$E$400)+SUMPRODUCT((MOVIMIENTOS!$B$5:$B$400="AJUSTE")*(MOVIMIENTOS!$C$5:$C$400="C")*(MOVIMIENTOS!$D$5:$D$400="jabas")*(MOVIMIENTOS!$A$5:$A$400&lt;&gt;"")*(MOVIMIENTOS!$A$5:$A$400&lt;=$A19)*MOVIMIENTOS!$E$5:$E$400))</f>
        <v>12</v>
      </c>
      <c r="E19" s="52" t="n">
        <f aca="false">IF($A19="","",SUMPRODUCT((MOVIMIENTOS!$B$5:$B$400="SALDO INICIAL")*(MOVIMIENTOS!$C$5:$C$400="M")*(MOVIMIENTOS!$D$5:$D$400="jabas")*(MOVIMIENTOS!$A$5:$A$400&lt;&gt;"")*(MOVIMIENTOS!$A$5:$A$400&lt;=$A19)*MOVIMIENTOS!$E$5:$E$400)+SUMPRODUCT((MOVIMIENTOS!$B$5:$B$400="PROCESO")*(MOVIMIENTOS!$C$5:$C$400="M")*(MOVIMIENTOS!$D$5:$D$400="jabas")*(MOVIMIENTOS!$A$5:$A$400&lt;&gt;"")*(MOVIMIENTOS!$A$5:$A$400&lt;=$A19)*MOVIMIENTOS!$E$5:$E$400)-SUMPRODUCT((MOVIMIENTOS!$B$5:$B$400="ENVÍO A SUPESA")*(MOVIMIENTOS!$C$5:$C$400="M")*(MOVIMIENTOS!$D$5:$D$400="jabas")*(MOVIMIENTOS!$A$5:$A$400&lt;&gt;"")*(MOVIMIENTOS!$A$5:$A$400&lt;=$A19)*MOVIMIENTOS!$E$5:$E$400)+SUMPRODUCT((MOVIMIENTOS!$B$5:$B$400="DEVOLUCIÓN")*(MOVIMIENTOS!$C$5:$C$400="M")*(MOVIMIENTOS!$D$5:$D$400="jabas")*(MOVIMIENTOS!$A$5:$A$400&lt;&gt;"")*(MOVIMIENTOS!$A$5:$A$400&lt;=$A19)*MOVIMIENTOS!$E$5:$E$400)-SUMPRODUCT((MOVIMIENTOS!$B$5:$B$400="TRASIEGO")*(MOVIMIENTOS!$C$5:$C$400="M")*(MOVIMIENTOS!$D$5:$D$400="jabas")*(MOVIMIENTOS!$A$5:$A$400&lt;&gt;"")*(MOVIMIENTOS!$A$5:$A$400&lt;=$A19)*MOVIMIENTOS!$E$5:$E$400)-SUMPRODUCT((MOVIMIENTOS!$B$5:$B$400="REGALO")*(MOVIMIENTOS!$C$5:$C$400="M")*(MOVIMIENTOS!$D$5:$D$400="jabas")*(MOVIMIENTOS!$A$5:$A$400&lt;&gt;"")*(MOVIMIENTOS!$A$5:$A$400&lt;=$A19)*MOVIMIENTOS!$E$5:$E$400)-SUMPRODUCT((MOVIMIENTOS!$B$5:$B$400="VENTA")*(MOVIMIENTOS!$C$5:$C$400="M")*(MOVIMIENTOS!$D$5:$D$400="jabas")*(MOVIMIENTOS!$A$5:$A$400&lt;&gt;"")*(MOVIMIENTOS!$A$5:$A$400&lt;=$A19)*MOVIMIENTOS!$E$5:$E$400)+SUMPRODUCT((MOVIMIENTOS!$B$5:$B$400="AJUSTE")*(MOVIMIENTOS!$C$5:$C$400="M")*(MOVIMIENTOS!$D$5:$D$400="jabas")*(MOVIMIENTOS!$A$5:$A$400&lt;&gt;"")*(MOVIMIENTOS!$A$5:$A$400&lt;=$A19)*MOVIMIENTOS!$E$5:$E$400))</f>
        <v>65</v>
      </c>
      <c r="F19" s="52" t="n">
        <f aca="false">IF($A19="","",SUMPRODUCT((MOVIMIENTOS!$B$5:$B$400="SALDO INICIAL")*(MOVIMIENTOS!$C$5:$C$400="Chancho")*(MOVIMIENTOS!$D$5:$D$400="sacos")*(MOVIMIENTOS!$A$5:$A$400&lt;&gt;"")*(MOVIMIENTOS!$A$5:$A$400&lt;=$A19)*MOVIMIENTOS!$E$5:$E$400)+SUMPRODUCT((MOVIMIENTOS!$B$5:$B$400="PROCESO")*(MOVIMIENTOS!$C$5:$C$400="Chancho")*(MOVIMIENTOS!$D$5:$D$400="sacos")*(MOVIMIENTOS!$A$5:$A$400&lt;&gt;"")*(MOVIMIENTOS!$A$5:$A$400&lt;=$A19)*MOVIMIENTOS!$E$5:$E$400)-SUMPRODUCT((MOVIMIENTOS!$B$5:$B$400="VENTA CHANCHO")*(MOVIMIENTOS!$C$5:$C$400="Chancho")*(MOVIMIENTOS!$D$5:$D$400="sacos")*(MOVIMIENTOS!$A$5:$A$400&lt;&gt;"")*(MOVIMIENTOS!$A$5:$A$400&lt;=$A19)*MOVIMIENTOS!$E$5:$E$400)-SUMPRODUCT((MOVIMIENTOS!$B$5:$B$400="REGALO")*(MOVIMIENTOS!$C$5:$C$400="Chancho")*(MOVIMIENTOS!$D$5:$D$400="sacos")*(MOVIMIENTOS!$A$5:$A$400&lt;&gt;"")*(MOVIMIENTOS!$A$5:$A$400&lt;=$A19)*MOVIMIENTOS!$E$5:$E$400)-SUMPRODUCT((MOVIMIENTOS!$B$5:$B$400="VENTA")*(MOVIMIENTOS!$C$5:$C$400="Chancho")*(MOVIMIENTOS!$D$5:$D$400="sacos")*(MOVIMIENTOS!$A$5:$A$400&lt;&gt;"")*(MOVIMIENTOS!$A$5:$A$400&lt;=$A19)*MOVIMIENTOS!$E$5:$E$400)+SUMPRODUCT((MOVIMIENTOS!$B$5:$B$400="AJUSTE")*(MOVIMIENTOS!$C$5:$C$400="Chancho")*(MOVIMIENTOS!$D$5:$D$400="sacos")*(MOVIMIENTOS!$A$5:$A$400&lt;&gt;"")*(MOVIMIENTOS!$A$5:$A$400&lt;=$A19)*MOVIMIENTOS!$E$5:$E$400))</f>
        <v>23</v>
      </c>
      <c r="G19" s="52" t="n">
        <f aca="false">IF($A19="","",SUM(B19:E19))</f>
        <v>174</v>
      </c>
      <c r="H19" s="52" t="n">
        <f aca="false">IF($A19="","",SUMPRODUCT((((MOVIMIENTOS!$B$5:$B$400="SALDO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19)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19)*MOVIMIENTOS!$I$5:$I$400))</f>
        <v>2066.5</v>
      </c>
      <c r="I19" s="48"/>
      <c r="J19" s="48" t="n">
        <f aca="false">IF(AND(MOVIMIENTOS!$A19&lt;&gt;"",COUNTIF(MOVIMIENTOS!$A$5:$A18,MOVIMIENTOS!$A19)=0),COUNT(J$4:J18)+1,"")</f>
        <v>3</v>
      </c>
      <c r="K19" s="53" t="n">
        <f aca="false">MOVIMIENTOS!$A19</f>
        <v>46216</v>
      </c>
      <c r="L19" s="48"/>
      <c r="M19" s="48"/>
      <c r="N19" s="48"/>
    </row>
    <row r="20" customFormat="false" ht="15" hidden="false" customHeight="true" outlineLevel="0" collapsed="false">
      <c r="A20" s="51" t="n">
        <f aca="false">IFERROR(INDEX(K$5:K$400,MATCH(ROW()-4,J$5:J$400,0)),"")</f>
        <v>46229</v>
      </c>
      <c r="B20" s="52" t="n">
        <f aca="false">IF($A20="","",SUMPRODUCT((MOVIMIENTOS!$B$5:$B$400="SALDO INICIAL")*(MOVIMIENTOS!$C$5:$C$400="A")*(MOVIMIENTOS!$D$5:$D$400="jabas")*(MOVIMIENTOS!$A$5:$A$400&lt;&gt;"")*(MOVIMIENTOS!$A$5:$A$400&lt;=$A20)*MOVIMIENTOS!$E$5:$E$400)+SUMPRODUCT((MOVIMIENTOS!$B$5:$B$400="PROCESO")*(MOVIMIENTOS!$C$5:$C$400="A")*(MOVIMIENTOS!$D$5:$D$400="jabas")*(MOVIMIENTOS!$A$5:$A$400&lt;&gt;"")*(MOVIMIENTOS!$A$5:$A$400&lt;=$A20)*MOVIMIENTOS!$E$5:$E$400)-SUMPRODUCT((MOVIMIENTOS!$B$5:$B$400="ENVÍO A SUPESA")*(MOVIMIENTOS!$C$5:$C$400="A")*(MOVIMIENTOS!$D$5:$D$400="jabas")*(MOVIMIENTOS!$A$5:$A$400&lt;&gt;"")*(MOVIMIENTOS!$A$5:$A$400&lt;=$A20)*MOVIMIENTOS!$E$5:$E$400)+SUMPRODUCT((MOVIMIENTOS!$B$5:$B$400="DEVOLUCIÓN")*(MOVIMIENTOS!$C$5:$C$400="A")*(MOVIMIENTOS!$D$5:$D$400="jabas")*(MOVIMIENTOS!$A$5:$A$400&lt;&gt;"")*(MOVIMIENTOS!$A$5:$A$400&lt;=$A20)*MOVIMIENTOS!$E$5:$E$400)-SUMPRODUCT((MOVIMIENTOS!$B$5:$B$400="TRASIEGO")*(MOVIMIENTOS!$C$5:$C$400="A")*(MOVIMIENTOS!$D$5:$D$400="jabas")*(MOVIMIENTOS!$A$5:$A$400&lt;&gt;"")*(MOVIMIENTOS!$A$5:$A$400&lt;=$A20)*MOVIMIENTOS!$E$5:$E$400)-SUMPRODUCT((MOVIMIENTOS!$B$5:$B$400="REGALO")*(MOVIMIENTOS!$C$5:$C$400="A")*(MOVIMIENTOS!$D$5:$D$400="jabas")*(MOVIMIENTOS!$A$5:$A$400&lt;&gt;"")*(MOVIMIENTOS!$A$5:$A$400&lt;=$A20)*MOVIMIENTOS!$E$5:$E$400)-SUMPRODUCT((MOVIMIENTOS!$B$5:$B$400="VENTA")*(MOVIMIENTOS!$C$5:$C$400="A")*(MOVIMIENTOS!$D$5:$D$400="jabas")*(MOVIMIENTOS!$A$5:$A$400&lt;&gt;"")*(MOVIMIENTOS!$A$5:$A$400&lt;=$A20)*MOVIMIENTOS!$E$5:$E$400)+SUMPRODUCT((MOVIMIENTOS!$B$5:$B$400="AJUSTE")*(MOVIMIENTOS!$C$5:$C$400="A")*(MOVIMIENTOS!$D$5:$D$400="jabas")*(MOVIMIENTOS!$A$5:$A$400&lt;&gt;"")*(MOVIMIENTOS!$A$5:$A$400&lt;=$A20)*MOVIMIENTOS!$E$5:$E$400))</f>
        <v>10</v>
      </c>
      <c r="C20" s="52" t="n">
        <f aca="false">IF($A20="","",SUMPRODUCT((MOVIMIENTOS!$B$5:$B$400="SALDO INICIAL")*(MOVIMIENTOS!$C$5:$C$400="P")*(MOVIMIENTOS!$D$5:$D$400="jabas")*(MOVIMIENTOS!$A$5:$A$400&lt;&gt;"")*(MOVIMIENTOS!$A$5:$A$400&lt;=$A20)*MOVIMIENTOS!$E$5:$E$400)+SUMPRODUCT((MOVIMIENTOS!$B$5:$B$400="PROCESO")*(MOVIMIENTOS!$C$5:$C$400="P")*(MOVIMIENTOS!$D$5:$D$400="jabas")*(MOVIMIENTOS!$A$5:$A$400&lt;&gt;"")*(MOVIMIENTOS!$A$5:$A$400&lt;=$A20)*MOVIMIENTOS!$E$5:$E$400)-SUMPRODUCT((MOVIMIENTOS!$B$5:$B$400="ENVÍO A SUPESA")*(MOVIMIENTOS!$C$5:$C$400="P")*(MOVIMIENTOS!$D$5:$D$400="jabas")*(MOVIMIENTOS!$A$5:$A$400&lt;&gt;"")*(MOVIMIENTOS!$A$5:$A$400&lt;=$A20)*MOVIMIENTOS!$E$5:$E$400)+SUMPRODUCT((MOVIMIENTOS!$B$5:$B$400="DEVOLUCIÓN")*(MOVIMIENTOS!$C$5:$C$400="P")*(MOVIMIENTOS!$D$5:$D$400="jabas")*(MOVIMIENTOS!$A$5:$A$400&lt;&gt;"")*(MOVIMIENTOS!$A$5:$A$400&lt;=$A20)*MOVIMIENTOS!$E$5:$E$400)-SUMPRODUCT((MOVIMIENTOS!$B$5:$B$400="TRASIEGO")*(MOVIMIENTOS!$C$5:$C$400="P")*(MOVIMIENTOS!$D$5:$D$400="jabas")*(MOVIMIENTOS!$A$5:$A$400&lt;&gt;"")*(MOVIMIENTOS!$A$5:$A$400&lt;=$A20)*MOVIMIENTOS!$E$5:$E$400)-SUMPRODUCT((MOVIMIENTOS!$B$5:$B$400="REGALO")*(MOVIMIENTOS!$C$5:$C$400="P")*(MOVIMIENTOS!$D$5:$D$400="jabas")*(MOVIMIENTOS!$A$5:$A$400&lt;&gt;"")*(MOVIMIENTOS!$A$5:$A$400&lt;=$A20)*MOVIMIENTOS!$E$5:$E$400)-SUMPRODUCT((MOVIMIENTOS!$B$5:$B$400="VENTA")*(MOVIMIENTOS!$C$5:$C$400="P")*(MOVIMIENTOS!$D$5:$D$400="jabas")*(MOVIMIENTOS!$A$5:$A$400&lt;&gt;"")*(MOVIMIENTOS!$A$5:$A$400&lt;=$A20)*MOVIMIENTOS!$E$5:$E$400)+SUMPRODUCT((MOVIMIENTOS!$B$5:$B$400="AJUSTE")*(MOVIMIENTOS!$C$5:$C$400="P")*(MOVIMIENTOS!$D$5:$D$400="jabas")*(MOVIMIENTOS!$A$5:$A$400&lt;&gt;"")*(MOVIMIENTOS!$A$5:$A$400&lt;=$A20)*MOVIMIENTOS!$E$5:$E$400))</f>
        <v>9</v>
      </c>
      <c r="D20" s="52" t="n">
        <f aca="false">IF($A20="","",SUMPRODUCT((MOVIMIENTOS!$B$5:$B$400="SALDO INICIAL")*(MOVIMIENTOS!$C$5:$C$400="C")*(MOVIMIENTOS!$D$5:$D$400="jabas")*(MOVIMIENTOS!$A$5:$A$400&lt;&gt;"")*(MOVIMIENTOS!$A$5:$A$400&lt;=$A20)*MOVIMIENTOS!$E$5:$E$400)+SUMPRODUCT((MOVIMIENTOS!$B$5:$B$400="PROCESO")*(MOVIMIENTOS!$C$5:$C$400="C")*(MOVIMIENTOS!$D$5:$D$400="jabas")*(MOVIMIENTOS!$A$5:$A$400&lt;&gt;"")*(MOVIMIENTOS!$A$5:$A$400&lt;=$A20)*MOVIMIENTOS!$E$5:$E$400)-SUMPRODUCT((MOVIMIENTOS!$B$5:$B$400="ENVÍO A SUPESA")*(MOVIMIENTOS!$C$5:$C$400="C")*(MOVIMIENTOS!$D$5:$D$400="jabas")*(MOVIMIENTOS!$A$5:$A$400&lt;&gt;"")*(MOVIMIENTOS!$A$5:$A$400&lt;=$A20)*MOVIMIENTOS!$E$5:$E$400)+SUMPRODUCT((MOVIMIENTOS!$B$5:$B$400="DEVOLUCIÓN")*(MOVIMIENTOS!$C$5:$C$400="C")*(MOVIMIENTOS!$D$5:$D$400="jabas")*(MOVIMIENTOS!$A$5:$A$400&lt;&gt;"")*(MOVIMIENTOS!$A$5:$A$400&lt;=$A20)*MOVIMIENTOS!$E$5:$E$400)-SUMPRODUCT((MOVIMIENTOS!$B$5:$B$400="TRASIEGO")*(MOVIMIENTOS!$C$5:$C$400="C")*(MOVIMIENTOS!$D$5:$D$400="jabas")*(MOVIMIENTOS!$A$5:$A$400&lt;&gt;"")*(MOVIMIENTOS!$A$5:$A$400&lt;=$A20)*MOVIMIENTOS!$E$5:$E$400)-SUMPRODUCT((MOVIMIENTOS!$B$5:$B$400="REGALO")*(MOVIMIENTOS!$C$5:$C$400="C")*(MOVIMIENTOS!$D$5:$D$400="jabas")*(MOVIMIENTOS!$A$5:$A$400&lt;&gt;"")*(MOVIMIENTOS!$A$5:$A$400&lt;=$A20)*MOVIMIENTOS!$E$5:$E$400)-SUMPRODUCT((MOVIMIENTOS!$B$5:$B$400="VENTA")*(MOVIMIENTOS!$C$5:$C$400="C")*(MOVIMIENTOS!$D$5:$D$400="jabas")*(MOVIMIENTOS!$A$5:$A$400&lt;&gt;"")*(MOVIMIENTOS!$A$5:$A$400&lt;=$A20)*MOVIMIENTOS!$E$5:$E$400)+SUMPRODUCT((MOVIMIENTOS!$B$5:$B$400="AJUSTE")*(MOVIMIENTOS!$C$5:$C$400="C")*(MOVIMIENTOS!$D$5:$D$400="jabas")*(MOVIMIENTOS!$A$5:$A$400&lt;&gt;"")*(MOVIMIENTOS!$A$5:$A$400&lt;=$A20)*MOVIMIENTOS!$E$5:$E$400))</f>
        <v>0</v>
      </c>
      <c r="E20" s="52" t="n">
        <f aca="false">IF($A20="","",SUMPRODUCT((MOVIMIENTOS!$B$5:$B$400="SALDO INICIAL")*(MOVIMIENTOS!$C$5:$C$400="M")*(MOVIMIENTOS!$D$5:$D$400="jabas")*(MOVIMIENTOS!$A$5:$A$400&lt;&gt;"")*(MOVIMIENTOS!$A$5:$A$400&lt;=$A20)*MOVIMIENTOS!$E$5:$E$400)+SUMPRODUCT((MOVIMIENTOS!$B$5:$B$400="PROCESO")*(MOVIMIENTOS!$C$5:$C$400="M")*(MOVIMIENTOS!$D$5:$D$400="jabas")*(MOVIMIENTOS!$A$5:$A$400&lt;&gt;"")*(MOVIMIENTOS!$A$5:$A$400&lt;=$A20)*MOVIMIENTOS!$E$5:$E$400)-SUMPRODUCT((MOVIMIENTOS!$B$5:$B$400="ENVÍO A SUPESA")*(MOVIMIENTOS!$C$5:$C$400="M")*(MOVIMIENTOS!$D$5:$D$400="jabas")*(MOVIMIENTOS!$A$5:$A$400&lt;&gt;"")*(MOVIMIENTOS!$A$5:$A$400&lt;=$A20)*MOVIMIENTOS!$E$5:$E$400)+SUMPRODUCT((MOVIMIENTOS!$B$5:$B$400="DEVOLUCIÓN")*(MOVIMIENTOS!$C$5:$C$400="M")*(MOVIMIENTOS!$D$5:$D$400="jabas")*(MOVIMIENTOS!$A$5:$A$400&lt;&gt;"")*(MOVIMIENTOS!$A$5:$A$400&lt;=$A20)*MOVIMIENTOS!$E$5:$E$400)-SUMPRODUCT((MOVIMIENTOS!$B$5:$B$400="TRASIEGO")*(MOVIMIENTOS!$C$5:$C$400="M")*(MOVIMIENTOS!$D$5:$D$400="jabas")*(MOVIMIENTOS!$A$5:$A$400&lt;&gt;"")*(MOVIMIENTOS!$A$5:$A$400&lt;=$A20)*MOVIMIENTOS!$E$5:$E$400)-SUMPRODUCT((MOVIMIENTOS!$B$5:$B$400="REGALO")*(MOVIMIENTOS!$C$5:$C$400="M")*(MOVIMIENTOS!$D$5:$D$400="jabas")*(MOVIMIENTOS!$A$5:$A$400&lt;&gt;"")*(MOVIMIENTOS!$A$5:$A$400&lt;=$A20)*MOVIMIENTOS!$E$5:$E$400)-SUMPRODUCT((MOVIMIENTOS!$B$5:$B$400="VENTA")*(MOVIMIENTOS!$C$5:$C$400="M")*(MOVIMIENTOS!$D$5:$D$400="jabas")*(MOVIMIENTOS!$A$5:$A$400&lt;&gt;"")*(MOVIMIENTOS!$A$5:$A$400&lt;=$A20)*MOVIMIENTOS!$E$5:$E$400)+SUMPRODUCT((MOVIMIENTOS!$B$5:$B$400="AJUSTE")*(MOVIMIENTOS!$C$5:$C$400="M")*(MOVIMIENTOS!$D$5:$D$400="jabas")*(MOVIMIENTOS!$A$5:$A$400&lt;&gt;"")*(MOVIMIENTOS!$A$5:$A$400&lt;=$A20)*MOVIMIENTOS!$E$5:$E$400))</f>
        <v>65</v>
      </c>
      <c r="F20" s="52" t="n">
        <f aca="false">IF($A20="","",SUMPRODUCT((MOVIMIENTOS!$B$5:$B$400="SALDO INICIAL")*(MOVIMIENTOS!$C$5:$C$400="Chancho")*(MOVIMIENTOS!$D$5:$D$400="sacos")*(MOVIMIENTOS!$A$5:$A$400&lt;&gt;"")*(MOVIMIENTOS!$A$5:$A$400&lt;=$A20)*MOVIMIENTOS!$E$5:$E$400)+SUMPRODUCT((MOVIMIENTOS!$B$5:$B$400="PROCESO")*(MOVIMIENTOS!$C$5:$C$400="Chancho")*(MOVIMIENTOS!$D$5:$D$400="sacos")*(MOVIMIENTOS!$A$5:$A$400&lt;&gt;"")*(MOVIMIENTOS!$A$5:$A$400&lt;=$A20)*MOVIMIENTOS!$E$5:$E$400)-SUMPRODUCT((MOVIMIENTOS!$B$5:$B$400="VENTA CHANCHO")*(MOVIMIENTOS!$C$5:$C$400="Chancho")*(MOVIMIENTOS!$D$5:$D$400="sacos")*(MOVIMIENTOS!$A$5:$A$400&lt;&gt;"")*(MOVIMIENTOS!$A$5:$A$400&lt;=$A20)*MOVIMIENTOS!$E$5:$E$400)-SUMPRODUCT((MOVIMIENTOS!$B$5:$B$400="REGALO")*(MOVIMIENTOS!$C$5:$C$400="Chancho")*(MOVIMIENTOS!$D$5:$D$400="sacos")*(MOVIMIENTOS!$A$5:$A$400&lt;&gt;"")*(MOVIMIENTOS!$A$5:$A$400&lt;=$A20)*MOVIMIENTOS!$E$5:$E$400)-SUMPRODUCT((MOVIMIENTOS!$B$5:$B$400="VENTA")*(MOVIMIENTOS!$C$5:$C$400="Chancho")*(MOVIMIENTOS!$D$5:$D$400="sacos")*(MOVIMIENTOS!$A$5:$A$400&lt;&gt;"")*(MOVIMIENTOS!$A$5:$A$400&lt;=$A20)*MOVIMIENTOS!$E$5:$E$400)+SUMPRODUCT((MOVIMIENTOS!$B$5:$B$400="AJUSTE")*(MOVIMIENTOS!$C$5:$C$400="Chancho")*(MOVIMIENTOS!$D$5:$D$400="sacos")*(MOVIMIENTOS!$A$5:$A$400&lt;&gt;"")*(MOVIMIENTOS!$A$5:$A$400&lt;=$A20)*MOVIMIENTOS!$E$5:$E$400))</f>
        <v>23</v>
      </c>
      <c r="G20" s="52" t="n">
        <f aca="false">IF($A20="","",SUM(B20:E20))</f>
        <v>84</v>
      </c>
      <c r="H20" s="52" t="n">
        <f aca="false">IF($A20="","",SUMPRODUCT((((MOVIMIENTOS!$B$5:$B$400="SALDO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20)*MOVIMIENTOS!$I$5:$I$400))</f>
        <v>659.5</v>
      </c>
      <c r="I20" s="48"/>
      <c r="J20" s="48" t="str">
        <f aca="false">IF(AND(MOVIMIENTOS!$A20&lt;&gt;"",COUNTIF(MOVIMIENTOS!$A$5:$A19,MOVIMIENTOS!$A20)=0),COUNT(J$4:J19)+1,"")</f>
        <v/>
      </c>
      <c r="K20" s="53" t="n">
        <f aca="false">MOVIMIENTOS!$A20</f>
        <v>46216</v>
      </c>
      <c r="L20" s="48"/>
      <c r="M20" s="48"/>
      <c r="N20" s="48"/>
    </row>
    <row r="21" customFormat="false" ht="15" hidden="false" customHeight="true" outlineLevel="0" collapsed="false">
      <c r="A21" s="51" t="n">
        <f aca="false">IFERROR(INDEX(K$5:K$400,MATCH(ROW()-4,J$5:J$400,0)),"")</f>
        <v>46230</v>
      </c>
      <c r="B21" s="52" t="n">
        <f aca="false">IF($A21="","",SUMPRODUCT((MOVIMIENTOS!$B$5:$B$400="SALDO INICIAL")*(MOVIMIENTOS!$C$5:$C$400="A")*(MOVIMIENTOS!$D$5:$D$400="jabas")*(MOVIMIENTOS!$A$5:$A$400&lt;&gt;"")*(MOVIMIENTOS!$A$5:$A$400&lt;=$A21)*MOVIMIENTOS!$E$5:$E$400)+SUMPRODUCT((MOVIMIENTOS!$B$5:$B$400="PROCESO")*(MOVIMIENTOS!$C$5:$C$400="A")*(MOVIMIENTOS!$D$5:$D$400="jabas")*(MOVIMIENTOS!$A$5:$A$400&lt;&gt;"")*(MOVIMIENTOS!$A$5:$A$400&lt;=$A21)*MOVIMIENTOS!$E$5:$E$400)-SUMPRODUCT((MOVIMIENTOS!$B$5:$B$400="ENVÍO A SUPESA")*(MOVIMIENTOS!$C$5:$C$400="A")*(MOVIMIENTOS!$D$5:$D$400="jabas")*(MOVIMIENTOS!$A$5:$A$400&lt;&gt;"")*(MOVIMIENTOS!$A$5:$A$400&lt;=$A21)*MOVIMIENTOS!$E$5:$E$400)+SUMPRODUCT((MOVIMIENTOS!$B$5:$B$400="DEVOLUCIÓN")*(MOVIMIENTOS!$C$5:$C$400="A")*(MOVIMIENTOS!$D$5:$D$400="jabas")*(MOVIMIENTOS!$A$5:$A$400&lt;&gt;"")*(MOVIMIENTOS!$A$5:$A$400&lt;=$A21)*MOVIMIENTOS!$E$5:$E$400)-SUMPRODUCT((MOVIMIENTOS!$B$5:$B$400="TRASIEGO")*(MOVIMIENTOS!$C$5:$C$400="A")*(MOVIMIENTOS!$D$5:$D$400="jabas")*(MOVIMIENTOS!$A$5:$A$400&lt;&gt;"")*(MOVIMIENTOS!$A$5:$A$400&lt;=$A21)*MOVIMIENTOS!$E$5:$E$400)-SUMPRODUCT((MOVIMIENTOS!$B$5:$B$400="REGALO")*(MOVIMIENTOS!$C$5:$C$400="A")*(MOVIMIENTOS!$D$5:$D$400="jabas")*(MOVIMIENTOS!$A$5:$A$400&lt;&gt;"")*(MOVIMIENTOS!$A$5:$A$400&lt;=$A21)*MOVIMIENTOS!$E$5:$E$400)-SUMPRODUCT((MOVIMIENTOS!$B$5:$B$400="VENTA")*(MOVIMIENTOS!$C$5:$C$400="A")*(MOVIMIENTOS!$D$5:$D$400="jabas")*(MOVIMIENTOS!$A$5:$A$400&lt;&gt;"")*(MOVIMIENTOS!$A$5:$A$400&lt;=$A21)*MOVIMIENTOS!$E$5:$E$400)+SUMPRODUCT((MOVIMIENTOS!$B$5:$B$400="AJUSTE")*(MOVIMIENTOS!$C$5:$C$400="A")*(MOVIMIENTOS!$D$5:$D$400="jabas")*(MOVIMIENTOS!$A$5:$A$400&lt;&gt;"")*(MOVIMIENTOS!$A$5:$A$400&lt;=$A21)*MOVIMIENTOS!$E$5:$E$400))</f>
        <v>40</v>
      </c>
      <c r="C21" s="52" t="n">
        <f aca="false">IF($A21="","",SUMPRODUCT((MOVIMIENTOS!$B$5:$B$400="SALDO INICIAL")*(MOVIMIENTOS!$C$5:$C$400="P")*(MOVIMIENTOS!$D$5:$D$400="jabas")*(MOVIMIENTOS!$A$5:$A$400&lt;&gt;"")*(MOVIMIENTOS!$A$5:$A$400&lt;=$A21)*MOVIMIENTOS!$E$5:$E$400)+SUMPRODUCT((MOVIMIENTOS!$B$5:$B$400="PROCESO")*(MOVIMIENTOS!$C$5:$C$400="P")*(MOVIMIENTOS!$D$5:$D$400="jabas")*(MOVIMIENTOS!$A$5:$A$400&lt;&gt;"")*(MOVIMIENTOS!$A$5:$A$400&lt;=$A21)*MOVIMIENTOS!$E$5:$E$400)-SUMPRODUCT((MOVIMIENTOS!$B$5:$B$400="ENVÍO A SUPESA")*(MOVIMIENTOS!$C$5:$C$400="P")*(MOVIMIENTOS!$D$5:$D$400="jabas")*(MOVIMIENTOS!$A$5:$A$400&lt;&gt;"")*(MOVIMIENTOS!$A$5:$A$400&lt;=$A21)*MOVIMIENTOS!$E$5:$E$400)+SUMPRODUCT((MOVIMIENTOS!$B$5:$B$400="DEVOLUCIÓN")*(MOVIMIENTOS!$C$5:$C$400="P")*(MOVIMIENTOS!$D$5:$D$400="jabas")*(MOVIMIENTOS!$A$5:$A$400&lt;&gt;"")*(MOVIMIENTOS!$A$5:$A$400&lt;=$A21)*MOVIMIENTOS!$E$5:$E$400)-SUMPRODUCT((MOVIMIENTOS!$B$5:$B$400="TRASIEGO")*(MOVIMIENTOS!$C$5:$C$400="P")*(MOVIMIENTOS!$D$5:$D$400="jabas")*(MOVIMIENTOS!$A$5:$A$400&lt;&gt;"")*(MOVIMIENTOS!$A$5:$A$400&lt;=$A21)*MOVIMIENTOS!$E$5:$E$400)-SUMPRODUCT((MOVIMIENTOS!$B$5:$B$400="REGALO")*(MOVIMIENTOS!$C$5:$C$400="P")*(MOVIMIENTOS!$D$5:$D$400="jabas")*(MOVIMIENTOS!$A$5:$A$400&lt;&gt;"")*(MOVIMIENTOS!$A$5:$A$400&lt;=$A21)*MOVIMIENTOS!$E$5:$E$400)-SUMPRODUCT((MOVIMIENTOS!$B$5:$B$400="VENTA")*(MOVIMIENTOS!$C$5:$C$400="P")*(MOVIMIENTOS!$D$5:$D$400="jabas")*(MOVIMIENTOS!$A$5:$A$400&lt;&gt;"")*(MOVIMIENTOS!$A$5:$A$400&lt;=$A21)*MOVIMIENTOS!$E$5:$E$400)+SUMPRODUCT((MOVIMIENTOS!$B$5:$B$400="AJUSTE")*(MOVIMIENTOS!$C$5:$C$400="P")*(MOVIMIENTOS!$D$5:$D$400="jabas")*(MOVIMIENTOS!$A$5:$A$400&lt;&gt;"")*(MOVIMIENTOS!$A$5:$A$400&lt;=$A21)*MOVIMIENTOS!$E$5:$E$400))</f>
        <v>11</v>
      </c>
      <c r="D21" s="52" t="n">
        <f aca="false">IF($A21="","",SUMPRODUCT((MOVIMIENTOS!$B$5:$B$400="SALDO INICIAL")*(MOVIMIENTOS!$C$5:$C$400="C")*(MOVIMIENTOS!$D$5:$D$400="jabas")*(MOVIMIENTOS!$A$5:$A$400&lt;&gt;"")*(MOVIMIENTOS!$A$5:$A$400&lt;=$A21)*MOVIMIENTOS!$E$5:$E$400)+SUMPRODUCT((MOVIMIENTOS!$B$5:$B$400="PROCESO")*(MOVIMIENTOS!$C$5:$C$400="C")*(MOVIMIENTOS!$D$5:$D$400="jabas")*(MOVIMIENTOS!$A$5:$A$400&lt;&gt;"")*(MOVIMIENTOS!$A$5:$A$400&lt;=$A21)*MOVIMIENTOS!$E$5:$E$400)-SUMPRODUCT((MOVIMIENTOS!$B$5:$B$400="ENVÍO A SUPESA")*(MOVIMIENTOS!$C$5:$C$400="C")*(MOVIMIENTOS!$D$5:$D$400="jabas")*(MOVIMIENTOS!$A$5:$A$400&lt;&gt;"")*(MOVIMIENTOS!$A$5:$A$400&lt;=$A21)*MOVIMIENTOS!$E$5:$E$400)+SUMPRODUCT((MOVIMIENTOS!$B$5:$B$400="DEVOLUCIÓN")*(MOVIMIENTOS!$C$5:$C$400="C")*(MOVIMIENTOS!$D$5:$D$400="jabas")*(MOVIMIENTOS!$A$5:$A$400&lt;&gt;"")*(MOVIMIENTOS!$A$5:$A$400&lt;=$A21)*MOVIMIENTOS!$E$5:$E$400)-SUMPRODUCT((MOVIMIENTOS!$B$5:$B$400="TRASIEGO")*(MOVIMIENTOS!$C$5:$C$400="C")*(MOVIMIENTOS!$D$5:$D$400="jabas")*(MOVIMIENTOS!$A$5:$A$400&lt;&gt;"")*(MOVIMIENTOS!$A$5:$A$400&lt;=$A21)*MOVIMIENTOS!$E$5:$E$400)-SUMPRODUCT((MOVIMIENTOS!$B$5:$B$400="REGALO")*(MOVIMIENTOS!$C$5:$C$400="C")*(MOVIMIENTOS!$D$5:$D$400="jabas")*(MOVIMIENTOS!$A$5:$A$400&lt;&gt;"")*(MOVIMIENTOS!$A$5:$A$400&lt;=$A21)*MOVIMIENTOS!$E$5:$E$400)-SUMPRODUCT((MOVIMIENTOS!$B$5:$B$400="VENTA")*(MOVIMIENTOS!$C$5:$C$400="C")*(MOVIMIENTOS!$D$5:$D$400="jabas")*(MOVIMIENTOS!$A$5:$A$400&lt;&gt;"")*(MOVIMIENTOS!$A$5:$A$400&lt;=$A21)*MOVIMIENTOS!$E$5:$E$400)+SUMPRODUCT((MOVIMIENTOS!$B$5:$B$400="AJUSTE")*(MOVIMIENTOS!$C$5:$C$400="C")*(MOVIMIENTOS!$D$5:$D$400="jabas")*(MOVIMIENTOS!$A$5:$A$400&lt;&gt;"")*(MOVIMIENTOS!$A$5:$A$400&lt;=$A21)*MOVIMIENTOS!$E$5:$E$400))</f>
        <v>10</v>
      </c>
      <c r="E21" s="52" t="n">
        <f aca="false">IF($A21="","",SUMPRODUCT((MOVIMIENTOS!$B$5:$B$400="SALDO INICIAL")*(MOVIMIENTOS!$C$5:$C$400="M")*(MOVIMIENTOS!$D$5:$D$400="jabas")*(MOVIMIENTOS!$A$5:$A$400&lt;&gt;"")*(MOVIMIENTOS!$A$5:$A$400&lt;=$A21)*MOVIMIENTOS!$E$5:$E$400)+SUMPRODUCT((MOVIMIENTOS!$B$5:$B$400="PROCESO")*(MOVIMIENTOS!$C$5:$C$400="M")*(MOVIMIENTOS!$D$5:$D$400="jabas")*(MOVIMIENTOS!$A$5:$A$400&lt;&gt;"")*(MOVIMIENTOS!$A$5:$A$400&lt;=$A21)*MOVIMIENTOS!$E$5:$E$400)-SUMPRODUCT((MOVIMIENTOS!$B$5:$B$400="ENVÍO A SUPESA")*(MOVIMIENTOS!$C$5:$C$400="M")*(MOVIMIENTOS!$D$5:$D$400="jabas")*(MOVIMIENTOS!$A$5:$A$400&lt;&gt;"")*(MOVIMIENTOS!$A$5:$A$400&lt;=$A21)*MOVIMIENTOS!$E$5:$E$400)+SUMPRODUCT((MOVIMIENTOS!$B$5:$B$400="DEVOLUCIÓN")*(MOVIMIENTOS!$C$5:$C$400="M")*(MOVIMIENTOS!$D$5:$D$400="jabas")*(MOVIMIENTOS!$A$5:$A$400&lt;&gt;"")*(MOVIMIENTOS!$A$5:$A$400&lt;=$A21)*MOVIMIENTOS!$E$5:$E$400)-SUMPRODUCT((MOVIMIENTOS!$B$5:$B$400="TRASIEGO")*(MOVIMIENTOS!$C$5:$C$400="M")*(MOVIMIENTOS!$D$5:$D$400="jabas")*(MOVIMIENTOS!$A$5:$A$400&lt;&gt;"")*(MOVIMIENTOS!$A$5:$A$400&lt;=$A21)*MOVIMIENTOS!$E$5:$E$400)-SUMPRODUCT((MOVIMIENTOS!$B$5:$B$400="REGALO")*(MOVIMIENTOS!$C$5:$C$400="M")*(MOVIMIENTOS!$D$5:$D$400="jabas")*(MOVIMIENTOS!$A$5:$A$400&lt;&gt;"")*(MOVIMIENTOS!$A$5:$A$400&lt;=$A21)*MOVIMIENTOS!$E$5:$E$400)-SUMPRODUCT((MOVIMIENTOS!$B$5:$B$400="VENTA")*(MOVIMIENTOS!$C$5:$C$400="M")*(MOVIMIENTOS!$D$5:$D$400="jabas")*(MOVIMIENTOS!$A$5:$A$400&lt;&gt;"")*(MOVIMIENTOS!$A$5:$A$400&lt;=$A21)*MOVIMIENTOS!$E$5:$E$400)+SUMPRODUCT((MOVIMIENTOS!$B$5:$B$400="AJUSTE")*(MOVIMIENTOS!$C$5:$C$400="M")*(MOVIMIENTOS!$D$5:$D$400="jabas")*(MOVIMIENTOS!$A$5:$A$400&lt;&gt;"")*(MOVIMIENTOS!$A$5:$A$400&lt;=$A21)*MOVIMIENTOS!$E$5:$E$400))</f>
        <v>142</v>
      </c>
      <c r="F21" s="52" t="n">
        <f aca="false">IF($A21="","",SUMPRODUCT((MOVIMIENTOS!$B$5:$B$400="SALDO INICIAL")*(MOVIMIENTOS!$C$5:$C$400="Chancho")*(MOVIMIENTOS!$D$5:$D$400="sacos")*(MOVIMIENTOS!$A$5:$A$400&lt;&gt;"")*(MOVIMIENTOS!$A$5:$A$400&lt;=$A21)*MOVIMIENTOS!$E$5:$E$400)+SUMPRODUCT((MOVIMIENTOS!$B$5:$B$400="PROCESO")*(MOVIMIENTOS!$C$5:$C$400="Chancho")*(MOVIMIENTOS!$D$5:$D$400="sacos")*(MOVIMIENTOS!$A$5:$A$400&lt;&gt;"")*(MOVIMIENTOS!$A$5:$A$400&lt;=$A21)*MOVIMIENTOS!$E$5:$E$400)-SUMPRODUCT((MOVIMIENTOS!$B$5:$B$400="VENTA CHANCHO")*(MOVIMIENTOS!$C$5:$C$400="Chancho")*(MOVIMIENTOS!$D$5:$D$400="sacos")*(MOVIMIENTOS!$A$5:$A$400&lt;&gt;"")*(MOVIMIENTOS!$A$5:$A$400&lt;=$A21)*MOVIMIENTOS!$E$5:$E$400)-SUMPRODUCT((MOVIMIENTOS!$B$5:$B$400="REGALO")*(MOVIMIENTOS!$C$5:$C$400="Chancho")*(MOVIMIENTOS!$D$5:$D$400="sacos")*(MOVIMIENTOS!$A$5:$A$400&lt;&gt;"")*(MOVIMIENTOS!$A$5:$A$400&lt;=$A21)*MOVIMIENTOS!$E$5:$E$400)-SUMPRODUCT((MOVIMIENTOS!$B$5:$B$400="VENTA")*(MOVIMIENTOS!$C$5:$C$400="Chancho")*(MOVIMIENTOS!$D$5:$D$400="sacos")*(MOVIMIENTOS!$A$5:$A$400&lt;&gt;"")*(MOVIMIENTOS!$A$5:$A$400&lt;=$A21)*MOVIMIENTOS!$E$5:$E$400)+SUMPRODUCT((MOVIMIENTOS!$B$5:$B$400="AJUSTE")*(MOVIMIENTOS!$C$5:$C$400="Chancho")*(MOVIMIENTOS!$D$5:$D$400="sacos")*(MOVIMIENTOS!$A$5:$A$400&lt;&gt;"")*(MOVIMIENTOS!$A$5:$A$400&lt;=$A21)*MOVIMIENTOS!$E$5:$E$400))</f>
        <v>8</v>
      </c>
      <c r="G21" s="52" t="n">
        <f aca="false">IF($A21="","",SUM(B21:E21))</f>
        <v>203</v>
      </c>
      <c r="H21" s="52" t="n">
        <f aca="false">IF($A21="","",SUMPRODUCT((((MOVIMIENTOS!$B$5:$B$400="SALDO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21)*MOVIMIENTOS!$I$5:$I$400))</f>
        <v>2795</v>
      </c>
      <c r="I21" s="48"/>
      <c r="J21" s="48" t="str">
        <f aca="false">IF(AND(MOVIMIENTOS!$A21&lt;&gt;"",COUNTIF(MOVIMIENTOS!$A$5:$A20,MOVIMIENTOS!$A21)=0),COUNT(J$4:J20)+1,"")</f>
        <v/>
      </c>
      <c r="K21" s="53" t="n">
        <f aca="false">MOVIMIENTOS!$A21</f>
        <v>46216</v>
      </c>
      <c r="L21" s="48"/>
      <c r="M21" s="48"/>
      <c r="N21" s="48"/>
    </row>
    <row r="22" customFormat="false" ht="15" hidden="false" customHeight="true" outlineLevel="0" collapsed="false">
      <c r="A22" s="51" t="n">
        <f aca="false">IFERROR(INDEX(K$5:K$400,MATCH(ROW()-4,J$5:J$400,0)),"")</f>
        <v>46231</v>
      </c>
      <c r="B22" s="52" t="n">
        <f aca="false">IF($A22="","",SUMPRODUCT((MOVIMIENTOS!$B$5:$B$400="SALDO INICIAL")*(MOVIMIENTOS!$C$5:$C$400="A")*(MOVIMIENTOS!$D$5:$D$400="jabas")*(MOVIMIENTOS!$A$5:$A$400&lt;&gt;"")*(MOVIMIENTOS!$A$5:$A$400&lt;=$A22)*MOVIMIENTOS!$E$5:$E$400)+SUMPRODUCT((MOVIMIENTOS!$B$5:$B$400="PROCESO")*(MOVIMIENTOS!$C$5:$C$400="A")*(MOVIMIENTOS!$D$5:$D$400="jabas")*(MOVIMIENTOS!$A$5:$A$400&lt;&gt;"")*(MOVIMIENTOS!$A$5:$A$400&lt;=$A22)*MOVIMIENTOS!$E$5:$E$400)-SUMPRODUCT((MOVIMIENTOS!$B$5:$B$400="ENVÍO A SUPESA")*(MOVIMIENTOS!$C$5:$C$400="A")*(MOVIMIENTOS!$D$5:$D$400="jabas")*(MOVIMIENTOS!$A$5:$A$400&lt;&gt;"")*(MOVIMIENTOS!$A$5:$A$400&lt;=$A22)*MOVIMIENTOS!$E$5:$E$400)+SUMPRODUCT((MOVIMIENTOS!$B$5:$B$400="DEVOLUCIÓN")*(MOVIMIENTOS!$C$5:$C$400="A")*(MOVIMIENTOS!$D$5:$D$400="jabas")*(MOVIMIENTOS!$A$5:$A$400&lt;&gt;"")*(MOVIMIENTOS!$A$5:$A$400&lt;=$A22)*MOVIMIENTOS!$E$5:$E$400)-SUMPRODUCT((MOVIMIENTOS!$B$5:$B$400="TRASIEGO")*(MOVIMIENTOS!$C$5:$C$400="A")*(MOVIMIENTOS!$D$5:$D$400="jabas")*(MOVIMIENTOS!$A$5:$A$400&lt;&gt;"")*(MOVIMIENTOS!$A$5:$A$400&lt;=$A22)*MOVIMIENTOS!$E$5:$E$400)-SUMPRODUCT((MOVIMIENTOS!$B$5:$B$400="REGALO")*(MOVIMIENTOS!$C$5:$C$400="A")*(MOVIMIENTOS!$D$5:$D$400="jabas")*(MOVIMIENTOS!$A$5:$A$400&lt;&gt;"")*(MOVIMIENTOS!$A$5:$A$400&lt;=$A22)*MOVIMIENTOS!$E$5:$E$400)-SUMPRODUCT((MOVIMIENTOS!$B$5:$B$400="VENTA")*(MOVIMIENTOS!$C$5:$C$400="A")*(MOVIMIENTOS!$D$5:$D$400="jabas")*(MOVIMIENTOS!$A$5:$A$400&lt;&gt;"")*(MOVIMIENTOS!$A$5:$A$400&lt;=$A22)*MOVIMIENTOS!$E$5:$E$400)+SUMPRODUCT((MOVIMIENTOS!$B$5:$B$400="AJUSTE")*(MOVIMIENTOS!$C$5:$C$400="A")*(MOVIMIENTOS!$D$5:$D$400="jabas")*(MOVIMIENTOS!$A$5:$A$400&lt;&gt;"")*(MOVIMIENTOS!$A$5:$A$400&lt;=$A22)*MOVIMIENTOS!$E$5:$E$400))</f>
        <v>106</v>
      </c>
      <c r="C22" s="52" t="n">
        <f aca="false">IF($A22="","",SUMPRODUCT((MOVIMIENTOS!$B$5:$B$400="SALDO INICIAL")*(MOVIMIENTOS!$C$5:$C$400="P")*(MOVIMIENTOS!$D$5:$D$400="jabas")*(MOVIMIENTOS!$A$5:$A$400&lt;&gt;"")*(MOVIMIENTOS!$A$5:$A$400&lt;=$A22)*MOVIMIENTOS!$E$5:$E$400)+SUMPRODUCT((MOVIMIENTOS!$B$5:$B$400="PROCESO")*(MOVIMIENTOS!$C$5:$C$400="P")*(MOVIMIENTOS!$D$5:$D$400="jabas")*(MOVIMIENTOS!$A$5:$A$400&lt;&gt;"")*(MOVIMIENTOS!$A$5:$A$400&lt;=$A22)*MOVIMIENTOS!$E$5:$E$400)-SUMPRODUCT((MOVIMIENTOS!$B$5:$B$400="ENVÍO A SUPESA")*(MOVIMIENTOS!$C$5:$C$400="P")*(MOVIMIENTOS!$D$5:$D$400="jabas")*(MOVIMIENTOS!$A$5:$A$400&lt;&gt;"")*(MOVIMIENTOS!$A$5:$A$400&lt;=$A22)*MOVIMIENTOS!$E$5:$E$400)+SUMPRODUCT((MOVIMIENTOS!$B$5:$B$400="DEVOLUCIÓN")*(MOVIMIENTOS!$C$5:$C$400="P")*(MOVIMIENTOS!$D$5:$D$400="jabas")*(MOVIMIENTOS!$A$5:$A$400&lt;&gt;"")*(MOVIMIENTOS!$A$5:$A$400&lt;=$A22)*MOVIMIENTOS!$E$5:$E$400)-SUMPRODUCT((MOVIMIENTOS!$B$5:$B$400="TRASIEGO")*(MOVIMIENTOS!$C$5:$C$400="P")*(MOVIMIENTOS!$D$5:$D$400="jabas")*(MOVIMIENTOS!$A$5:$A$400&lt;&gt;"")*(MOVIMIENTOS!$A$5:$A$400&lt;=$A22)*MOVIMIENTOS!$E$5:$E$400)-SUMPRODUCT((MOVIMIENTOS!$B$5:$B$400="REGALO")*(MOVIMIENTOS!$C$5:$C$400="P")*(MOVIMIENTOS!$D$5:$D$400="jabas")*(MOVIMIENTOS!$A$5:$A$400&lt;&gt;"")*(MOVIMIENTOS!$A$5:$A$400&lt;=$A22)*MOVIMIENTOS!$E$5:$E$400)-SUMPRODUCT((MOVIMIENTOS!$B$5:$B$400="VENTA")*(MOVIMIENTOS!$C$5:$C$400="P")*(MOVIMIENTOS!$D$5:$D$400="jabas")*(MOVIMIENTOS!$A$5:$A$400&lt;&gt;"")*(MOVIMIENTOS!$A$5:$A$400&lt;=$A22)*MOVIMIENTOS!$E$5:$E$400)+SUMPRODUCT((MOVIMIENTOS!$B$5:$B$400="AJUSTE")*(MOVIMIENTOS!$C$5:$C$400="P")*(MOVIMIENTOS!$D$5:$D$400="jabas")*(MOVIMIENTOS!$A$5:$A$400&lt;&gt;"")*(MOVIMIENTOS!$A$5:$A$400&lt;=$A22)*MOVIMIENTOS!$E$5:$E$400))</f>
        <v>4</v>
      </c>
      <c r="D22" s="52" t="n">
        <f aca="false">IF($A22="","",SUMPRODUCT((MOVIMIENTOS!$B$5:$B$400="SALDO INICIAL")*(MOVIMIENTOS!$C$5:$C$400="C")*(MOVIMIENTOS!$D$5:$D$400="jabas")*(MOVIMIENTOS!$A$5:$A$400&lt;&gt;"")*(MOVIMIENTOS!$A$5:$A$400&lt;=$A22)*MOVIMIENTOS!$E$5:$E$400)+SUMPRODUCT((MOVIMIENTOS!$B$5:$B$400="PROCESO")*(MOVIMIENTOS!$C$5:$C$400="C")*(MOVIMIENTOS!$D$5:$D$400="jabas")*(MOVIMIENTOS!$A$5:$A$400&lt;&gt;"")*(MOVIMIENTOS!$A$5:$A$400&lt;=$A22)*MOVIMIENTOS!$E$5:$E$400)-SUMPRODUCT((MOVIMIENTOS!$B$5:$B$400="ENVÍO A SUPESA")*(MOVIMIENTOS!$C$5:$C$400="C")*(MOVIMIENTOS!$D$5:$D$400="jabas")*(MOVIMIENTOS!$A$5:$A$400&lt;&gt;"")*(MOVIMIENTOS!$A$5:$A$400&lt;=$A22)*MOVIMIENTOS!$E$5:$E$400)+SUMPRODUCT((MOVIMIENTOS!$B$5:$B$400="DEVOLUCIÓN")*(MOVIMIENTOS!$C$5:$C$400="C")*(MOVIMIENTOS!$D$5:$D$400="jabas")*(MOVIMIENTOS!$A$5:$A$400&lt;&gt;"")*(MOVIMIENTOS!$A$5:$A$400&lt;=$A22)*MOVIMIENTOS!$E$5:$E$400)-SUMPRODUCT((MOVIMIENTOS!$B$5:$B$400="TRASIEGO")*(MOVIMIENTOS!$C$5:$C$400="C")*(MOVIMIENTOS!$D$5:$D$400="jabas")*(MOVIMIENTOS!$A$5:$A$400&lt;&gt;"")*(MOVIMIENTOS!$A$5:$A$400&lt;=$A22)*MOVIMIENTOS!$E$5:$E$400)-SUMPRODUCT((MOVIMIENTOS!$B$5:$B$400="REGALO")*(MOVIMIENTOS!$C$5:$C$400="C")*(MOVIMIENTOS!$D$5:$D$400="jabas")*(MOVIMIENTOS!$A$5:$A$400&lt;&gt;"")*(MOVIMIENTOS!$A$5:$A$400&lt;=$A22)*MOVIMIENTOS!$E$5:$E$400)-SUMPRODUCT((MOVIMIENTOS!$B$5:$B$400="VENTA")*(MOVIMIENTOS!$C$5:$C$400="C")*(MOVIMIENTOS!$D$5:$D$400="jabas")*(MOVIMIENTOS!$A$5:$A$400&lt;&gt;"")*(MOVIMIENTOS!$A$5:$A$400&lt;=$A22)*MOVIMIENTOS!$E$5:$E$400)+SUMPRODUCT((MOVIMIENTOS!$B$5:$B$400="AJUSTE")*(MOVIMIENTOS!$C$5:$C$400="C")*(MOVIMIENTOS!$D$5:$D$400="jabas")*(MOVIMIENTOS!$A$5:$A$400&lt;&gt;"")*(MOVIMIENTOS!$A$5:$A$400&lt;=$A22)*MOVIMIENTOS!$E$5:$E$400))</f>
        <v>12</v>
      </c>
      <c r="E22" s="52" t="n">
        <f aca="false">IF($A22="","",SUMPRODUCT((MOVIMIENTOS!$B$5:$B$400="SALDO INICIAL")*(MOVIMIENTOS!$C$5:$C$400="M")*(MOVIMIENTOS!$D$5:$D$400="jabas")*(MOVIMIENTOS!$A$5:$A$400&lt;&gt;"")*(MOVIMIENTOS!$A$5:$A$400&lt;=$A22)*MOVIMIENTOS!$E$5:$E$400)+SUMPRODUCT((MOVIMIENTOS!$B$5:$B$400="PROCESO")*(MOVIMIENTOS!$C$5:$C$400="M")*(MOVIMIENTOS!$D$5:$D$400="jabas")*(MOVIMIENTOS!$A$5:$A$400&lt;&gt;"")*(MOVIMIENTOS!$A$5:$A$400&lt;=$A22)*MOVIMIENTOS!$E$5:$E$400)-SUMPRODUCT((MOVIMIENTOS!$B$5:$B$400="ENVÍO A SUPESA")*(MOVIMIENTOS!$C$5:$C$400="M")*(MOVIMIENTOS!$D$5:$D$400="jabas")*(MOVIMIENTOS!$A$5:$A$400&lt;&gt;"")*(MOVIMIENTOS!$A$5:$A$400&lt;=$A22)*MOVIMIENTOS!$E$5:$E$400)+SUMPRODUCT((MOVIMIENTOS!$B$5:$B$400="DEVOLUCIÓN")*(MOVIMIENTOS!$C$5:$C$400="M")*(MOVIMIENTOS!$D$5:$D$400="jabas")*(MOVIMIENTOS!$A$5:$A$400&lt;&gt;"")*(MOVIMIENTOS!$A$5:$A$400&lt;=$A22)*MOVIMIENTOS!$E$5:$E$400)-SUMPRODUCT((MOVIMIENTOS!$B$5:$B$400="TRASIEGO")*(MOVIMIENTOS!$C$5:$C$400="M")*(MOVIMIENTOS!$D$5:$D$400="jabas")*(MOVIMIENTOS!$A$5:$A$400&lt;&gt;"")*(MOVIMIENTOS!$A$5:$A$400&lt;=$A22)*MOVIMIENTOS!$E$5:$E$400)-SUMPRODUCT((MOVIMIENTOS!$B$5:$B$400="REGALO")*(MOVIMIENTOS!$C$5:$C$400="M")*(MOVIMIENTOS!$D$5:$D$400="jabas")*(MOVIMIENTOS!$A$5:$A$400&lt;&gt;"")*(MOVIMIENTOS!$A$5:$A$400&lt;=$A22)*MOVIMIENTOS!$E$5:$E$400)-SUMPRODUCT((MOVIMIENTOS!$B$5:$B$400="VENTA")*(MOVIMIENTOS!$C$5:$C$400="M")*(MOVIMIENTOS!$D$5:$D$400="jabas")*(MOVIMIENTOS!$A$5:$A$400&lt;&gt;"")*(MOVIMIENTOS!$A$5:$A$400&lt;=$A22)*MOVIMIENTOS!$E$5:$E$400)+SUMPRODUCT((MOVIMIENTOS!$B$5:$B$400="AJUSTE")*(MOVIMIENTOS!$C$5:$C$400="M")*(MOVIMIENTOS!$D$5:$D$400="jabas")*(MOVIMIENTOS!$A$5:$A$400&lt;&gt;"")*(MOVIMIENTOS!$A$5:$A$400&lt;=$A22)*MOVIMIENTOS!$E$5:$E$400))</f>
        <v>118</v>
      </c>
      <c r="F22" s="52" t="n">
        <f aca="false">IF($A22="","",SUMPRODUCT((MOVIMIENTOS!$B$5:$B$400="SALDO INICIAL")*(MOVIMIENTOS!$C$5:$C$400="Chancho")*(MOVIMIENTOS!$D$5:$D$400="sacos")*(MOVIMIENTOS!$A$5:$A$400&lt;&gt;"")*(MOVIMIENTOS!$A$5:$A$400&lt;=$A22)*MOVIMIENTOS!$E$5:$E$400)+SUMPRODUCT((MOVIMIENTOS!$B$5:$B$400="PROCESO")*(MOVIMIENTOS!$C$5:$C$400="Chancho")*(MOVIMIENTOS!$D$5:$D$400="sacos")*(MOVIMIENTOS!$A$5:$A$400&lt;&gt;"")*(MOVIMIENTOS!$A$5:$A$400&lt;=$A22)*MOVIMIENTOS!$E$5:$E$400)-SUMPRODUCT((MOVIMIENTOS!$B$5:$B$400="VENTA CHANCHO")*(MOVIMIENTOS!$C$5:$C$400="Chancho")*(MOVIMIENTOS!$D$5:$D$400="sacos")*(MOVIMIENTOS!$A$5:$A$400&lt;&gt;"")*(MOVIMIENTOS!$A$5:$A$400&lt;=$A22)*MOVIMIENTOS!$E$5:$E$400)-SUMPRODUCT((MOVIMIENTOS!$B$5:$B$400="REGALO")*(MOVIMIENTOS!$C$5:$C$400="Chancho")*(MOVIMIENTOS!$D$5:$D$400="sacos")*(MOVIMIENTOS!$A$5:$A$400&lt;&gt;"")*(MOVIMIENTOS!$A$5:$A$400&lt;=$A22)*MOVIMIENTOS!$E$5:$E$400)-SUMPRODUCT((MOVIMIENTOS!$B$5:$B$400="VENTA")*(MOVIMIENTOS!$C$5:$C$400="Chancho")*(MOVIMIENTOS!$D$5:$D$400="sacos")*(MOVIMIENTOS!$A$5:$A$400&lt;&gt;"")*(MOVIMIENTOS!$A$5:$A$400&lt;=$A22)*MOVIMIENTOS!$E$5:$E$400)+SUMPRODUCT((MOVIMIENTOS!$B$5:$B$400="AJUSTE")*(MOVIMIENTOS!$C$5:$C$400="Chancho")*(MOVIMIENTOS!$D$5:$D$400="sacos")*(MOVIMIENTOS!$A$5:$A$400&lt;&gt;"")*(MOVIMIENTOS!$A$5:$A$400&lt;=$A22)*MOVIMIENTOS!$E$5:$E$400))</f>
        <v>30.5</v>
      </c>
      <c r="G22" s="52" t="n">
        <f aca="false">IF($A22="","",SUM(B22:E22))</f>
        <v>240</v>
      </c>
      <c r="H22" s="52" t="n">
        <f aca="false">IF($A22="","",SUMPRODUCT((((MOVIMIENTOS!$B$5:$B$400="SALDO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22)*MOVIMIENTOS!$I$5:$I$400))</f>
        <v>2503.5</v>
      </c>
      <c r="I22" s="48"/>
      <c r="J22" s="48" t="str">
        <f aca="false">IF(AND(MOVIMIENTOS!$A22&lt;&gt;"",COUNTIF(MOVIMIENTOS!$A$5:$A21,MOVIMIENTOS!$A22)=0),COUNT(J$4:J21)+1,"")</f>
        <v/>
      </c>
      <c r="K22" s="53" t="n">
        <f aca="false">MOVIMIENTOS!$A22</f>
        <v>46216</v>
      </c>
      <c r="L22" s="48"/>
      <c r="M22" s="48"/>
      <c r="N22" s="48"/>
    </row>
    <row r="23" customFormat="false" ht="15" hidden="false" customHeight="true" outlineLevel="0" collapsed="false">
      <c r="A23" s="51" t="n">
        <f aca="false">IFERROR(INDEX(K$5:K$400,MATCH(ROW()-4,J$5:J$400,0)),"")</f>
        <v>46232</v>
      </c>
      <c r="B23" s="52" t="n">
        <f aca="false">IF($A23="","",SUMPRODUCT((MOVIMIENTOS!$B$5:$B$400="SALDO INICIAL")*(MOVIMIENTOS!$C$5:$C$400="A")*(MOVIMIENTOS!$D$5:$D$400="jabas")*(MOVIMIENTOS!$A$5:$A$400&lt;&gt;"")*(MOVIMIENTOS!$A$5:$A$400&lt;=$A23)*MOVIMIENTOS!$E$5:$E$400)+SUMPRODUCT((MOVIMIENTOS!$B$5:$B$400="PROCESO")*(MOVIMIENTOS!$C$5:$C$400="A")*(MOVIMIENTOS!$D$5:$D$400="jabas")*(MOVIMIENTOS!$A$5:$A$400&lt;&gt;"")*(MOVIMIENTOS!$A$5:$A$400&lt;=$A23)*MOVIMIENTOS!$E$5:$E$400)-SUMPRODUCT((MOVIMIENTOS!$B$5:$B$400="ENVÍO A SUPESA")*(MOVIMIENTOS!$C$5:$C$400="A")*(MOVIMIENTOS!$D$5:$D$400="jabas")*(MOVIMIENTOS!$A$5:$A$400&lt;&gt;"")*(MOVIMIENTOS!$A$5:$A$400&lt;=$A23)*MOVIMIENTOS!$E$5:$E$400)+SUMPRODUCT((MOVIMIENTOS!$B$5:$B$400="DEVOLUCIÓN")*(MOVIMIENTOS!$C$5:$C$400="A")*(MOVIMIENTOS!$D$5:$D$400="jabas")*(MOVIMIENTOS!$A$5:$A$400&lt;&gt;"")*(MOVIMIENTOS!$A$5:$A$400&lt;=$A23)*MOVIMIENTOS!$E$5:$E$400)-SUMPRODUCT((MOVIMIENTOS!$B$5:$B$400="TRASIEGO")*(MOVIMIENTOS!$C$5:$C$400="A")*(MOVIMIENTOS!$D$5:$D$400="jabas")*(MOVIMIENTOS!$A$5:$A$400&lt;&gt;"")*(MOVIMIENTOS!$A$5:$A$400&lt;=$A23)*MOVIMIENTOS!$E$5:$E$400)-SUMPRODUCT((MOVIMIENTOS!$B$5:$B$400="REGALO")*(MOVIMIENTOS!$C$5:$C$400="A")*(MOVIMIENTOS!$D$5:$D$400="jabas")*(MOVIMIENTOS!$A$5:$A$400&lt;&gt;"")*(MOVIMIENTOS!$A$5:$A$400&lt;=$A23)*MOVIMIENTOS!$E$5:$E$400)-SUMPRODUCT((MOVIMIENTOS!$B$5:$B$400="VENTA")*(MOVIMIENTOS!$C$5:$C$400="A")*(MOVIMIENTOS!$D$5:$D$400="jabas")*(MOVIMIENTOS!$A$5:$A$400&lt;&gt;"")*(MOVIMIENTOS!$A$5:$A$400&lt;=$A23)*MOVIMIENTOS!$E$5:$E$400)+SUMPRODUCT((MOVIMIENTOS!$B$5:$B$400="AJUSTE")*(MOVIMIENTOS!$C$5:$C$400="A")*(MOVIMIENTOS!$D$5:$D$400="jabas")*(MOVIMIENTOS!$A$5:$A$400&lt;&gt;"")*(MOVIMIENTOS!$A$5:$A$400&lt;=$A23)*MOVIMIENTOS!$E$5:$E$400))</f>
        <v>39</v>
      </c>
      <c r="C23" s="52" t="n">
        <f aca="false">IF($A23="","",SUMPRODUCT((MOVIMIENTOS!$B$5:$B$400="SALDO INICIAL")*(MOVIMIENTOS!$C$5:$C$400="P")*(MOVIMIENTOS!$D$5:$D$400="jabas")*(MOVIMIENTOS!$A$5:$A$400&lt;&gt;"")*(MOVIMIENTOS!$A$5:$A$400&lt;=$A23)*MOVIMIENTOS!$E$5:$E$400)+SUMPRODUCT((MOVIMIENTOS!$B$5:$B$400="PROCESO")*(MOVIMIENTOS!$C$5:$C$400="P")*(MOVIMIENTOS!$D$5:$D$400="jabas")*(MOVIMIENTOS!$A$5:$A$400&lt;&gt;"")*(MOVIMIENTOS!$A$5:$A$400&lt;=$A23)*MOVIMIENTOS!$E$5:$E$400)-SUMPRODUCT((MOVIMIENTOS!$B$5:$B$400="ENVÍO A SUPESA")*(MOVIMIENTOS!$C$5:$C$400="P")*(MOVIMIENTOS!$D$5:$D$400="jabas")*(MOVIMIENTOS!$A$5:$A$400&lt;&gt;"")*(MOVIMIENTOS!$A$5:$A$400&lt;=$A23)*MOVIMIENTOS!$E$5:$E$400)+SUMPRODUCT((MOVIMIENTOS!$B$5:$B$400="DEVOLUCIÓN")*(MOVIMIENTOS!$C$5:$C$400="P")*(MOVIMIENTOS!$D$5:$D$400="jabas")*(MOVIMIENTOS!$A$5:$A$400&lt;&gt;"")*(MOVIMIENTOS!$A$5:$A$400&lt;=$A23)*MOVIMIENTOS!$E$5:$E$400)-SUMPRODUCT((MOVIMIENTOS!$B$5:$B$400="TRASIEGO")*(MOVIMIENTOS!$C$5:$C$400="P")*(MOVIMIENTOS!$D$5:$D$400="jabas")*(MOVIMIENTOS!$A$5:$A$400&lt;&gt;"")*(MOVIMIENTOS!$A$5:$A$400&lt;=$A23)*MOVIMIENTOS!$E$5:$E$400)-SUMPRODUCT((MOVIMIENTOS!$B$5:$B$400="REGALO")*(MOVIMIENTOS!$C$5:$C$400="P")*(MOVIMIENTOS!$D$5:$D$400="jabas")*(MOVIMIENTOS!$A$5:$A$400&lt;&gt;"")*(MOVIMIENTOS!$A$5:$A$400&lt;=$A23)*MOVIMIENTOS!$E$5:$E$400)-SUMPRODUCT((MOVIMIENTOS!$B$5:$B$400="VENTA")*(MOVIMIENTOS!$C$5:$C$400="P")*(MOVIMIENTOS!$D$5:$D$400="jabas")*(MOVIMIENTOS!$A$5:$A$400&lt;&gt;"")*(MOVIMIENTOS!$A$5:$A$400&lt;=$A23)*MOVIMIENTOS!$E$5:$E$400)+SUMPRODUCT((MOVIMIENTOS!$B$5:$B$400="AJUSTE")*(MOVIMIENTOS!$C$5:$C$400="P")*(MOVIMIENTOS!$D$5:$D$400="jabas")*(MOVIMIENTOS!$A$5:$A$400&lt;&gt;"")*(MOVIMIENTOS!$A$5:$A$400&lt;=$A23)*MOVIMIENTOS!$E$5:$E$400))</f>
        <v>0</v>
      </c>
      <c r="D23" s="52" t="n">
        <f aca="false">IF($A23="","",SUMPRODUCT((MOVIMIENTOS!$B$5:$B$400="SALDO INICIAL")*(MOVIMIENTOS!$C$5:$C$400="C")*(MOVIMIENTOS!$D$5:$D$400="jabas")*(MOVIMIENTOS!$A$5:$A$400&lt;&gt;"")*(MOVIMIENTOS!$A$5:$A$400&lt;=$A23)*MOVIMIENTOS!$E$5:$E$400)+SUMPRODUCT((MOVIMIENTOS!$B$5:$B$400="PROCESO")*(MOVIMIENTOS!$C$5:$C$400="C")*(MOVIMIENTOS!$D$5:$D$400="jabas")*(MOVIMIENTOS!$A$5:$A$400&lt;&gt;"")*(MOVIMIENTOS!$A$5:$A$400&lt;=$A23)*MOVIMIENTOS!$E$5:$E$400)-SUMPRODUCT((MOVIMIENTOS!$B$5:$B$400="ENVÍO A SUPESA")*(MOVIMIENTOS!$C$5:$C$400="C")*(MOVIMIENTOS!$D$5:$D$400="jabas")*(MOVIMIENTOS!$A$5:$A$400&lt;&gt;"")*(MOVIMIENTOS!$A$5:$A$400&lt;=$A23)*MOVIMIENTOS!$E$5:$E$400)+SUMPRODUCT((MOVIMIENTOS!$B$5:$B$400="DEVOLUCIÓN")*(MOVIMIENTOS!$C$5:$C$400="C")*(MOVIMIENTOS!$D$5:$D$400="jabas")*(MOVIMIENTOS!$A$5:$A$400&lt;&gt;"")*(MOVIMIENTOS!$A$5:$A$400&lt;=$A23)*MOVIMIENTOS!$E$5:$E$400)-SUMPRODUCT((MOVIMIENTOS!$B$5:$B$400="TRASIEGO")*(MOVIMIENTOS!$C$5:$C$400="C")*(MOVIMIENTOS!$D$5:$D$400="jabas")*(MOVIMIENTOS!$A$5:$A$400&lt;&gt;"")*(MOVIMIENTOS!$A$5:$A$400&lt;=$A23)*MOVIMIENTOS!$E$5:$E$400)-SUMPRODUCT((MOVIMIENTOS!$B$5:$B$400="REGALO")*(MOVIMIENTOS!$C$5:$C$400="C")*(MOVIMIENTOS!$D$5:$D$400="jabas")*(MOVIMIENTOS!$A$5:$A$400&lt;&gt;"")*(MOVIMIENTOS!$A$5:$A$400&lt;=$A23)*MOVIMIENTOS!$E$5:$E$400)-SUMPRODUCT((MOVIMIENTOS!$B$5:$B$400="VENTA")*(MOVIMIENTOS!$C$5:$C$400="C")*(MOVIMIENTOS!$D$5:$D$400="jabas")*(MOVIMIENTOS!$A$5:$A$400&lt;&gt;"")*(MOVIMIENTOS!$A$5:$A$400&lt;=$A23)*MOVIMIENTOS!$E$5:$E$400)+SUMPRODUCT((MOVIMIENTOS!$B$5:$B$400="AJUSTE")*(MOVIMIENTOS!$C$5:$C$400="C")*(MOVIMIENTOS!$D$5:$D$400="jabas")*(MOVIMIENTOS!$A$5:$A$400&lt;&gt;"")*(MOVIMIENTOS!$A$5:$A$400&lt;=$A23)*MOVIMIENTOS!$E$5:$E$400))</f>
        <v>0</v>
      </c>
      <c r="E23" s="52" t="n">
        <f aca="false">IF($A23="","",SUMPRODUCT((MOVIMIENTOS!$B$5:$B$400="SALDO INICIAL")*(MOVIMIENTOS!$C$5:$C$400="M")*(MOVIMIENTOS!$D$5:$D$400="jabas")*(MOVIMIENTOS!$A$5:$A$400&lt;&gt;"")*(MOVIMIENTOS!$A$5:$A$400&lt;=$A23)*MOVIMIENTOS!$E$5:$E$400)+SUMPRODUCT((MOVIMIENTOS!$B$5:$B$400="PROCESO")*(MOVIMIENTOS!$C$5:$C$400="M")*(MOVIMIENTOS!$D$5:$D$400="jabas")*(MOVIMIENTOS!$A$5:$A$400&lt;&gt;"")*(MOVIMIENTOS!$A$5:$A$400&lt;=$A23)*MOVIMIENTOS!$E$5:$E$400)-SUMPRODUCT((MOVIMIENTOS!$B$5:$B$400="ENVÍO A SUPESA")*(MOVIMIENTOS!$C$5:$C$400="M")*(MOVIMIENTOS!$D$5:$D$400="jabas")*(MOVIMIENTOS!$A$5:$A$400&lt;&gt;"")*(MOVIMIENTOS!$A$5:$A$400&lt;=$A23)*MOVIMIENTOS!$E$5:$E$400)+SUMPRODUCT((MOVIMIENTOS!$B$5:$B$400="DEVOLUCIÓN")*(MOVIMIENTOS!$C$5:$C$400="M")*(MOVIMIENTOS!$D$5:$D$400="jabas")*(MOVIMIENTOS!$A$5:$A$400&lt;&gt;"")*(MOVIMIENTOS!$A$5:$A$400&lt;=$A23)*MOVIMIENTOS!$E$5:$E$400)-SUMPRODUCT((MOVIMIENTOS!$B$5:$B$400="TRASIEGO")*(MOVIMIENTOS!$C$5:$C$400="M")*(MOVIMIENTOS!$D$5:$D$400="jabas")*(MOVIMIENTOS!$A$5:$A$400&lt;&gt;"")*(MOVIMIENTOS!$A$5:$A$400&lt;=$A23)*MOVIMIENTOS!$E$5:$E$400)-SUMPRODUCT((MOVIMIENTOS!$B$5:$B$400="REGALO")*(MOVIMIENTOS!$C$5:$C$400="M")*(MOVIMIENTOS!$D$5:$D$400="jabas")*(MOVIMIENTOS!$A$5:$A$400&lt;&gt;"")*(MOVIMIENTOS!$A$5:$A$400&lt;=$A23)*MOVIMIENTOS!$E$5:$E$400)-SUMPRODUCT((MOVIMIENTOS!$B$5:$B$400="VENTA")*(MOVIMIENTOS!$C$5:$C$400="M")*(MOVIMIENTOS!$D$5:$D$400="jabas")*(MOVIMIENTOS!$A$5:$A$400&lt;&gt;"")*(MOVIMIENTOS!$A$5:$A$400&lt;=$A23)*MOVIMIENTOS!$E$5:$E$400)+SUMPRODUCT((MOVIMIENTOS!$B$5:$B$400="AJUSTE")*(MOVIMIENTOS!$C$5:$C$400="M")*(MOVIMIENTOS!$D$5:$D$400="jabas")*(MOVIMIENTOS!$A$5:$A$400&lt;&gt;"")*(MOVIMIENTOS!$A$5:$A$400&lt;=$A23)*MOVIMIENTOS!$E$5:$E$400))</f>
        <v>29</v>
      </c>
      <c r="F23" s="52" t="n">
        <f aca="false">IF($A23="","",SUMPRODUCT((MOVIMIENTOS!$B$5:$B$400="SALDO INICIAL")*(MOVIMIENTOS!$C$5:$C$400="Chancho")*(MOVIMIENTOS!$D$5:$D$400="sacos")*(MOVIMIENTOS!$A$5:$A$400&lt;&gt;"")*(MOVIMIENTOS!$A$5:$A$400&lt;=$A23)*MOVIMIENTOS!$E$5:$E$400)+SUMPRODUCT((MOVIMIENTOS!$B$5:$B$400="PROCESO")*(MOVIMIENTOS!$C$5:$C$400="Chancho")*(MOVIMIENTOS!$D$5:$D$400="sacos")*(MOVIMIENTOS!$A$5:$A$400&lt;&gt;"")*(MOVIMIENTOS!$A$5:$A$400&lt;=$A23)*MOVIMIENTOS!$E$5:$E$400)-SUMPRODUCT((MOVIMIENTOS!$B$5:$B$400="VENTA CHANCHO")*(MOVIMIENTOS!$C$5:$C$400="Chancho")*(MOVIMIENTOS!$D$5:$D$400="sacos")*(MOVIMIENTOS!$A$5:$A$400&lt;&gt;"")*(MOVIMIENTOS!$A$5:$A$400&lt;=$A23)*MOVIMIENTOS!$E$5:$E$400)-SUMPRODUCT((MOVIMIENTOS!$B$5:$B$400="REGALO")*(MOVIMIENTOS!$C$5:$C$400="Chancho")*(MOVIMIENTOS!$D$5:$D$400="sacos")*(MOVIMIENTOS!$A$5:$A$400&lt;&gt;"")*(MOVIMIENTOS!$A$5:$A$400&lt;=$A23)*MOVIMIENTOS!$E$5:$E$400)-SUMPRODUCT((MOVIMIENTOS!$B$5:$B$400="VENTA")*(MOVIMIENTOS!$C$5:$C$400="Chancho")*(MOVIMIENTOS!$D$5:$D$400="sacos")*(MOVIMIENTOS!$A$5:$A$400&lt;&gt;"")*(MOVIMIENTOS!$A$5:$A$400&lt;=$A23)*MOVIMIENTOS!$E$5:$E$400)+SUMPRODUCT((MOVIMIENTOS!$B$5:$B$400="AJUSTE")*(MOVIMIENTOS!$C$5:$C$400="Chancho")*(MOVIMIENTOS!$D$5:$D$400="sacos")*(MOVIMIENTOS!$A$5:$A$400&lt;&gt;"")*(MOVIMIENTOS!$A$5:$A$400&lt;=$A23)*MOVIMIENTOS!$E$5:$E$400))</f>
        <v>20.5</v>
      </c>
      <c r="G23" s="52" t="n">
        <f aca="false">IF($A23="","",SUM(B23:E23))</f>
        <v>68</v>
      </c>
      <c r="H23" s="52" t="n">
        <f aca="false">IF($A23="","",SUMPRODUCT((((MOVIMIENTOS!$B$5:$B$400="SALDO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23)*MOVIMIENTOS!$I$5:$I$400))</f>
        <v>-290.5</v>
      </c>
      <c r="I23" s="48"/>
      <c r="J23" s="48" t="str">
        <f aca="false">IF(AND(MOVIMIENTOS!$A23&lt;&gt;"",COUNTIF(MOVIMIENTOS!$A$5:$A22,MOVIMIENTOS!$A23)=0),COUNT(J$4:J22)+1,"")</f>
        <v/>
      </c>
      <c r="K23" s="53" t="n">
        <f aca="false">MOVIMIENTOS!$A23</f>
        <v>46216</v>
      </c>
      <c r="L23" s="48"/>
      <c r="M23" s="48"/>
      <c r="N23" s="48"/>
    </row>
    <row r="24" customFormat="false" ht="15" hidden="false" customHeight="true" outlineLevel="0" collapsed="false">
      <c r="A24" s="51" t="str">
        <f aca="false">IFERROR(INDEX(K$5:K$400,MATCH(ROW()-4,J$5:J$400,0)),"")</f>
        <v/>
      </c>
      <c r="B24" s="52" t="str">
        <f aca="false">IF($A24="","",SUMPRODUCT((MOVIMIENTOS!$B$5:$B$400="SALDO INICIAL")*(MOVIMIENTOS!$C$5:$C$400="A")*(MOVIMIENTOS!$D$5:$D$400="jabas")*(MOVIMIENTOS!$A$5:$A$400&lt;&gt;"")*(MOVIMIENTOS!$A$5:$A$400&lt;=$A24)*MOVIMIENTOS!$E$5:$E$400)+SUMPRODUCT((MOVIMIENTOS!$B$5:$B$400="PROCESO")*(MOVIMIENTOS!$C$5:$C$400="A")*(MOVIMIENTOS!$D$5:$D$400="jabas")*(MOVIMIENTOS!$A$5:$A$400&lt;&gt;"")*(MOVIMIENTOS!$A$5:$A$400&lt;=$A24)*MOVIMIENTOS!$E$5:$E$400)-SUMPRODUCT((MOVIMIENTOS!$B$5:$B$400="ENVÍO A SUPESA")*(MOVIMIENTOS!$C$5:$C$400="A")*(MOVIMIENTOS!$D$5:$D$400="jabas")*(MOVIMIENTOS!$A$5:$A$400&lt;&gt;"")*(MOVIMIENTOS!$A$5:$A$400&lt;=$A24)*MOVIMIENTOS!$E$5:$E$400)+SUMPRODUCT((MOVIMIENTOS!$B$5:$B$400="DEVOLUCIÓN")*(MOVIMIENTOS!$C$5:$C$400="A")*(MOVIMIENTOS!$D$5:$D$400="jabas")*(MOVIMIENTOS!$A$5:$A$400&lt;&gt;"")*(MOVIMIENTOS!$A$5:$A$400&lt;=$A24)*MOVIMIENTOS!$E$5:$E$400)-SUMPRODUCT((MOVIMIENTOS!$B$5:$B$400="TRASIEGO")*(MOVIMIENTOS!$C$5:$C$400="A")*(MOVIMIENTOS!$D$5:$D$400="jabas")*(MOVIMIENTOS!$A$5:$A$400&lt;&gt;"")*(MOVIMIENTOS!$A$5:$A$400&lt;=$A24)*MOVIMIENTOS!$E$5:$E$400)-SUMPRODUCT((MOVIMIENTOS!$B$5:$B$400="REGALO")*(MOVIMIENTOS!$C$5:$C$400="A")*(MOVIMIENTOS!$D$5:$D$400="jabas")*(MOVIMIENTOS!$A$5:$A$400&lt;&gt;"")*(MOVIMIENTOS!$A$5:$A$400&lt;=$A24)*MOVIMIENTOS!$E$5:$E$400)-SUMPRODUCT((MOVIMIENTOS!$B$5:$B$400="VENTA")*(MOVIMIENTOS!$C$5:$C$400="A")*(MOVIMIENTOS!$D$5:$D$400="jabas")*(MOVIMIENTOS!$A$5:$A$400&lt;&gt;"")*(MOVIMIENTOS!$A$5:$A$400&lt;=$A24)*MOVIMIENTOS!$E$5:$E$400)+SUMPRODUCT((MOVIMIENTOS!$B$5:$B$400="AJUSTE")*(MOVIMIENTOS!$C$5:$C$400="A")*(MOVIMIENTOS!$D$5:$D$400="jabas")*(MOVIMIENTOS!$A$5:$A$400&lt;&gt;"")*(MOVIMIENTOS!$A$5:$A$400&lt;=$A24)*MOVIMIENTOS!$E$5:$E$400))</f>
        <v/>
      </c>
      <c r="C24" s="52" t="str">
        <f aca="false">IF($A24="","",SUMPRODUCT((MOVIMIENTOS!$B$5:$B$400="SALDO INICIAL")*(MOVIMIENTOS!$C$5:$C$400="P")*(MOVIMIENTOS!$D$5:$D$400="jabas")*(MOVIMIENTOS!$A$5:$A$400&lt;&gt;"")*(MOVIMIENTOS!$A$5:$A$400&lt;=$A24)*MOVIMIENTOS!$E$5:$E$400)+SUMPRODUCT((MOVIMIENTOS!$B$5:$B$400="PROCESO")*(MOVIMIENTOS!$C$5:$C$400="P")*(MOVIMIENTOS!$D$5:$D$400="jabas")*(MOVIMIENTOS!$A$5:$A$400&lt;&gt;"")*(MOVIMIENTOS!$A$5:$A$400&lt;=$A24)*MOVIMIENTOS!$E$5:$E$400)-SUMPRODUCT((MOVIMIENTOS!$B$5:$B$400="ENVÍO A SUPESA")*(MOVIMIENTOS!$C$5:$C$400="P")*(MOVIMIENTOS!$D$5:$D$400="jabas")*(MOVIMIENTOS!$A$5:$A$400&lt;&gt;"")*(MOVIMIENTOS!$A$5:$A$400&lt;=$A24)*MOVIMIENTOS!$E$5:$E$400)+SUMPRODUCT((MOVIMIENTOS!$B$5:$B$400="DEVOLUCIÓN")*(MOVIMIENTOS!$C$5:$C$400="P")*(MOVIMIENTOS!$D$5:$D$400="jabas")*(MOVIMIENTOS!$A$5:$A$400&lt;&gt;"")*(MOVIMIENTOS!$A$5:$A$400&lt;=$A24)*MOVIMIENTOS!$E$5:$E$400)-SUMPRODUCT((MOVIMIENTOS!$B$5:$B$400="TRASIEGO")*(MOVIMIENTOS!$C$5:$C$400="P")*(MOVIMIENTOS!$D$5:$D$400="jabas")*(MOVIMIENTOS!$A$5:$A$400&lt;&gt;"")*(MOVIMIENTOS!$A$5:$A$400&lt;=$A24)*MOVIMIENTOS!$E$5:$E$400)-SUMPRODUCT((MOVIMIENTOS!$B$5:$B$400="REGALO")*(MOVIMIENTOS!$C$5:$C$400="P")*(MOVIMIENTOS!$D$5:$D$400="jabas")*(MOVIMIENTOS!$A$5:$A$400&lt;&gt;"")*(MOVIMIENTOS!$A$5:$A$400&lt;=$A24)*MOVIMIENTOS!$E$5:$E$400)-SUMPRODUCT((MOVIMIENTOS!$B$5:$B$400="VENTA")*(MOVIMIENTOS!$C$5:$C$400="P")*(MOVIMIENTOS!$D$5:$D$400="jabas")*(MOVIMIENTOS!$A$5:$A$400&lt;&gt;"")*(MOVIMIENTOS!$A$5:$A$400&lt;=$A24)*MOVIMIENTOS!$E$5:$E$400)+SUMPRODUCT((MOVIMIENTOS!$B$5:$B$400="AJUSTE")*(MOVIMIENTOS!$C$5:$C$400="P")*(MOVIMIENTOS!$D$5:$D$400="jabas")*(MOVIMIENTOS!$A$5:$A$400&lt;&gt;"")*(MOVIMIENTOS!$A$5:$A$400&lt;=$A24)*MOVIMIENTOS!$E$5:$E$400))</f>
        <v/>
      </c>
      <c r="D24" s="52" t="str">
        <f aca="false">IF($A24="","",SUMPRODUCT((MOVIMIENTOS!$B$5:$B$400="SALDO INICIAL")*(MOVIMIENTOS!$C$5:$C$400="C")*(MOVIMIENTOS!$D$5:$D$400="jabas")*(MOVIMIENTOS!$A$5:$A$400&lt;&gt;"")*(MOVIMIENTOS!$A$5:$A$400&lt;=$A24)*MOVIMIENTOS!$E$5:$E$400)+SUMPRODUCT((MOVIMIENTOS!$B$5:$B$400="PROCESO")*(MOVIMIENTOS!$C$5:$C$400="C")*(MOVIMIENTOS!$D$5:$D$400="jabas")*(MOVIMIENTOS!$A$5:$A$400&lt;&gt;"")*(MOVIMIENTOS!$A$5:$A$400&lt;=$A24)*MOVIMIENTOS!$E$5:$E$400)-SUMPRODUCT((MOVIMIENTOS!$B$5:$B$400="ENVÍO A SUPESA")*(MOVIMIENTOS!$C$5:$C$400="C")*(MOVIMIENTOS!$D$5:$D$400="jabas")*(MOVIMIENTOS!$A$5:$A$400&lt;&gt;"")*(MOVIMIENTOS!$A$5:$A$400&lt;=$A24)*MOVIMIENTOS!$E$5:$E$400)+SUMPRODUCT((MOVIMIENTOS!$B$5:$B$400="DEVOLUCIÓN")*(MOVIMIENTOS!$C$5:$C$400="C")*(MOVIMIENTOS!$D$5:$D$400="jabas")*(MOVIMIENTOS!$A$5:$A$400&lt;&gt;"")*(MOVIMIENTOS!$A$5:$A$400&lt;=$A24)*MOVIMIENTOS!$E$5:$E$400)-SUMPRODUCT((MOVIMIENTOS!$B$5:$B$400="TRASIEGO")*(MOVIMIENTOS!$C$5:$C$400="C")*(MOVIMIENTOS!$D$5:$D$400="jabas")*(MOVIMIENTOS!$A$5:$A$400&lt;&gt;"")*(MOVIMIENTOS!$A$5:$A$400&lt;=$A24)*MOVIMIENTOS!$E$5:$E$400)-SUMPRODUCT((MOVIMIENTOS!$B$5:$B$400="REGALO")*(MOVIMIENTOS!$C$5:$C$400="C")*(MOVIMIENTOS!$D$5:$D$400="jabas")*(MOVIMIENTOS!$A$5:$A$400&lt;&gt;"")*(MOVIMIENTOS!$A$5:$A$400&lt;=$A24)*MOVIMIENTOS!$E$5:$E$400)-SUMPRODUCT((MOVIMIENTOS!$B$5:$B$400="VENTA")*(MOVIMIENTOS!$C$5:$C$400="C")*(MOVIMIENTOS!$D$5:$D$400="jabas")*(MOVIMIENTOS!$A$5:$A$400&lt;&gt;"")*(MOVIMIENTOS!$A$5:$A$400&lt;=$A24)*MOVIMIENTOS!$E$5:$E$400)+SUMPRODUCT((MOVIMIENTOS!$B$5:$B$400="AJUSTE")*(MOVIMIENTOS!$C$5:$C$400="C")*(MOVIMIENTOS!$D$5:$D$400="jabas")*(MOVIMIENTOS!$A$5:$A$400&lt;&gt;"")*(MOVIMIENTOS!$A$5:$A$400&lt;=$A24)*MOVIMIENTOS!$E$5:$E$400))</f>
        <v/>
      </c>
      <c r="E24" s="52" t="str">
        <f aca="false">IF($A24="","",SUMPRODUCT((MOVIMIENTOS!$B$5:$B$400="SALDO INICIAL")*(MOVIMIENTOS!$C$5:$C$400="M")*(MOVIMIENTOS!$D$5:$D$400="jabas")*(MOVIMIENTOS!$A$5:$A$400&lt;&gt;"")*(MOVIMIENTOS!$A$5:$A$400&lt;=$A24)*MOVIMIENTOS!$E$5:$E$400)+SUMPRODUCT((MOVIMIENTOS!$B$5:$B$400="PROCESO")*(MOVIMIENTOS!$C$5:$C$400="M")*(MOVIMIENTOS!$D$5:$D$400="jabas")*(MOVIMIENTOS!$A$5:$A$400&lt;&gt;"")*(MOVIMIENTOS!$A$5:$A$400&lt;=$A24)*MOVIMIENTOS!$E$5:$E$400)-SUMPRODUCT((MOVIMIENTOS!$B$5:$B$400="ENVÍO A SUPESA")*(MOVIMIENTOS!$C$5:$C$400="M")*(MOVIMIENTOS!$D$5:$D$400="jabas")*(MOVIMIENTOS!$A$5:$A$400&lt;&gt;"")*(MOVIMIENTOS!$A$5:$A$400&lt;=$A24)*MOVIMIENTOS!$E$5:$E$400)+SUMPRODUCT((MOVIMIENTOS!$B$5:$B$400="DEVOLUCIÓN")*(MOVIMIENTOS!$C$5:$C$400="M")*(MOVIMIENTOS!$D$5:$D$400="jabas")*(MOVIMIENTOS!$A$5:$A$400&lt;&gt;"")*(MOVIMIENTOS!$A$5:$A$400&lt;=$A24)*MOVIMIENTOS!$E$5:$E$400)-SUMPRODUCT((MOVIMIENTOS!$B$5:$B$400="TRASIEGO")*(MOVIMIENTOS!$C$5:$C$400="M")*(MOVIMIENTOS!$D$5:$D$400="jabas")*(MOVIMIENTOS!$A$5:$A$400&lt;&gt;"")*(MOVIMIENTOS!$A$5:$A$400&lt;=$A24)*MOVIMIENTOS!$E$5:$E$400)-SUMPRODUCT((MOVIMIENTOS!$B$5:$B$400="REGALO")*(MOVIMIENTOS!$C$5:$C$400="M")*(MOVIMIENTOS!$D$5:$D$400="jabas")*(MOVIMIENTOS!$A$5:$A$400&lt;&gt;"")*(MOVIMIENTOS!$A$5:$A$400&lt;=$A24)*MOVIMIENTOS!$E$5:$E$400)-SUMPRODUCT((MOVIMIENTOS!$B$5:$B$400="VENTA")*(MOVIMIENTOS!$C$5:$C$400="M")*(MOVIMIENTOS!$D$5:$D$400="jabas")*(MOVIMIENTOS!$A$5:$A$400&lt;&gt;"")*(MOVIMIENTOS!$A$5:$A$400&lt;=$A24)*MOVIMIENTOS!$E$5:$E$400)+SUMPRODUCT((MOVIMIENTOS!$B$5:$B$400="AJUSTE")*(MOVIMIENTOS!$C$5:$C$400="M")*(MOVIMIENTOS!$D$5:$D$400="jabas")*(MOVIMIENTOS!$A$5:$A$400&lt;&gt;"")*(MOVIMIENTOS!$A$5:$A$400&lt;=$A24)*MOVIMIENTOS!$E$5:$E$400))</f>
        <v/>
      </c>
      <c r="F24" s="52" t="str">
        <f aca="false">IF($A24="","",SUMPRODUCT((MOVIMIENTOS!$B$5:$B$400="SALDO INICIAL")*(MOVIMIENTOS!$C$5:$C$400="Chancho")*(MOVIMIENTOS!$D$5:$D$400="sacos")*(MOVIMIENTOS!$A$5:$A$400&lt;&gt;"")*(MOVIMIENTOS!$A$5:$A$400&lt;=$A24)*MOVIMIENTOS!$E$5:$E$400)+SUMPRODUCT((MOVIMIENTOS!$B$5:$B$400="PROCESO")*(MOVIMIENTOS!$C$5:$C$400="Chancho")*(MOVIMIENTOS!$D$5:$D$400="sacos")*(MOVIMIENTOS!$A$5:$A$400&lt;&gt;"")*(MOVIMIENTOS!$A$5:$A$400&lt;=$A24)*MOVIMIENTOS!$E$5:$E$400)-SUMPRODUCT((MOVIMIENTOS!$B$5:$B$400="VENTA CHANCHO")*(MOVIMIENTOS!$C$5:$C$400="Chancho")*(MOVIMIENTOS!$D$5:$D$400="sacos")*(MOVIMIENTOS!$A$5:$A$400&lt;&gt;"")*(MOVIMIENTOS!$A$5:$A$400&lt;=$A24)*MOVIMIENTOS!$E$5:$E$400)-SUMPRODUCT((MOVIMIENTOS!$B$5:$B$400="REGALO")*(MOVIMIENTOS!$C$5:$C$400="Chancho")*(MOVIMIENTOS!$D$5:$D$400="sacos")*(MOVIMIENTOS!$A$5:$A$400&lt;&gt;"")*(MOVIMIENTOS!$A$5:$A$400&lt;=$A24)*MOVIMIENTOS!$E$5:$E$400)-SUMPRODUCT((MOVIMIENTOS!$B$5:$B$400="VENTA")*(MOVIMIENTOS!$C$5:$C$400="Chancho")*(MOVIMIENTOS!$D$5:$D$400="sacos")*(MOVIMIENTOS!$A$5:$A$400&lt;&gt;"")*(MOVIMIENTOS!$A$5:$A$400&lt;=$A24)*MOVIMIENTOS!$E$5:$E$400)+SUMPRODUCT((MOVIMIENTOS!$B$5:$B$400="AJUSTE")*(MOVIMIENTOS!$C$5:$C$400="Chancho")*(MOVIMIENTOS!$D$5:$D$400="sacos")*(MOVIMIENTOS!$A$5:$A$400&lt;&gt;"")*(MOVIMIENTOS!$A$5:$A$400&lt;=$A24)*MOVIMIENTOS!$E$5:$E$400))</f>
        <v/>
      </c>
      <c r="G24" s="52" t="str">
        <f aca="false">IF($A24="","",SUM(B24:E24))</f>
        <v/>
      </c>
      <c r="H24" s="52" t="str">
        <f aca="false">IF($A24="","",SUMPRODUCT((((MOVIMIENTOS!$B$5:$B$400="SALDO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24)*MOVIMIENTOS!$I$5:$I$400))</f>
        <v/>
      </c>
      <c r="I24" s="48"/>
      <c r="J24" s="48" t="str">
        <f aca="false">IF(AND(MOVIMIENTOS!$A24&lt;&gt;"",COUNTIF(MOVIMIENTOS!$A$5:$A23,MOVIMIENTOS!$A24)=0),COUNT(J$4:J23)+1,"")</f>
        <v/>
      </c>
      <c r="K24" s="53" t="n">
        <f aca="false">MOVIMIENTOS!$A24</f>
        <v>46216</v>
      </c>
      <c r="L24" s="48"/>
      <c r="M24" s="48"/>
      <c r="N24" s="48"/>
    </row>
    <row r="25" customFormat="false" ht="15" hidden="false" customHeight="true" outlineLevel="0" collapsed="false">
      <c r="A25" s="51" t="str">
        <f aca="false">IFERROR(INDEX(K$5:K$400,MATCH(ROW()-4,J$5:J$400,0)),"")</f>
        <v/>
      </c>
      <c r="B25" s="52" t="str">
        <f aca="false">IF($A25="","",SUMPRODUCT((MOVIMIENTOS!$B$5:$B$400="SALDO INICIAL")*(MOVIMIENTOS!$C$5:$C$400="A")*(MOVIMIENTOS!$D$5:$D$400="jabas")*(MOVIMIENTOS!$A$5:$A$400&lt;&gt;"")*(MOVIMIENTOS!$A$5:$A$400&lt;=$A25)*MOVIMIENTOS!$E$5:$E$400)+SUMPRODUCT((MOVIMIENTOS!$B$5:$B$400="PROCESO")*(MOVIMIENTOS!$C$5:$C$400="A")*(MOVIMIENTOS!$D$5:$D$400="jabas")*(MOVIMIENTOS!$A$5:$A$400&lt;&gt;"")*(MOVIMIENTOS!$A$5:$A$400&lt;=$A25)*MOVIMIENTOS!$E$5:$E$400)-SUMPRODUCT((MOVIMIENTOS!$B$5:$B$400="ENVÍO A SUPESA")*(MOVIMIENTOS!$C$5:$C$400="A")*(MOVIMIENTOS!$D$5:$D$400="jabas")*(MOVIMIENTOS!$A$5:$A$400&lt;&gt;"")*(MOVIMIENTOS!$A$5:$A$400&lt;=$A25)*MOVIMIENTOS!$E$5:$E$400)+SUMPRODUCT((MOVIMIENTOS!$B$5:$B$400="DEVOLUCIÓN")*(MOVIMIENTOS!$C$5:$C$400="A")*(MOVIMIENTOS!$D$5:$D$400="jabas")*(MOVIMIENTOS!$A$5:$A$400&lt;&gt;"")*(MOVIMIENTOS!$A$5:$A$400&lt;=$A25)*MOVIMIENTOS!$E$5:$E$400)-SUMPRODUCT((MOVIMIENTOS!$B$5:$B$400="TRASIEGO")*(MOVIMIENTOS!$C$5:$C$400="A")*(MOVIMIENTOS!$D$5:$D$400="jabas")*(MOVIMIENTOS!$A$5:$A$400&lt;&gt;"")*(MOVIMIENTOS!$A$5:$A$400&lt;=$A25)*MOVIMIENTOS!$E$5:$E$400)-SUMPRODUCT((MOVIMIENTOS!$B$5:$B$400="REGALO")*(MOVIMIENTOS!$C$5:$C$400="A")*(MOVIMIENTOS!$D$5:$D$400="jabas")*(MOVIMIENTOS!$A$5:$A$400&lt;&gt;"")*(MOVIMIENTOS!$A$5:$A$400&lt;=$A25)*MOVIMIENTOS!$E$5:$E$400)-SUMPRODUCT((MOVIMIENTOS!$B$5:$B$400="VENTA")*(MOVIMIENTOS!$C$5:$C$400="A")*(MOVIMIENTOS!$D$5:$D$400="jabas")*(MOVIMIENTOS!$A$5:$A$400&lt;&gt;"")*(MOVIMIENTOS!$A$5:$A$400&lt;=$A25)*MOVIMIENTOS!$E$5:$E$400)+SUMPRODUCT((MOVIMIENTOS!$B$5:$B$400="AJUSTE")*(MOVIMIENTOS!$C$5:$C$400="A")*(MOVIMIENTOS!$D$5:$D$400="jabas")*(MOVIMIENTOS!$A$5:$A$400&lt;&gt;"")*(MOVIMIENTOS!$A$5:$A$400&lt;=$A25)*MOVIMIENTOS!$E$5:$E$400))</f>
        <v/>
      </c>
      <c r="C25" s="52" t="str">
        <f aca="false">IF($A25="","",SUMPRODUCT((MOVIMIENTOS!$B$5:$B$400="SALDO INICIAL")*(MOVIMIENTOS!$C$5:$C$400="P")*(MOVIMIENTOS!$D$5:$D$400="jabas")*(MOVIMIENTOS!$A$5:$A$400&lt;&gt;"")*(MOVIMIENTOS!$A$5:$A$400&lt;=$A25)*MOVIMIENTOS!$E$5:$E$400)+SUMPRODUCT((MOVIMIENTOS!$B$5:$B$400="PROCESO")*(MOVIMIENTOS!$C$5:$C$400="P")*(MOVIMIENTOS!$D$5:$D$400="jabas")*(MOVIMIENTOS!$A$5:$A$400&lt;&gt;"")*(MOVIMIENTOS!$A$5:$A$400&lt;=$A25)*MOVIMIENTOS!$E$5:$E$400)-SUMPRODUCT((MOVIMIENTOS!$B$5:$B$400="ENVÍO A SUPESA")*(MOVIMIENTOS!$C$5:$C$400="P")*(MOVIMIENTOS!$D$5:$D$400="jabas")*(MOVIMIENTOS!$A$5:$A$400&lt;&gt;"")*(MOVIMIENTOS!$A$5:$A$400&lt;=$A25)*MOVIMIENTOS!$E$5:$E$400)+SUMPRODUCT((MOVIMIENTOS!$B$5:$B$400="DEVOLUCIÓN")*(MOVIMIENTOS!$C$5:$C$400="P")*(MOVIMIENTOS!$D$5:$D$400="jabas")*(MOVIMIENTOS!$A$5:$A$400&lt;&gt;"")*(MOVIMIENTOS!$A$5:$A$400&lt;=$A25)*MOVIMIENTOS!$E$5:$E$400)-SUMPRODUCT((MOVIMIENTOS!$B$5:$B$400="TRASIEGO")*(MOVIMIENTOS!$C$5:$C$400="P")*(MOVIMIENTOS!$D$5:$D$400="jabas")*(MOVIMIENTOS!$A$5:$A$400&lt;&gt;"")*(MOVIMIENTOS!$A$5:$A$400&lt;=$A25)*MOVIMIENTOS!$E$5:$E$400)-SUMPRODUCT((MOVIMIENTOS!$B$5:$B$400="REGALO")*(MOVIMIENTOS!$C$5:$C$400="P")*(MOVIMIENTOS!$D$5:$D$400="jabas")*(MOVIMIENTOS!$A$5:$A$400&lt;&gt;"")*(MOVIMIENTOS!$A$5:$A$400&lt;=$A25)*MOVIMIENTOS!$E$5:$E$400)-SUMPRODUCT((MOVIMIENTOS!$B$5:$B$400="VENTA")*(MOVIMIENTOS!$C$5:$C$400="P")*(MOVIMIENTOS!$D$5:$D$400="jabas")*(MOVIMIENTOS!$A$5:$A$400&lt;&gt;"")*(MOVIMIENTOS!$A$5:$A$400&lt;=$A25)*MOVIMIENTOS!$E$5:$E$400)+SUMPRODUCT((MOVIMIENTOS!$B$5:$B$400="AJUSTE")*(MOVIMIENTOS!$C$5:$C$400="P")*(MOVIMIENTOS!$D$5:$D$400="jabas")*(MOVIMIENTOS!$A$5:$A$400&lt;&gt;"")*(MOVIMIENTOS!$A$5:$A$400&lt;=$A25)*MOVIMIENTOS!$E$5:$E$400))</f>
        <v/>
      </c>
      <c r="D25" s="52" t="str">
        <f aca="false">IF($A25="","",SUMPRODUCT((MOVIMIENTOS!$B$5:$B$400="SALDO INICIAL")*(MOVIMIENTOS!$C$5:$C$400="C")*(MOVIMIENTOS!$D$5:$D$400="jabas")*(MOVIMIENTOS!$A$5:$A$400&lt;&gt;"")*(MOVIMIENTOS!$A$5:$A$400&lt;=$A25)*MOVIMIENTOS!$E$5:$E$400)+SUMPRODUCT((MOVIMIENTOS!$B$5:$B$400="PROCESO")*(MOVIMIENTOS!$C$5:$C$400="C")*(MOVIMIENTOS!$D$5:$D$400="jabas")*(MOVIMIENTOS!$A$5:$A$400&lt;&gt;"")*(MOVIMIENTOS!$A$5:$A$400&lt;=$A25)*MOVIMIENTOS!$E$5:$E$400)-SUMPRODUCT((MOVIMIENTOS!$B$5:$B$400="ENVÍO A SUPESA")*(MOVIMIENTOS!$C$5:$C$400="C")*(MOVIMIENTOS!$D$5:$D$400="jabas")*(MOVIMIENTOS!$A$5:$A$400&lt;&gt;"")*(MOVIMIENTOS!$A$5:$A$400&lt;=$A25)*MOVIMIENTOS!$E$5:$E$400)+SUMPRODUCT((MOVIMIENTOS!$B$5:$B$400="DEVOLUCIÓN")*(MOVIMIENTOS!$C$5:$C$400="C")*(MOVIMIENTOS!$D$5:$D$400="jabas")*(MOVIMIENTOS!$A$5:$A$400&lt;&gt;"")*(MOVIMIENTOS!$A$5:$A$400&lt;=$A25)*MOVIMIENTOS!$E$5:$E$400)-SUMPRODUCT((MOVIMIENTOS!$B$5:$B$400="TRASIEGO")*(MOVIMIENTOS!$C$5:$C$400="C")*(MOVIMIENTOS!$D$5:$D$400="jabas")*(MOVIMIENTOS!$A$5:$A$400&lt;&gt;"")*(MOVIMIENTOS!$A$5:$A$400&lt;=$A25)*MOVIMIENTOS!$E$5:$E$400)-SUMPRODUCT((MOVIMIENTOS!$B$5:$B$400="REGALO")*(MOVIMIENTOS!$C$5:$C$400="C")*(MOVIMIENTOS!$D$5:$D$400="jabas")*(MOVIMIENTOS!$A$5:$A$400&lt;&gt;"")*(MOVIMIENTOS!$A$5:$A$400&lt;=$A25)*MOVIMIENTOS!$E$5:$E$400)-SUMPRODUCT((MOVIMIENTOS!$B$5:$B$400="VENTA")*(MOVIMIENTOS!$C$5:$C$400="C")*(MOVIMIENTOS!$D$5:$D$400="jabas")*(MOVIMIENTOS!$A$5:$A$400&lt;&gt;"")*(MOVIMIENTOS!$A$5:$A$400&lt;=$A25)*MOVIMIENTOS!$E$5:$E$400)+SUMPRODUCT((MOVIMIENTOS!$B$5:$B$400="AJUSTE")*(MOVIMIENTOS!$C$5:$C$400="C")*(MOVIMIENTOS!$D$5:$D$400="jabas")*(MOVIMIENTOS!$A$5:$A$400&lt;&gt;"")*(MOVIMIENTOS!$A$5:$A$400&lt;=$A25)*MOVIMIENTOS!$E$5:$E$400))</f>
        <v/>
      </c>
      <c r="E25" s="52" t="str">
        <f aca="false">IF($A25="","",SUMPRODUCT((MOVIMIENTOS!$B$5:$B$400="SALDO INICIAL")*(MOVIMIENTOS!$C$5:$C$400="M")*(MOVIMIENTOS!$D$5:$D$400="jabas")*(MOVIMIENTOS!$A$5:$A$400&lt;&gt;"")*(MOVIMIENTOS!$A$5:$A$400&lt;=$A25)*MOVIMIENTOS!$E$5:$E$400)+SUMPRODUCT((MOVIMIENTOS!$B$5:$B$400="PROCESO")*(MOVIMIENTOS!$C$5:$C$400="M")*(MOVIMIENTOS!$D$5:$D$400="jabas")*(MOVIMIENTOS!$A$5:$A$400&lt;&gt;"")*(MOVIMIENTOS!$A$5:$A$400&lt;=$A25)*MOVIMIENTOS!$E$5:$E$400)-SUMPRODUCT((MOVIMIENTOS!$B$5:$B$400="ENVÍO A SUPESA")*(MOVIMIENTOS!$C$5:$C$400="M")*(MOVIMIENTOS!$D$5:$D$400="jabas")*(MOVIMIENTOS!$A$5:$A$400&lt;&gt;"")*(MOVIMIENTOS!$A$5:$A$400&lt;=$A25)*MOVIMIENTOS!$E$5:$E$400)+SUMPRODUCT((MOVIMIENTOS!$B$5:$B$400="DEVOLUCIÓN")*(MOVIMIENTOS!$C$5:$C$400="M")*(MOVIMIENTOS!$D$5:$D$400="jabas")*(MOVIMIENTOS!$A$5:$A$400&lt;&gt;"")*(MOVIMIENTOS!$A$5:$A$400&lt;=$A25)*MOVIMIENTOS!$E$5:$E$400)-SUMPRODUCT((MOVIMIENTOS!$B$5:$B$400="TRASIEGO")*(MOVIMIENTOS!$C$5:$C$400="M")*(MOVIMIENTOS!$D$5:$D$400="jabas")*(MOVIMIENTOS!$A$5:$A$400&lt;&gt;"")*(MOVIMIENTOS!$A$5:$A$400&lt;=$A25)*MOVIMIENTOS!$E$5:$E$400)-SUMPRODUCT((MOVIMIENTOS!$B$5:$B$400="REGALO")*(MOVIMIENTOS!$C$5:$C$400="M")*(MOVIMIENTOS!$D$5:$D$400="jabas")*(MOVIMIENTOS!$A$5:$A$400&lt;&gt;"")*(MOVIMIENTOS!$A$5:$A$400&lt;=$A25)*MOVIMIENTOS!$E$5:$E$400)-SUMPRODUCT((MOVIMIENTOS!$B$5:$B$400="VENTA")*(MOVIMIENTOS!$C$5:$C$400="M")*(MOVIMIENTOS!$D$5:$D$400="jabas")*(MOVIMIENTOS!$A$5:$A$400&lt;&gt;"")*(MOVIMIENTOS!$A$5:$A$400&lt;=$A25)*MOVIMIENTOS!$E$5:$E$400)+SUMPRODUCT((MOVIMIENTOS!$B$5:$B$400="AJUSTE")*(MOVIMIENTOS!$C$5:$C$400="M")*(MOVIMIENTOS!$D$5:$D$400="jabas")*(MOVIMIENTOS!$A$5:$A$400&lt;&gt;"")*(MOVIMIENTOS!$A$5:$A$400&lt;=$A25)*MOVIMIENTOS!$E$5:$E$400))</f>
        <v/>
      </c>
      <c r="F25" s="52" t="str">
        <f aca="false">IF($A25="","",SUMPRODUCT((MOVIMIENTOS!$B$5:$B$400="SALDO INICIAL")*(MOVIMIENTOS!$C$5:$C$400="Chancho")*(MOVIMIENTOS!$D$5:$D$400="sacos")*(MOVIMIENTOS!$A$5:$A$400&lt;&gt;"")*(MOVIMIENTOS!$A$5:$A$400&lt;=$A25)*MOVIMIENTOS!$E$5:$E$400)+SUMPRODUCT((MOVIMIENTOS!$B$5:$B$400="PROCESO")*(MOVIMIENTOS!$C$5:$C$400="Chancho")*(MOVIMIENTOS!$D$5:$D$400="sacos")*(MOVIMIENTOS!$A$5:$A$400&lt;&gt;"")*(MOVIMIENTOS!$A$5:$A$400&lt;=$A25)*MOVIMIENTOS!$E$5:$E$400)-SUMPRODUCT((MOVIMIENTOS!$B$5:$B$400="VENTA CHANCHO")*(MOVIMIENTOS!$C$5:$C$400="Chancho")*(MOVIMIENTOS!$D$5:$D$400="sacos")*(MOVIMIENTOS!$A$5:$A$400&lt;&gt;"")*(MOVIMIENTOS!$A$5:$A$400&lt;=$A25)*MOVIMIENTOS!$E$5:$E$400)-SUMPRODUCT((MOVIMIENTOS!$B$5:$B$400="REGALO")*(MOVIMIENTOS!$C$5:$C$400="Chancho")*(MOVIMIENTOS!$D$5:$D$400="sacos")*(MOVIMIENTOS!$A$5:$A$400&lt;&gt;"")*(MOVIMIENTOS!$A$5:$A$400&lt;=$A25)*MOVIMIENTOS!$E$5:$E$400)-SUMPRODUCT((MOVIMIENTOS!$B$5:$B$400="VENTA")*(MOVIMIENTOS!$C$5:$C$400="Chancho")*(MOVIMIENTOS!$D$5:$D$400="sacos")*(MOVIMIENTOS!$A$5:$A$400&lt;&gt;"")*(MOVIMIENTOS!$A$5:$A$400&lt;=$A25)*MOVIMIENTOS!$E$5:$E$400)+SUMPRODUCT((MOVIMIENTOS!$B$5:$B$400="AJUSTE")*(MOVIMIENTOS!$C$5:$C$400="Chancho")*(MOVIMIENTOS!$D$5:$D$400="sacos")*(MOVIMIENTOS!$A$5:$A$400&lt;&gt;"")*(MOVIMIENTOS!$A$5:$A$400&lt;=$A25)*MOVIMIENTOS!$E$5:$E$400))</f>
        <v/>
      </c>
      <c r="G25" s="52" t="str">
        <f aca="false">IF($A25="","",SUM(B25:E25))</f>
        <v/>
      </c>
      <c r="H25" s="52" t="str">
        <f aca="false">IF($A25="","",SUMPRODUCT((((MOVIMIENTOS!$B$5:$B$400="SALDO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25)*MOVIMIENTOS!$I$5:$I$400))</f>
        <v/>
      </c>
      <c r="I25" s="48"/>
      <c r="J25" s="48" t="str">
        <f aca="false">IF(AND(MOVIMIENTOS!$A25&lt;&gt;"",COUNTIF(MOVIMIENTOS!$A$5:$A24,MOVIMIENTOS!$A25)=0),COUNT(J$4:J24)+1,"")</f>
        <v/>
      </c>
      <c r="K25" s="53" t="n">
        <f aca="false">MOVIMIENTOS!$A25</f>
        <v>46216</v>
      </c>
      <c r="L25" s="48"/>
      <c r="M25" s="48"/>
      <c r="N25" s="48"/>
    </row>
    <row r="26" customFormat="false" ht="15" hidden="false" customHeight="true" outlineLevel="0" collapsed="false">
      <c r="A26" s="51" t="str">
        <f aca="false">IFERROR(INDEX(K$5:K$400,MATCH(ROW()-4,J$5:J$400,0)),"")</f>
        <v/>
      </c>
      <c r="B26" s="52" t="str">
        <f aca="false">IF($A26="","",SUMPRODUCT((MOVIMIENTOS!$B$5:$B$400="SALDO INICIAL")*(MOVIMIENTOS!$C$5:$C$400="A")*(MOVIMIENTOS!$D$5:$D$400="jabas")*(MOVIMIENTOS!$A$5:$A$400&lt;&gt;"")*(MOVIMIENTOS!$A$5:$A$400&lt;=$A26)*MOVIMIENTOS!$E$5:$E$400)+SUMPRODUCT((MOVIMIENTOS!$B$5:$B$400="PROCESO")*(MOVIMIENTOS!$C$5:$C$400="A")*(MOVIMIENTOS!$D$5:$D$400="jabas")*(MOVIMIENTOS!$A$5:$A$400&lt;&gt;"")*(MOVIMIENTOS!$A$5:$A$400&lt;=$A26)*MOVIMIENTOS!$E$5:$E$400)-SUMPRODUCT((MOVIMIENTOS!$B$5:$B$400="ENVÍO A SUPESA")*(MOVIMIENTOS!$C$5:$C$400="A")*(MOVIMIENTOS!$D$5:$D$400="jabas")*(MOVIMIENTOS!$A$5:$A$400&lt;&gt;"")*(MOVIMIENTOS!$A$5:$A$400&lt;=$A26)*MOVIMIENTOS!$E$5:$E$400)+SUMPRODUCT((MOVIMIENTOS!$B$5:$B$400="DEVOLUCIÓN")*(MOVIMIENTOS!$C$5:$C$400="A")*(MOVIMIENTOS!$D$5:$D$400="jabas")*(MOVIMIENTOS!$A$5:$A$400&lt;&gt;"")*(MOVIMIENTOS!$A$5:$A$400&lt;=$A26)*MOVIMIENTOS!$E$5:$E$400)-SUMPRODUCT((MOVIMIENTOS!$B$5:$B$400="TRASIEGO")*(MOVIMIENTOS!$C$5:$C$400="A")*(MOVIMIENTOS!$D$5:$D$400="jabas")*(MOVIMIENTOS!$A$5:$A$400&lt;&gt;"")*(MOVIMIENTOS!$A$5:$A$400&lt;=$A26)*MOVIMIENTOS!$E$5:$E$400)-SUMPRODUCT((MOVIMIENTOS!$B$5:$B$400="REGALO")*(MOVIMIENTOS!$C$5:$C$400="A")*(MOVIMIENTOS!$D$5:$D$400="jabas")*(MOVIMIENTOS!$A$5:$A$400&lt;&gt;"")*(MOVIMIENTOS!$A$5:$A$400&lt;=$A26)*MOVIMIENTOS!$E$5:$E$400)-SUMPRODUCT((MOVIMIENTOS!$B$5:$B$400="VENTA")*(MOVIMIENTOS!$C$5:$C$400="A")*(MOVIMIENTOS!$D$5:$D$400="jabas")*(MOVIMIENTOS!$A$5:$A$400&lt;&gt;"")*(MOVIMIENTOS!$A$5:$A$400&lt;=$A26)*MOVIMIENTOS!$E$5:$E$400)+SUMPRODUCT((MOVIMIENTOS!$B$5:$B$400="AJUSTE")*(MOVIMIENTOS!$C$5:$C$400="A")*(MOVIMIENTOS!$D$5:$D$400="jabas")*(MOVIMIENTOS!$A$5:$A$400&lt;&gt;"")*(MOVIMIENTOS!$A$5:$A$400&lt;=$A26)*MOVIMIENTOS!$E$5:$E$400))</f>
        <v/>
      </c>
      <c r="C26" s="52" t="str">
        <f aca="false">IF($A26="","",SUMPRODUCT((MOVIMIENTOS!$B$5:$B$400="SALDO INICIAL")*(MOVIMIENTOS!$C$5:$C$400="P")*(MOVIMIENTOS!$D$5:$D$400="jabas")*(MOVIMIENTOS!$A$5:$A$400&lt;&gt;"")*(MOVIMIENTOS!$A$5:$A$400&lt;=$A26)*MOVIMIENTOS!$E$5:$E$400)+SUMPRODUCT((MOVIMIENTOS!$B$5:$B$400="PROCESO")*(MOVIMIENTOS!$C$5:$C$400="P")*(MOVIMIENTOS!$D$5:$D$400="jabas")*(MOVIMIENTOS!$A$5:$A$400&lt;&gt;"")*(MOVIMIENTOS!$A$5:$A$400&lt;=$A26)*MOVIMIENTOS!$E$5:$E$400)-SUMPRODUCT((MOVIMIENTOS!$B$5:$B$400="ENVÍO A SUPESA")*(MOVIMIENTOS!$C$5:$C$400="P")*(MOVIMIENTOS!$D$5:$D$400="jabas")*(MOVIMIENTOS!$A$5:$A$400&lt;&gt;"")*(MOVIMIENTOS!$A$5:$A$400&lt;=$A26)*MOVIMIENTOS!$E$5:$E$400)+SUMPRODUCT((MOVIMIENTOS!$B$5:$B$400="DEVOLUCIÓN")*(MOVIMIENTOS!$C$5:$C$400="P")*(MOVIMIENTOS!$D$5:$D$400="jabas")*(MOVIMIENTOS!$A$5:$A$400&lt;&gt;"")*(MOVIMIENTOS!$A$5:$A$400&lt;=$A26)*MOVIMIENTOS!$E$5:$E$400)-SUMPRODUCT((MOVIMIENTOS!$B$5:$B$400="TRASIEGO")*(MOVIMIENTOS!$C$5:$C$400="P")*(MOVIMIENTOS!$D$5:$D$400="jabas")*(MOVIMIENTOS!$A$5:$A$400&lt;&gt;"")*(MOVIMIENTOS!$A$5:$A$400&lt;=$A26)*MOVIMIENTOS!$E$5:$E$400)-SUMPRODUCT((MOVIMIENTOS!$B$5:$B$400="REGALO")*(MOVIMIENTOS!$C$5:$C$400="P")*(MOVIMIENTOS!$D$5:$D$400="jabas")*(MOVIMIENTOS!$A$5:$A$400&lt;&gt;"")*(MOVIMIENTOS!$A$5:$A$400&lt;=$A26)*MOVIMIENTOS!$E$5:$E$400)-SUMPRODUCT((MOVIMIENTOS!$B$5:$B$400="VENTA")*(MOVIMIENTOS!$C$5:$C$400="P")*(MOVIMIENTOS!$D$5:$D$400="jabas")*(MOVIMIENTOS!$A$5:$A$400&lt;&gt;"")*(MOVIMIENTOS!$A$5:$A$400&lt;=$A26)*MOVIMIENTOS!$E$5:$E$400)+SUMPRODUCT((MOVIMIENTOS!$B$5:$B$400="AJUSTE")*(MOVIMIENTOS!$C$5:$C$400="P")*(MOVIMIENTOS!$D$5:$D$400="jabas")*(MOVIMIENTOS!$A$5:$A$400&lt;&gt;"")*(MOVIMIENTOS!$A$5:$A$400&lt;=$A26)*MOVIMIENTOS!$E$5:$E$400))</f>
        <v/>
      </c>
      <c r="D26" s="52" t="str">
        <f aca="false">IF($A26="","",SUMPRODUCT((MOVIMIENTOS!$B$5:$B$400="SALDO INICIAL")*(MOVIMIENTOS!$C$5:$C$400="C")*(MOVIMIENTOS!$D$5:$D$400="jabas")*(MOVIMIENTOS!$A$5:$A$400&lt;&gt;"")*(MOVIMIENTOS!$A$5:$A$400&lt;=$A26)*MOVIMIENTOS!$E$5:$E$400)+SUMPRODUCT((MOVIMIENTOS!$B$5:$B$400="PROCESO")*(MOVIMIENTOS!$C$5:$C$400="C")*(MOVIMIENTOS!$D$5:$D$400="jabas")*(MOVIMIENTOS!$A$5:$A$400&lt;&gt;"")*(MOVIMIENTOS!$A$5:$A$400&lt;=$A26)*MOVIMIENTOS!$E$5:$E$400)-SUMPRODUCT((MOVIMIENTOS!$B$5:$B$400="ENVÍO A SUPESA")*(MOVIMIENTOS!$C$5:$C$400="C")*(MOVIMIENTOS!$D$5:$D$400="jabas")*(MOVIMIENTOS!$A$5:$A$400&lt;&gt;"")*(MOVIMIENTOS!$A$5:$A$400&lt;=$A26)*MOVIMIENTOS!$E$5:$E$400)+SUMPRODUCT((MOVIMIENTOS!$B$5:$B$400="DEVOLUCIÓN")*(MOVIMIENTOS!$C$5:$C$400="C")*(MOVIMIENTOS!$D$5:$D$400="jabas")*(MOVIMIENTOS!$A$5:$A$400&lt;&gt;"")*(MOVIMIENTOS!$A$5:$A$400&lt;=$A26)*MOVIMIENTOS!$E$5:$E$400)-SUMPRODUCT((MOVIMIENTOS!$B$5:$B$400="TRASIEGO")*(MOVIMIENTOS!$C$5:$C$400="C")*(MOVIMIENTOS!$D$5:$D$400="jabas")*(MOVIMIENTOS!$A$5:$A$400&lt;&gt;"")*(MOVIMIENTOS!$A$5:$A$400&lt;=$A26)*MOVIMIENTOS!$E$5:$E$400)-SUMPRODUCT((MOVIMIENTOS!$B$5:$B$400="REGALO")*(MOVIMIENTOS!$C$5:$C$400="C")*(MOVIMIENTOS!$D$5:$D$400="jabas")*(MOVIMIENTOS!$A$5:$A$400&lt;&gt;"")*(MOVIMIENTOS!$A$5:$A$400&lt;=$A26)*MOVIMIENTOS!$E$5:$E$400)-SUMPRODUCT((MOVIMIENTOS!$B$5:$B$400="VENTA")*(MOVIMIENTOS!$C$5:$C$400="C")*(MOVIMIENTOS!$D$5:$D$400="jabas")*(MOVIMIENTOS!$A$5:$A$400&lt;&gt;"")*(MOVIMIENTOS!$A$5:$A$400&lt;=$A26)*MOVIMIENTOS!$E$5:$E$400)+SUMPRODUCT((MOVIMIENTOS!$B$5:$B$400="AJUSTE")*(MOVIMIENTOS!$C$5:$C$400="C")*(MOVIMIENTOS!$D$5:$D$400="jabas")*(MOVIMIENTOS!$A$5:$A$400&lt;&gt;"")*(MOVIMIENTOS!$A$5:$A$400&lt;=$A26)*MOVIMIENTOS!$E$5:$E$400))</f>
        <v/>
      </c>
      <c r="E26" s="52" t="str">
        <f aca="false">IF($A26="","",SUMPRODUCT((MOVIMIENTOS!$B$5:$B$400="SALDO INICIAL")*(MOVIMIENTOS!$C$5:$C$400="M")*(MOVIMIENTOS!$D$5:$D$400="jabas")*(MOVIMIENTOS!$A$5:$A$400&lt;&gt;"")*(MOVIMIENTOS!$A$5:$A$400&lt;=$A26)*MOVIMIENTOS!$E$5:$E$400)+SUMPRODUCT((MOVIMIENTOS!$B$5:$B$400="PROCESO")*(MOVIMIENTOS!$C$5:$C$400="M")*(MOVIMIENTOS!$D$5:$D$400="jabas")*(MOVIMIENTOS!$A$5:$A$400&lt;&gt;"")*(MOVIMIENTOS!$A$5:$A$400&lt;=$A26)*MOVIMIENTOS!$E$5:$E$400)-SUMPRODUCT((MOVIMIENTOS!$B$5:$B$400="ENVÍO A SUPESA")*(MOVIMIENTOS!$C$5:$C$400="M")*(MOVIMIENTOS!$D$5:$D$400="jabas")*(MOVIMIENTOS!$A$5:$A$400&lt;&gt;"")*(MOVIMIENTOS!$A$5:$A$400&lt;=$A26)*MOVIMIENTOS!$E$5:$E$400)+SUMPRODUCT((MOVIMIENTOS!$B$5:$B$400="DEVOLUCIÓN")*(MOVIMIENTOS!$C$5:$C$400="M")*(MOVIMIENTOS!$D$5:$D$400="jabas")*(MOVIMIENTOS!$A$5:$A$400&lt;&gt;"")*(MOVIMIENTOS!$A$5:$A$400&lt;=$A26)*MOVIMIENTOS!$E$5:$E$400)-SUMPRODUCT((MOVIMIENTOS!$B$5:$B$400="TRASIEGO")*(MOVIMIENTOS!$C$5:$C$400="M")*(MOVIMIENTOS!$D$5:$D$400="jabas")*(MOVIMIENTOS!$A$5:$A$400&lt;&gt;"")*(MOVIMIENTOS!$A$5:$A$400&lt;=$A26)*MOVIMIENTOS!$E$5:$E$400)-SUMPRODUCT((MOVIMIENTOS!$B$5:$B$400="REGALO")*(MOVIMIENTOS!$C$5:$C$400="M")*(MOVIMIENTOS!$D$5:$D$400="jabas")*(MOVIMIENTOS!$A$5:$A$400&lt;&gt;"")*(MOVIMIENTOS!$A$5:$A$400&lt;=$A26)*MOVIMIENTOS!$E$5:$E$400)-SUMPRODUCT((MOVIMIENTOS!$B$5:$B$400="VENTA")*(MOVIMIENTOS!$C$5:$C$400="M")*(MOVIMIENTOS!$D$5:$D$400="jabas")*(MOVIMIENTOS!$A$5:$A$400&lt;&gt;"")*(MOVIMIENTOS!$A$5:$A$400&lt;=$A26)*MOVIMIENTOS!$E$5:$E$400)+SUMPRODUCT((MOVIMIENTOS!$B$5:$B$400="AJUSTE")*(MOVIMIENTOS!$C$5:$C$400="M")*(MOVIMIENTOS!$D$5:$D$400="jabas")*(MOVIMIENTOS!$A$5:$A$400&lt;&gt;"")*(MOVIMIENTOS!$A$5:$A$400&lt;=$A26)*MOVIMIENTOS!$E$5:$E$400))</f>
        <v/>
      </c>
      <c r="F26" s="52" t="str">
        <f aca="false">IF($A26="","",SUMPRODUCT((MOVIMIENTOS!$B$5:$B$400="SALDO INICIAL")*(MOVIMIENTOS!$C$5:$C$400="Chancho")*(MOVIMIENTOS!$D$5:$D$400="sacos")*(MOVIMIENTOS!$A$5:$A$400&lt;&gt;"")*(MOVIMIENTOS!$A$5:$A$400&lt;=$A26)*MOVIMIENTOS!$E$5:$E$400)+SUMPRODUCT((MOVIMIENTOS!$B$5:$B$400="PROCESO")*(MOVIMIENTOS!$C$5:$C$400="Chancho")*(MOVIMIENTOS!$D$5:$D$400="sacos")*(MOVIMIENTOS!$A$5:$A$400&lt;&gt;"")*(MOVIMIENTOS!$A$5:$A$400&lt;=$A26)*MOVIMIENTOS!$E$5:$E$400)-SUMPRODUCT((MOVIMIENTOS!$B$5:$B$400="VENTA CHANCHO")*(MOVIMIENTOS!$C$5:$C$400="Chancho")*(MOVIMIENTOS!$D$5:$D$400="sacos")*(MOVIMIENTOS!$A$5:$A$400&lt;&gt;"")*(MOVIMIENTOS!$A$5:$A$400&lt;=$A26)*MOVIMIENTOS!$E$5:$E$400)-SUMPRODUCT((MOVIMIENTOS!$B$5:$B$400="REGALO")*(MOVIMIENTOS!$C$5:$C$400="Chancho")*(MOVIMIENTOS!$D$5:$D$400="sacos")*(MOVIMIENTOS!$A$5:$A$400&lt;&gt;"")*(MOVIMIENTOS!$A$5:$A$400&lt;=$A26)*MOVIMIENTOS!$E$5:$E$400)-SUMPRODUCT((MOVIMIENTOS!$B$5:$B$400="VENTA")*(MOVIMIENTOS!$C$5:$C$400="Chancho")*(MOVIMIENTOS!$D$5:$D$400="sacos")*(MOVIMIENTOS!$A$5:$A$400&lt;&gt;"")*(MOVIMIENTOS!$A$5:$A$400&lt;=$A26)*MOVIMIENTOS!$E$5:$E$400)+SUMPRODUCT((MOVIMIENTOS!$B$5:$B$400="AJUSTE")*(MOVIMIENTOS!$C$5:$C$400="Chancho")*(MOVIMIENTOS!$D$5:$D$400="sacos")*(MOVIMIENTOS!$A$5:$A$400&lt;&gt;"")*(MOVIMIENTOS!$A$5:$A$400&lt;=$A26)*MOVIMIENTOS!$E$5:$E$400))</f>
        <v/>
      </c>
      <c r="G26" s="52" t="str">
        <f aca="false">IF($A26="","",SUM(B26:E26))</f>
        <v/>
      </c>
      <c r="H26" s="52" t="str">
        <f aca="false">IF($A26="","",SUMPRODUCT((((MOVIMIENTOS!$B$5:$B$400="SALDO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26)*MOVIMIENTOS!$I$5:$I$400))</f>
        <v/>
      </c>
      <c r="I26" s="48"/>
      <c r="J26" s="48" t="str">
        <f aca="false">IF(AND(MOVIMIENTOS!$A26&lt;&gt;"",COUNTIF(MOVIMIENTOS!$A$5:$A25,MOVIMIENTOS!$A26)=0),COUNT(J$4:J25)+1,"")</f>
        <v/>
      </c>
      <c r="K26" s="53" t="n">
        <f aca="false">MOVIMIENTOS!$A26</f>
        <v>46216</v>
      </c>
      <c r="L26" s="48"/>
      <c r="M26" s="48"/>
      <c r="N26" s="48"/>
    </row>
    <row r="27" customFormat="false" ht="15" hidden="false" customHeight="true" outlineLevel="0" collapsed="false">
      <c r="A27" s="51" t="str">
        <f aca="false">IFERROR(INDEX(K$5:K$400,MATCH(ROW()-4,J$5:J$400,0)),"")</f>
        <v/>
      </c>
      <c r="B27" s="52" t="str">
        <f aca="false">IF($A27="","",SUMPRODUCT((MOVIMIENTOS!$B$5:$B$400="SALDO INICIAL")*(MOVIMIENTOS!$C$5:$C$400="A")*(MOVIMIENTOS!$D$5:$D$400="jabas")*(MOVIMIENTOS!$A$5:$A$400&lt;&gt;"")*(MOVIMIENTOS!$A$5:$A$400&lt;=$A27)*MOVIMIENTOS!$E$5:$E$400)+SUMPRODUCT((MOVIMIENTOS!$B$5:$B$400="PROCESO")*(MOVIMIENTOS!$C$5:$C$400="A")*(MOVIMIENTOS!$D$5:$D$400="jabas")*(MOVIMIENTOS!$A$5:$A$400&lt;&gt;"")*(MOVIMIENTOS!$A$5:$A$400&lt;=$A27)*MOVIMIENTOS!$E$5:$E$400)-SUMPRODUCT((MOVIMIENTOS!$B$5:$B$400="ENVÍO A SUPESA")*(MOVIMIENTOS!$C$5:$C$400="A")*(MOVIMIENTOS!$D$5:$D$400="jabas")*(MOVIMIENTOS!$A$5:$A$400&lt;&gt;"")*(MOVIMIENTOS!$A$5:$A$400&lt;=$A27)*MOVIMIENTOS!$E$5:$E$400)+SUMPRODUCT((MOVIMIENTOS!$B$5:$B$400="DEVOLUCIÓN")*(MOVIMIENTOS!$C$5:$C$400="A")*(MOVIMIENTOS!$D$5:$D$400="jabas")*(MOVIMIENTOS!$A$5:$A$400&lt;&gt;"")*(MOVIMIENTOS!$A$5:$A$400&lt;=$A27)*MOVIMIENTOS!$E$5:$E$400)-SUMPRODUCT((MOVIMIENTOS!$B$5:$B$400="TRASIEGO")*(MOVIMIENTOS!$C$5:$C$400="A")*(MOVIMIENTOS!$D$5:$D$400="jabas")*(MOVIMIENTOS!$A$5:$A$400&lt;&gt;"")*(MOVIMIENTOS!$A$5:$A$400&lt;=$A27)*MOVIMIENTOS!$E$5:$E$400)-SUMPRODUCT((MOVIMIENTOS!$B$5:$B$400="REGALO")*(MOVIMIENTOS!$C$5:$C$400="A")*(MOVIMIENTOS!$D$5:$D$400="jabas")*(MOVIMIENTOS!$A$5:$A$400&lt;&gt;"")*(MOVIMIENTOS!$A$5:$A$400&lt;=$A27)*MOVIMIENTOS!$E$5:$E$400)-SUMPRODUCT((MOVIMIENTOS!$B$5:$B$400="VENTA")*(MOVIMIENTOS!$C$5:$C$400="A")*(MOVIMIENTOS!$D$5:$D$400="jabas")*(MOVIMIENTOS!$A$5:$A$400&lt;&gt;"")*(MOVIMIENTOS!$A$5:$A$400&lt;=$A27)*MOVIMIENTOS!$E$5:$E$400)+SUMPRODUCT((MOVIMIENTOS!$B$5:$B$400="AJUSTE")*(MOVIMIENTOS!$C$5:$C$400="A")*(MOVIMIENTOS!$D$5:$D$400="jabas")*(MOVIMIENTOS!$A$5:$A$400&lt;&gt;"")*(MOVIMIENTOS!$A$5:$A$400&lt;=$A27)*MOVIMIENTOS!$E$5:$E$400))</f>
        <v/>
      </c>
      <c r="C27" s="52" t="str">
        <f aca="false">IF($A27="","",SUMPRODUCT((MOVIMIENTOS!$B$5:$B$400="SALDO INICIAL")*(MOVIMIENTOS!$C$5:$C$400="P")*(MOVIMIENTOS!$D$5:$D$400="jabas")*(MOVIMIENTOS!$A$5:$A$400&lt;&gt;"")*(MOVIMIENTOS!$A$5:$A$400&lt;=$A27)*MOVIMIENTOS!$E$5:$E$400)+SUMPRODUCT((MOVIMIENTOS!$B$5:$B$400="PROCESO")*(MOVIMIENTOS!$C$5:$C$400="P")*(MOVIMIENTOS!$D$5:$D$400="jabas")*(MOVIMIENTOS!$A$5:$A$400&lt;&gt;"")*(MOVIMIENTOS!$A$5:$A$400&lt;=$A27)*MOVIMIENTOS!$E$5:$E$400)-SUMPRODUCT((MOVIMIENTOS!$B$5:$B$400="ENVÍO A SUPESA")*(MOVIMIENTOS!$C$5:$C$400="P")*(MOVIMIENTOS!$D$5:$D$400="jabas")*(MOVIMIENTOS!$A$5:$A$400&lt;&gt;"")*(MOVIMIENTOS!$A$5:$A$400&lt;=$A27)*MOVIMIENTOS!$E$5:$E$400)+SUMPRODUCT((MOVIMIENTOS!$B$5:$B$400="DEVOLUCIÓN")*(MOVIMIENTOS!$C$5:$C$400="P")*(MOVIMIENTOS!$D$5:$D$400="jabas")*(MOVIMIENTOS!$A$5:$A$400&lt;&gt;"")*(MOVIMIENTOS!$A$5:$A$400&lt;=$A27)*MOVIMIENTOS!$E$5:$E$400)-SUMPRODUCT((MOVIMIENTOS!$B$5:$B$400="TRASIEGO")*(MOVIMIENTOS!$C$5:$C$400="P")*(MOVIMIENTOS!$D$5:$D$400="jabas")*(MOVIMIENTOS!$A$5:$A$400&lt;&gt;"")*(MOVIMIENTOS!$A$5:$A$400&lt;=$A27)*MOVIMIENTOS!$E$5:$E$400)-SUMPRODUCT((MOVIMIENTOS!$B$5:$B$400="REGALO")*(MOVIMIENTOS!$C$5:$C$400="P")*(MOVIMIENTOS!$D$5:$D$400="jabas")*(MOVIMIENTOS!$A$5:$A$400&lt;&gt;"")*(MOVIMIENTOS!$A$5:$A$400&lt;=$A27)*MOVIMIENTOS!$E$5:$E$400)-SUMPRODUCT((MOVIMIENTOS!$B$5:$B$400="VENTA")*(MOVIMIENTOS!$C$5:$C$400="P")*(MOVIMIENTOS!$D$5:$D$400="jabas")*(MOVIMIENTOS!$A$5:$A$400&lt;&gt;"")*(MOVIMIENTOS!$A$5:$A$400&lt;=$A27)*MOVIMIENTOS!$E$5:$E$400)+SUMPRODUCT((MOVIMIENTOS!$B$5:$B$400="AJUSTE")*(MOVIMIENTOS!$C$5:$C$400="P")*(MOVIMIENTOS!$D$5:$D$400="jabas")*(MOVIMIENTOS!$A$5:$A$400&lt;&gt;"")*(MOVIMIENTOS!$A$5:$A$400&lt;=$A27)*MOVIMIENTOS!$E$5:$E$400))</f>
        <v/>
      </c>
      <c r="D27" s="52" t="str">
        <f aca="false">IF($A27="","",SUMPRODUCT((MOVIMIENTOS!$B$5:$B$400="SALDO INICIAL")*(MOVIMIENTOS!$C$5:$C$400="C")*(MOVIMIENTOS!$D$5:$D$400="jabas")*(MOVIMIENTOS!$A$5:$A$400&lt;&gt;"")*(MOVIMIENTOS!$A$5:$A$400&lt;=$A27)*MOVIMIENTOS!$E$5:$E$400)+SUMPRODUCT((MOVIMIENTOS!$B$5:$B$400="PROCESO")*(MOVIMIENTOS!$C$5:$C$400="C")*(MOVIMIENTOS!$D$5:$D$400="jabas")*(MOVIMIENTOS!$A$5:$A$400&lt;&gt;"")*(MOVIMIENTOS!$A$5:$A$400&lt;=$A27)*MOVIMIENTOS!$E$5:$E$400)-SUMPRODUCT((MOVIMIENTOS!$B$5:$B$400="ENVÍO A SUPESA")*(MOVIMIENTOS!$C$5:$C$400="C")*(MOVIMIENTOS!$D$5:$D$400="jabas")*(MOVIMIENTOS!$A$5:$A$400&lt;&gt;"")*(MOVIMIENTOS!$A$5:$A$400&lt;=$A27)*MOVIMIENTOS!$E$5:$E$400)+SUMPRODUCT((MOVIMIENTOS!$B$5:$B$400="DEVOLUCIÓN")*(MOVIMIENTOS!$C$5:$C$400="C")*(MOVIMIENTOS!$D$5:$D$400="jabas")*(MOVIMIENTOS!$A$5:$A$400&lt;&gt;"")*(MOVIMIENTOS!$A$5:$A$400&lt;=$A27)*MOVIMIENTOS!$E$5:$E$400)-SUMPRODUCT((MOVIMIENTOS!$B$5:$B$400="TRASIEGO")*(MOVIMIENTOS!$C$5:$C$400="C")*(MOVIMIENTOS!$D$5:$D$400="jabas")*(MOVIMIENTOS!$A$5:$A$400&lt;&gt;"")*(MOVIMIENTOS!$A$5:$A$400&lt;=$A27)*MOVIMIENTOS!$E$5:$E$400)-SUMPRODUCT((MOVIMIENTOS!$B$5:$B$400="REGALO")*(MOVIMIENTOS!$C$5:$C$400="C")*(MOVIMIENTOS!$D$5:$D$400="jabas")*(MOVIMIENTOS!$A$5:$A$400&lt;&gt;"")*(MOVIMIENTOS!$A$5:$A$400&lt;=$A27)*MOVIMIENTOS!$E$5:$E$400)-SUMPRODUCT((MOVIMIENTOS!$B$5:$B$400="VENTA")*(MOVIMIENTOS!$C$5:$C$400="C")*(MOVIMIENTOS!$D$5:$D$400="jabas")*(MOVIMIENTOS!$A$5:$A$400&lt;&gt;"")*(MOVIMIENTOS!$A$5:$A$400&lt;=$A27)*MOVIMIENTOS!$E$5:$E$400)+SUMPRODUCT((MOVIMIENTOS!$B$5:$B$400="AJUSTE")*(MOVIMIENTOS!$C$5:$C$400="C")*(MOVIMIENTOS!$D$5:$D$400="jabas")*(MOVIMIENTOS!$A$5:$A$400&lt;&gt;"")*(MOVIMIENTOS!$A$5:$A$400&lt;=$A27)*MOVIMIENTOS!$E$5:$E$400))</f>
        <v/>
      </c>
      <c r="E27" s="52" t="str">
        <f aca="false">IF($A27="","",SUMPRODUCT((MOVIMIENTOS!$B$5:$B$400="SALDO INICIAL")*(MOVIMIENTOS!$C$5:$C$400="M")*(MOVIMIENTOS!$D$5:$D$400="jabas")*(MOVIMIENTOS!$A$5:$A$400&lt;&gt;"")*(MOVIMIENTOS!$A$5:$A$400&lt;=$A27)*MOVIMIENTOS!$E$5:$E$400)+SUMPRODUCT((MOVIMIENTOS!$B$5:$B$400="PROCESO")*(MOVIMIENTOS!$C$5:$C$400="M")*(MOVIMIENTOS!$D$5:$D$400="jabas")*(MOVIMIENTOS!$A$5:$A$400&lt;&gt;"")*(MOVIMIENTOS!$A$5:$A$400&lt;=$A27)*MOVIMIENTOS!$E$5:$E$400)-SUMPRODUCT((MOVIMIENTOS!$B$5:$B$400="ENVÍO A SUPESA")*(MOVIMIENTOS!$C$5:$C$400="M")*(MOVIMIENTOS!$D$5:$D$400="jabas")*(MOVIMIENTOS!$A$5:$A$400&lt;&gt;"")*(MOVIMIENTOS!$A$5:$A$400&lt;=$A27)*MOVIMIENTOS!$E$5:$E$400)+SUMPRODUCT((MOVIMIENTOS!$B$5:$B$400="DEVOLUCIÓN")*(MOVIMIENTOS!$C$5:$C$400="M")*(MOVIMIENTOS!$D$5:$D$400="jabas")*(MOVIMIENTOS!$A$5:$A$400&lt;&gt;"")*(MOVIMIENTOS!$A$5:$A$400&lt;=$A27)*MOVIMIENTOS!$E$5:$E$400)-SUMPRODUCT((MOVIMIENTOS!$B$5:$B$400="TRASIEGO")*(MOVIMIENTOS!$C$5:$C$400="M")*(MOVIMIENTOS!$D$5:$D$400="jabas")*(MOVIMIENTOS!$A$5:$A$400&lt;&gt;"")*(MOVIMIENTOS!$A$5:$A$400&lt;=$A27)*MOVIMIENTOS!$E$5:$E$400)-SUMPRODUCT((MOVIMIENTOS!$B$5:$B$400="REGALO")*(MOVIMIENTOS!$C$5:$C$400="M")*(MOVIMIENTOS!$D$5:$D$400="jabas")*(MOVIMIENTOS!$A$5:$A$400&lt;&gt;"")*(MOVIMIENTOS!$A$5:$A$400&lt;=$A27)*MOVIMIENTOS!$E$5:$E$400)-SUMPRODUCT((MOVIMIENTOS!$B$5:$B$400="VENTA")*(MOVIMIENTOS!$C$5:$C$400="M")*(MOVIMIENTOS!$D$5:$D$400="jabas")*(MOVIMIENTOS!$A$5:$A$400&lt;&gt;"")*(MOVIMIENTOS!$A$5:$A$400&lt;=$A27)*MOVIMIENTOS!$E$5:$E$400)+SUMPRODUCT((MOVIMIENTOS!$B$5:$B$400="AJUSTE")*(MOVIMIENTOS!$C$5:$C$400="M")*(MOVIMIENTOS!$D$5:$D$400="jabas")*(MOVIMIENTOS!$A$5:$A$400&lt;&gt;"")*(MOVIMIENTOS!$A$5:$A$400&lt;=$A27)*MOVIMIENTOS!$E$5:$E$400))</f>
        <v/>
      </c>
      <c r="F27" s="52" t="str">
        <f aca="false">IF($A27="","",SUMPRODUCT((MOVIMIENTOS!$B$5:$B$400="SALDO INICIAL")*(MOVIMIENTOS!$C$5:$C$400="Chancho")*(MOVIMIENTOS!$D$5:$D$400="sacos")*(MOVIMIENTOS!$A$5:$A$400&lt;&gt;"")*(MOVIMIENTOS!$A$5:$A$400&lt;=$A27)*MOVIMIENTOS!$E$5:$E$400)+SUMPRODUCT((MOVIMIENTOS!$B$5:$B$400="PROCESO")*(MOVIMIENTOS!$C$5:$C$400="Chancho")*(MOVIMIENTOS!$D$5:$D$400="sacos")*(MOVIMIENTOS!$A$5:$A$400&lt;&gt;"")*(MOVIMIENTOS!$A$5:$A$400&lt;=$A27)*MOVIMIENTOS!$E$5:$E$400)-SUMPRODUCT((MOVIMIENTOS!$B$5:$B$400="VENTA CHANCHO")*(MOVIMIENTOS!$C$5:$C$400="Chancho")*(MOVIMIENTOS!$D$5:$D$400="sacos")*(MOVIMIENTOS!$A$5:$A$400&lt;&gt;"")*(MOVIMIENTOS!$A$5:$A$400&lt;=$A27)*MOVIMIENTOS!$E$5:$E$400)-SUMPRODUCT((MOVIMIENTOS!$B$5:$B$400="REGALO")*(MOVIMIENTOS!$C$5:$C$400="Chancho")*(MOVIMIENTOS!$D$5:$D$400="sacos")*(MOVIMIENTOS!$A$5:$A$400&lt;&gt;"")*(MOVIMIENTOS!$A$5:$A$400&lt;=$A27)*MOVIMIENTOS!$E$5:$E$400)-SUMPRODUCT((MOVIMIENTOS!$B$5:$B$400="VENTA")*(MOVIMIENTOS!$C$5:$C$400="Chancho")*(MOVIMIENTOS!$D$5:$D$400="sacos")*(MOVIMIENTOS!$A$5:$A$400&lt;&gt;"")*(MOVIMIENTOS!$A$5:$A$400&lt;=$A27)*MOVIMIENTOS!$E$5:$E$400)+SUMPRODUCT((MOVIMIENTOS!$B$5:$B$400="AJUSTE")*(MOVIMIENTOS!$C$5:$C$400="Chancho")*(MOVIMIENTOS!$D$5:$D$400="sacos")*(MOVIMIENTOS!$A$5:$A$400&lt;&gt;"")*(MOVIMIENTOS!$A$5:$A$400&lt;=$A27)*MOVIMIENTOS!$E$5:$E$400))</f>
        <v/>
      </c>
      <c r="G27" s="52" t="str">
        <f aca="false">IF($A27="","",SUM(B27:E27))</f>
        <v/>
      </c>
      <c r="H27" s="52" t="str">
        <f aca="false">IF($A27="","",SUMPRODUCT((((MOVIMIENTOS!$B$5:$B$400="SALDO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27)*MOVIMIENTOS!$I$5:$I$400))</f>
        <v/>
      </c>
      <c r="I27" s="48"/>
      <c r="J27" s="48" t="str">
        <f aca="false">IF(AND(MOVIMIENTOS!$A27&lt;&gt;"",COUNTIF(MOVIMIENTOS!$A$5:$A26,MOVIMIENTOS!$A27)=0),COUNT(J$4:J26)+1,"")</f>
        <v/>
      </c>
      <c r="K27" s="53" t="n">
        <f aca="false">MOVIMIENTOS!$A27</f>
        <v>46216</v>
      </c>
      <c r="L27" s="48"/>
      <c r="M27" s="48"/>
      <c r="N27" s="48"/>
    </row>
    <row r="28" customFormat="false" ht="15" hidden="false" customHeight="true" outlineLevel="0" collapsed="false">
      <c r="A28" s="51" t="str">
        <f aca="false">IFERROR(INDEX(K$5:K$400,MATCH(ROW()-4,J$5:J$400,0)),"")</f>
        <v/>
      </c>
      <c r="B28" s="52" t="str">
        <f aca="false">IF($A28="","",SUMPRODUCT((MOVIMIENTOS!$B$5:$B$400="SALDO INICIAL")*(MOVIMIENTOS!$C$5:$C$400="A")*(MOVIMIENTOS!$D$5:$D$400="jabas")*(MOVIMIENTOS!$A$5:$A$400&lt;&gt;"")*(MOVIMIENTOS!$A$5:$A$400&lt;=$A28)*MOVIMIENTOS!$E$5:$E$400)+SUMPRODUCT((MOVIMIENTOS!$B$5:$B$400="PROCESO")*(MOVIMIENTOS!$C$5:$C$400="A")*(MOVIMIENTOS!$D$5:$D$400="jabas")*(MOVIMIENTOS!$A$5:$A$400&lt;&gt;"")*(MOVIMIENTOS!$A$5:$A$400&lt;=$A28)*MOVIMIENTOS!$E$5:$E$400)-SUMPRODUCT((MOVIMIENTOS!$B$5:$B$400="ENVÍO A SUPESA")*(MOVIMIENTOS!$C$5:$C$400="A")*(MOVIMIENTOS!$D$5:$D$400="jabas")*(MOVIMIENTOS!$A$5:$A$400&lt;&gt;"")*(MOVIMIENTOS!$A$5:$A$400&lt;=$A28)*MOVIMIENTOS!$E$5:$E$400)+SUMPRODUCT((MOVIMIENTOS!$B$5:$B$400="DEVOLUCIÓN")*(MOVIMIENTOS!$C$5:$C$400="A")*(MOVIMIENTOS!$D$5:$D$400="jabas")*(MOVIMIENTOS!$A$5:$A$400&lt;&gt;"")*(MOVIMIENTOS!$A$5:$A$400&lt;=$A28)*MOVIMIENTOS!$E$5:$E$400)-SUMPRODUCT((MOVIMIENTOS!$B$5:$B$400="TRASIEGO")*(MOVIMIENTOS!$C$5:$C$400="A")*(MOVIMIENTOS!$D$5:$D$400="jabas")*(MOVIMIENTOS!$A$5:$A$400&lt;&gt;"")*(MOVIMIENTOS!$A$5:$A$400&lt;=$A28)*MOVIMIENTOS!$E$5:$E$400)-SUMPRODUCT((MOVIMIENTOS!$B$5:$B$400="REGALO")*(MOVIMIENTOS!$C$5:$C$400="A")*(MOVIMIENTOS!$D$5:$D$400="jabas")*(MOVIMIENTOS!$A$5:$A$400&lt;&gt;"")*(MOVIMIENTOS!$A$5:$A$400&lt;=$A28)*MOVIMIENTOS!$E$5:$E$400)-SUMPRODUCT((MOVIMIENTOS!$B$5:$B$400="VENTA")*(MOVIMIENTOS!$C$5:$C$400="A")*(MOVIMIENTOS!$D$5:$D$400="jabas")*(MOVIMIENTOS!$A$5:$A$400&lt;&gt;"")*(MOVIMIENTOS!$A$5:$A$400&lt;=$A28)*MOVIMIENTOS!$E$5:$E$400)+SUMPRODUCT((MOVIMIENTOS!$B$5:$B$400="AJUSTE")*(MOVIMIENTOS!$C$5:$C$400="A")*(MOVIMIENTOS!$D$5:$D$400="jabas")*(MOVIMIENTOS!$A$5:$A$400&lt;&gt;"")*(MOVIMIENTOS!$A$5:$A$400&lt;=$A28)*MOVIMIENTOS!$E$5:$E$400))</f>
        <v/>
      </c>
      <c r="C28" s="52" t="str">
        <f aca="false">IF($A28="","",SUMPRODUCT((MOVIMIENTOS!$B$5:$B$400="SALDO INICIAL")*(MOVIMIENTOS!$C$5:$C$400="P")*(MOVIMIENTOS!$D$5:$D$400="jabas")*(MOVIMIENTOS!$A$5:$A$400&lt;&gt;"")*(MOVIMIENTOS!$A$5:$A$400&lt;=$A28)*MOVIMIENTOS!$E$5:$E$400)+SUMPRODUCT((MOVIMIENTOS!$B$5:$B$400="PROCESO")*(MOVIMIENTOS!$C$5:$C$400="P")*(MOVIMIENTOS!$D$5:$D$400="jabas")*(MOVIMIENTOS!$A$5:$A$400&lt;&gt;"")*(MOVIMIENTOS!$A$5:$A$400&lt;=$A28)*MOVIMIENTOS!$E$5:$E$400)-SUMPRODUCT((MOVIMIENTOS!$B$5:$B$400="ENVÍO A SUPESA")*(MOVIMIENTOS!$C$5:$C$400="P")*(MOVIMIENTOS!$D$5:$D$400="jabas")*(MOVIMIENTOS!$A$5:$A$400&lt;&gt;"")*(MOVIMIENTOS!$A$5:$A$400&lt;=$A28)*MOVIMIENTOS!$E$5:$E$400)+SUMPRODUCT((MOVIMIENTOS!$B$5:$B$400="DEVOLUCIÓN")*(MOVIMIENTOS!$C$5:$C$400="P")*(MOVIMIENTOS!$D$5:$D$400="jabas")*(MOVIMIENTOS!$A$5:$A$400&lt;&gt;"")*(MOVIMIENTOS!$A$5:$A$400&lt;=$A28)*MOVIMIENTOS!$E$5:$E$400)-SUMPRODUCT((MOVIMIENTOS!$B$5:$B$400="TRASIEGO")*(MOVIMIENTOS!$C$5:$C$400="P")*(MOVIMIENTOS!$D$5:$D$400="jabas")*(MOVIMIENTOS!$A$5:$A$400&lt;&gt;"")*(MOVIMIENTOS!$A$5:$A$400&lt;=$A28)*MOVIMIENTOS!$E$5:$E$400)-SUMPRODUCT((MOVIMIENTOS!$B$5:$B$400="REGALO")*(MOVIMIENTOS!$C$5:$C$400="P")*(MOVIMIENTOS!$D$5:$D$400="jabas")*(MOVIMIENTOS!$A$5:$A$400&lt;&gt;"")*(MOVIMIENTOS!$A$5:$A$400&lt;=$A28)*MOVIMIENTOS!$E$5:$E$400)-SUMPRODUCT((MOVIMIENTOS!$B$5:$B$400="VENTA")*(MOVIMIENTOS!$C$5:$C$400="P")*(MOVIMIENTOS!$D$5:$D$400="jabas")*(MOVIMIENTOS!$A$5:$A$400&lt;&gt;"")*(MOVIMIENTOS!$A$5:$A$400&lt;=$A28)*MOVIMIENTOS!$E$5:$E$400)+SUMPRODUCT((MOVIMIENTOS!$B$5:$B$400="AJUSTE")*(MOVIMIENTOS!$C$5:$C$400="P")*(MOVIMIENTOS!$D$5:$D$400="jabas")*(MOVIMIENTOS!$A$5:$A$400&lt;&gt;"")*(MOVIMIENTOS!$A$5:$A$400&lt;=$A28)*MOVIMIENTOS!$E$5:$E$400))</f>
        <v/>
      </c>
      <c r="D28" s="52" t="str">
        <f aca="false">IF($A28="","",SUMPRODUCT((MOVIMIENTOS!$B$5:$B$400="SALDO INICIAL")*(MOVIMIENTOS!$C$5:$C$400="C")*(MOVIMIENTOS!$D$5:$D$400="jabas")*(MOVIMIENTOS!$A$5:$A$400&lt;&gt;"")*(MOVIMIENTOS!$A$5:$A$400&lt;=$A28)*MOVIMIENTOS!$E$5:$E$400)+SUMPRODUCT((MOVIMIENTOS!$B$5:$B$400="PROCESO")*(MOVIMIENTOS!$C$5:$C$400="C")*(MOVIMIENTOS!$D$5:$D$400="jabas")*(MOVIMIENTOS!$A$5:$A$400&lt;&gt;"")*(MOVIMIENTOS!$A$5:$A$400&lt;=$A28)*MOVIMIENTOS!$E$5:$E$400)-SUMPRODUCT((MOVIMIENTOS!$B$5:$B$400="ENVÍO A SUPESA")*(MOVIMIENTOS!$C$5:$C$400="C")*(MOVIMIENTOS!$D$5:$D$400="jabas")*(MOVIMIENTOS!$A$5:$A$400&lt;&gt;"")*(MOVIMIENTOS!$A$5:$A$400&lt;=$A28)*MOVIMIENTOS!$E$5:$E$400)+SUMPRODUCT((MOVIMIENTOS!$B$5:$B$400="DEVOLUCIÓN")*(MOVIMIENTOS!$C$5:$C$400="C")*(MOVIMIENTOS!$D$5:$D$400="jabas")*(MOVIMIENTOS!$A$5:$A$400&lt;&gt;"")*(MOVIMIENTOS!$A$5:$A$400&lt;=$A28)*MOVIMIENTOS!$E$5:$E$400)-SUMPRODUCT((MOVIMIENTOS!$B$5:$B$400="TRASIEGO")*(MOVIMIENTOS!$C$5:$C$400="C")*(MOVIMIENTOS!$D$5:$D$400="jabas")*(MOVIMIENTOS!$A$5:$A$400&lt;&gt;"")*(MOVIMIENTOS!$A$5:$A$400&lt;=$A28)*MOVIMIENTOS!$E$5:$E$400)-SUMPRODUCT((MOVIMIENTOS!$B$5:$B$400="REGALO")*(MOVIMIENTOS!$C$5:$C$400="C")*(MOVIMIENTOS!$D$5:$D$400="jabas")*(MOVIMIENTOS!$A$5:$A$400&lt;&gt;"")*(MOVIMIENTOS!$A$5:$A$400&lt;=$A28)*MOVIMIENTOS!$E$5:$E$400)-SUMPRODUCT((MOVIMIENTOS!$B$5:$B$400="VENTA")*(MOVIMIENTOS!$C$5:$C$400="C")*(MOVIMIENTOS!$D$5:$D$400="jabas")*(MOVIMIENTOS!$A$5:$A$400&lt;&gt;"")*(MOVIMIENTOS!$A$5:$A$400&lt;=$A28)*MOVIMIENTOS!$E$5:$E$400)+SUMPRODUCT((MOVIMIENTOS!$B$5:$B$400="AJUSTE")*(MOVIMIENTOS!$C$5:$C$400="C")*(MOVIMIENTOS!$D$5:$D$400="jabas")*(MOVIMIENTOS!$A$5:$A$400&lt;&gt;"")*(MOVIMIENTOS!$A$5:$A$400&lt;=$A28)*MOVIMIENTOS!$E$5:$E$400))</f>
        <v/>
      </c>
      <c r="E28" s="52" t="str">
        <f aca="false">IF($A28="","",SUMPRODUCT((MOVIMIENTOS!$B$5:$B$400="SALDO INICIAL")*(MOVIMIENTOS!$C$5:$C$400="M")*(MOVIMIENTOS!$D$5:$D$400="jabas")*(MOVIMIENTOS!$A$5:$A$400&lt;&gt;"")*(MOVIMIENTOS!$A$5:$A$400&lt;=$A28)*MOVIMIENTOS!$E$5:$E$400)+SUMPRODUCT((MOVIMIENTOS!$B$5:$B$400="PROCESO")*(MOVIMIENTOS!$C$5:$C$400="M")*(MOVIMIENTOS!$D$5:$D$400="jabas")*(MOVIMIENTOS!$A$5:$A$400&lt;&gt;"")*(MOVIMIENTOS!$A$5:$A$400&lt;=$A28)*MOVIMIENTOS!$E$5:$E$400)-SUMPRODUCT((MOVIMIENTOS!$B$5:$B$400="ENVÍO A SUPESA")*(MOVIMIENTOS!$C$5:$C$400="M")*(MOVIMIENTOS!$D$5:$D$400="jabas")*(MOVIMIENTOS!$A$5:$A$400&lt;&gt;"")*(MOVIMIENTOS!$A$5:$A$400&lt;=$A28)*MOVIMIENTOS!$E$5:$E$400)+SUMPRODUCT((MOVIMIENTOS!$B$5:$B$400="DEVOLUCIÓN")*(MOVIMIENTOS!$C$5:$C$400="M")*(MOVIMIENTOS!$D$5:$D$400="jabas")*(MOVIMIENTOS!$A$5:$A$400&lt;&gt;"")*(MOVIMIENTOS!$A$5:$A$400&lt;=$A28)*MOVIMIENTOS!$E$5:$E$400)-SUMPRODUCT((MOVIMIENTOS!$B$5:$B$400="TRASIEGO")*(MOVIMIENTOS!$C$5:$C$400="M")*(MOVIMIENTOS!$D$5:$D$400="jabas")*(MOVIMIENTOS!$A$5:$A$400&lt;&gt;"")*(MOVIMIENTOS!$A$5:$A$400&lt;=$A28)*MOVIMIENTOS!$E$5:$E$400)-SUMPRODUCT((MOVIMIENTOS!$B$5:$B$400="REGALO")*(MOVIMIENTOS!$C$5:$C$400="M")*(MOVIMIENTOS!$D$5:$D$400="jabas")*(MOVIMIENTOS!$A$5:$A$400&lt;&gt;"")*(MOVIMIENTOS!$A$5:$A$400&lt;=$A28)*MOVIMIENTOS!$E$5:$E$400)-SUMPRODUCT((MOVIMIENTOS!$B$5:$B$400="VENTA")*(MOVIMIENTOS!$C$5:$C$400="M")*(MOVIMIENTOS!$D$5:$D$400="jabas")*(MOVIMIENTOS!$A$5:$A$400&lt;&gt;"")*(MOVIMIENTOS!$A$5:$A$400&lt;=$A28)*MOVIMIENTOS!$E$5:$E$400)+SUMPRODUCT((MOVIMIENTOS!$B$5:$B$400="AJUSTE")*(MOVIMIENTOS!$C$5:$C$400="M")*(MOVIMIENTOS!$D$5:$D$400="jabas")*(MOVIMIENTOS!$A$5:$A$400&lt;&gt;"")*(MOVIMIENTOS!$A$5:$A$400&lt;=$A28)*MOVIMIENTOS!$E$5:$E$400))</f>
        <v/>
      </c>
      <c r="F28" s="52" t="str">
        <f aca="false">IF($A28="","",SUMPRODUCT((MOVIMIENTOS!$B$5:$B$400="SALDO INICIAL")*(MOVIMIENTOS!$C$5:$C$400="Chancho")*(MOVIMIENTOS!$D$5:$D$400="sacos")*(MOVIMIENTOS!$A$5:$A$400&lt;&gt;"")*(MOVIMIENTOS!$A$5:$A$400&lt;=$A28)*MOVIMIENTOS!$E$5:$E$400)+SUMPRODUCT((MOVIMIENTOS!$B$5:$B$400="PROCESO")*(MOVIMIENTOS!$C$5:$C$400="Chancho")*(MOVIMIENTOS!$D$5:$D$400="sacos")*(MOVIMIENTOS!$A$5:$A$400&lt;&gt;"")*(MOVIMIENTOS!$A$5:$A$400&lt;=$A28)*MOVIMIENTOS!$E$5:$E$400)-SUMPRODUCT((MOVIMIENTOS!$B$5:$B$400="VENTA CHANCHO")*(MOVIMIENTOS!$C$5:$C$400="Chancho")*(MOVIMIENTOS!$D$5:$D$400="sacos")*(MOVIMIENTOS!$A$5:$A$400&lt;&gt;"")*(MOVIMIENTOS!$A$5:$A$400&lt;=$A28)*MOVIMIENTOS!$E$5:$E$400)-SUMPRODUCT((MOVIMIENTOS!$B$5:$B$400="REGALO")*(MOVIMIENTOS!$C$5:$C$400="Chancho")*(MOVIMIENTOS!$D$5:$D$400="sacos")*(MOVIMIENTOS!$A$5:$A$400&lt;&gt;"")*(MOVIMIENTOS!$A$5:$A$400&lt;=$A28)*MOVIMIENTOS!$E$5:$E$400)-SUMPRODUCT((MOVIMIENTOS!$B$5:$B$400="VENTA")*(MOVIMIENTOS!$C$5:$C$400="Chancho")*(MOVIMIENTOS!$D$5:$D$400="sacos")*(MOVIMIENTOS!$A$5:$A$400&lt;&gt;"")*(MOVIMIENTOS!$A$5:$A$400&lt;=$A28)*MOVIMIENTOS!$E$5:$E$400)+SUMPRODUCT((MOVIMIENTOS!$B$5:$B$400="AJUSTE")*(MOVIMIENTOS!$C$5:$C$400="Chancho")*(MOVIMIENTOS!$D$5:$D$400="sacos")*(MOVIMIENTOS!$A$5:$A$400&lt;&gt;"")*(MOVIMIENTOS!$A$5:$A$400&lt;=$A28)*MOVIMIENTOS!$E$5:$E$400))</f>
        <v/>
      </c>
      <c r="G28" s="52" t="str">
        <f aca="false">IF($A28="","",SUM(B28:E28))</f>
        <v/>
      </c>
      <c r="H28" s="52" t="str">
        <f aca="false">IF($A28="","",SUMPRODUCT((((MOVIMIENTOS!$B$5:$B$400="SALDO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28)*MOVIMIENTOS!$I$5:$I$400))</f>
        <v/>
      </c>
      <c r="I28" s="48"/>
      <c r="J28" s="48" t="str">
        <f aca="false">IF(AND(MOVIMIENTOS!$A28&lt;&gt;"",COUNTIF(MOVIMIENTOS!$A$5:$A27,MOVIMIENTOS!$A28)=0),COUNT(J$4:J27)+1,"")</f>
        <v/>
      </c>
      <c r="K28" s="53" t="n">
        <f aca="false">MOVIMIENTOS!$A28</f>
        <v>46216</v>
      </c>
      <c r="L28" s="48"/>
      <c r="M28" s="48"/>
      <c r="N28" s="48"/>
    </row>
    <row r="29" customFormat="false" ht="15" hidden="false" customHeight="true" outlineLevel="0" collapsed="false">
      <c r="A29" s="51" t="str">
        <f aca="false">IFERROR(INDEX(K$5:K$400,MATCH(ROW()-4,J$5:J$400,0)),"")</f>
        <v/>
      </c>
      <c r="B29" s="52" t="str">
        <f aca="false">IF($A29="","",SUMPRODUCT((MOVIMIENTOS!$B$5:$B$400="SALDO INICIAL")*(MOVIMIENTOS!$C$5:$C$400="A")*(MOVIMIENTOS!$D$5:$D$400="jabas")*(MOVIMIENTOS!$A$5:$A$400&lt;&gt;"")*(MOVIMIENTOS!$A$5:$A$400&lt;=$A29)*MOVIMIENTOS!$E$5:$E$400)+SUMPRODUCT((MOVIMIENTOS!$B$5:$B$400="PROCESO")*(MOVIMIENTOS!$C$5:$C$400="A")*(MOVIMIENTOS!$D$5:$D$400="jabas")*(MOVIMIENTOS!$A$5:$A$400&lt;&gt;"")*(MOVIMIENTOS!$A$5:$A$400&lt;=$A29)*MOVIMIENTOS!$E$5:$E$400)-SUMPRODUCT((MOVIMIENTOS!$B$5:$B$400="ENVÍO A SUPESA")*(MOVIMIENTOS!$C$5:$C$400="A")*(MOVIMIENTOS!$D$5:$D$400="jabas")*(MOVIMIENTOS!$A$5:$A$400&lt;&gt;"")*(MOVIMIENTOS!$A$5:$A$400&lt;=$A29)*MOVIMIENTOS!$E$5:$E$400)+SUMPRODUCT((MOVIMIENTOS!$B$5:$B$400="DEVOLUCIÓN")*(MOVIMIENTOS!$C$5:$C$400="A")*(MOVIMIENTOS!$D$5:$D$400="jabas")*(MOVIMIENTOS!$A$5:$A$400&lt;&gt;"")*(MOVIMIENTOS!$A$5:$A$400&lt;=$A29)*MOVIMIENTOS!$E$5:$E$400)-SUMPRODUCT((MOVIMIENTOS!$B$5:$B$400="TRASIEGO")*(MOVIMIENTOS!$C$5:$C$400="A")*(MOVIMIENTOS!$D$5:$D$400="jabas")*(MOVIMIENTOS!$A$5:$A$400&lt;&gt;"")*(MOVIMIENTOS!$A$5:$A$400&lt;=$A29)*MOVIMIENTOS!$E$5:$E$400)-SUMPRODUCT((MOVIMIENTOS!$B$5:$B$400="REGALO")*(MOVIMIENTOS!$C$5:$C$400="A")*(MOVIMIENTOS!$D$5:$D$400="jabas")*(MOVIMIENTOS!$A$5:$A$400&lt;&gt;"")*(MOVIMIENTOS!$A$5:$A$400&lt;=$A29)*MOVIMIENTOS!$E$5:$E$400)-SUMPRODUCT((MOVIMIENTOS!$B$5:$B$400="VENTA")*(MOVIMIENTOS!$C$5:$C$400="A")*(MOVIMIENTOS!$D$5:$D$400="jabas")*(MOVIMIENTOS!$A$5:$A$400&lt;&gt;"")*(MOVIMIENTOS!$A$5:$A$400&lt;=$A29)*MOVIMIENTOS!$E$5:$E$400)+SUMPRODUCT((MOVIMIENTOS!$B$5:$B$400="AJUSTE")*(MOVIMIENTOS!$C$5:$C$400="A")*(MOVIMIENTOS!$D$5:$D$400="jabas")*(MOVIMIENTOS!$A$5:$A$400&lt;&gt;"")*(MOVIMIENTOS!$A$5:$A$400&lt;=$A29)*MOVIMIENTOS!$E$5:$E$400))</f>
        <v/>
      </c>
      <c r="C29" s="52" t="str">
        <f aca="false">IF($A29="","",SUMPRODUCT((MOVIMIENTOS!$B$5:$B$400="SALDO INICIAL")*(MOVIMIENTOS!$C$5:$C$400="P")*(MOVIMIENTOS!$D$5:$D$400="jabas")*(MOVIMIENTOS!$A$5:$A$400&lt;&gt;"")*(MOVIMIENTOS!$A$5:$A$400&lt;=$A29)*MOVIMIENTOS!$E$5:$E$400)+SUMPRODUCT((MOVIMIENTOS!$B$5:$B$400="PROCESO")*(MOVIMIENTOS!$C$5:$C$400="P")*(MOVIMIENTOS!$D$5:$D$400="jabas")*(MOVIMIENTOS!$A$5:$A$400&lt;&gt;"")*(MOVIMIENTOS!$A$5:$A$400&lt;=$A29)*MOVIMIENTOS!$E$5:$E$400)-SUMPRODUCT((MOVIMIENTOS!$B$5:$B$400="ENVÍO A SUPESA")*(MOVIMIENTOS!$C$5:$C$400="P")*(MOVIMIENTOS!$D$5:$D$400="jabas")*(MOVIMIENTOS!$A$5:$A$400&lt;&gt;"")*(MOVIMIENTOS!$A$5:$A$400&lt;=$A29)*MOVIMIENTOS!$E$5:$E$400)+SUMPRODUCT((MOVIMIENTOS!$B$5:$B$400="DEVOLUCIÓN")*(MOVIMIENTOS!$C$5:$C$400="P")*(MOVIMIENTOS!$D$5:$D$400="jabas")*(MOVIMIENTOS!$A$5:$A$400&lt;&gt;"")*(MOVIMIENTOS!$A$5:$A$400&lt;=$A29)*MOVIMIENTOS!$E$5:$E$400)-SUMPRODUCT((MOVIMIENTOS!$B$5:$B$400="TRASIEGO")*(MOVIMIENTOS!$C$5:$C$400="P")*(MOVIMIENTOS!$D$5:$D$400="jabas")*(MOVIMIENTOS!$A$5:$A$400&lt;&gt;"")*(MOVIMIENTOS!$A$5:$A$400&lt;=$A29)*MOVIMIENTOS!$E$5:$E$400)-SUMPRODUCT((MOVIMIENTOS!$B$5:$B$400="REGALO")*(MOVIMIENTOS!$C$5:$C$400="P")*(MOVIMIENTOS!$D$5:$D$400="jabas")*(MOVIMIENTOS!$A$5:$A$400&lt;&gt;"")*(MOVIMIENTOS!$A$5:$A$400&lt;=$A29)*MOVIMIENTOS!$E$5:$E$400)-SUMPRODUCT((MOVIMIENTOS!$B$5:$B$400="VENTA")*(MOVIMIENTOS!$C$5:$C$400="P")*(MOVIMIENTOS!$D$5:$D$400="jabas")*(MOVIMIENTOS!$A$5:$A$400&lt;&gt;"")*(MOVIMIENTOS!$A$5:$A$400&lt;=$A29)*MOVIMIENTOS!$E$5:$E$400)+SUMPRODUCT((MOVIMIENTOS!$B$5:$B$400="AJUSTE")*(MOVIMIENTOS!$C$5:$C$400="P")*(MOVIMIENTOS!$D$5:$D$400="jabas")*(MOVIMIENTOS!$A$5:$A$400&lt;&gt;"")*(MOVIMIENTOS!$A$5:$A$400&lt;=$A29)*MOVIMIENTOS!$E$5:$E$400))</f>
        <v/>
      </c>
      <c r="D29" s="52" t="str">
        <f aca="false">IF($A29="","",SUMPRODUCT((MOVIMIENTOS!$B$5:$B$400="SALDO INICIAL")*(MOVIMIENTOS!$C$5:$C$400="C")*(MOVIMIENTOS!$D$5:$D$400="jabas")*(MOVIMIENTOS!$A$5:$A$400&lt;&gt;"")*(MOVIMIENTOS!$A$5:$A$400&lt;=$A29)*MOVIMIENTOS!$E$5:$E$400)+SUMPRODUCT((MOVIMIENTOS!$B$5:$B$400="PROCESO")*(MOVIMIENTOS!$C$5:$C$400="C")*(MOVIMIENTOS!$D$5:$D$400="jabas")*(MOVIMIENTOS!$A$5:$A$400&lt;&gt;"")*(MOVIMIENTOS!$A$5:$A$400&lt;=$A29)*MOVIMIENTOS!$E$5:$E$400)-SUMPRODUCT((MOVIMIENTOS!$B$5:$B$400="ENVÍO A SUPESA")*(MOVIMIENTOS!$C$5:$C$400="C")*(MOVIMIENTOS!$D$5:$D$400="jabas")*(MOVIMIENTOS!$A$5:$A$400&lt;&gt;"")*(MOVIMIENTOS!$A$5:$A$400&lt;=$A29)*MOVIMIENTOS!$E$5:$E$400)+SUMPRODUCT((MOVIMIENTOS!$B$5:$B$400="DEVOLUCIÓN")*(MOVIMIENTOS!$C$5:$C$400="C")*(MOVIMIENTOS!$D$5:$D$400="jabas")*(MOVIMIENTOS!$A$5:$A$400&lt;&gt;"")*(MOVIMIENTOS!$A$5:$A$400&lt;=$A29)*MOVIMIENTOS!$E$5:$E$400)-SUMPRODUCT((MOVIMIENTOS!$B$5:$B$400="TRASIEGO")*(MOVIMIENTOS!$C$5:$C$400="C")*(MOVIMIENTOS!$D$5:$D$400="jabas")*(MOVIMIENTOS!$A$5:$A$400&lt;&gt;"")*(MOVIMIENTOS!$A$5:$A$400&lt;=$A29)*MOVIMIENTOS!$E$5:$E$400)-SUMPRODUCT((MOVIMIENTOS!$B$5:$B$400="REGALO")*(MOVIMIENTOS!$C$5:$C$400="C")*(MOVIMIENTOS!$D$5:$D$400="jabas")*(MOVIMIENTOS!$A$5:$A$400&lt;&gt;"")*(MOVIMIENTOS!$A$5:$A$400&lt;=$A29)*MOVIMIENTOS!$E$5:$E$400)-SUMPRODUCT((MOVIMIENTOS!$B$5:$B$400="VENTA")*(MOVIMIENTOS!$C$5:$C$400="C")*(MOVIMIENTOS!$D$5:$D$400="jabas")*(MOVIMIENTOS!$A$5:$A$400&lt;&gt;"")*(MOVIMIENTOS!$A$5:$A$400&lt;=$A29)*MOVIMIENTOS!$E$5:$E$400)+SUMPRODUCT((MOVIMIENTOS!$B$5:$B$400="AJUSTE")*(MOVIMIENTOS!$C$5:$C$400="C")*(MOVIMIENTOS!$D$5:$D$400="jabas")*(MOVIMIENTOS!$A$5:$A$400&lt;&gt;"")*(MOVIMIENTOS!$A$5:$A$400&lt;=$A29)*MOVIMIENTOS!$E$5:$E$400))</f>
        <v/>
      </c>
      <c r="E29" s="52" t="str">
        <f aca="false">IF($A29="","",SUMPRODUCT((MOVIMIENTOS!$B$5:$B$400="SALDO INICIAL")*(MOVIMIENTOS!$C$5:$C$400="M")*(MOVIMIENTOS!$D$5:$D$400="jabas")*(MOVIMIENTOS!$A$5:$A$400&lt;&gt;"")*(MOVIMIENTOS!$A$5:$A$400&lt;=$A29)*MOVIMIENTOS!$E$5:$E$400)+SUMPRODUCT((MOVIMIENTOS!$B$5:$B$400="PROCESO")*(MOVIMIENTOS!$C$5:$C$400="M")*(MOVIMIENTOS!$D$5:$D$400="jabas")*(MOVIMIENTOS!$A$5:$A$400&lt;&gt;"")*(MOVIMIENTOS!$A$5:$A$400&lt;=$A29)*MOVIMIENTOS!$E$5:$E$400)-SUMPRODUCT((MOVIMIENTOS!$B$5:$B$400="ENVÍO A SUPESA")*(MOVIMIENTOS!$C$5:$C$400="M")*(MOVIMIENTOS!$D$5:$D$400="jabas")*(MOVIMIENTOS!$A$5:$A$400&lt;&gt;"")*(MOVIMIENTOS!$A$5:$A$400&lt;=$A29)*MOVIMIENTOS!$E$5:$E$400)+SUMPRODUCT((MOVIMIENTOS!$B$5:$B$400="DEVOLUCIÓN")*(MOVIMIENTOS!$C$5:$C$400="M")*(MOVIMIENTOS!$D$5:$D$400="jabas")*(MOVIMIENTOS!$A$5:$A$400&lt;&gt;"")*(MOVIMIENTOS!$A$5:$A$400&lt;=$A29)*MOVIMIENTOS!$E$5:$E$400)-SUMPRODUCT((MOVIMIENTOS!$B$5:$B$400="TRASIEGO")*(MOVIMIENTOS!$C$5:$C$400="M")*(MOVIMIENTOS!$D$5:$D$400="jabas")*(MOVIMIENTOS!$A$5:$A$400&lt;&gt;"")*(MOVIMIENTOS!$A$5:$A$400&lt;=$A29)*MOVIMIENTOS!$E$5:$E$400)-SUMPRODUCT((MOVIMIENTOS!$B$5:$B$400="REGALO")*(MOVIMIENTOS!$C$5:$C$400="M")*(MOVIMIENTOS!$D$5:$D$400="jabas")*(MOVIMIENTOS!$A$5:$A$400&lt;&gt;"")*(MOVIMIENTOS!$A$5:$A$400&lt;=$A29)*MOVIMIENTOS!$E$5:$E$400)-SUMPRODUCT((MOVIMIENTOS!$B$5:$B$400="VENTA")*(MOVIMIENTOS!$C$5:$C$400="M")*(MOVIMIENTOS!$D$5:$D$400="jabas")*(MOVIMIENTOS!$A$5:$A$400&lt;&gt;"")*(MOVIMIENTOS!$A$5:$A$400&lt;=$A29)*MOVIMIENTOS!$E$5:$E$400)+SUMPRODUCT((MOVIMIENTOS!$B$5:$B$400="AJUSTE")*(MOVIMIENTOS!$C$5:$C$400="M")*(MOVIMIENTOS!$D$5:$D$400="jabas")*(MOVIMIENTOS!$A$5:$A$400&lt;&gt;"")*(MOVIMIENTOS!$A$5:$A$400&lt;=$A29)*MOVIMIENTOS!$E$5:$E$400))</f>
        <v/>
      </c>
      <c r="F29" s="52" t="str">
        <f aca="false">IF($A29="","",SUMPRODUCT((MOVIMIENTOS!$B$5:$B$400="SALDO INICIAL")*(MOVIMIENTOS!$C$5:$C$400="Chancho")*(MOVIMIENTOS!$D$5:$D$400="sacos")*(MOVIMIENTOS!$A$5:$A$400&lt;&gt;"")*(MOVIMIENTOS!$A$5:$A$400&lt;=$A29)*MOVIMIENTOS!$E$5:$E$400)+SUMPRODUCT((MOVIMIENTOS!$B$5:$B$400="PROCESO")*(MOVIMIENTOS!$C$5:$C$400="Chancho")*(MOVIMIENTOS!$D$5:$D$400="sacos")*(MOVIMIENTOS!$A$5:$A$400&lt;&gt;"")*(MOVIMIENTOS!$A$5:$A$400&lt;=$A29)*MOVIMIENTOS!$E$5:$E$400)-SUMPRODUCT((MOVIMIENTOS!$B$5:$B$400="VENTA CHANCHO")*(MOVIMIENTOS!$C$5:$C$400="Chancho")*(MOVIMIENTOS!$D$5:$D$400="sacos")*(MOVIMIENTOS!$A$5:$A$400&lt;&gt;"")*(MOVIMIENTOS!$A$5:$A$400&lt;=$A29)*MOVIMIENTOS!$E$5:$E$400)-SUMPRODUCT((MOVIMIENTOS!$B$5:$B$400="REGALO")*(MOVIMIENTOS!$C$5:$C$400="Chancho")*(MOVIMIENTOS!$D$5:$D$400="sacos")*(MOVIMIENTOS!$A$5:$A$400&lt;&gt;"")*(MOVIMIENTOS!$A$5:$A$400&lt;=$A29)*MOVIMIENTOS!$E$5:$E$400)-SUMPRODUCT((MOVIMIENTOS!$B$5:$B$400="VENTA")*(MOVIMIENTOS!$C$5:$C$400="Chancho")*(MOVIMIENTOS!$D$5:$D$400="sacos")*(MOVIMIENTOS!$A$5:$A$400&lt;&gt;"")*(MOVIMIENTOS!$A$5:$A$400&lt;=$A29)*MOVIMIENTOS!$E$5:$E$400)+SUMPRODUCT((MOVIMIENTOS!$B$5:$B$400="AJUSTE")*(MOVIMIENTOS!$C$5:$C$400="Chancho")*(MOVIMIENTOS!$D$5:$D$400="sacos")*(MOVIMIENTOS!$A$5:$A$400&lt;&gt;"")*(MOVIMIENTOS!$A$5:$A$400&lt;=$A29)*MOVIMIENTOS!$E$5:$E$400))</f>
        <v/>
      </c>
      <c r="G29" s="52" t="str">
        <f aca="false">IF($A29="","",SUM(B29:E29))</f>
        <v/>
      </c>
      <c r="H29" s="52" t="str">
        <f aca="false">IF($A29="","",SUMPRODUCT((((MOVIMIENTOS!$B$5:$B$400="SALDO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29)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29)*MOVIMIENTOS!$I$5:$I$400))</f>
        <v/>
      </c>
      <c r="I29" s="48"/>
      <c r="J29" s="48" t="n">
        <f aca="false">IF(AND(MOVIMIENTOS!$A29&lt;&gt;"",COUNTIF(MOVIMIENTOS!$A$5:$A28,MOVIMIENTOS!$A29)=0),COUNT(J$4:J28)+1,"")</f>
        <v>4</v>
      </c>
      <c r="K29" s="53" t="n">
        <f aca="false">MOVIMIENTOS!$A29</f>
        <v>46217</v>
      </c>
      <c r="L29" s="48"/>
      <c r="M29" s="48"/>
      <c r="N29" s="48"/>
    </row>
    <row r="30" customFormat="false" ht="15" hidden="false" customHeight="true" outlineLevel="0" collapsed="false">
      <c r="A30" s="51" t="str">
        <f aca="false">IFERROR(INDEX(K$5:K$400,MATCH(ROW()-4,J$5:J$400,0)),"")</f>
        <v/>
      </c>
      <c r="B30" s="52" t="str">
        <f aca="false">IF($A30="","",SUMPRODUCT((MOVIMIENTOS!$B$5:$B$400="SALDO INICIAL")*(MOVIMIENTOS!$C$5:$C$400="A")*(MOVIMIENTOS!$D$5:$D$400="jabas")*(MOVIMIENTOS!$A$5:$A$400&lt;&gt;"")*(MOVIMIENTOS!$A$5:$A$400&lt;=$A30)*MOVIMIENTOS!$E$5:$E$400)+SUMPRODUCT((MOVIMIENTOS!$B$5:$B$400="PROCESO")*(MOVIMIENTOS!$C$5:$C$400="A")*(MOVIMIENTOS!$D$5:$D$400="jabas")*(MOVIMIENTOS!$A$5:$A$400&lt;&gt;"")*(MOVIMIENTOS!$A$5:$A$400&lt;=$A30)*MOVIMIENTOS!$E$5:$E$400)-SUMPRODUCT((MOVIMIENTOS!$B$5:$B$400="ENVÍO A SUPESA")*(MOVIMIENTOS!$C$5:$C$400="A")*(MOVIMIENTOS!$D$5:$D$400="jabas")*(MOVIMIENTOS!$A$5:$A$400&lt;&gt;"")*(MOVIMIENTOS!$A$5:$A$400&lt;=$A30)*MOVIMIENTOS!$E$5:$E$400)+SUMPRODUCT((MOVIMIENTOS!$B$5:$B$400="DEVOLUCIÓN")*(MOVIMIENTOS!$C$5:$C$400="A")*(MOVIMIENTOS!$D$5:$D$400="jabas")*(MOVIMIENTOS!$A$5:$A$400&lt;&gt;"")*(MOVIMIENTOS!$A$5:$A$400&lt;=$A30)*MOVIMIENTOS!$E$5:$E$400)-SUMPRODUCT((MOVIMIENTOS!$B$5:$B$400="TRASIEGO")*(MOVIMIENTOS!$C$5:$C$400="A")*(MOVIMIENTOS!$D$5:$D$400="jabas")*(MOVIMIENTOS!$A$5:$A$400&lt;&gt;"")*(MOVIMIENTOS!$A$5:$A$400&lt;=$A30)*MOVIMIENTOS!$E$5:$E$400)-SUMPRODUCT((MOVIMIENTOS!$B$5:$B$400="REGALO")*(MOVIMIENTOS!$C$5:$C$400="A")*(MOVIMIENTOS!$D$5:$D$400="jabas")*(MOVIMIENTOS!$A$5:$A$400&lt;&gt;"")*(MOVIMIENTOS!$A$5:$A$400&lt;=$A30)*MOVIMIENTOS!$E$5:$E$400)-SUMPRODUCT((MOVIMIENTOS!$B$5:$B$400="VENTA")*(MOVIMIENTOS!$C$5:$C$400="A")*(MOVIMIENTOS!$D$5:$D$400="jabas")*(MOVIMIENTOS!$A$5:$A$400&lt;&gt;"")*(MOVIMIENTOS!$A$5:$A$400&lt;=$A30)*MOVIMIENTOS!$E$5:$E$400)+SUMPRODUCT((MOVIMIENTOS!$B$5:$B$400="AJUSTE")*(MOVIMIENTOS!$C$5:$C$400="A")*(MOVIMIENTOS!$D$5:$D$400="jabas")*(MOVIMIENTOS!$A$5:$A$400&lt;&gt;"")*(MOVIMIENTOS!$A$5:$A$400&lt;=$A30)*MOVIMIENTOS!$E$5:$E$400))</f>
        <v/>
      </c>
      <c r="C30" s="52" t="str">
        <f aca="false">IF($A30="","",SUMPRODUCT((MOVIMIENTOS!$B$5:$B$400="SALDO INICIAL")*(MOVIMIENTOS!$C$5:$C$400="P")*(MOVIMIENTOS!$D$5:$D$400="jabas")*(MOVIMIENTOS!$A$5:$A$400&lt;&gt;"")*(MOVIMIENTOS!$A$5:$A$400&lt;=$A30)*MOVIMIENTOS!$E$5:$E$400)+SUMPRODUCT((MOVIMIENTOS!$B$5:$B$400="PROCESO")*(MOVIMIENTOS!$C$5:$C$400="P")*(MOVIMIENTOS!$D$5:$D$400="jabas")*(MOVIMIENTOS!$A$5:$A$400&lt;&gt;"")*(MOVIMIENTOS!$A$5:$A$400&lt;=$A30)*MOVIMIENTOS!$E$5:$E$400)-SUMPRODUCT((MOVIMIENTOS!$B$5:$B$400="ENVÍO A SUPESA")*(MOVIMIENTOS!$C$5:$C$400="P")*(MOVIMIENTOS!$D$5:$D$400="jabas")*(MOVIMIENTOS!$A$5:$A$400&lt;&gt;"")*(MOVIMIENTOS!$A$5:$A$400&lt;=$A30)*MOVIMIENTOS!$E$5:$E$400)+SUMPRODUCT((MOVIMIENTOS!$B$5:$B$400="DEVOLUCIÓN")*(MOVIMIENTOS!$C$5:$C$400="P")*(MOVIMIENTOS!$D$5:$D$400="jabas")*(MOVIMIENTOS!$A$5:$A$400&lt;&gt;"")*(MOVIMIENTOS!$A$5:$A$400&lt;=$A30)*MOVIMIENTOS!$E$5:$E$400)-SUMPRODUCT((MOVIMIENTOS!$B$5:$B$400="TRASIEGO")*(MOVIMIENTOS!$C$5:$C$400="P")*(MOVIMIENTOS!$D$5:$D$400="jabas")*(MOVIMIENTOS!$A$5:$A$400&lt;&gt;"")*(MOVIMIENTOS!$A$5:$A$400&lt;=$A30)*MOVIMIENTOS!$E$5:$E$400)-SUMPRODUCT((MOVIMIENTOS!$B$5:$B$400="REGALO")*(MOVIMIENTOS!$C$5:$C$400="P")*(MOVIMIENTOS!$D$5:$D$400="jabas")*(MOVIMIENTOS!$A$5:$A$400&lt;&gt;"")*(MOVIMIENTOS!$A$5:$A$400&lt;=$A30)*MOVIMIENTOS!$E$5:$E$400)-SUMPRODUCT((MOVIMIENTOS!$B$5:$B$400="VENTA")*(MOVIMIENTOS!$C$5:$C$400="P")*(MOVIMIENTOS!$D$5:$D$400="jabas")*(MOVIMIENTOS!$A$5:$A$400&lt;&gt;"")*(MOVIMIENTOS!$A$5:$A$400&lt;=$A30)*MOVIMIENTOS!$E$5:$E$400)+SUMPRODUCT((MOVIMIENTOS!$B$5:$B$400="AJUSTE")*(MOVIMIENTOS!$C$5:$C$400="P")*(MOVIMIENTOS!$D$5:$D$400="jabas")*(MOVIMIENTOS!$A$5:$A$400&lt;&gt;"")*(MOVIMIENTOS!$A$5:$A$400&lt;=$A30)*MOVIMIENTOS!$E$5:$E$400))</f>
        <v/>
      </c>
      <c r="D30" s="52" t="str">
        <f aca="false">IF($A30="","",SUMPRODUCT((MOVIMIENTOS!$B$5:$B$400="SALDO INICIAL")*(MOVIMIENTOS!$C$5:$C$400="C")*(MOVIMIENTOS!$D$5:$D$400="jabas")*(MOVIMIENTOS!$A$5:$A$400&lt;&gt;"")*(MOVIMIENTOS!$A$5:$A$400&lt;=$A30)*MOVIMIENTOS!$E$5:$E$400)+SUMPRODUCT((MOVIMIENTOS!$B$5:$B$400="PROCESO")*(MOVIMIENTOS!$C$5:$C$400="C")*(MOVIMIENTOS!$D$5:$D$400="jabas")*(MOVIMIENTOS!$A$5:$A$400&lt;&gt;"")*(MOVIMIENTOS!$A$5:$A$400&lt;=$A30)*MOVIMIENTOS!$E$5:$E$400)-SUMPRODUCT((MOVIMIENTOS!$B$5:$B$400="ENVÍO A SUPESA")*(MOVIMIENTOS!$C$5:$C$400="C")*(MOVIMIENTOS!$D$5:$D$400="jabas")*(MOVIMIENTOS!$A$5:$A$400&lt;&gt;"")*(MOVIMIENTOS!$A$5:$A$400&lt;=$A30)*MOVIMIENTOS!$E$5:$E$400)+SUMPRODUCT((MOVIMIENTOS!$B$5:$B$400="DEVOLUCIÓN")*(MOVIMIENTOS!$C$5:$C$400="C")*(MOVIMIENTOS!$D$5:$D$400="jabas")*(MOVIMIENTOS!$A$5:$A$400&lt;&gt;"")*(MOVIMIENTOS!$A$5:$A$400&lt;=$A30)*MOVIMIENTOS!$E$5:$E$400)-SUMPRODUCT((MOVIMIENTOS!$B$5:$B$400="TRASIEGO")*(MOVIMIENTOS!$C$5:$C$400="C")*(MOVIMIENTOS!$D$5:$D$400="jabas")*(MOVIMIENTOS!$A$5:$A$400&lt;&gt;"")*(MOVIMIENTOS!$A$5:$A$400&lt;=$A30)*MOVIMIENTOS!$E$5:$E$400)-SUMPRODUCT((MOVIMIENTOS!$B$5:$B$400="REGALO")*(MOVIMIENTOS!$C$5:$C$400="C")*(MOVIMIENTOS!$D$5:$D$400="jabas")*(MOVIMIENTOS!$A$5:$A$400&lt;&gt;"")*(MOVIMIENTOS!$A$5:$A$400&lt;=$A30)*MOVIMIENTOS!$E$5:$E$400)-SUMPRODUCT((MOVIMIENTOS!$B$5:$B$400="VENTA")*(MOVIMIENTOS!$C$5:$C$400="C")*(MOVIMIENTOS!$D$5:$D$400="jabas")*(MOVIMIENTOS!$A$5:$A$400&lt;&gt;"")*(MOVIMIENTOS!$A$5:$A$400&lt;=$A30)*MOVIMIENTOS!$E$5:$E$400)+SUMPRODUCT((MOVIMIENTOS!$B$5:$B$400="AJUSTE")*(MOVIMIENTOS!$C$5:$C$400="C")*(MOVIMIENTOS!$D$5:$D$400="jabas")*(MOVIMIENTOS!$A$5:$A$400&lt;&gt;"")*(MOVIMIENTOS!$A$5:$A$400&lt;=$A30)*MOVIMIENTOS!$E$5:$E$400))</f>
        <v/>
      </c>
      <c r="E30" s="52" t="str">
        <f aca="false">IF($A30="","",SUMPRODUCT((MOVIMIENTOS!$B$5:$B$400="SALDO INICIAL")*(MOVIMIENTOS!$C$5:$C$400="M")*(MOVIMIENTOS!$D$5:$D$400="jabas")*(MOVIMIENTOS!$A$5:$A$400&lt;&gt;"")*(MOVIMIENTOS!$A$5:$A$400&lt;=$A30)*MOVIMIENTOS!$E$5:$E$400)+SUMPRODUCT((MOVIMIENTOS!$B$5:$B$400="PROCESO")*(MOVIMIENTOS!$C$5:$C$400="M")*(MOVIMIENTOS!$D$5:$D$400="jabas")*(MOVIMIENTOS!$A$5:$A$400&lt;&gt;"")*(MOVIMIENTOS!$A$5:$A$400&lt;=$A30)*MOVIMIENTOS!$E$5:$E$400)-SUMPRODUCT((MOVIMIENTOS!$B$5:$B$400="ENVÍO A SUPESA")*(MOVIMIENTOS!$C$5:$C$400="M")*(MOVIMIENTOS!$D$5:$D$400="jabas")*(MOVIMIENTOS!$A$5:$A$400&lt;&gt;"")*(MOVIMIENTOS!$A$5:$A$400&lt;=$A30)*MOVIMIENTOS!$E$5:$E$400)+SUMPRODUCT((MOVIMIENTOS!$B$5:$B$400="DEVOLUCIÓN")*(MOVIMIENTOS!$C$5:$C$400="M")*(MOVIMIENTOS!$D$5:$D$400="jabas")*(MOVIMIENTOS!$A$5:$A$400&lt;&gt;"")*(MOVIMIENTOS!$A$5:$A$400&lt;=$A30)*MOVIMIENTOS!$E$5:$E$400)-SUMPRODUCT((MOVIMIENTOS!$B$5:$B$400="TRASIEGO")*(MOVIMIENTOS!$C$5:$C$400="M")*(MOVIMIENTOS!$D$5:$D$400="jabas")*(MOVIMIENTOS!$A$5:$A$400&lt;&gt;"")*(MOVIMIENTOS!$A$5:$A$400&lt;=$A30)*MOVIMIENTOS!$E$5:$E$400)-SUMPRODUCT((MOVIMIENTOS!$B$5:$B$400="REGALO")*(MOVIMIENTOS!$C$5:$C$400="M")*(MOVIMIENTOS!$D$5:$D$400="jabas")*(MOVIMIENTOS!$A$5:$A$400&lt;&gt;"")*(MOVIMIENTOS!$A$5:$A$400&lt;=$A30)*MOVIMIENTOS!$E$5:$E$400)-SUMPRODUCT((MOVIMIENTOS!$B$5:$B$400="VENTA")*(MOVIMIENTOS!$C$5:$C$400="M")*(MOVIMIENTOS!$D$5:$D$400="jabas")*(MOVIMIENTOS!$A$5:$A$400&lt;&gt;"")*(MOVIMIENTOS!$A$5:$A$400&lt;=$A30)*MOVIMIENTOS!$E$5:$E$400)+SUMPRODUCT((MOVIMIENTOS!$B$5:$B$400="AJUSTE")*(MOVIMIENTOS!$C$5:$C$400="M")*(MOVIMIENTOS!$D$5:$D$400="jabas")*(MOVIMIENTOS!$A$5:$A$400&lt;&gt;"")*(MOVIMIENTOS!$A$5:$A$400&lt;=$A30)*MOVIMIENTOS!$E$5:$E$400))</f>
        <v/>
      </c>
      <c r="F30" s="52" t="str">
        <f aca="false">IF($A30="","",SUMPRODUCT((MOVIMIENTOS!$B$5:$B$400="SALDO INICIAL")*(MOVIMIENTOS!$C$5:$C$400="Chancho")*(MOVIMIENTOS!$D$5:$D$400="sacos")*(MOVIMIENTOS!$A$5:$A$400&lt;&gt;"")*(MOVIMIENTOS!$A$5:$A$400&lt;=$A30)*MOVIMIENTOS!$E$5:$E$400)+SUMPRODUCT((MOVIMIENTOS!$B$5:$B$400="PROCESO")*(MOVIMIENTOS!$C$5:$C$400="Chancho")*(MOVIMIENTOS!$D$5:$D$400="sacos")*(MOVIMIENTOS!$A$5:$A$400&lt;&gt;"")*(MOVIMIENTOS!$A$5:$A$400&lt;=$A30)*MOVIMIENTOS!$E$5:$E$400)-SUMPRODUCT((MOVIMIENTOS!$B$5:$B$400="VENTA CHANCHO")*(MOVIMIENTOS!$C$5:$C$400="Chancho")*(MOVIMIENTOS!$D$5:$D$400="sacos")*(MOVIMIENTOS!$A$5:$A$400&lt;&gt;"")*(MOVIMIENTOS!$A$5:$A$400&lt;=$A30)*MOVIMIENTOS!$E$5:$E$400)-SUMPRODUCT((MOVIMIENTOS!$B$5:$B$400="REGALO")*(MOVIMIENTOS!$C$5:$C$400="Chancho")*(MOVIMIENTOS!$D$5:$D$400="sacos")*(MOVIMIENTOS!$A$5:$A$400&lt;&gt;"")*(MOVIMIENTOS!$A$5:$A$400&lt;=$A30)*MOVIMIENTOS!$E$5:$E$400)-SUMPRODUCT((MOVIMIENTOS!$B$5:$B$400="VENTA")*(MOVIMIENTOS!$C$5:$C$400="Chancho")*(MOVIMIENTOS!$D$5:$D$400="sacos")*(MOVIMIENTOS!$A$5:$A$400&lt;&gt;"")*(MOVIMIENTOS!$A$5:$A$400&lt;=$A30)*MOVIMIENTOS!$E$5:$E$400)+SUMPRODUCT((MOVIMIENTOS!$B$5:$B$400="AJUSTE")*(MOVIMIENTOS!$C$5:$C$400="Chancho")*(MOVIMIENTOS!$D$5:$D$400="sacos")*(MOVIMIENTOS!$A$5:$A$400&lt;&gt;"")*(MOVIMIENTOS!$A$5:$A$400&lt;=$A30)*MOVIMIENTOS!$E$5:$E$400))</f>
        <v/>
      </c>
      <c r="G30" s="52" t="str">
        <f aca="false">IF($A30="","",SUM(B30:E30))</f>
        <v/>
      </c>
      <c r="H30" s="52" t="str">
        <f aca="false">IF($A30="","",SUMPRODUCT((((MOVIMIENTOS!$B$5:$B$400="SALDO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30)*MOVIMIENTOS!$I$5:$I$400))</f>
        <v/>
      </c>
      <c r="I30" s="48"/>
      <c r="J30" s="48" t="str">
        <f aca="false">IF(AND(MOVIMIENTOS!$A30&lt;&gt;"",COUNTIF(MOVIMIENTOS!$A$5:$A29,MOVIMIENTOS!$A30)=0),COUNT(J$4:J29)+1,"")</f>
        <v/>
      </c>
      <c r="K30" s="53" t="n">
        <f aca="false">MOVIMIENTOS!$A30</f>
        <v>46217</v>
      </c>
      <c r="L30" s="48"/>
      <c r="M30" s="48"/>
      <c r="N30" s="48"/>
    </row>
    <row r="31" customFormat="false" ht="15" hidden="false" customHeight="true" outlineLevel="0" collapsed="false">
      <c r="A31" s="51" t="str">
        <f aca="false">IFERROR(INDEX(K$5:K$400,MATCH(ROW()-4,J$5:J$400,0)),"")</f>
        <v/>
      </c>
      <c r="B31" s="52" t="str">
        <f aca="false">IF($A31="","",SUMPRODUCT((MOVIMIENTOS!$B$5:$B$400="SALDO INICIAL")*(MOVIMIENTOS!$C$5:$C$400="A")*(MOVIMIENTOS!$D$5:$D$400="jabas")*(MOVIMIENTOS!$A$5:$A$400&lt;&gt;"")*(MOVIMIENTOS!$A$5:$A$400&lt;=$A31)*MOVIMIENTOS!$E$5:$E$400)+SUMPRODUCT((MOVIMIENTOS!$B$5:$B$400="PROCESO")*(MOVIMIENTOS!$C$5:$C$400="A")*(MOVIMIENTOS!$D$5:$D$400="jabas")*(MOVIMIENTOS!$A$5:$A$400&lt;&gt;"")*(MOVIMIENTOS!$A$5:$A$400&lt;=$A31)*MOVIMIENTOS!$E$5:$E$400)-SUMPRODUCT((MOVIMIENTOS!$B$5:$B$400="ENVÍO A SUPESA")*(MOVIMIENTOS!$C$5:$C$400="A")*(MOVIMIENTOS!$D$5:$D$400="jabas")*(MOVIMIENTOS!$A$5:$A$400&lt;&gt;"")*(MOVIMIENTOS!$A$5:$A$400&lt;=$A31)*MOVIMIENTOS!$E$5:$E$400)+SUMPRODUCT((MOVIMIENTOS!$B$5:$B$400="DEVOLUCIÓN")*(MOVIMIENTOS!$C$5:$C$400="A")*(MOVIMIENTOS!$D$5:$D$400="jabas")*(MOVIMIENTOS!$A$5:$A$400&lt;&gt;"")*(MOVIMIENTOS!$A$5:$A$400&lt;=$A31)*MOVIMIENTOS!$E$5:$E$400)-SUMPRODUCT((MOVIMIENTOS!$B$5:$B$400="TRASIEGO")*(MOVIMIENTOS!$C$5:$C$400="A")*(MOVIMIENTOS!$D$5:$D$400="jabas")*(MOVIMIENTOS!$A$5:$A$400&lt;&gt;"")*(MOVIMIENTOS!$A$5:$A$400&lt;=$A31)*MOVIMIENTOS!$E$5:$E$400)-SUMPRODUCT((MOVIMIENTOS!$B$5:$B$400="REGALO")*(MOVIMIENTOS!$C$5:$C$400="A")*(MOVIMIENTOS!$D$5:$D$400="jabas")*(MOVIMIENTOS!$A$5:$A$400&lt;&gt;"")*(MOVIMIENTOS!$A$5:$A$400&lt;=$A31)*MOVIMIENTOS!$E$5:$E$400)-SUMPRODUCT((MOVIMIENTOS!$B$5:$B$400="VENTA")*(MOVIMIENTOS!$C$5:$C$400="A")*(MOVIMIENTOS!$D$5:$D$400="jabas")*(MOVIMIENTOS!$A$5:$A$400&lt;&gt;"")*(MOVIMIENTOS!$A$5:$A$400&lt;=$A31)*MOVIMIENTOS!$E$5:$E$400)+SUMPRODUCT((MOVIMIENTOS!$B$5:$B$400="AJUSTE")*(MOVIMIENTOS!$C$5:$C$400="A")*(MOVIMIENTOS!$D$5:$D$400="jabas")*(MOVIMIENTOS!$A$5:$A$400&lt;&gt;"")*(MOVIMIENTOS!$A$5:$A$400&lt;=$A31)*MOVIMIENTOS!$E$5:$E$400))</f>
        <v/>
      </c>
      <c r="C31" s="52" t="str">
        <f aca="false">IF($A31="","",SUMPRODUCT((MOVIMIENTOS!$B$5:$B$400="SALDO INICIAL")*(MOVIMIENTOS!$C$5:$C$400="P")*(MOVIMIENTOS!$D$5:$D$400="jabas")*(MOVIMIENTOS!$A$5:$A$400&lt;&gt;"")*(MOVIMIENTOS!$A$5:$A$400&lt;=$A31)*MOVIMIENTOS!$E$5:$E$400)+SUMPRODUCT((MOVIMIENTOS!$B$5:$B$400="PROCESO")*(MOVIMIENTOS!$C$5:$C$400="P")*(MOVIMIENTOS!$D$5:$D$400="jabas")*(MOVIMIENTOS!$A$5:$A$400&lt;&gt;"")*(MOVIMIENTOS!$A$5:$A$400&lt;=$A31)*MOVIMIENTOS!$E$5:$E$400)-SUMPRODUCT((MOVIMIENTOS!$B$5:$B$400="ENVÍO A SUPESA")*(MOVIMIENTOS!$C$5:$C$400="P")*(MOVIMIENTOS!$D$5:$D$400="jabas")*(MOVIMIENTOS!$A$5:$A$400&lt;&gt;"")*(MOVIMIENTOS!$A$5:$A$400&lt;=$A31)*MOVIMIENTOS!$E$5:$E$400)+SUMPRODUCT((MOVIMIENTOS!$B$5:$B$400="DEVOLUCIÓN")*(MOVIMIENTOS!$C$5:$C$400="P")*(MOVIMIENTOS!$D$5:$D$400="jabas")*(MOVIMIENTOS!$A$5:$A$400&lt;&gt;"")*(MOVIMIENTOS!$A$5:$A$400&lt;=$A31)*MOVIMIENTOS!$E$5:$E$400)-SUMPRODUCT((MOVIMIENTOS!$B$5:$B$400="TRASIEGO")*(MOVIMIENTOS!$C$5:$C$400="P")*(MOVIMIENTOS!$D$5:$D$400="jabas")*(MOVIMIENTOS!$A$5:$A$400&lt;&gt;"")*(MOVIMIENTOS!$A$5:$A$400&lt;=$A31)*MOVIMIENTOS!$E$5:$E$400)-SUMPRODUCT((MOVIMIENTOS!$B$5:$B$400="REGALO")*(MOVIMIENTOS!$C$5:$C$400="P")*(MOVIMIENTOS!$D$5:$D$400="jabas")*(MOVIMIENTOS!$A$5:$A$400&lt;&gt;"")*(MOVIMIENTOS!$A$5:$A$400&lt;=$A31)*MOVIMIENTOS!$E$5:$E$400)-SUMPRODUCT((MOVIMIENTOS!$B$5:$B$400="VENTA")*(MOVIMIENTOS!$C$5:$C$400="P")*(MOVIMIENTOS!$D$5:$D$400="jabas")*(MOVIMIENTOS!$A$5:$A$400&lt;&gt;"")*(MOVIMIENTOS!$A$5:$A$400&lt;=$A31)*MOVIMIENTOS!$E$5:$E$400)+SUMPRODUCT((MOVIMIENTOS!$B$5:$B$400="AJUSTE")*(MOVIMIENTOS!$C$5:$C$400="P")*(MOVIMIENTOS!$D$5:$D$400="jabas")*(MOVIMIENTOS!$A$5:$A$400&lt;&gt;"")*(MOVIMIENTOS!$A$5:$A$400&lt;=$A31)*MOVIMIENTOS!$E$5:$E$400))</f>
        <v/>
      </c>
      <c r="D31" s="52" t="str">
        <f aca="false">IF($A31="","",SUMPRODUCT((MOVIMIENTOS!$B$5:$B$400="SALDO INICIAL")*(MOVIMIENTOS!$C$5:$C$400="C")*(MOVIMIENTOS!$D$5:$D$400="jabas")*(MOVIMIENTOS!$A$5:$A$400&lt;&gt;"")*(MOVIMIENTOS!$A$5:$A$400&lt;=$A31)*MOVIMIENTOS!$E$5:$E$400)+SUMPRODUCT((MOVIMIENTOS!$B$5:$B$400="PROCESO")*(MOVIMIENTOS!$C$5:$C$400="C")*(MOVIMIENTOS!$D$5:$D$400="jabas")*(MOVIMIENTOS!$A$5:$A$400&lt;&gt;"")*(MOVIMIENTOS!$A$5:$A$400&lt;=$A31)*MOVIMIENTOS!$E$5:$E$400)-SUMPRODUCT((MOVIMIENTOS!$B$5:$B$400="ENVÍO A SUPESA")*(MOVIMIENTOS!$C$5:$C$400="C")*(MOVIMIENTOS!$D$5:$D$400="jabas")*(MOVIMIENTOS!$A$5:$A$400&lt;&gt;"")*(MOVIMIENTOS!$A$5:$A$400&lt;=$A31)*MOVIMIENTOS!$E$5:$E$400)+SUMPRODUCT((MOVIMIENTOS!$B$5:$B$400="DEVOLUCIÓN")*(MOVIMIENTOS!$C$5:$C$400="C")*(MOVIMIENTOS!$D$5:$D$400="jabas")*(MOVIMIENTOS!$A$5:$A$400&lt;&gt;"")*(MOVIMIENTOS!$A$5:$A$400&lt;=$A31)*MOVIMIENTOS!$E$5:$E$400)-SUMPRODUCT((MOVIMIENTOS!$B$5:$B$400="TRASIEGO")*(MOVIMIENTOS!$C$5:$C$400="C")*(MOVIMIENTOS!$D$5:$D$400="jabas")*(MOVIMIENTOS!$A$5:$A$400&lt;&gt;"")*(MOVIMIENTOS!$A$5:$A$400&lt;=$A31)*MOVIMIENTOS!$E$5:$E$400)-SUMPRODUCT((MOVIMIENTOS!$B$5:$B$400="REGALO")*(MOVIMIENTOS!$C$5:$C$400="C")*(MOVIMIENTOS!$D$5:$D$400="jabas")*(MOVIMIENTOS!$A$5:$A$400&lt;&gt;"")*(MOVIMIENTOS!$A$5:$A$400&lt;=$A31)*MOVIMIENTOS!$E$5:$E$400)-SUMPRODUCT((MOVIMIENTOS!$B$5:$B$400="VENTA")*(MOVIMIENTOS!$C$5:$C$400="C")*(MOVIMIENTOS!$D$5:$D$400="jabas")*(MOVIMIENTOS!$A$5:$A$400&lt;&gt;"")*(MOVIMIENTOS!$A$5:$A$400&lt;=$A31)*MOVIMIENTOS!$E$5:$E$400)+SUMPRODUCT((MOVIMIENTOS!$B$5:$B$400="AJUSTE")*(MOVIMIENTOS!$C$5:$C$400="C")*(MOVIMIENTOS!$D$5:$D$400="jabas")*(MOVIMIENTOS!$A$5:$A$400&lt;&gt;"")*(MOVIMIENTOS!$A$5:$A$400&lt;=$A31)*MOVIMIENTOS!$E$5:$E$400))</f>
        <v/>
      </c>
      <c r="E31" s="52" t="str">
        <f aca="false">IF($A31="","",SUMPRODUCT((MOVIMIENTOS!$B$5:$B$400="SALDO INICIAL")*(MOVIMIENTOS!$C$5:$C$400="M")*(MOVIMIENTOS!$D$5:$D$400="jabas")*(MOVIMIENTOS!$A$5:$A$400&lt;&gt;"")*(MOVIMIENTOS!$A$5:$A$400&lt;=$A31)*MOVIMIENTOS!$E$5:$E$400)+SUMPRODUCT((MOVIMIENTOS!$B$5:$B$400="PROCESO")*(MOVIMIENTOS!$C$5:$C$400="M")*(MOVIMIENTOS!$D$5:$D$400="jabas")*(MOVIMIENTOS!$A$5:$A$400&lt;&gt;"")*(MOVIMIENTOS!$A$5:$A$400&lt;=$A31)*MOVIMIENTOS!$E$5:$E$400)-SUMPRODUCT((MOVIMIENTOS!$B$5:$B$400="ENVÍO A SUPESA")*(MOVIMIENTOS!$C$5:$C$400="M")*(MOVIMIENTOS!$D$5:$D$400="jabas")*(MOVIMIENTOS!$A$5:$A$400&lt;&gt;"")*(MOVIMIENTOS!$A$5:$A$400&lt;=$A31)*MOVIMIENTOS!$E$5:$E$400)+SUMPRODUCT((MOVIMIENTOS!$B$5:$B$400="DEVOLUCIÓN")*(MOVIMIENTOS!$C$5:$C$400="M")*(MOVIMIENTOS!$D$5:$D$400="jabas")*(MOVIMIENTOS!$A$5:$A$400&lt;&gt;"")*(MOVIMIENTOS!$A$5:$A$400&lt;=$A31)*MOVIMIENTOS!$E$5:$E$400)-SUMPRODUCT((MOVIMIENTOS!$B$5:$B$400="TRASIEGO")*(MOVIMIENTOS!$C$5:$C$400="M")*(MOVIMIENTOS!$D$5:$D$400="jabas")*(MOVIMIENTOS!$A$5:$A$400&lt;&gt;"")*(MOVIMIENTOS!$A$5:$A$400&lt;=$A31)*MOVIMIENTOS!$E$5:$E$400)-SUMPRODUCT((MOVIMIENTOS!$B$5:$B$400="REGALO")*(MOVIMIENTOS!$C$5:$C$400="M")*(MOVIMIENTOS!$D$5:$D$400="jabas")*(MOVIMIENTOS!$A$5:$A$400&lt;&gt;"")*(MOVIMIENTOS!$A$5:$A$400&lt;=$A31)*MOVIMIENTOS!$E$5:$E$400)-SUMPRODUCT((MOVIMIENTOS!$B$5:$B$400="VENTA")*(MOVIMIENTOS!$C$5:$C$400="M")*(MOVIMIENTOS!$D$5:$D$400="jabas")*(MOVIMIENTOS!$A$5:$A$400&lt;&gt;"")*(MOVIMIENTOS!$A$5:$A$400&lt;=$A31)*MOVIMIENTOS!$E$5:$E$400)+SUMPRODUCT((MOVIMIENTOS!$B$5:$B$400="AJUSTE")*(MOVIMIENTOS!$C$5:$C$400="M")*(MOVIMIENTOS!$D$5:$D$400="jabas")*(MOVIMIENTOS!$A$5:$A$400&lt;&gt;"")*(MOVIMIENTOS!$A$5:$A$400&lt;=$A31)*MOVIMIENTOS!$E$5:$E$400))</f>
        <v/>
      </c>
      <c r="F31" s="52" t="str">
        <f aca="false">IF($A31="","",SUMPRODUCT((MOVIMIENTOS!$B$5:$B$400="SALDO INICIAL")*(MOVIMIENTOS!$C$5:$C$400="Chancho")*(MOVIMIENTOS!$D$5:$D$400="sacos")*(MOVIMIENTOS!$A$5:$A$400&lt;&gt;"")*(MOVIMIENTOS!$A$5:$A$400&lt;=$A31)*MOVIMIENTOS!$E$5:$E$400)+SUMPRODUCT((MOVIMIENTOS!$B$5:$B$400="PROCESO")*(MOVIMIENTOS!$C$5:$C$400="Chancho")*(MOVIMIENTOS!$D$5:$D$400="sacos")*(MOVIMIENTOS!$A$5:$A$400&lt;&gt;"")*(MOVIMIENTOS!$A$5:$A$400&lt;=$A31)*MOVIMIENTOS!$E$5:$E$400)-SUMPRODUCT((MOVIMIENTOS!$B$5:$B$400="VENTA CHANCHO")*(MOVIMIENTOS!$C$5:$C$400="Chancho")*(MOVIMIENTOS!$D$5:$D$400="sacos")*(MOVIMIENTOS!$A$5:$A$400&lt;&gt;"")*(MOVIMIENTOS!$A$5:$A$400&lt;=$A31)*MOVIMIENTOS!$E$5:$E$400)-SUMPRODUCT((MOVIMIENTOS!$B$5:$B$400="REGALO")*(MOVIMIENTOS!$C$5:$C$400="Chancho")*(MOVIMIENTOS!$D$5:$D$400="sacos")*(MOVIMIENTOS!$A$5:$A$400&lt;&gt;"")*(MOVIMIENTOS!$A$5:$A$400&lt;=$A31)*MOVIMIENTOS!$E$5:$E$400)-SUMPRODUCT((MOVIMIENTOS!$B$5:$B$400="VENTA")*(MOVIMIENTOS!$C$5:$C$400="Chancho")*(MOVIMIENTOS!$D$5:$D$400="sacos")*(MOVIMIENTOS!$A$5:$A$400&lt;&gt;"")*(MOVIMIENTOS!$A$5:$A$400&lt;=$A31)*MOVIMIENTOS!$E$5:$E$400)+SUMPRODUCT((MOVIMIENTOS!$B$5:$B$400="AJUSTE")*(MOVIMIENTOS!$C$5:$C$400="Chancho")*(MOVIMIENTOS!$D$5:$D$400="sacos")*(MOVIMIENTOS!$A$5:$A$400&lt;&gt;"")*(MOVIMIENTOS!$A$5:$A$400&lt;=$A31)*MOVIMIENTOS!$E$5:$E$400))</f>
        <v/>
      </c>
      <c r="G31" s="52" t="str">
        <f aca="false">IF($A31="","",SUM(B31:E31))</f>
        <v/>
      </c>
      <c r="H31" s="52" t="str">
        <f aca="false">IF($A31="","",SUMPRODUCT((((MOVIMIENTOS!$B$5:$B$400="SALDO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31)*MOVIMIENTOS!$I$5:$I$400))</f>
        <v/>
      </c>
      <c r="I31" s="48"/>
      <c r="J31" s="48" t="str">
        <f aca="false">IF(AND(MOVIMIENTOS!$A31&lt;&gt;"",COUNTIF(MOVIMIENTOS!$A$5:$A30,MOVIMIENTOS!$A31)=0),COUNT(J$4:J30)+1,"")</f>
        <v/>
      </c>
      <c r="K31" s="53" t="n">
        <f aca="false">MOVIMIENTOS!$A31</f>
        <v>46217</v>
      </c>
      <c r="L31" s="48"/>
      <c r="M31" s="48"/>
      <c r="N31" s="48"/>
    </row>
    <row r="32" customFormat="false" ht="15" hidden="false" customHeight="true" outlineLevel="0" collapsed="false">
      <c r="A32" s="51" t="str">
        <f aca="false">IFERROR(INDEX(K$5:K$400,MATCH(ROW()-4,J$5:J$400,0)),"")</f>
        <v/>
      </c>
      <c r="B32" s="52" t="str">
        <f aca="false">IF($A32="","",SUMPRODUCT((MOVIMIENTOS!$B$5:$B$400="SALDO INICIAL")*(MOVIMIENTOS!$C$5:$C$400="A")*(MOVIMIENTOS!$D$5:$D$400="jabas")*(MOVIMIENTOS!$A$5:$A$400&lt;&gt;"")*(MOVIMIENTOS!$A$5:$A$400&lt;=$A32)*MOVIMIENTOS!$E$5:$E$400)+SUMPRODUCT((MOVIMIENTOS!$B$5:$B$400="PROCESO")*(MOVIMIENTOS!$C$5:$C$400="A")*(MOVIMIENTOS!$D$5:$D$400="jabas")*(MOVIMIENTOS!$A$5:$A$400&lt;&gt;"")*(MOVIMIENTOS!$A$5:$A$400&lt;=$A32)*MOVIMIENTOS!$E$5:$E$400)-SUMPRODUCT((MOVIMIENTOS!$B$5:$B$400="ENVÍO A SUPESA")*(MOVIMIENTOS!$C$5:$C$400="A")*(MOVIMIENTOS!$D$5:$D$400="jabas")*(MOVIMIENTOS!$A$5:$A$400&lt;&gt;"")*(MOVIMIENTOS!$A$5:$A$400&lt;=$A32)*MOVIMIENTOS!$E$5:$E$400)+SUMPRODUCT((MOVIMIENTOS!$B$5:$B$400="DEVOLUCIÓN")*(MOVIMIENTOS!$C$5:$C$400="A")*(MOVIMIENTOS!$D$5:$D$400="jabas")*(MOVIMIENTOS!$A$5:$A$400&lt;&gt;"")*(MOVIMIENTOS!$A$5:$A$400&lt;=$A32)*MOVIMIENTOS!$E$5:$E$400)-SUMPRODUCT((MOVIMIENTOS!$B$5:$B$400="TRASIEGO")*(MOVIMIENTOS!$C$5:$C$400="A")*(MOVIMIENTOS!$D$5:$D$400="jabas")*(MOVIMIENTOS!$A$5:$A$400&lt;&gt;"")*(MOVIMIENTOS!$A$5:$A$400&lt;=$A32)*MOVIMIENTOS!$E$5:$E$400)-SUMPRODUCT((MOVIMIENTOS!$B$5:$B$400="REGALO")*(MOVIMIENTOS!$C$5:$C$400="A")*(MOVIMIENTOS!$D$5:$D$400="jabas")*(MOVIMIENTOS!$A$5:$A$400&lt;&gt;"")*(MOVIMIENTOS!$A$5:$A$400&lt;=$A32)*MOVIMIENTOS!$E$5:$E$400)-SUMPRODUCT((MOVIMIENTOS!$B$5:$B$400="VENTA")*(MOVIMIENTOS!$C$5:$C$400="A")*(MOVIMIENTOS!$D$5:$D$400="jabas")*(MOVIMIENTOS!$A$5:$A$400&lt;&gt;"")*(MOVIMIENTOS!$A$5:$A$400&lt;=$A32)*MOVIMIENTOS!$E$5:$E$400)+SUMPRODUCT((MOVIMIENTOS!$B$5:$B$400="AJUSTE")*(MOVIMIENTOS!$C$5:$C$400="A")*(MOVIMIENTOS!$D$5:$D$400="jabas")*(MOVIMIENTOS!$A$5:$A$400&lt;&gt;"")*(MOVIMIENTOS!$A$5:$A$400&lt;=$A32)*MOVIMIENTOS!$E$5:$E$400))</f>
        <v/>
      </c>
      <c r="C32" s="52" t="str">
        <f aca="false">IF($A32="","",SUMPRODUCT((MOVIMIENTOS!$B$5:$B$400="SALDO INICIAL")*(MOVIMIENTOS!$C$5:$C$400="P")*(MOVIMIENTOS!$D$5:$D$400="jabas")*(MOVIMIENTOS!$A$5:$A$400&lt;&gt;"")*(MOVIMIENTOS!$A$5:$A$400&lt;=$A32)*MOVIMIENTOS!$E$5:$E$400)+SUMPRODUCT((MOVIMIENTOS!$B$5:$B$400="PROCESO")*(MOVIMIENTOS!$C$5:$C$400="P")*(MOVIMIENTOS!$D$5:$D$400="jabas")*(MOVIMIENTOS!$A$5:$A$400&lt;&gt;"")*(MOVIMIENTOS!$A$5:$A$400&lt;=$A32)*MOVIMIENTOS!$E$5:$E$400)-SUMPRODUCT((MOVIMIENTOS!$B$5:$B$400="ENVÍO A SUPESA")*(MOVIMIENTOS!$C$5:$C$400="P")*(MOVIMIENTOS!$D$5:$D$400="jabas")*(MOVIMIENTOS!$A$5:$A$400&lt;&gt;"")*(MOVIMIENTOS!$A$5:$A$400&lt;=$A32)*MOVIMIENTOS!$E$5:$E$400)+SUMPRODUCT((MOVIMIENTOS!$B$5:$B$400="DEVOLUCIÓN")*(MOVIMIENTOS!$C$5:$C$400="P")*(MOVIMIENTOS!$D$5:$D$400="jabas")*(MOVIMIENTOS!$A$5:$A$400&lt;&gt;"")*(MOVIMIENTOS!$A$5:$A$400&lt;=$A32)*MOVIMIENTOS!$E$5:$E$400)-SUMPRODUCT((MOVIMIENTOS!$B$5:$B$400="TRASIEGO")*(MOVIMIENTOS!$C$5:$C$400="P")*(MOVIMIENTOS!$D$5:$D$400="jabas")*(MOVIMIENTOS!$A$5:$A$400&lt;&gt;"")*(MOVIMIENTOS!$A$5:$A$400&lt;=$A32)*MOVIMIENTOS!$E$5:$E$400)-SUMPRODUCT((MOVIMIENTOS!$B$5:$B$400="REGALO")*(MOVIMIENTOS!$C$5:$C$400="P")*(MOVIMIENTOS!$D$5:$D$400="jabas")*(MOVIMIENTOS!$A$5:$A$400&lt;&gt;"")*(MOVIMIENTOS!$A$5:$A$400&lt;=$A32)*MOVIMIENTOS!$E$5:$E$400)-SUMPRODUCT((MOVIMIENTOS!$B$5:$B$400="VENTA")*(MOVIMIENTOS!$C$5:$C$400="P")*(MOVIMIENTOS!$D$5:$D$400="jabas")*(MOVIMIENTOS!$A$5:$A$400&lt;&gt;"")*(MOVIMIENTOS!$A$5:$A$400&lt;=$A32)*MOVIMIENTOS!$E$5:$E$400)+SUMPRODUCT((MOVIMIENTOS!$B$5:$B$400="AJUSTE")*(MOVIMIENTOS!$C$5:$C$400="P")*(MOVIMIENTOS!$D$5:$D$400="jabas")*(MOVIMIENTOS!$A$5:$A$400&lt;&gt;"")*(MOVIMIENTOS!$A$5:$A$400&lt;=$A32)*MOVIMIENTOS!$E$5:$E$400))</f>
        <v/>
      </c>
      <c r="D32" s="52" t="str">
        <f aca="false">IF($A32="","",SUMPRODUCT((MOVIMIENTOS!$B$5:$B$400="SALDO INICIAL")*(MOVIMIENTOS!$C$5:$C$400="C")*(MOVIMIENTOS!$D$5:$D$400="jabas")*(MOVIMIENTOS!$A$5:$A$400&lt;&gt;"")*(MOVIMIENTOS!$A$5:$A$400&lt;=$A32)*MOVIMIENTOS!$E$5:$E$400)+SUMPRODUCT((MOVIMIENTOS!$B$5:$B$400="PROCESO")*(MOVIMIENTOS!$C$5:$C$400="C")*(MOVIMIENTOS!$D$5:$D$400="jabas")*(MOVIMIENTOS!$A$5:$A$400&lt;&gt;"")*(MOVIMIENTOS!$A$5:$A$400&lt;=$A32)*MOVIMIENTOS!$E$5:$E$400)-SUMPRODUCT((MOVIMIENTOS!$B$5:$B$400="ENVÍO A SUPESA")*(MOVIMIENTOS!$C$5:$C$400="C")*(MOVIMIENTOS!$D$5:$D$400="jabas")*(MOVIMIENTOS!$A$5:$A$400&lt;&gt;"")*(MOVIMIENTOS!$A$5:$A$400&lt;=$A32)*MOVIMIENTOS!$E$5:$E$400)+SUMPRODUCT((MOVIMIENTOS!$B$5:$B$400="DEVOLUCIÓN")*(MOVIMIENTOS!$C$5:$C$400="C")*(MOVIMIENTOS!$D$5:$D$400="jabas")*(MOVIMIENTOS!$A$5:$A$400&lt;&gt;"")*(MOVIMIENTOS!$A$5:$A$400&lt;=$A32)*MOVIMIENTOS!$E$5:$E$400)-SUMPRODUCT((MOVIMIENTOS!$B$5:$B$400="TRASIEGO")*(MOVIMIENTOS!$C$5:$C$400="C")*(MOVIMIENTOS!$D$5:$D$400="jabas")*(MOVIMIENTOS!$A$5:$A$400&lt;&gt;"")*(MOVIMIENTOS!$A$5:$A$400&lt;=$A32)*MOVIMIENTOS!$E$5:$E$400)-SUMPRODUCT((MOVIMIENTOS!$B$5:$B$400="REGALO")*(MOVIMIENTOS!$C$5:$C$400="C")*(MOVIMIENTOS!$D$5:$D$400="jabas")*(MOVIMIENTOS!$A$5:$A$400&lt;&gt;"")*(MOVIMIENTOS!$A$5:$A$400&lt;=$A32)*MOVIMIENTOS!$E$5:$E$400)-SUMPRODUCT((MOVIMIENTOS!$B$5:$B$400="VENTA")*(MOVIMIENTOS!$C$5:$C$400="C")*(MOVIMIENTOS!$D$5:$D$400="jabas")*(MOVIMIENTOS!$A$5:$A$400&lt;&gt;"")*(MOVIMIENTOS!$A$5:$A$400&lt;=$A32)*MOVIMIENTOS!$E$5:$E$400)+SUMPRODUCT((MOVIMIENTOS!$B$5:$B$400="AJUSTE")*(MOVIMIENTOS!$C$5:$C$400="C")*(MOVIMIENTOS!$D$5:$D$400="jabas")*(MOVIMIENTOS!$A$5:$A$400&lt;&gt;"")*(MOVIMIENTOS!$A$5:$A$400&lt;=$A32)*MOVIMIENTOS!$E$5:$E$400))</f>
        <v/>
      </c>
      <c r="E32" s="52" t="str">
        <f aca="false">IF($A32="","",SUMPRODUCT((MOVIMIENTOS!$B$5:$B$400="SALDO INICIAL")*(MOVIMIENTOS!$C$5:$C$400="M")*(MOVIMIENTOS!$D$5:$D$400="jabas")*(MOVIMIENTOS!$A$5:$A$400&lt;&gt;"")*(MOVIMIENTOS!$A$5:$A$400&lt;=$A32)*MOVIMIENTOS!$E$5:$E$400)+SUMPRODUCT((MOVIMIENTOS!$B$5:$B$400="PROCESO")*(MOVIMIENTOS!$C$5:$C$400="M")*(MOVIMIENTOS!$D$5:$D$400="jabas")*(MOVIMIENTOS!$A$5:$A$400&lt;&gt;"")*(MOVIMIENTOS!$A$5:$A$400&lt;=$A32)*MOVIMIENTOS!$E$5:$E$400)-SUMPRODUCT((MOVIMIENTOS!$B$5:$B$400="ENVÍO A SUPESA")*(MOVIMIENTOS!$C$5:$C$400="M")*(MOVIMIENTOS!$D$5:$D$400="jabas")*(MOVIMIENTOS!$A$5:$A$400&lt;&gt;"")*(MOVIMIENTOS!$A$5:$A$400&lt;=$A32)*MOVIMIENTOS!$E$5:$E$400)+SUMPRODUCT((MOVIMIENTOS!$B$5:$B$400="DEVOLUCIÓN")*(MOVIMIENTOS!$C$5:$C$400="M")*(MOVIMIENTOS!$D$5:$D$400="jabas")*(MOVIMIENTOS!$A$5:$A$400&lt;&gt;"")*(MOVIMIENTOS!$A$5:$A$400&lt;=$A32)*MOVIMIENTOS!$E$5:$E$400)-SUMPRODUCT((MOVIMIENTOS!$B$5:$B$400="TRASIEGO")*(MOVIMIENTOS!$C$5:$C$400="M")*(MOVIMIENTOS!$D$5:$D$400="jabas")*(MOVIMIENTOS!$A$5:$A$400&lt;&gt;"")*(MOVIMIENTOS!$A$5:$A$400&lt;=$A32)*MOVIMIENTOS!$E$5:$E$400)-SUMPRODUCT((MOVIMIENTOS!$B$5:$B$400="REGALO")*(MOVIMIENTOS!$C$5:$C$400="M")*(MOVIMIENTOS!$D$5:$D$400="jabas")*(MOVIMIENTOS!$A$5:$A$400&lt;&gt;"")*(MOVIMIENTOS!$A$5:$A$400&lt;=$A32)*MOVIMIENTOS!$E$5:$E$400)-SUMPRODUCT((MOVIMIENTOS!$B$5:$B$400="VENTA")*(MOVIMIENTOS!$C$5:$C$400="M")*(MOVIMIENTOS!$D$5:$D$400="jabas")*(MOVIMIENTOS!$A$5:$A$400&lt;&gt;"")*(MOVIMIENTOS!$A$5:$A$400&lt;=$A32)*MOVIMIENTOS!$E$5:$E$400)+SUMPRODUCT((MOVIMIENTOS!$B$5:$B$400="AJUSTE")*(MOVIMIENTOS!$C$5:$C$400="M")*(MOVIMIENTOS!$D$5:$D$400="jabas")*(MOVIMIENTOS!$A$5:$A$400&lt;&gt;"")*(MOVIMIENTOS!$A$5:$A$400&lt;=$A32)*MOVIMIENTOS!$E$5:$E$400))</f>
        <v/>
      </c>
      <c r="F32" s="52" t="str">
        <f aca="false">IF($A32="","",SUMPRODUCT((MOVIMIENTOS!$B$5:$B$400="SALDO INICIAL")*(MOVIMIENTOS!$C$5:$C$400="Chancho")*(MOVIMIENTOS!$D$5:$D$400="sacos")*(MOVIMIENTOS!$A$5:$A$400&lt;&gt;"")*(MOVIMIENTOS!$A$5:$A$400&lt;=$A32)*MOVIMIENTOS!$E$5:$E$400)+SUMPRODUCT((MOVIMIENTOS!$B$5:$B$400="PROCESO")*(MOVIMIENTOS!$C$5:$C$400="Chancho")*(MOVIMIENTOS!$D$5:$D$400="sacos")*(MOVIMIENTOS!$A$5:$A$400&lt;&gt;"")*(MOVIMIENTOS!$A$5:$A$400&lt;=$A32)*MOVIMIENTOS!$E$5:$E$400)-SUMPRODUCT((MOVIMIENTOS!$B$5:$B$400="VENTA CHANCHO")*(MOVIMIENTOS!$C$5:$C$400="Chancho")*(MOVIMIENTOS!$D$5:$D$400="sacos")*(MOVIMIENTOS!$A$5:$A$400&lt;&gt;"")*(MOVIMIENTOS!$A$5:$A$400&lt;=$A32)*MOVIMIENTOS!$E$5:$E$400)-SUMPRODUCT((MOVIMIENTOS!$B$5:$B$400="REGALO")*(MOVIMIENTOS!$C$5:$C$400="Chancho")*(MOVIMIENTOS!$D$5:$D$400="sacos")*(MOVIMIENTOS!$A$5:$A$400&lt;&gt;"")*(MOVIMIENTOS!$A$5:$A$400&lt;=$A32)*MOVIMIENTOS!$E$5:$E$400)-SUMPRODUCT((MOVIMIENTOS!$B$5:$B$400="VENTA")*(MOVIMIENTOS!$C$5:$C$400="Chancho")*(MOVIMIENTOS!$D$5:$D$400="sacos")*(MOVIMIENTOS!$A$5:$A$400&lt;&gt;"")*(MOVIMIENTOS!$A$5:$A$400&lt;=$A32)*MOVIMIENTOS!$E$5:$E$400)+SUMPRODUCT((MOVIMIENTOS!$B$5:$B$400="AJUSTE")*(MOVIMIENTOS!$C$5:$C$400="Chancho")*(MOVIMIENTOS!$D$5:$D$400="sacos")*(MOVIMIENTOS!$A$5:$A$400&lt;&gt;"")*(MOVIMIENTOS!$A$5:$A$400&lt;=$A32)*MOVIMIENTOS!$E$5:$E$400))</f>
        <v/>
      </c>
      <c r="G32" s="52" t="str">
        <f aca="false">IF($A32="","",SUM(B32:E32))</f>
        <v/>
      </c>
      <c r="H32" s="52" t="str">
        <f aca="false">IF($A32="","",SUMPRODUCT((((MOVIMIENTOS!$B$5:$B$400="SALDO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32)*MOVIMIENTOS!$I$5:$I$400))</f>
        <v/>
      </c>
      <c r="I32" s="48"/>
      <c r="J32" s="48" t="str">
        <f aca="false">IF(AND(MOVIMIENTOS!$A32&lt;&gt;"",COUNTIF(MOVIMIENTOS!$A$5:$A31,MOVIMIENTOS!$A32)=0),COUNT(J$4:J31)+1,"")</f>
        <v/>
      </c>
      <c r="K32" s="53" t="n">
        <f aca="false">MOVIMIENTOS!$A32</f>
        <v>46217</v>
      </c>
      <c r="L32" s="48"/>
      <c r="M32" s="48"/>
      <c r="N32" s="48"/>
    </row>
    <row r="33" customFormat="false" ht="15" hidden="false" customHeight="true" outlineLevel="0" collapsed="false">
      <c r="A33" s="51" t="str">
        <f aca="false">IFERROR(INDEX(K$5:K$400,MATCH(ROW()-4,J$5:J$400,0)),"")</f>
        <v/>
      </c>
      <c r="B33" s="52" t="str">
        <f aca="false">IF($A33="","",SUMPRODUCT((MOVIMIENTOS!$B$5:$B$400="SALDO INICIAL")*(MOVIMIENTOS!$C$5:$C$400="A")*(MOVIMIENTOS!$D$5:$D$400="jabas")*(MOVIMIENTOS!$A$5:$A$400&lt;&gt;"")*(MOVIMIENTOS!$A$5:$A$400&lt;=$A33)*MOVIMIENTOS!$E$5:$E$400)+SUMPRODUCT((MOVIMIENTOS!$B$5:$B$400="PROCESO")*(MOVIMIENTOS!$C$5:$C$400="A")*(MOVIMIENTOS!$D$5:$D$400="jabas")*(MOVIMIENTOS!$A$5:$A$400&lt;&gt;"")*(MOVIMIENTOS!$A$5:$A$400&lt;=$A33)*MOVIMIENTOS!$E$5:$E$400)-SUMPRODUCT((MOVIMIENTOS!$B$5:$B$400="ENVÍO A SUPESA")*(MOVIMIENTOS!$C$5:$C$400="A")*(MOVIMIENTOS!$D$5:$D$400="jabas")*(MOVIMIENTOS!$A$5:$A$400&lt;&gt;"")*(MOVIMIENTOS!$A$5:$A$400&lt;=$A33)*MOVIMIENTOS!$E$5:$E$400)+SUMPRODUCT((MOVIMIENTOS!$B$5:$B$400="DEVOLUCIÓN")*(MOVIMIENTOS!$C$5:$C$400="A")*(MOVIMIENTOS!$D$5:$D$400="jabas")*(MOVIMIENTOS!$A$5:$A$400&lt;&gt;"")*(MOVIMIENTOS!$A$5:$A$400&lt;=$A33)*MOVIMIENTOS!$E$5:$E$400)-SUMPRODUCT((MOVIMIENTOS!$B$5:$B$400="TRASIEGO")*(MOVIMIENTOS!$C$5:$C$400="A")*(MOVIMIENTOS!$D$5:$D$400="jabas")*(MOVIMIENTOS!$A$5:$A$400&lt;&gt;"")*(MOVIMIENTOS!$A$5:$A$400&lt;=$A33)*MOVIMIENTOS!$E$5:$E$400)-SUMPRODUCT((MOVIMIENTOS!$B$5:$B$400="REGALO")*(MOVIMIENTOS!$C$5:$C$400="A")*(MOVIMIENTOS!$D$5:$D$400="jabas")*(MOVIMIENTOS!$A$5:$A$400&lt;&gt;"")*(MOVIMIENTOS!$A$5:$A$400&lt;=$A33)*MOVIMIENTOS!$E$5:$E$400)-SUMPRODUCT((MOVIMIENTOS!$B$5:$B$400="VENTA")*(MOVIMIENTOS!$C$5:$C$400="A")*(MOVIMIENTOS!$D$5:$D$400="jabas")*(MOVIMIENTOS!$A$5:$A$400&lt;&gt;"")*(MOVIMIENTOS!$A$5:$A$400&lt;=$A33)*MOVIMIENTOS!$E$5:$E$400)+SUMPRODUCT((MOVIMIENTOS!$B$5:$B$400="AJUSTE")*(MOVIMIENTOS!$C$5:$C$400="A")*(MOVIMIENTOS!$D$5:$D$400="jabas")*(MOVIMIENTOS!$A$5:$A$400&lt;&gt;"")*(MOVIMIENTOS!$A$5:$A$400&lt;=$A33)*MOVIMIENTOS!$E$5:$E$400))</f>
        <v/>
      </c>
      <c r="C33" s="52" t="str">
        <f aca="false">IF($A33="","",SUMPRODUCT((MOVIMIENTOS!$B$5:$B$400="SALDO INICIAL")*(MOVIMIENTOS!$C$5:$C$400="P")*(MOVIMIENTOS!$D$5:$D$400="jabas")*(MOVIMIENTOS!$A$5:$A$400&lt;&gt;"")*(MOVIMIENTOS!$A$5:$A$400&lt;=$A33)*MOVIMIENTOS!$E$5:$E$400)+SUMPRODUCT((MOVIMIENTOS!$B$5:$B$400="PROCESO")*(MOVIMIENTOS!$C$5:$C$400="P")*(MOVIMIENTOS!$D$5:$D$400="jabas")*(MOVIMIENTOS!$A$5:$A$400&lt;&gt;"")*(MOVIMIENTOS!$A$5:$A$400&lt;=$A33)*MOVIMIENTOS!$E$5:$E$400)-SUMPRODUCT((MOVIMIENTOS!$B$5:$B$400="ENVÍO A SUPESA")*(MOVIMIENTOS!$C$5:$C$400="P")*(MOVIMIENTOS!$D$5:$D$400="jabas")*(MOVIMIENTOS!$A$5:$A$400&lt;&gt;"")*(MOVIMIENTOS!$A$5:$A$400&lt;=$A33)*MOVIMIENTOS!$E$5:$E$400)+SUMPRODUCT((MOVIMIENTOS!$B$5:$B$400="DEVOLUCIÓN")*(MOVIMIENTOS!$C$5:$C$400="P")*(MOVIMIENTOS!$D$5:$D$400="jabas")*(MOVIMIENTOS!$A$5:$A$400&lt;&gt;"")*(MOVIMIENTOS!$A$5:$A$400&lt;=$A33)*MOVIMIENTOS!$E$5:$E$400)-SUMPRODUCT((MOVIMIENTOS!$B$5:$B$400="TRASIEGO")*(MOVIMIENTOS!$C$5:$C$400="P")*(MOVIMIENTOS!$D$5:$D$400="jabas")*(MOVIMIENTOS!$A$5:$A$400&lt;&gt;"")*(MOVIMIENTOS!$A$5:$A$400&lt;=$A33)*MOVIMIENTOS!$E$5:$E$400)-SUMPRODUCT((MOVIMIENTOS!$B$5:$B$400="REGALO")*(MOVIMIENTOS!$C$5:$C$400="P")*(MOVIMIENTOS!$D$5:$D$400="jabas")*(MOVIMIENTOS!$A$5:$A$400&lt;&gt;"")*(MOVIMIENTOS!$A$5:$A$400&lt;=$A33)*MOVIMIENTOS!$E$5:$E$400)-SUMPRODUCT((MOVIMIENTOS!$B$5:$B$400="VENTA")*(MOVIMIENTOS!$C$5:$C$400="P")*(MOVIMIENTOS!$D$5:$D$400="jabas")*(MOVIMIENTOS!$A$5:$A$400&lt;&gt;"")*(MOVIMIENTOS!$A$5:$A$400&lt;=$A33)*MOVIMIENTOS!$E$5:$E$400)+SUMPRODUCT((MOVIMIENTOS!$B$5:$B$400="AJUSTE")*(MOVIMIENTOS!$C$5:$C$400="P")*(MOVIMIENTOS!$D$5:$D$400="jabas")*(MOVIMIENTOS!$A$5:$A$400&lt;&gt;"")*(MOVIMIENTOS!$A$5:$A$400&lt;=$A33)*MOVIMIENTOS!$E$5:$E$400))</f>
        <v/>
      </c>
      <c r="D33" s="52" t="str">
        <f aca="false">IF($A33="","",SUMPRODUCT((MOVIMIENTOS!$B$5:$B$400="SALDO INICIAL")*(MOVIMIENTOS!$C$5:$C$400="C")*(MOVIMIENTOS!$D$5:$D$400="jabas")*(MOVIMIENTOS!$A$5:$A$400&lt;&gt;"")*(MOVIMIENTOS!$A$5:$A$400&lt;=$A33)*MOVIMIENTOS!$E$5:$E$400)+SUMPRODUCT((MOVIMIENTOS!$B$5:$B$400="PROCESO")*(MOVIMIENTOS!$C$5:$C$400="C")*(MOVIMIENTOS!$D$5:$D$400="jabas")*(MOVIMIENTOS!$A$5:$A$400&lt;&gt;"")*(MOVIMIENTOS!$A$5:$A$400&lt;=$A33)*MOVIMIENTOS!$E$5:$E$400)-SUMPRODUCT((MOVIMIENTOS!$B$5:$B$400="ENVÍO A SUPESA")*(MOVIMIENTOS!$C$5:$C$400="C")*(MOVIMIENTOS!$D$5:$D$400="jabas")*(MOVIMIENTOS!$A$5:$A$400&lt;&gt;"")*(MOVIMIENTOS!$A$5:$A$400&lt;=$A33)*MOVIMIENTOS!$E$5:$E$400)+SUMPRODUCT((MOVIMIENTOS!$B$5:$B$400="DEVOLUCIÓN")*(MOVIMIENTOS!$C$5:$C$400="C")*(MOVIMIENTOS!$D$5:$D$400="jabas")*(MOVIMIENTOS!$A$5:$A$400&lt;&gt;"")*(MOVIMIENTOS!$A$5:$A$400&lt;=$A33)*MOVIMIENTOS!$E$5:$E$400)-SUMPRODUCT((MOVIMIENTOS!$B$5:$B$400="TRASIEGO")*(MOVIMIENTOS!$C$5:$C$400="C")*(MOVIMIENTOS!$D$5:$D$400="jabas")*(MOVIMIENTOS!$A$5:$A$400&lt;&gt;"")*(MOVIMIENTOS!$A$5:$A$400&lt;=$A33)*MOVIMIENTOS!$E$5:$E$400)-SUMPRODUCT((MOVIMIENTOS!$B$5:$B$400="REGALO")*(MOVIMIENTOS!$C$5:$C$400="C")*(MOVIMIENTOS!$D$5:$D$400="jabas")*(MOVIMIENTOS!$A$5:$A$400&lt;&gt;"")*(MOVIMIENTOS!$A$5:$A$400&lt;=$A33)*MOVIMIENTOS!$E$5:$E$400)-SUMPRODUCT((MOVIMIENTOS!$B$5:$B$400="VENTA")*(MOVIMIENTOS!$C$5:$C$400="C")*(MOVIMIENTOS!$D$5:$D$400="jabas")*(MOVIMIENTOS!$A$5:$A$400&lt;&gt;"")*(MOVIMIENTOS!$A$5:$A$400&lt;=$A33)*MOVIMIENTOS!$E$5:$E$400)+SUMPRODUCT((MOVIMIENTOS!$B$5:$B$400="AJUSTE")*(MOVIMIENTOS!$C$5:$C$400="C")*(MOVIMIENTOS!$D$5:$D$400="jabas")*(MOVIMIENTOS!$A$5:$A$400&lt;&gt;"")*(MOVIMIENTOS!$A$5:$A$400&lt;=$A33)*MOVIMIENTOS!$E$5:$E$400))</f>
        <v/>
      </c>
      <c r="E33" s="52" t="str">
        <f aca="false">IF($A33="","",SUMPRODUCT((MOVIMIENTOS!$B$5:$B$400="SALDO INICIAL")*(MOVIMIENTOS!$C$5:$C$400="M")*(MOVIMIENTOS!$D$5:$D$400="jabas")*(MOVIMIENTOS!$A$5:$A$400&lt;&gt;"")*(MOVIMIENTOS!$A$5:$A$400&lt;=$A33)*MOVIMIENTOS!$E$5:$E$400)+SUMPRODUCT((MOVIMIENTOS!$B$5:$B$400="PROCESO")*(MOVIMIENTOS!$C$5:$C$400="M")*(MOVIMIENTOS!$D$5:$D$400="jabas")*(MOVIMIENTOS!$A$5:$A$400&lt;&gt;"")*(MOVIMIENTOS!$A$5:$A$400&lt;=$A33)*MOVIMIENTOS!$E$5:$E$400)-SUMPRODUCT((MOVIMIENTOS!$B$5:$B$400="ENVÍO A SUPESA")*(MOVIMIENTOS!$C$5:$C$400="M")*(MOVIMIENTOS!$D$5:$D$400="jabas")*(MOVIMIENTOS!$A$5:$A$400&lt;&gt;"")*(MOVIMIENTOS!$A$5:$A$400&lt;=$A33)*MOVIMIENTOS!$E$5:$E$400)+SUMPRODUCT((MOVIMIENTOS!$B$5:$B$400="DEVOLUCIÓN")*(MOVIMIENTOS!$C$5:$C$400="M")*(MOVIMIENTOS!$D$5:$D$400="jabas")*(MOVIMIENTOS!$A$5:$A$400&lt;&gt;"")*(MOVIMIENTOS!$A$5:$A$400&lt;=$A33)*MOVIMIENTOS!$E$5:$E$400)-SUMPRODUCT((MOVIMIENTOS!$B$5:$B$400="TRASIEGO")*(MOVIMIENTOS!$C$5:$C$400="M")*(MOVIMIENTOS!$D$5:$D$400="jabas")*(MOVIMIENTOS!$A$5:$A$400&lt;&gt;"")*(MOVIMIENTOS!$A$5:$A$400&lt;=$A33)*MOVIMIENTOS!$E$5:$E$400)-SUMPRODUCT((MOVIMIENTOS!$B$5:$B$400="REGALO")*(MOVIMIENTOS!$C$5:$C$400="M")*(MOVIMIENTOS!$D$5:$D$400="jabas")*(MOVIMIENTOS!$A$5:$A$400&lt;&gt;"")*(MOVIMIENTOS!$A$5:$A$400&lt;=$A33)*MOVIMIENTOS!$E$5:$E$400)-SUMPRODUCT((MOVIMIENTOS!$B$5:$B$400="VENTA")*(MOVIMIENTOS!$C$5:$C$400="M")*(MOVIMIENTOS!$D$5:$D$400="jabas")*(MOVIMIENTOS!$A$5:$A$400&lt;&gt;"")*(MOVIMIENTOS!$A$5:$A$400&lt;=$A33)*MOVIMIENTOS!$E$5:$E$400)+SUMPRODUCT((MOVIMIENTOS!$B$5:$B$400="AJUSTE")*(MOVIMIENTOS!$C$5:$C$400="M")*(MOVIMIENTOS!$D$5:$D$400="jabas")*(MOVIMIENTOS!$A$5:$A$400&lt;&gt;"")*(MOVIMIENTOS!$A$5:$A$400&lt;=$A33)*MOVIMIENTOS!$E$5:$E$400))</f>
        <v/>
      </c>
      <c r="F33" s="52" t="str">
        <f aca="false">IF($A33="","",SUMPRODUCT((MOVIMIENTOS!$B$5:$B$400="SALDO INICIAL")*(MOVIMIENTOS!$C$5:$C$400="Chancho")*(MOVIMIENTOS!$D$5:$D$400="sacos")*(MOVIMIENTOS!$A$5:$A$400&lt;&gt;"")*(MOVIMIENTOS!$A$5:$A$400&lt;=$A33)*MOVIMIENTOS!$E$5:$E$400)+SUMPRODUCT((MOVIMIENTOS!$B$5:$B$400="PROCESO")*(MOVIMIENTOS!$C$5:$C$400="Chancho")*(MOVIMIENTOS!$D$5:$D$400="sacos")*(MOVIMIENTOS!$A$5:$A$400&lt;&gt;"")*(MOVIMIENTOS!$A$5:$A$400&lt;=$A33)*MOVIMIENTOS!$E$5:$E$400)-SUMPRODUCT((MOVIMIENTOS!$B$5:$B$400="VENTA CHANCHO")*(MOVIMIENTOS!$C$5:$C$400="Chancho")*(MOVIMIENTOS!$D$5:$D$400="sacos")*(MOVIMIENTOS!$A$5:$A$400&lt;&gt;"")*(MOVIMIENTOS!$A$5:$A$400&lt;=$A33)*MOVIMIENTOS!$E$5:$E$400)-SUMPRODUCT((MOVIMIENTOS!$B$5:$B$400="REGALO")*(MOVIMIENTOS!$C$5:$C$400="Chancho")*(MOVIMIENTOS!$D$5:$D$400="sacos")*(MOVIMIENTOS!$A$5:$A$400&lt;&gt;"")*(MOVIMIENTOS!$A$5:$A$400&lt;=$A33)*MOVIMIENTOS!$E$5:$E$400)-SUMPRODUCT((MOVIMIENTOS!$B$5:$B$400="VENTA")*(MOVIMIENTOS!$C$5:$C$400="Chancho")*(MOVIMIENTOS!$D$5:$D$400="sacos")*(MOVIMIENTOS!$A$5:$A$400&lt;&gt;"")*(MOVIMIENTOS!$A$5:$A$400&lt;=$A33)*MOVIMIENTOS!$E$5:$E$400)+SUMPRODUCT((MOVIMIENTOS!$B$5:$B$400="AJUSTE")*(MOVIMIENTOS!$C$5:$C$400="Chancho")*(MOVIMIENTOS!$D$5:$D$400="sacos")*(MOVIMIENTOS!$A$5:$A$400&lt;&gt;"")*(MOVIMIENTOS!$A$5:$A$400&lt;=$A33)*MOVIMIENTOS!$E$5:$E$400))</f>
        <v/>
      </c>
      <c r="G33" s="52" t="str">
        <f aca="false">IF($A33="","",SUM(B33:E33))</f>
        <v/>
      </c>
      <c r="H33" s="52" t="str">
        <f aca="false">IF($A33="","",SUMPRODUCT((((MOVIMIENTOS!$B$5:$B$400="SALDO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33)*MOVIMIENTOS!$I$5:$I$400))</f>
        <v/>
      </c>
      <c r="I33" s="48"/>
      <c r="J33" s="48" t="str">
        <f aca="false">IF(AND(MOVIMIENTOS!$A33&lt;&gt;"",COUNTIF(MOVIMIENTOS!$A$5:$A32,MOVIMIENTOS!$A33)=0),COUNT(J$4:J32)+1,"")</f>
        <v/>
      </c>
      <c r="K33" s="53" t="n">
        <f aca="false">MOVIMIENTOS!$A33</f>
        <v>46217</v>
      </c>
      <c r="L33" s="48"/>
      <c r="M33" s="48"/>
      <c r="N33" s="48"/>
    </row>
    <row r="34" customFormat="false" ht="15" hidden="false" customHeight="true" outlineLevel="0" collapsed="false">
      <c r="A34" s="51" t="str">
        <f aca="false">IFERROR(INDEX(K$5:K$400,MATCH(ROW()-4,J$5:J$400,0)),"")</f>
        <v/>
      </c>
      <c r="B34" s="52" t="str">
        <f aca="false">IF($A34="","",SUMPRODUCT((MOVIMIENTOS!$B$5:$B$400="SALDO INICIAL")*(MOVIMIENTOS!$C$5:$C$400="A")*(MOVIMIENTOS!$D$5:$D$400="jabas")*(MOVIMIENTOS!$A$5:$A$400&lt;&gt;"")*(MOVIMIENTOS!$A$5:$A$400&lt;=$A34)*MOVIMIENTOS!$E$5:$E$400)+SUMPRODUCT((MOVIMIENTOS!$B$5:$B$400="PROCESO")*(MOVIMIENTOS!$C$5:$C$400="A")*(MOVIMIENTOS!$D$5:$D$400="jabas")*(MOVIMIENTOS!$A$5:$A$400&lt;&gt;"")*(MOVIMIENTOS!$A$5:$A$400&lt;=$A34)*MOVIMIENTOS!$E$5:$E$400)-SUMPRODUCT((MOVIMIENTOS!$B$5:$B$400="ENVÍO A SUPESA")*(MOVIMIENTOS!$C$5:$C$400="A")*(MOVIMIENTOS!$D$5:$D$400="jabas")*(MOVIMIENTOS!$A$5:$A$400&lt;&gt;"")*(MOVIMIENTOS!$A$5:$A$400&lt;=$A34)*MOVIMIENTOS!$E$5:$E$400)+SUMPRODUCT((MOVIMIENTOS!$B$5:$B$400="DEVOLUCIÓN")*(MOVIMIENTOS!$C$5:$C$400="A")*(MOVIMIENTOS!$D$5:$D$400="jabas")*(MOVIMIENTOS!$A$5:$A$400&lt;&gt;"")*(MOVIMIENTOS!$A$5:$A$400&lt;=$A34)*MOVIMIENTOS!$E$5:$E$400)-SUMPRODUCT((MOVIMIENTOS!$B$5:$B$400="TRASIEGO")*(MOVIMIENTOS!$C$5:$C$400="A")*(MOVIMIENTOS!$D$5:$D$400="jabas")*(MOVIMIENTOS!$A$5:$A$400&lt;&gt;"")*(MOVIMIENTOS!$A$5:$A$400&lt;=$A34)*MOVIMIENTOS!$E$5:$E$400)-SUMPRODUCT((MOVIMIENTOS!$B$5:$B$400="REGALO")*(MOVIMIENTOS!$C$5:$C$400="A")*(MOVIMIENTOS!$D$5:$D$400="jabas")*(MOVIMIENTOS!$A$5:$A$400&lt;&gt;"")*(MOVIMIENTOS!$A$5:$A$400&lt;=$A34)*MOVIMIENTOS!$E$5:$E$400)-SUMPRODUCT((MOVIMIENTOS!$B$5:$B$400="VENTA")*(MOVIMIENTOS!$C$5:$C$400="A")*(MOVIMIENTOS!$D$5:$D$400="jabas")*(MOVIMIENTOS!$A$5:$A$400&lt;&gt;"")*(MOVIMIENTOS!$A$5:$A$400&lt;=$A34)*MOVIMIENTOS!$E$5:$E$400)+SUMPRODUCT((MOVIMIENTOS!$B$5:$B$400="AJUSTE")*(MOVIMIENTOS!$C$5:$C$400="A")*(MOVIMIENTOS!$D$5:$D$400="jabas")*(MOVIMIENTOS!$A$5:$A$400&lt;&gt;"")*(MOVIMIENTOS!$A$5:$A$400&lt;=$A34)*MOVIMIENTOS!$E$5:$E$400))</f>
        <v/>
      </c>
      <c r="C34" s="52" t="str">
        <f aca="false">IF($A34="","",SUMPRODUCT((MOVIMIENTOS!$B$5:$B$400="SALDO INICIAL")*(MOVIMIENTOS!$C$5:$C$400="P")*(MOVIMIENTOS!$D$5:$D$400="jabas")*(MOVIMIENTOS!$A$5:$A$400&lt;&gt;"")*(MOVIMIENTOS!$A$5:$A$400&lt;=$A34)*MOVIMIENTOS!$E$5:$E$400)+SUMPRODUCT((MOVIMIENTOS!$B$5:$B$400="PROCESO")*(MOVIMIENTOS!$C$5:$C$400="P")*(MOVIMIENTOS!$D$5:$D$400="jabas")*(MOVIMIENTOS!$A$5:$A$400&lt;&gt;"")*(MOVIMIENTOS!$A$5:$A$400&lt;=$A34)*MOVIMIENTOS!$E$5:$E$400)-SUMPRODUCT((MOVIMIENTOS!$B$5:$B$400="ENVÍO A SUPESA")*(MOVIMIENTOS!$C$5:$C$400="P")*(MOVIMIENTOS!$D$5:$D$400="jabas")*(MOVIMIENTOS!$A$5:$A$400&lt;&gt;"")*(MOVIMIENTOS!$A$5:$A$400&lt;=$A34)*MOVIMIENTOS!$E$5:$E$400)+SUMPRODUCT((MOVIMIENTOS!$B$5:$B$400="DEVOLUCIÓN")*(MOVIMIENTOS!$C$5:$C$400="P")*(MOVIMIENTOS!$D$5:$D$400="jabas")*(MOVIMIENTOS!$A$5:$A$400&lt;&gt;"")*(MOVIMIENTOS!$A$5:$A$400&lt;=$A34)*MOVIMIENTOS!$E$5:$E$400)-SUMPRODUCT((MOVIMIENTOS!$B$5:$B$400="TRASIEGO")*(MOVIMIENTOS!$C$5:$C$400="P")*(MOVIMIENTOS!$D$5:$D$400="jabas")*(MOVIMIENTOS!$A$5:$A$400&lt;&gt;"")*(MOVIMIENTOS!$A$5:$A$400&lt;=$A34)*MOVIMIENTOS!$E$5:$E$400)-SUMPRODUCT((MOVIMIENTOS!$B$5:$B$400="REGALO")*(MOVIMIENTOS!$C$5:$C$400="P")*(MOVIMIENTOS!$D$5:$D$400="jabas")*(MOVIMIENTOS!$A$5:$A$400&lt;&gt;"")*(MOVIMIENTOS!$A$5:$A$400&lt;=$A34)*MOVIMIENTOS!$E$5:$E$400)-SUMPRODUCT((MOVIMIENTOS!$B$5:$B$400="VENTA")*(MOVIMIENTOS!$C$5:$C$400="P")*(MOVIMIENTOS!$D$5:$D$400="jabas")*(MOVIMIENTOS!$A$5:$A$400&lt;&gt;"")*(MOVIMIENTOS!$A$5:$A$400&lt;=$A34)*MOVIMIENTOS!$E$5:$E$400)+SUMPRODUCT((MOVIMIENTOS!$B$5:$B$400="AJUSTE")*(MOVIMIENTOS!$C$5:$C$400="P")*(MOVIMIENTOS!$D$5:$D$400="jabas")*(MOVIMIENTOS!$A$5:$A$400&lt;&gt;"")*(MOVIMIENTOS!$A$5:$A$400&lt;=$A34)*MOVIMIENTOS!$E$5:$E$400))</f>
        <v/>
      </c>
      <c r="D34" s="52" t="str">
        <f aca="false">IF($A34="","",SUMPRODUCT((MOVIMIENTOS!$B$5:$B$400="SALDO INICIAL")*(MOVIMIENTOS!$C$5:$C$400="C")*(MOVIMIENTOS!$D$5:$D$400="jabas")*(MOVIMIENTOS!$A$5:$A$400&lt;&gt;"")*(MOVIMIENTOS!$A$5:$A$400&lt;=$A34)*MOVIMIENTOS!$E$5:$E$400)+SUMPRODUCT((MOVIMIENTOS!$B$5:$B$400="PROCESO")*(MOVIMIENTOS!$C$5:$C$400="C")*(MOVIMIENTOS!$D$5:$D$400="jabas")*(MOVIMIENTOS!$A$5:$A$400&lt;&gt;"")*(MOVIMIENTOS!$A$5:$A$400&lt;=$A34)*MOVIMIENTOS!$E$5:$E$400)-SUMPRODUCT((MOVIMIENTOS!$B$5:$B$400="ENVÍO A SUPESA")*(MOVIMIENTOS!$C$5:$C$400="C")*(MOVIMIENTOS!$D$5:$D$400="jabas")*(MOVIMIENTOS!$A$5:$A$400&lt;&gt;"")*(MOVIMIENTOS!$A$5:$A$400&lt;=$A34)*MOVIMIENTOS!$E$5:$E$400)+SUMPRODUCT((MOVIMIENTOS!$B$5:$B$400="DEVOLUCIÓN")*(MOVIMIENTOS!$C$5:$C$400="C")*(MOVIMIENTOS!$D$5:$D$400="jabas")*(MOVIMIENTOS!$A$5:$A$400&lt;&gt;"")*(MOVIMIENTOS!$A$5:$A$400&lt;=$A34)*MOVIMIENTOS!$E$5:$E$400)-SUMPRODUCT((MOVIMIENTOS!$B$5:$B$400="TRASIEGO")*(MOVIMIENTOS!$C$5:$C$400="C")*(MOVIMIENTOS!$D$5:$D$400="jabas")*(MOVIMIENTOS!$A$5:$A$400&lt;&gt;"")*(MOVIMIENTOS!$A$5:$A$400&lt;=$A34)*MOVIMIENTOS!$E$5:$E$400)-SUMPRODUCT((MOVIMIENTOS!$B$5:$B$400="REGALO")*(MOVIMIENTOS!$C$5:$C$400="C")*(MOVIMIENTOS!$D$5:$D$400="jabas")*(MOVIMIENTOS!$A$5:$A$400&lt;&gt;"")*(MOVIMIENTOS!$A$5:$A$400&lt;=$A34)*MOVIMIENTOS!$E$5:$E$400)-SUMPRODUCT((MOVIMIENTOS!$B$5:$B$400="VENTA")*(MOVIMIENTOS!$C$5:$C$400="C")*(MOVIMIENTOS!$D$5:$D$400="jabas")*(MOVIMIENTOS!$A$5:$A$400&lt;&gt;"")*(MOVIMIENTOS!$A$5:$A$400&lt;=$A34)*MOVIMIENTOS!$E$5:$E$400)+SUMPRODUCT((MOVIMIENTOS!$B$5:$B$400="AJUSTE")*(MOVIMIENTOS!$C$5:$C$400="C")*(MOVIMIENTOS!$D$5:$D$400="jabas")*(MOVIMIENTOS!$A$5:$A$400&lt;&gt;"")*(MOVIMIENTOS!$A$5:$A$400&lt;=$A34)*MOVIMIENTOS!$E$5:$E$400))</f>
        <v/>
      </c>
      <c r="E34" s="52" t="str">
        <f aca="false">IF($A34="","",SUMPRODUCT((MOVIMIENTOS!$B$5:$B$400="SALDO INICIAL")*(MOVIMIENTOS!$C$5:$C$400="M")*(MOVIMIENTOS!$D$5:$D$400="jabas")*(MOVIMIENTOS!$A$5:$A$400&lt;&gt;"")*(MOVIMIENTOS!$A$5:$A$400&lt;=$A34)*MOVIMIENTOS!$E$5:$E$400)+SUMPRODUCT((MOVIMIENTOS!$B$5:$B$400="PROCESO")*(MOVIMIENTOS!$C$5:$C$400="M")*(MOVIMIENTOS!$D$5:$D$400="jabas")*(MOVIMIENTOS!$A$5:$A$400&lt;&gt;"")*(MOVIMIENTOS!$A$5:$A$400&lt;=$A34)*MOVIMIENTOS!$E$5:$E$400)-SUMPRODUCT((MOVIMIENTOS!$B$5:$B$400="ENVÍO A SUPESA")*(MOVIMIENTOS!$C$5:$C$400="M")*(MOVIMIENTOS!$D$5:$D$400="jabas")*(MOVIMIENTOS!$A$5:$A$400&lt;&gt;"")*(MOVIMIENTOS!$A$5:$A$400&lt;=$A34)*MOVIMIENTOS!$E$5:$E$400)+SUMPRODUCT((MOVIMIENTOS!$B$5:$B$400="DEVOLUCIÓN")*(MOVIMIENTOS!$C$5:$C$400="M")*(MOVIMIENTOS!$D$5:$D$400="jabas")*(MOVIMIENTOS!$A$5:$A$400&lt;&gt;"")*(MOVIMIENTOS!$A$5:$A$400&lt;=$A34)*MOVIMIENTOS!$E$5:$E$400)-SUMPRODUCT((MOVIMIENTOS!$B$5:$B$400="TRASIEGO")*(MOVIMIENTOS!$C$5:$C$400="M")*(MOVIMIENTOS!$D$5:$D$400="jabas")*(MOVIMIENTOS!$A$5:$A$400&lt;&gt;"")*(MOVIMIENTOS!$A$5:$A$400&lt;=$A34)*MOVIMIENTOS!$E$5:$E$400)-SUMPRODUCT((MOVIMIENTOS!$B$5:$B$400="REGALO")*(MOVIMIENTOS!$C$5:$C$400="M")*(MOVIMIENTOS!$D$5:$D$400="jabas")*(MOVIMIENTOS!$A$5:$A$400&lt;&gt;"")*(MOVIMIENTOS!$A$5:$A$400&lt;=$A34)*MOVIMIENTOS!$E$5:$E$400)-SUMPRODUCT((MOVIMIENTOS!$B$5:$B$400="VENTA")*(MOVIMIENTOS!$C$5:$C$400="M")*(MOVIMIENTOS!$D$5:$D$400="jabas")*(MOVIMIENTOS!$A$5:$A$400&lt;&gt;"")*(MOVIMIENTOS!$A$5:$A$400&lt;=$A34)*MOVIMIENTOS!$E$5:$E$400)+SUMPRODUCT((MOVIMIENTOS!$B$5:$B$400="AJUSTE")*(MOVIMIENTOS!$C$5:$C$400="M")*(MOVIMIENTOS!$D$5:$D$400="jabas")*(MOVIMIENTOS!$A$5:$A$400&lt;&gt;"")*(MOVIMIENTOS!$A$5:$A$400&lt;=$A34)*MOVIMIENTOS!$E$5:$E$400))</f>
        <v/>
      </c>
      <c r="F34" s="52" t="str">
        <f aca="false">IF($A34="","",SUMPRODUCT((MOVIMIENTOS!$B$5:$B$400="SALDO INICIAL")*(MOVIMIENTOS!$C$5:$C$400="Chancho")*(MOVIMIENTOS!$D$5:$D$400="sacos")*(MOVIMIENTOS!$A$5:$A$400&lt;&gt;"")*(MOVIMIENTOS!$A$5:$A$400&lt;=$A34)*MOVIMIENTOS!$E$5:$E$400)+SUMPRODUCT((MOVIMIENTOS!$B$5:$B$400="PROCESO")*(MOVIMIENTOS!$C$5:$C$400="Chancho")*(MOVIMIENTOS!$D$5:$D$400="sacos")*(MOVIMIENTOS!$A$5:$A$400&lt;&gt;"")*(MOVIMIENTOS!$A$5:$A$400&lt;=$A34)*MOVIMIENTOS!$E$5:$E$400)-SUMPRODUCT((MOVIMIENTOS!$B$5:$B$400="VENTA CHANCHO")*(MOVIMIENTOS!$C$5:$C$400="Chancho")*(MOVIMIENTOS!$D$5:$D$400="sacos")*(MOVIMIENTOS!$A$5:$A$400&lt;&gt;"")*(MOVIMIENTOS!$A$5:$A$400&lt;=$A34)*MOVIMIENTOS!$E$5:$E$400)-SUMPRODUCT((MOVIMIENTOS!$B$5:$B$400="REGALO")*(MOVIMIENTOS!$C$5:$C$400="Chancho")*(MOVIMIENTOS!$D$5:$D$400="sacos")*(MOVIMIENTOS!$A$5:$A$400&lt;&gt;"")*(MOVIMIENTOS!$A$5:$A$400&lt;=$A34)*MOVIMIENTOS!$E$5:$E$400)-SUMPRODUCT((MOVIMIENTOS!$B$5:$B$400="VENTA")*(MOVIMIENTOS!$C$5:$C$400="Chancho")*(MOVIMIENTOS!$D$5:$D$400="sacos")*(MOVIMIENTOS!$A$5:$A$400&lt;&gt;"")*(MOVIMIENTOS!$A$5:$A$400&lt;=$A34)*MOVIMIENTOS!$E$5:$E$400)+SUMPRODUCT((MOVIMIENTOS!$B$5:$B$400="AJUSTE")*(MOVIMIENTOS!$C$5:$C$400="Chancho")*(MOVIMIENTOS!$D$5:$D$400="sacos")*(MOVIMIENTOS!$A$5:$A$400&lt;&gt;"")*(MOVIMIENTOS!$A$5:$A$400&lt;=$A34)*MOVIMIENTOS!$E$5:$E$400))</f>
        <v/>
      </c>
      <c r="G34" s="52" t="str">
        <f aca="false">IF($A34="","",SUM(B34:E34))</f>
        <v/>
      </c>
      <c r="H34" s="52" t="str">
        <f aca="false">IF($A34="","",SUMPRODUCT((((MOVIMIENTOS!$B$5:$B$400="SALDO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34)*MOVIMIENTOS!$I$5:$I$400))</f>
        <v/>
      </c>
      <c r="I34" s="48"/>
      <c r="J34" s="48" t="str">
        <f aca="false">IF(AND(MOVIMIENTOS!$A34&lt;&gt;"",COUNTIF(MOVIMIENTOS!$A$5:$A33,MOVIMIENTOS!$A34)=0),COUNT(J$4:J33)+1,"")</f>
        <v/>
      </c>
      <c r="K34" s="53" t="n">
        <f aca="false">MOVIMIENTOS!$A34</f>
        <v>46217</v>
      </c>
      <c r="L34" s="48"/>
      <c r="M34" s="48"/>
      <c r="N34" s="48"/>
    </row>
    <row r="35" customFormat="false" ht="15" hidden="false" customHeight="true" outlineLevel="0" collapsed="false">
      <c r="A35" s="51" t="str">
        <f aca="false">IFERROR(INDEX(K$5:K$400,MATCH(ROW()-4,J$5:J$400,0)),"")</f>
        <v/>
      </c>
      <c r="B35" s="52" t="str">
        <f aca="false">IF($A35="","",SUMPRODUCT((MOVIMIENTOS!$B$5:$B$400="SALDO INICIAL")*(MOVIMIENTOS!$C$5:$C$400="A")*(MOVIMIENTOS!$D$5:$D$400="jabas")*(MOVIMIENTOS!$A$5:$A$400&lt;&gt;"")*(MOVIMIENTOS!$A$5:$A$400&lt;=$A35)*MOVIMIENTOS!$E$5:$E$400)+SUMPRODUCT((MOVIMIENTOS!$B$5:$B$400="PROCESO")*(MOVIMIENTOS!$C$5:$C$400="A")*(MOVIMIENTOS!$D$5:$D$400="jabas")*(MOVIMIENTOS!$A$5:$A$400&lt;&gt;"")*(MOVIMIENTOS!$A$5:$A$400&lt;=$A35)*MOVIMIENTOS!$E$5:$E$400)-SUMPRODUCT((MOVIMIENTOS!$B$5:$B$400="ENVÍO A SUPESA")*(MOVIMIENTOS!$C$5:$C$400="A")*(MOVIMIENTOS!$D$5:$D$400="jabas")*(MOVIMIENTOS!$A$5:$A$400&lt;&gt;"")*(MOVIMIENTOS!$A$5:$A$400&lt;=$A35)*MOVIMIENTOS!$E$5:$E$400)+SUMPRODUCT((MOVIMIENTOS!$B$5:$B$400="DEVOLUCIÓN")*(MOVIMIENTOS!$C$5:$C$400="A")*(MOVIMIENTOS!$D$5:$D$400="jabas")*(MOVIMIENTOS!$A$5:$A$400&lt;&gt;"")*(MOVIMIENTOS!$A$5:$A$400&lt;=$A35)*MOVIMIENTOS!$E$5:$E$400)-SUMPRODUCT((MOVIMIENTOS!$B$5:$B$400="TRASIEGO")*(MOVIMIENTOS!$C$5:$C$400="A")*(MOVIMIENTOS!$D$5:$D$400="jabas")*(MOVIMIENTOS!$A$5:$A$400&lt;&gt;"")*(MOVIMIENTOS!$A$5:$A$400&lt;=$A35)*MOVIMIENTOS!$E$5:$E$400)-SUMPRODUCT((MOVIMIENTOS!$B$5:$B$400="REGALO")*(MOVIMIENTOS!$C$5:$C$400="A")*(MOVIMIENTOS!$D$5:$D$400="jabas")*(MOVIMIENTOS!$A$5:$A$400&lt;&gt;"")*(MOVIMIENTOS!$A$5:$A$400&lt;=$A35)*MOVIMIENTOS!$E$5:$E$400)-SUMPRODUCT((MOVIMIENTOS!$B$5:$B$400="VENTA")*(MOVIMIENTOS!$C$5:$C$400="A")*(MOVIMIENTOS!$D$5:$D$400="jabas")*(MOVIMIENTOS!$A$5:$A$400&lt;&gt;"")*(MOVIMIENTOS!$A$5:$A$400&lt;=$A35)*MOVIMIENTOS!$E$5:$E$400)+SUMPRODUCT((MOVIMIENTOS!$B$5:$B$400="AJUSTE")*(MOVIMIENTOS!$C$5:$C$400="A")*(MOVIMIENTOS!$D$5:$D$400="jabas")*(MOVIMIENTOS!$A$5:$A$400&lt;&gt;"")*(MOVIMIENTOS!$A$5:$A$400&lt;=$A35)*MOVIMIENTOS!$E$5:$E$400))</f>
        <v/>
      </c>
      <c r="C35" s="52" t="str">
        <f aca="false">IF($A35="","",SUMPRODUCT((MOVIMIENTOS!$B$5:$B$400="SALDO INICIAL")*(MOVIMIENTOS!$C$5:$C$400="P")*(MOVIMIENTOS!$D$5:$D$400="jabas")*(MOVIMIENTOS!$A$5:$A$400&lt;&gt;"")*(MOVIMIENTOS!$A$5:$A$400&lt;=$A35)*MOVIMIENTOS!$E$5:$E$400)+SUMPRODUCT((MOVIMIENTOS!$B$5:$B$400="PROCESO")*(MOVIMIENTOS!$C$5:$C$400="P")*(MOVIMIENTOS!$D$5:$D$400="jabas")*(MOVIMIENTOS!$A$5:$A$400&lt;&gt;"")*(MOVIMIENTOS!$A$5:$A$400&lt;=$A35)*MOVIMIENTOS!$E$5:$E$400)-SUMPRODUCT((MOVIMIENTOS!$B$5:$B$400="ENVÍO A SUPESA")*(MOVIMIENTOS!$C$5:$C$400="P")*(MOVIMIENTOS!$D$5:$D$400="jabas")*(MOVIMIENTOS!$A$5:$A$400&lt;&gt;"")*(MOVIMIENTOS!$A$5:$A$400&lt;=$A35)*MOVIMIENTOS!$E$5:$E$400)+SUMPRODUCT((MOVIMIENTOS!$B$5:$B$400="DEVOLUCIÓN")*(MOVIMIENTOS!$C$5:$C$400="P")*(MOVIMIENTOS!$D$5:$D$400="jabas")*(MOVIMIENTOS!$A$5:$A$400&lt;&gt;"")*(MOVIMIENTOS!$A$5:$A$400&lt;=$A35)*MOVIMIENTOS!$E$5:$E$400)-SUMPRODUCT((MOVIMIENTOS!$B$5:$B$400="TRASIEGO")*(MOVIMIENTOS!$C$5:$C$400="P")*(MOVIMIENTOS!$D$5:$D$400="jabas")*(MOVIMIENTOS!$A$5:$A$400&lt;&gt;"")*(MOVIMIENTOS!$A$5:$A$400&lt;=$A35)*MOVIMIENTOS!$E$5:$E$400)-SUMPRODUCT((MOVIMIENTOS!$B$5:$B$400="REGALO")*(MOVIMIENTOS!$C$5:$C$400="P")*(MOVIMIENTOS!$D$5:$D$400="jabas")*(MOVIMIENTOS!$A$5:$A$400&lt;&gt;"")*(MOVIMIENTOS!$A$5:$A$400&lt;=$A35)*MOVIMIENTOS!$E$5:$E$400)-SUMPRODUCT((MOVIMIENTOS!$B$5:$B$400="VENTA")*(MOVIMIENTOS!$C$5:$C$400="P")*(MOVIMIENTOS!$D$5:$D$400="jabas")*(MOVIMIENTOS!$A$5:$A$400&lt;&gt;"")*(MOVIMIENTOS!$A$5:$A$400&lt;=$A35)*MOVIMIENTOS!$E$5:$E$400)+SUMPRODUCT((MOVIMIENTOS!$B$5:$B$400="AJUSTE")*(MOVIMIENTOS!$C$5:$C$400="P")*(MOVIMIENTOS!$D$5:$D$400="jabas")*(MOVIMIENTOS!$A$5:$A$400&lt;&gt;"")*(MOVIMIENTOS!$A$5:$A$400&lt;=$A35)*MOVIMIENTOS!$E$5:$E$400))</f>
        <v/>
      </c>
      <c r="D35" s="52" t="str">
        <f aca="false">IF($A35="","",SUMPRODUCT((MOVIMIENTOS!$B$5:$B$400="SALDO INICIAL")*(MOVIMIENTOS!$C$5:$C$400="C")*(MOVIMIENTOS!$D$5:$D$400="jabas")*(MOVIMIENTOS!$A$5:$A$400&lt;&gt;"")*(MOVIMIENTOS!$A$5:$A$400&lt;=$A35)*MOVIMIENTOS!$E$5:$E$400)+SUMPRODUCT((MOVIMIENTOS!$B$5:$B$400="PROCESO")*(MOVIMIENTOS!$C$5:$C$400="C")*(MOVIMIENTOS!$D$5:$D$400="jabas")*(MOVIMIENTOS!$A$5:$A$400&lt;&gt;"")*(MOVIMIENTOS!$A$5:$A$400&lt;=$A35)*MOVIMIENTOS!$E$5:$E$400)-SUMPRODUCT((MOVIMIENTOS!$B$5:$B$400="ENVÍO A SUPESA")*(MOVIMIENTOS!$C$5:$C$400="C")*(MOVIMIENTOS!$D$5:$D$400="jabas")*(MOVIMIENTOS!$A$5:$A$400&lt;&gt;"")*(MOVIMIENTOS!$A$5:$A$400&lt;=$A35)*MOVIMIENTOS!$E$5:$E$400)+SUMPRODUCT((MOVIMIENTOS!$B$5:$B$400="DEVOLUCIÓN")*(MOVIMIENTOS!$C$5:$C$400="C")*(MOVIMIENTOS!$D$5:$D$400="jabas")*(MOVIMIENTOS!$A$5:$A$400&lt;&gt;"")*(MOVIMIENTOS!$A$5:$A$400&lt;=$A35)*MOVIMIENTOS!$E$5:$E$400)-SUMPRODUCT((MOVIMIENTOS!$B$5:$B$400="TRASIEGO")*(MOVIMIENTOS!$C$5:$C$400="C")*(MOVIMIENTOS!$D$5:$D$400="jabas")*(MOVIMIENTOS!$A$5:$A$400&lt;&gt;"")*(MOVIMIENTOS!$A$5:$A$400&lt;=$A35)*MOVIMIENTOS!$E$5:$E$400)-SUMPRODUCT((MOVIMIENTOS!$B$5:$B$400="REGALO")*(MOVIMIENTOS!$C$5:$C$400="C")*(MOVIMIENTOS!$D$5:$D$400="jabas")*(MOVIMIENTOS!$A$5:$A$400&lt;&gt;"")*(MOVIMIENTOS!$A$5:$A$400&lt;=$A35)*MOVIMIENTOS!$E$5:$E$400)-SUMPRODUCT((MOVIMIENTOS!$B$5:$B$400="VENTA")*(MOVIMIENTOS!$C$5:$C$400="C")*(MOVIMIENTOS!$D$5:$D$400="jabas")*(MOVIMIENTOS!$A$5:$A$400&lt;&gt;"")*(MOVIMIENTOS!$A$5:$A$400&lt;=$A35)*MOVIMIENTOS!$E$5:$E$400)+SUMPRODUCT((MOVIMIENTOS!$B$5:$B$400="AJUSTE")*(MOVIMIENTOS!$C$5:$C$400="C")*(MOVIMIENTOS!$D$5:$D$400="jabas")*(MOVIMIENTOS!$A$5:$A$400&lt;&gt;"")*(MOVIMIENTOS!$A$5:$A$400&lt;=$A35)*MOVIMIENTOS!$E$5:$E$400))</f>
        <v/>
      </c>
      <c r="E35" s="52" t="str">
        <f aca="false">IF($A35="","",SUMPRODUCT((MOVIMIENTOS!$B$5:$B$400="SALDO INICIAL")*(MOVIMIENTOS!$C$5:$C$400="M")*(MOVIMIENTOS!$D$5:$D$400="jabas")*(MOVIMIENTOS!$A$5:$A$400&lt;&gt;"")*(MOVIMIENTOS!$A$5:$A$400&lt;=$A35)*MOVIMIENTOS!$E$5:$E$400)+SUMPRODUCT((MOVIMIENTOS!$B$5:$B$400="PROCESO")*(MOVIMIENTOS!$C$5:$C$400="M")*(MOVIMIENTOS!$D$5:$D$400="jabas")*(MOVIMIENTOS!$A$5:$A$400&lt;&gt;"")*(MOVIMIENTOS!$A$5:$A$400&lt;=$A35)*MOVIMIENTOS!$E$5:$E$400)-SUMPRODUCT((MOVIMIENTOS!$B$5:$B$400="ENVÍO A SUPESA")*(MOVIMIENTOS!$C$5:$C$400="M")*(MOVIMIENTOS!$D$5:$D$400="jabas")*(MOVIMIENTOS!$A$5:$A$400&lt;&gt;"")*(MOVIMIENTOS!$A$5:$A$400&lt;=$A35)*MOVIMIENTOS!$E$5:$E$400)+SUMPRODUCT((MOVIMIENTOS!$B$5:$B$400="DEVOLUCIÓN")*(MOVIMIENTOS!$C$5:$C$400="M")*(MOVIMIENTOS!$D$5:$D$400="jabas")*(MOVIMIENTOS!$A$5:$A$400&lt;&gt;"")*(MOVIMIENTOS!$A$5:$A$400&lt;=$A35)*MOVIMIENTOS!$E$5:$E$400)-SUMPRODUCT((MOVIMIENTOS!$B$5:$B$400="TRASIEGO")*(MOVIMIENTOS!$C$5:$C$400="M")*(MOVIMIENTOS!$D$5:$D$400="jabas")*(MOVIMIENTOS!$A$5:$A$400&lt;&gt;"")*(MOVIMIENTOS!$A$5:$A$400&lt;=$A35)*MOVIMIENTOS!$E$5:$E$400)-SUMPRODUCT((MOVIMIENTOS!$B$5:$B$400="REGALO")*(MOVIMIENTOS!$C$5:$C$400="M")*(MOVIMIENTOS!$D$5:$D$400="jabas")*(MOVIMIENTOS!$A$5:$A$400&lt;&gt;"")*(MOVIMIENTOS!$A$5:$A$400&lt;=$A35)*MOVIMIENTOS!$E$5:$E$400)-SUMPRODUCT((MOVIMIENTOS!$B$5:$B$400="VENTA")*(MOVIMIENTOS!$C$5:$C$400="M")*(MOVIMIENTOS!$D$5:$D$400="jabas")*(MOVIMIENTOS!$A$5:$A$400&lt;&gt;"")*(MOVIMIENTOS!$A$5:$A$400&lt;=$A35)*MOVIMIENTOS!$E$5:$E$400)+SUMPRODUCT((MOVIMIENTOS!$B$5:$B$400="AJUSTE")*(MOVIMIENTOS!$C$5:$C$400="M")*(MOVIMIENTOS!$D$5:$D$400="jabas")*(MOVIMIENTOS!$A$5:$A$400&lt;&gt;"")*(MOVIMIENTOS!$A$5:$A$400&lt;=$A35)*MOVIMIENTOS!$E$5:$E$400))</f>
        <v/>
      </c>
      <c r="F35" s="52" t="str">
        <f aca="false">IF($A35="","",SUMPRODUCT((MOVIMIENTOS!$B$5:$B$400="SALDO INICIAL")*(MOVIMIENTOS!$C$5:$C$400="Chancho")*(MOVIMIENTOS!$D$5:$D$400="sacos")*(MOVIMIENTOS!$A$5:$A$400&lt;&gt;"")*(MOVIMIENTOS!$A$5:$A$400&lt;=$A35)*MOVIMIENTOS!$E$5:$E$400)+SUMPRODUCT((MOVIMIENTOS!$B$5:$B$400="PROCESO")*(MOVIMIENTOS!$C$5:$C$400="Chancho")*(MOVIMIENTOS!$D$5:$D$400="sacos")*(MOVIMIENTOS!$A$5:$A$400&lt;&gt;"")*(MOVIMIENTOS!$A$5:$A$400&lt;=$A35)*MOVIMIENTOS!$E$5:$E$400)-SUMPRODUCT((MOVIMIENTOS!$B$5:$B$400="VENTA CHANCHO")*(MOVIMIENTOS!$C$5:$C$400="Chancho")*(MOVIMIENTOS!$D$5:$D$400="sacos")*(MOVIMIENTOS!$A$5:$A$400&lt;&gt;"")*(MOVIMIENTOS!$A$5:$A$400&lt;=$A35)*MOVIMIENTOS!$E$5:$E$400)-SUMPRODUCT((MOVIMIENTOS!$B$5:$B$400="REGALO")*(MOVIMIENTOS!$C$5:$C$400="Chancho")*(MOVIMIENTOS!$D$5:$D$400="sacos")*(MOVIMIENTOS!$A$5:$A$400&lt;&gt;"")*(MOVIMIENTOS!$A$5:$A$400&lt;=$A35)*MOVIMIENTOS!$E$5:$E$400)-SUMPRODUCT((MOVIMIENTOS!$B$5:$B$400="VENTA")*(MOVIMIENTOS!$C$5:$C$400="Chancho")*(MOVIMIENTOS!$D$5:$D$400="sacos")*(MOVIMIENTOS!$A$5:$A$400&lt;&gt;"")*(MOVIMIENTOS!$A$5:$A$400&lt;=$A35)*MOVIMIENTOS!$E$5:$E$400)+SUMPRODUCT((MOVIMIENTOS!$B$5:$B$400="AJUSTE")*(MOVIMIENTOS!$C$5:$C$400="Chancho")*(MOVIMIENTOS!$D$5:$D$400="sacos")*(MOVIMIENTOS!$A$5:$A$400&lt;&gt;"")*(MOVIMIENTOS!$A$5:$A$400&lt;=$A35)*MOVIMIENTOS!$E$5:$E$400))</f>
        <v/>
      </c>
      <c r="G35" s="52" t="str">
        <f aca="false">IF($A35="","",SUM(B35:E35))</f>
        <v/>
      </c>
      <c r="H35" s="52" t="str">
        <f aca="false">IF($A35="","",SUMPRODUCT((((MOVIMIENTOS!$B$5:$B$400="SALDO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35)*MOVIMIENTOS!$I$5:$I$400))</f>
        <v/>
      </c>
      <c r="I35" s="48"/>
      <c r="J35" s="48" t="str">
        <f aca="false">IF(AND(MOVIMIENTOS!$A35&lt;&gt;"",COUNTIF(MOVIMIENTOS!$A$5:$A34,MOVIMIENTOS!$A35)=0),COUNT(J$4:J34)+1,"")</f>
        <v/>
      </c>
      <c r="K35" s="53" t="n">
        <f aca="false">MOVIMIENTOS!$A35</f>
        <v>46217</v>
      </c>
      <c r="L35" s="48"/>
      <c r="M35" s="48"/>
      <c r="N35" s="48"/>
    </row>
    <row r="36" customFormat="false" ht="15" hidden="false" customHeight="true" outlineLevel="0" collapsed="false">
      <c r="A36" s="51" t="str">
        <f aca="false">IFERROR(INDEX(K$5:K$400,MATCH(ROW()-4,J$5:J$400,0)),"")</f>
        <v/>
      </c>
      <c r="B36" s="52" t="str">
        <f aca="false">IF($A36="","",SUMPRODUCT((MOVIMIENTOS!$B$5:$B$400="SALDO INICIAL")*(MOVIMIENTOS!$C$5:$C$400="A")*(MOVIMIENTOS!$D$5:$D$400="jabas")*(MOVIMIENTOS!$A$5:$A$400&lt;&gt;"")*(MOVIMIENTOS!$A$5:$A$400&lt;=$A36)*MOVIMIENTOS!$E$5:$E$400)+SUMPRODUCT((MOVIMIENTOS!$B$5:$B$400="PROCESO")*(MOVIMIENTOS!$C$5:$C$400="A")*(MOVIMIENTOS!$D$5:$D$400="jabas")*(MOVIMIENTOS!$A$5:$A$400&lt;&gt;"")*(MOVIMIENTOS!$A$5:$A$400&lt;=$A36)*MOVIMIENTOS!$E$5:$E$400)-SUMPRODUCT((MOVIMIENTOS!$B$5:$B$400="ENVÍO A SUPESA")*(MOVIMIENTOS!$C$5:$C$400="A")*(MOVIMIENTOS!$D$5:$D$400="jabas")*(MOVIMIENTOS!$A$5:$A$400&lt;&gt;"")*(MOVIMIENTOS!$A$5:$A$400&lt;=$A36)*MOVIMIENTOS!$E$5:$E$400)+SUMPRODUCT((MOVIMIENTOS!$B$5:$B$400="DEVOLUCIÓN")*(MOVIMIENTOS!$C$5:$C$400="A")*(MOVIMIENTOS!$D$5:$D$400="jabas")*(MOVIMIENTOS!$A$5:$A$400&lt;&gt;"")*(MOVIMIENTOS!$A$5:$A$400&lt;=$A36)*MOVIMIENTOS!$E$5:$E$400)-SUMPRODUCT((MOVIMIENTOS!$B$5:$B$400="TRASIEGO")*(MOVIMIENTOS!$C$5:$C$400="A")*(MOVIMIENTOS!$D$5:$D$400="jabas")*(MOVIMIENTOS!$A$5:$A$400&lt;&gt;"")*(MOVIMIENTOS!$A$5:$A$400&lt;=$A36)*MOVIMIENTOS!$E$5:$E$400)-SUMPRODUCT((MOVIMIENTOS!$B$5:$B$400="REGALO")*(MOVIMIENTOS!$C$5:$C$400="A")*(MOVIMIENTOS!$D$5:$D$400="jabas")*(MOVIMIENTOS!$A$5:$A$400&lt;&gt;"")*(MOVIMIENTOS!$A$5:$A$400&lt;=$A36)*MOVIMIENTOS!$E$5:$E$400)-SUMPRODUCT((MOVIMIENTOS!$B$5:$B$400="VENTA")*(MOVIMIENTOS!$C$5:$C$400="A")*(MOVIMIENTOS!$D$5:$D$400="jabas")*(MOVIMIENTOS!$A$5:$A$400&lt;&gt;"")*(MOVIMIENTOS!$A$5:$A$400&lt;=$A36)*MOVIMIENTOS!$E$5:$E$400)+SUMPRODUCT((MOVIMIENTOS!$B$5:$B$400="AJUSTE")*(MOVIMIENTOS!$C$5:$C$400="A")*(MOVIMIENTOS!$D$5:$D$400="jabas")*(MOVIMIENTOS!$A$5:$A$400&lt;&gt;"")*(MOVIMIENTOS!$A$5:$A$400&lt;=$A36)*MOVIMIENTOS!$E$5:$E$400))</f>
        <v/>
      </c>
      <c r="C36" s="52" t="str">
        <f aca="false">IF($A36="","",SUMPRODUCT((MOVIMIENTOS!$B$5:$B$400="SALDO INICIAL")*(MOVIMIENTOS!$C$5:$C$400="P")*(MOVIMIENTOS!$D$5:$D$400="jabas")*(MOVIMIENTOS!$A$5:$A$400&lt;&gt;"")*(MOVIMIENTOS!$A$5:$A$400&lt;=$A36)*MOVIMIENTOS!$E$5:$E$400)+SUMPRODUCT((MOVIMIENTOS!$B$5:$B$400="PROCESO")*(MOVIMIENTOS!$C$5:$C$400="P")*(MOVIMIENTOS!$D$5:$D$400="jabas")*(MOVIMIENTOS!$A$5:$A$400&lt;&gt;"")*(MOVIMIENTOS!$A$5:$A$400&lt;=$A36)*MOVIMIENTOS!$E$5:$E$400)-SUMPRODUCT((MOVIMIENTOS!$B$5:$B$400="ENVÍO A SUPESA")*(MOVIMIENTOS!$C$5:$C$400="P")*(MOVIMIENTOS!$D$5:$D$400="jabas")*(MOVIMIENTOS!$A$5:$A$400&lt;&gt;"")*(MOVIMIENTOS!$A$5:$A$400&lt;=$A36)*MOVIMIENTOS!$E$5:$E$400)+SUMPRODUCT((MOVIMIENTOS!$B$5:$B$400="DEVOLUCIÓN")*(MOVIMIENTOS!$C$5:$C$400="P")*(MOVIMIENTOS!$D$5:$D$400="jabas")*(MOVIMIENTOS!$A$5:$A$400&lt;&gt;"")*(MOVIMIENTOS!$A$5:$A$400&lt;=$A36)*MOVIMIENTOS!$E$5:$E$400)-SUMPRODUCT((MOVIMIENTOS!$B$5:$B$400="TRASIEGO")*(MOVIMIENTOS!$C$5:$C$400="P")*(MOVIMIENTOS!$D$5:$D$400="jabas")*(MOVIMIENTOS!$A$5:$A$400&lt;&gt;"")*(MOVIMIENTOS!$A$5:$A$400&lt;=$A36)*MOVIMIENTOS!$E$5:$E$400)-SUMPRODUCT((MOVIMIENTOS!$B$5:$B$400="REGALO")*(MOVIMIENTOS!$C$5:$C$400="P")*(MOVIMIENTOS!$D$5:$D$400="jabas")*(MOVIMIENTOS!$A$5:$A$400&lt;&gt;"")*(MOVIMIENTOS!$A$5:$A$400&lt;=$A36)*MOVIMIENTOS!$E$5:$E$400)-SUMPRODUCT((MOVIMIENTOS!$B$5:$B$400="VENTA")*(MOVIMIENTOS!$C$5:$C$400="P")*(MOVIMIENTOS!$D$5:$D$400="jabas")*(MOVIMIENTOS!$A$5:$A$400&lt;&gt;"")*(MOVIMIENTOS!$A$5:$A$400&lt;=$A36)*MOVIMIENTOS!$E$5:$E$400)+SUMPRODUCT((MOVIMIENTOS!$B$5:$B$400="AJUSTE")*(MOVIMIENTOS!$C$5:$C$400="P")*(MOVIMIENTOS!$D$5:$D$400="jabas")*(MOVIMIENTOS!$A$5:$A$400&lt;&gt;"")*(MOVIMIENTOS!$A$5:$A$400&lt;=$A36)*MOVIMIENTOS!$E$5:$E$400))</f>
        <v/>
      </c>
      <c r="D36" s="52" t="str">
        <f aca="false">IF($A36="","",SUMPRODUCT((MOVIMIENTOS!$B$5:$B$400="SALDO INICIAL")*(MOVIMIENTOS!$C$5:$C$400="C")*(MOVIMIENTOS!$D$5:$D$400="jabas")*(MOVIMIENTOS!$A$5:$A$400&lt;&gt;"")*(MOVIMIENTOS!$A$5:$A$400&lt;=$A36)*MOVIMIENTOS!$E$5:$E$400)+SUMPRODUCT((MOVIMIENTOS!$B$5:$B$400="PROCESO")*(MOVIMIENTOS!$C$5:$C$400="C")*(MOVIMIENTOS!$D$5:$D$400="jabas")*(MOVIMIENTOS!$A$5:$A$400&lt;&gt;"")*(MOVIMIENTOS!$A$5:$A$400&lt;=$A36)*MOVIMIENTOS!$E$5:$E$400)-SUMPRODUCT((MOVIMIENTOS!$B$5:$B$400="ENVÍO A SUPESA")*(MOVIMIENTOS!$C$5:$C$400="C")*(MOVIMIENTOS!$D$5:$D$400="jabas")*(MOVIMIENTOS!$A$5:$A$400&lt;&gt;"")*(MOVIMIENTOS!$A$5:$A$400&lt;=$A36)*MOVIMIENTOS!$E$5:$E$400)+SUMPRODUCT((MOVIMIENTOS!$B$5:$B$400="DEVOLUCIÓN")*(MOVIMIENTOS!$C$5:$C$400="C")*(MOVIMIENTOS!$D$5:$D$400="jabas")*(MOVIMIENTOS!$A$5:$A$400&lt;&gt;"")*(MOVIMIENTOS!$A$5:$A$400&lt;=$A36)*MOVIMIENTOS!$E$5:$E$400)-SUMPRODUCT((MOVIMIENTOS!$B$5:$B$400="TRASIEGO")*(MOVIMIENTOS!$C$5:$C$400="C")*(MOVIMIENTOS!$D$5:$D$400="jabas")*(MOVIMIENTOS!$A$5:$A$400&lt;&gt;"")*(MOVIMIENTOS!$A$5:$A$400&lt;=$A36)*MOVIMIENTOS!$E$5:$E$400)-SUMPRODUCT((MOVIMIENTOS!$B$5:$B$400="REGALO")*(MOVIMIENTOS!$C$5:$C$400="C")*(MOVIMIENTOS!$D$5:$D$400="jabas")*(MOVIMIENTOS!$A$5:$A$400&lt;&gt;"")*(MOVIMIENTOS!$A$5:$A$400&lt;=$A36)*MOVIMIENTOS!$E$5:$E$400)-SUMPRODUCT((MOVIMIENTOS!$B$5:$B$400="VENTA")*(MOVIMIENTOS!$C$5:$C$400="C")*(MOVIMIENTOS!$D$5:$D$400="jabas")*(MOVIMIENTOS!$A$5:$A$400&lt;&gt;"")*(MOVIMIENTOS!$A$5:$A$400&lt;=$A36)*MOVIMIENTOS!$E$5:$E$400)+SUMPRODUCT((MOVIMIENTOS!$B$5:$B$400="AJUSTE")*(MOVIMIENTOS!$C$5:$C$400="C")*(MOVIMIENTOS!$D$5:$D$400="jabas")*(MOVIMIENTOS!$A$5:$A$400&lt;&gt;"")*(MOVIMIENTOS!$A$5:$A$400&lt;=$A36)*MOVIMIENTOS!$E$5:$E$400))</f>
        <v/>
      </c>
      <c r="E36" s="52" t="str">
        <f aca="false">IF($A36="","",SUMPRODUCT((MOVIMIENTOS!$B$5:$B$400="SALDO INICIAL")*(MOVIMIENTOS!$C$5:$C$400="M")*(MOVIMIENTOS!$D$5:$D$400="jabas")*(MOVIMIENTOS!$A$5:$A$400&lt;&gt;"")*(MOVIMIENTOS!$A$5:$A$400&lt;=$A36)*MOVIMIENTOS!$E$5:$E$400)+SUMPRODUCT((MOVIMIENTOS!$B$5:$B$400="PROCESO")*(MOVIMIENTOS!$C$5:$C$400="M")*(MOVIMIENTOS!$D$5:$D$400="jabas")*(MOVIMIENTOS!$A$5:$A$400&lt;&gt;"")*(MOVIMIENTOS!$A$5:$A$400&lt;=$A36)*MOVIMIENTOS!$E$5:$E$400)-SUMPRODUCT((MOVIMIENTOS!$B$5:$B$400="ENVÍO A SUPESA")*(MOVIMIENTOS!$C$5:$C$400="M")*(MOVIMIENTOS!$D$5:$D$400="jabas")*(MOVIMIENTOS!$A$5:$A$400&lt;&gt;"")*(MOVIMIENTOS!$A$5:$A$400&lt;=$A36)*MOVIMIENTOS!$E$5:$E$400)+SUMPRODUCT((MOVIMIENTOS!$B$5:$B$400="DEVOLUCIÓN")*(MOVIMIENTOS!$C$5:$C$400="M")*(MOVIMIENTOS!$D$5:$D$400="jabas")*(MOVIMIENTOS!$A$5:$A$400&lt;&gt;"")*(MOVIMIENTOS!$A$5:$A$400&lt;=$A36)*MOVIMIENTOS!$E$5:$E$400)-SUMPRODUCT((MOVIMIENTOS!$B$5:$B$400="TRASIEGO")*(MOVIMIENTOS!$C$5:$C$400="M")*(MOVIMIENTOS!$D$5:$D$400="jabas")*(MOVIMIENTOS!$A$5:$A$400&lt;&gt;"")*(MOVIMIENTOS!$A$5:$A$400&lt;=$A36)*MOVIMIENTOS!$E$5:$E$400)-SUMPRODUCT((MOVIMIENTOS!$B$5:$B$400="REGALO")*(MOVIMIENTOS!$C$5:$C$400="M")*(MOVIMIENTOS!$D$5:$D$400="jabas")*(MOVIMIENTOS!$A$5:$A$400&lt;&gt;"")*(MOVIMIENTOS!$A$5:$A$400&lt;=$A36)*MOVIMIENTOS!$E$5:$E$400)-SUMPRODUCT((MOVIMIENTOS!$B$5:$B$400="VENTA")*(MOVIMIENTOS!$C$5:$C$400="M")*(MOVIMIENTOS!$D$5:$D$400="jabas")*(MOVIMIENTOS!$A$5:$A$400&lt;&gt;"")*(MOVIMIENTOS!$A$5:$A$400&lt;=$A36)*MOVIMIENTOS!$E$5:$E$400)+SUMPRODUCT((MOVIMIENTOS!$B$5:$B$400="AJUSTE")*(MOVIMIENTOS!$C$5:$C$400="M")*(MOVIMIENTOS!$D$5:$D$400="jabas")*(MOVIMIENTOS!$A$5:$A$400&lt;&gt;"")*(MOVIMIENTOS!$A$5:$A$400&lt;=$A36)*MOVIMIENTOS!$E$5:$E$400))</f>
        <v/>
      </c>
      <c r="F36" s="52" t="str">
        <f aca="false">IF($A36="","",SUMPRODUCT((MOVIMIENTOS!$B$5:$B$400="SALDO INICIAL")*(MOVIMIENTOS!$C$5:$C$400="Chancho")*(MOVIMIENTOS!$D$5:$D$400="sacos")*(MOVIMIENTOS!$A$5:$A$400&lt;&gt;"")*(MOVIMIENTOS!$A$5:$A$400&lt;=$A36)*MOVIMIENTOS!$E$5:$E$400)+SUMPRODUCT((MOVIMIENTOS!$B$5:$B$400="PROCESO")*(MOVIMIENTOS!$C$5:$C$400="Chancho")*(MOVIMIENTOS!$D$5:$D$400="sacos")*(MOVIMIENTOS!$A$5:$A$400&lt;&gt;"")*(MOVIMIENTOS!$A$5:$A$400&lt;=$A36)*MOVIMIENTOS!$E$5:$E$400)-SUMPRODUCT((MOVIMIENTOS!$B$5:$B$400="VENTA CHANCHO")*(MOVIMIENTOS!$C$5:$C$400="Chancho")*(MOVIMIENTOS!$D$5:$D$400="sacos")*(MOVIMIENTOS!$A$5:$A$400&lt;&gt;"")*(MOVIMIENTOS!$A$5:$A$400&lt;=$A36)*MOVIMIENTOS!$E$5:$E$400)-SUMPRODUCT((MOVIMIENTOS!$B$5:$B$400="REGALO")*(MOVIMIENTOS!$C$5:$C$400="Chancho")*(MOVIMIENTOS!$D$5:$D$400="sacos")*(MOVIMIENTOS!$A$5:$A$400&lt;&gt;"")*(MOVIMIENTOS!$A$5:$A$400&lt;=$A36)*MOVIMIENTOS!$E$5:$E$400)-SUMPRODUCT((MOVIMIENTOS!$B$5:$B$400="VENTA")*(MOVIMIENTOS!$C$5:$C$400="Chancho")*(MOVIMIENTOS!$D$5:$D$400="sacos")*(MOVIMIENTOS!$A$5:$A$400&lt;&gt;"")*(MOVIMIENTOS!$A$5:$A$400&lt;=$A36)*MOVIMIENTOS!$E$5:$E$400)+SUMPRODUCT((MOVIMIENTOS!$B$5:$B$400="AJUSTE")*(MOVIMIENTOS!$C$5:$C$400="Chancho")*(MOVIMIENTOS!$D$5:$D$400="sacos")*(MOVIMIENTOS!$A$5:$A$400&lt;&gt;"")*(MOVIMIENTOS!$A$5:$A$400&lt;=$A36)*MOVIMIENTOS!$E$5:$E$400))</f>
        <v/>
      </c>
      <c r="G36" s="52" t="str">
        <f aca="false">IF($A36="","",SUM(B36:E36))</f>
        <v/>
      </c>
      <c r="H36" s="52" t="str">
        <f aca="false">IF($A36="","",SUMPRODUCT((((MOVIMIENTOS!$B$5:$B$400="SALDO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36)*MOVIMIENTOS!$I$5:$I$400))</f>
        <v/>
      </c>
      <c r="I36" s="48"/>
      <c r="J36" s="48" t="str">
        <f aca="false">IF(AND(MOVIMIENTOS!$A36&lt;&gt;"",COUNTIF(MOVIMIENTOS!$A$5:$A35,MOVIMIENTOS!$A36)=0),COUNT(J$4:J35)+1,"")</f>
        <v/>
      </c>
      <c r="K36" s="53" t="n">
        <f aca="false">MOVIMIENTOS!$A36</f>
        <v>46217</v>
      </c>
      <c r="L36" s="48"/>
      <c r="M36" s="48"/>
      <c r="N36" s="48"/>
    </row>
    <row r="37" customFormat="false" ht="15" hidden="false" customHeight="true" outlineLevel="0" collapsed="false">
      <c r="A37" s="51" t="str">
        <f aca="false">IFERROR(INDEX(K$5:K$400,MATCH(ROW()-4,J$5:J$400,0)),"")</f>
        <v/>
      </c>
      <c r="B37" s="52" t="str">
        <f aca="false">IF($A37="","",SUMPRODUCT((MOVIMIENTOS!$B$5:$B$400="SALDO INICIAL")*(MOVIMIENTOS!$C$5:$C$400="A")*(MOVIMIENTOS!$D$5:$D$400="jabas")*(MOVIMIENTOS!$A$5:$A$400&lt;&gt;"")*(MOVIMIENTOS!$A$5:$A$400&lt;=$A37)*MOVIMIENTOS!$E$5:$E$400)+SUMPRODUCT((MOVIMIENTOS!$B$5:$B$400="PROCESO")*(MOVIMIENTOS!$C$5:$C$400="A")*(MOVIMIENTOS!$D$5:$D$400="jabas")*(MOVIMIENTOS!$A$5:$A$400&lt;&gt;"")*(MOVIMIENTOS!$A$5:$A$400&lt;=$A37)*MOVIMIENTOS!$E$5:$E$400)-SUMPRODUCT((MOVIMIENTOS!$B$5:$B$400="ENVÍO A SUPESA")*(MOVIMIENTOS!$C$5:$C$400="A")*(MOVIMIENTOS!$D$5:$D$400="jabas")*(MOVIMIENTOS!$A$5:$A$400&lt;&gt;"")*(MOVIMIENTOS!$A$5:$A$400&lt;=$A37)*MOVIMIENTOS!$E$5:$E$400)+SUMPRODUCT((MOVIMIENTOS!$B$5:$B$400="DEVOLUCIÓN")*(MOVIMIENTOS!$C$5:$C$400="A")*(MOVIMIENTOS!$D$5:$D$400="jabas")*(MOVIMIENTOS!$A$5:$A$400&lt;&gt;"")*(MOVIMIENTOS!$A$5:$A$400&lt;=$A37)*MOVIMIENTOS!$E$5:$E$400)-SUMPRODUCT((MOVIMIENTOS!$B$5:$B$400="TRASIEGO")*(MOVIMIENTOS!$C$5:$C$400="A")*(MOVIMIENTOS!$D$5:$D$400="jabas")*(MOVIMIENTOS!$A$5:$A$400&lt;&gt;"")*(MOVIMIENTOS!$A$5:$A$400&lt;=$A37)*MOVIMIENTOS!$E$5:$E$400)-SUMPRODUCT((MOVIMIENTOS!$B$5:$B$400="REGALO")*(MOVIMIENTOS!$C$5:$C$400="A")*(MOVIMIENTOS!$D$5:$D$400="jabas")*(MOVIMIENTOS!$A$5:$A$400&lt;&gt;"")*(MOVIMIENTOS!$A$5:$A$400&lt;=$A37)*MOVIMIENTOS!$E$5:$E$400)-SUMPRODUCT((MOVIMIENTOS!$B$5:$B$400="VENTA")*(MOVIMIENTOS!$C$5:$C$400="A")*(MOVIMIENTOS!$D$5:$D$400="jabas")*(MOVIMIENTOS!$A$5:$A$400&lt;&gt;"")*(MOVIMIENTOS!$A$5:$A$400&lt;=$A37)*MOVIMIENTOS!$E$5:$E$400)+SUMPRODUCT((MOVIMIENTOS!$B$5:$B$400="AJUSTE")*(MOVIMIENTOS!$C$5:$C$400="A")*(MOVIMIENTOS!$D$5:$D$400="jabas")*(MOVIMIENTOS!$A$5:$A$400&lt;&gt;"")*(MOVIMIENTOS!$A$5:$A$400&lt;=$A37)*MOVIMIENTOS!$E$5:$E$400))</f>
        <v/>
      </c>
      <c r="C37" s="52" t="str">
        <f aca="false">IF($A37="","",SUMPRODUCT((MOVIMIENTOS!$B$5:$B$400="SALDO INICIAL")*(MOVIMIENTOS!$C$5:$C$400="P")*(MOVIMIENTOS!$D$5:$D$400="jabas")*(MOVIMIENTOS!$A$5:$A$400&lt;&gt;"")*(MOVIMIENTOS!$A$5:$A$400&lt;=$A37)*MOVIMIENTOS!$E$5:$E$400)+SUMPRODUCT((MOVIMIENTOS!$B$5:$B$400="PROCESO")*(MOVIMIENTOS!$C$5:$C$400="P")*(MOVIMIENTOS!$D$5:$D$400="jabas")*(MOVIMIENTOS!$A$5:$A$400&lt;&gt;"")*(MOVIMIENTOS!$A$5:$A$400&lt;=$A37)*MOVIMIENTOS!$E$5:$E$400)-SUMPRODUCT((MOVIMIENTOS!$B$5:$B$400="ENVÍO A SUPESA")*(MOVIMIENTOS!$C$5:$C$400="P")*(MOVIMIENTOS!$D$5:$D$400="jabas")*(MOVIMIENTOS!$A$5:$A$400&lt;&gt;"")*(MOVIMIENTOS!$A$5:$A$400&lt;=$A37)*MOVIMIENTOS!$E$5:$E$400)+SUMPRODUCT((MOVIMIENTOS!$B$5:$B$400="DEVOLUCIÓN")*(MOVIMIENTOS!$C$5:$C$400="P")*(MOVIMIENTOS!$D$5:$D$400="jabas")*(MOVIMIENTOS!$A$5:$A$400&lt;&gt;"")*(MOVIMIENTOS!$A$5:$A$400&lt;=$A37)*MOVIMIENTOS!$E$5:$E$400)-SUMPRODUCT((MOVIMIENTOS!$B$5:$B$400="TRASIEGO")*(MOVIMIENTOS!$C$5:$C$400="P")*(MOVIMIENTOS!$D$5:$D$400="jabas")*(MOVIMIENTOS!$A$5:$A$400&lt;&gt;"")*(MOVIMIENTOS!$A$5:$A$400&lt;=$A37)*MOVIMIENTOS!$E$5:$E$400)-SUMPRODUCT((MOVIMIENTOS!$B$5:$B$400="REGALO")*(MOVIMIENTOS!$C$5:$C$400="P")*(MOVIMIENTOS!$D$5:$D$400="jabas")*(MOVIMIENTOS!$A$5:$A$400&lt;&gt;"")*(MOVIMIENTOS!$A$5:$A$400&lt;=$A37)*MOVIMIENTOS!$E$5:$E$400)-SUMPRODUCT((MOVIMIENTOS!$B$5:$B$400="VENTA")*(MOVIMIENTOS!$C$5:$C$400="P")*(MOVIMIENTOS!$D$5:$D$400="jabas")*(MOVIMIENTOS!$A$5:$A$400&lt;&gt;"")*(MOVIMIENTOS!$A$5:$A$400&lt;=$A37)*MOVIMIENTOS!$E$5:$E$400)+SUMPRODUCT((MOVIMIENTOS!$B$5:$B$400="AJUSTE")*(MOVIMIENTOS!$C$5:$C$400="P")*(MOVIMIENTOS!$D$5:$D$400="jabas")*(MOVIMIENTOS!$A$5:$A$400&lt;&gt;"")*(MOVIMIENTOS!$A$5:$A$400&lt;=$A37)*MOVIMIENTOS!$E$5:$E$400))</f>
        <v/>
      </c>
      <c r="D37" s="52" t="str">
        <f aca="false">IF($A37="","",SUMPRODUCT((MOVIMIENTOS!$B$5:$B$400="SALDO INICIAL")*(MOVIMIENTOS!$C$5:$C$400="C")*(MOVIMIENTOS!$D$5:$D$400="jabas")*(MOVIMIENTOS!$A$5:$A$400&lt;&gt;"")*(MOVIMIENTOS!$A$5:$A$400&lt;=$A37)*MOVIMIENTOS!$E$5:$E$400)+SUMPRODUCT((MOVIMIENTOS!$B$5:$B$400="PROCESO")*(MOVIMIENTOS!$C$5:$C$400="C")*(MOVIMIENTOS!$D$5:$D$400="jabas")*(MOVIMIENTOS!$A$5:$A$400&lt;&gt;"")*(MOVIMIENTOS!$A$5:$A$400&lt;=$A37)*MOVIMIENTOS!$E$5:$E$400)-SUMPRODUCT((MOVIMIENTOS!$B$5:$B$400="ENVÍO A SUPESA")*(MOVIMIENTOS!$C$5:$C$400="C")*(MOVIMIENTOS!$D$5:$D$400="jabas")*(MOVIMIENTOS!$A$5:$A$400&lt;&gt;"")*(MOVIMIENTOS!$A$5:$A$400&lt;=$A37)*MOVIMIENTOS!$E$5:$E$400)+SUMPRODUCT((MOVIMIENTOS!$B$5:$B$400="DEVOLUCIÓN")*(MOVIMIENTOS!$C$5:$C$400="C")*(MOVIMIENTOS!$D$5:$D$400="jabas")*(MOVIMIENTOS!$A$5:$A$400&lt;&gt;"")*(MOVIMIENTOS!$A$5:$A$400&lt;=$A37)*MOVIMIENTOS!$E$5:$E$400)-SUMPRODUCT((MOVIMIENTOS!$B$5:$B$400="TRASIEGO")*(MOVIMIENTOS!$C$5:$C$400="C")*(MOVIMIENTOS!$D$5:$D$400="jabas")*(MOVIMIENTOS!$A$5:$A$400&lt;&gt;"")*(MOVIMIENTOS!$A$5:$A$400&lt;=$A37)*MOVIMIENTOS!$E$5:$E$400)-SUMPRODUCT((MOVIMIENTOS!$B$5:$B$400="REGALO")*(MOVIMIENTOS!$C$5:$C$400="C")*(MOVIMIENTOS!$D$5:$D$400="jabas")*(MOVIMIENTOS!$A$5:$A$400&lt;&gt;"")*(MOVIMIENTOS!$A$5:$A$400&lt;=$A37)*MOVIMIENTOS!$E$5:$E$400)-SUMPRODUCT((MOVIMIENTOS!$B$5:$B$400="VENTA")*(MOVIMIENTOS!$C$5:$C$400="C")*(MOVIMIENTOS!$D$5:$D$400="jabas")*(MOVIMIENTOS!$A$5:$A$400&lt;&gt;"")*(MOVIMIENTOS!$A$5:$A$400&lt;=$A37)*MOVIMIENTOS!$E$5:$E$400)+SUMPRODUCT((MOVIMIENTOS!$B$5:$B$400="AJUSTE")*(MOVIMIENTOS!$C$5:$C$400="C")*(MOVIMIENTOS!$D$5:$D$400="jabas")*(MOVIMIENTOS!$A$5:$A$400&lt;&gt;"")*(MOVIMIENTOS!$A$5:$A$400&lt;=$A37)*MOVIMIENTOS!$E$5:$E$400))</f>
        <v/>
      </c>
      <c r="E37" s="52" t="str">
        <f aca="false">IF($A37="","",SUMPRODUCT((MOVIMIENTOS!$B$5:$B$400="SALDO INICIAL")*(MOVIMIENTOS!$C$5:$C$400="M")*(MOVIMIENTOS!$D$5:$D$400="jabas")*(MOVIMIENTOS!$A$5:$A$400&lt;&gt;"")*(MOVIMIENTOS!$A$5:$A$400&lt;=$A37)*MOVIMIENTOS!$E$5:$E$400)+SUMPRODUCT((MOVIMIENTOS!$B$5:$B$400="PROCESO")*(MOVIMIENTOS!$C$5:$C$400="M")*(MOVIMIENTOS!$D$5:$D$400="jabas")*(MOVIMIENTOS!$A$5:$A$400&lt;&gt;"")*(MOVIMIENTOS!$A$5:$A$400&lt;=$A37)*MOVIMIENTOS!$E$5:$E$400)-SUMPRODUCT((MOVIMIENTOS!$B$5:$B$400="ENVÍO A SUPESA")*(MOVIMIENTOS!$C$5:$C$400="M")*(MOVIMIENTOS!$D$5:$D$400="jabas")*(MOVIMIENTOS!$A$5:$A$400&lt;&gt;"")*(MOVIMIENTOS!$A$5:$A$400&lt;=$A37)*MOVIMIENTOS!$E$5:$E$400)+SUMPRODUCT((MOVIMIENTOS!$B$5:$B$400="DEVOLUCIÓN")*(MOVIMIENTOS!$C$5:$C$400="M")*(MOVIMIENTOS!$D$5:$D$400="jabas")*(MOVIMIENTOS!$A$5:$A$400&lt;&gt;"")*(MOVIMIENTOS!$A$5:$A$400&lt;=$A37)*MOVIMIENTOS!$E$5:$E$400)-SUMPRODUCT((MOVIMIENTOS!$B$5:$B$400="TRASIEGO")*(MOVIMIENTOS!$C$5:$C$400="M")*(MOVIMIENTOS!$D$5:$D$400="jabas")*(MOVIMIENTOS!$A$5:$A$400&lt;&gt;"")*(MOVIMIENTOS!$A$5:$A$400&lt;=$A37)*MOVIMIENTOS!$E$5:$E$400)-SUMPRODUCT((MOVIMIENTOS!$B$5:$B$400="REGALO")*(MOVIMIENTOS!$C$5:$C$400="M")*(MOVIMIENTOS!$D$5:$D$400="jabas")*(MOVIMIENTOS!$A$5:$A$400&lt;&gt;"")*(MOVIMIENTOS!$A$5:$A$400&lt;=$A37)*MOVIMIENTOS!$E$5:$E$400)-SUMPRODUCT((MOVIMIENTOS!$B$5:$B$400="VENTA")*(MOVIMIENTOS!$C$5:$C$400="M")*(MOVIMIENTOS!$D$5:$D$400="jabas")*(MOVIMIENTOS!$A$5:$A$400&lt;&gt;"")*(MOVIMIENTOS!$A$5:$A$400&lt;=$A37)*MOVIMIENTOS!$E$5:$E$400)+SUMPRODUCT((MOVIMIENTOS!$B$5:$B$400="AJUSTE")*(MOVIMIENTOS!$C$5:$C$400="M")*(MOVIMIENTOS!$D$5:$D$400="jabas")*(MOVIMIENTOS!$A$5:$A$400&lt;&gt;"")*(MOVIMIENTOS!$A$5:$A$400&lt;=$A37)*MOVIMIENTOS!$E$5:$E$400))</f>
        <v/>
      </c>
      <c r="F37" s="52" t="str">
        <f aca="false">IF($A37="","",SUMPRODUCT((MOVIMIENTOS!$B$5:$B$400="SALDO INICIAL")*(MOVIMIENTOS!$C$5:$C$400="Chancho")*(MOVIMIENTOS!$D$5:$D$400="sacos")*(MOVIMIENTOS!$A$5:$A$400&lt;&gt;"")*(MOVIMIENTOS!$A$5:$A$400&lt;=$A37)*MOVIMIENTOS!$E$5:$E$400)+SUMPRODUCT((MOVIMIENTOS!$B$5:$B$400="PROCESO")*(MOVIMIENTOS!$C$5:$C$400="Chancho")*(MOVIMIENTOS!$D$5:$D$400="sacos")*(MOVIMIENTOS!$A$5:$A$400&lt;&gt;"")*(MOVIMIENTOS!$A$5:$A$400&lt;=$A37)*MOVIMIENTOS!$E$5:$E$400)-SUMPRODUCT((MOVIMIENTOS!$B$5:$B$400="VENTA CHANCHO")*(MOVIMIENTOS!$C$5:$C$400="Chancho")*(MOVIMIENTOS!$D$5:$D$400="sacos")*(MOVIMIENTOS!$A$5:$A$400&lt;&gt;"")*(MOVIMIENTOS!$A$5:$A$400&lt;=$A37)*MOVIMIENTOS!$E$5:$E$400)-SUMPRODUCT((MOVIMIENTOS!$B$5:$B$400="REGALO")*(MOVIMIENTOS!$C$5:$C$400="Chancho")*(MOVIMIENTOS!$D$5:$D$400="sacos")*(MOVIMIENTOS!$A$5:$A$400&lt;&gt;"")*(MOVIMIENTOS!$A$5:$A$400&lt;=$A37)*MOVIMIENTOS!$E$5:$E$400)-SUMPRODUCT((MOVIMIENTOS!$B$5:$B$400="VENTA")*(MOVIMIENTOS!$C$5:$C$400="Chancho")*(MOVIMIENTOS!$D$5:$D$400="sacos")*(MOVIMIENTOS!$A$5:$A$400&lt;&gt;"")*(MOVIMIENTOS!$A$5:$A$400&lt;=$A37)*MOVIMIENTOS!$E$5:$E$400)+SUMPRODUCT((MOVIMIENTOS!$B$5:$B$400="AJUSTE")*(MOVIMIENTOS!$C$5:$C$400="Chancho")*(MOVIMIENTOS!$D$5:$D$400="sacos")*(MOVIMIENTOS!$A$5:$A$400&lt;&gt;"")*(MOVIMIENTOS!$A$5:$A$400&lt;=$A37)*MOVIMIENTOS!$E$5:$E$400))</f>
        <v/>
      </c>
      <c r="G37" s="52" t="str">
        <f aca="false">IF($A37="","",SUM(B37:E37))</f>
        <v/>
      </c>
      <c r="H37" s="52" t="str">
        <f aca="false">IF($A37="","",SUMPRODUCT((((MOVIMIENTOS!$B$5:$B$400="SALDO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37)*MOVIMIENTOS!$I$5:$I$400))</f>
        <v/>
      </c>
      <c r="I37" s="48"/>
      <c r="J37" s="48" t="str">
        <f aca="false">IF(AND(MOVIMIENTOS!$A37&lt;&gt;"",COUNTIF(MOVIMIENTOS!$A$5:$A36,MOVIMIENTOS!$A37)=0),COUNT(J$4:J36)+1,"")</f>
        <v/>
      </c>
      <c r="K37" s="53" t="n">
        <f aca="false">MOVIMIENTOS!$A37</f>
        <v>46217</v>
      </c>
      <c r="L37" s="48"/>
      <c r="M37" s="48"/>
      <c r="N37" s="48"/>
    </row>
    <row r="38" customFormat="false" ht="15" hidden="false" customHeight="true" outlineLevel="0" collapsed="false">
      <c r="A38" s="51" t="str">
        <f aca="false">IFERROR(INDEX(K$5:K$400,MATCH(ROW()-4,J$5:J$400,0)),"")</f>
        <v/>
      </c>
      <c r="B38" s="52" t="str">
        <f aca="false">IF($A38="","",SUMPRODUCT((MOVIMIENTOS!$B$5:$B$400="SALDO INICIAL")*(MOVIMIENTOS!$C$5:$C$400="A")*(MOVIMIENTOS!$D$5:$D$400="jabas")*(MOVIMIENTOS!$A$5:$A$400&lt;&gt;"")*(MOVIMIENTOS!$A$5:$A$400&lt;=$A38)*MOVIMIENTOS!$E$5:$E$400)+SUMPRODUCT((MOVIMIENTOS!$B$5:$B$400="PROCESO")*(MOVIMIENTOS!$C$5:$C$400="A")*(MOVIMIENTOS!$D$5:$D$400="jabas")*(MOVIMIENTOS!$A$5:$A$400&lt;&gt;"")*(MOVIMIENTOS!$A$5:$A$400&lt;=$A38)*MOVIMIENTOS!$E$5:$E$400)-SUMPRODUCT((MOVIMIENTOS!$B$5:$B$400="ENVÍO A SUPESA")*(MOVIMIENTOS!$C$5:$C$400="A")*(MOVIMIENTOS!$D$5:$D$400="jabas")*(MOVIMIENTOS!$A$5:$A$400&lt;&gt;"")*(MOVIMIENTOS!$A$5:$A$400&lt;=$A38)*MOVIMIENTOS!$E$5:$E$400)+SUMPRODUCT((MOVIMIENTOS!$B$5:$B$400="DEVOLUCIÓN")*(MOVIMIENTOS!$C$5:$C$400="A")*(MOVIMIENTOS!$D$5:$D$400="jabas")*(MOVIMIENTOS!$A$5:$A$400&lt;&gt;"")*(MOVIMIENTOS!$A$5:$A$400&lt;=$A38)*MOVIMIENTOS!$E$5:$E$400)-SUMPRODUCT((MOVIMIENTOS!$B$5:$B$400="TRASIEGO")*(MOVIMIENTOS!$C$5:$C$400="A")*(MOVIMIENTOS!$D$5:$D$400="jabas")*(MOVIMIENTOS!$A$5:$A$400&lt;&gt;"")*(MOVIMIENTOS!$A$5:$A$400&lt;=$A38)*MOVIMIENTOS!$E$5:$E$400)-SUMPRODUCT((MOVIMIENTOS!$B$5:$B$400="REGALO")*(MOVIMIENTOS!$C$5:$C$400="A")*(MOVIMIENTOS!$D$5:$D$400="jabas")*(MOVIMIENTOS!$A$5:$A$400&lt;&gt;"")*(MOVIMIENTOS!$A$5:$A$400&lt;=$A38)*MOVIMIENTOS!$E$5:$E$400)-SUMPRODUCT((MOVIMIENTOS!$B$5:$B$400="VENTA")*(MOVIMIENTOS!$C$5:$C$400="A")*(MOVIMIENTOS!$D$5:$D$400="jabas")*(MOVIMIENTOS!$A$5:$A$400&lt;&gt;"")*(MOVIMIENTOS!$A$5:$A$400&lt;=$A38)*MOVIMIENTOS!$E$5:$E$400)+SUMPRODUCT((MOVIMIENTOS!$B$5:$B$400="AJUSTE")*(MOVIMIENTOS!$C$5:$C$400="A")*(MOVIMIENTOS!$D$5:$D$400="jabas")*(MOVIMIENTOS!$A$5:$A$400&lt;&gt;"")*(MOVIMIENTOS!$A$5:$A$400&lt;=$A38)*MOVIMIENTOS!$E$5:$E$400))</f>
        <v/>
      </c>
      <c r="C38" s="52" t="str">
        <f aca="false">IF($A38="","",SUMPRODUCT((MOVIMIENTOS!$B$5:$B$400="SALDO INICIAL")*(MOVIMIENTOS!$C$5:$C$400="P")*(MOVIMIENTOS!$D$5:$D$400="jabas")*(MOVIMIENTOS!$A$5:$A$400&lt;&gt;"")*(MOVIMIENTOS!$A$5:$A$400&lt;=$A38)*MOVIMIENTOS!$E$5:$E$400)+SUMPRODUCT((MOVIMIENTOS!$B$5:$B$400="PROCESO")*(MOVIMIENTOS!$C$5:$C$400="P")*(MOVIMIENTOS!$D$5:$D$400="jabas")*(MOVIMIENTOS!$A$5:$A$400&lt;&gt;"")*(MOVIMIENTOS!$A$5:$A$400&lt;=$A38)*MOVIMIENTOS!$E$5:$E$400)-SUMPRODUCT((MOVIMIENTOS!$B$5:$B$400="ENVÍO A SUPESA")*(MOVIMIENTOS!$C$5:$C$400="P")*(MOVIMIENTOS!$D$5:$D$400="jabas")*(MOVIMIENTOS!$A$5:$A$400&lt;&gt;"")*(MOVIMIENTOS!$A$5:$A$400&lt;=$A38)*MOVIMIENTOS!$E$5:$E$400)+SUMPRODUCT((MOVIMIENTOS!$B$5:$B$400="DEVOLUCIÓN")*(MOVIMIENTOS!$C$5:$C$400="P")*(MOVIMIENTOS!$D$5:$D$400="jabas")*(MOVIMIENTOS!$A$5:$A$400&lt;&gt;"")*(MOVIMIENTOS!$A$5:$A$400&lt;=$A38)*MOVIMIENTOS!$E$5:$E$400)-SUMPRODUCT((MOVIMIENTOS!$B$5:$B$400="TRASIEGO")*(MOVIMIENTOS!$C$5:$C$400="P")*(MOVIMIENTOS!$D$5:$D$400="jabas")*(MOVIMIENTOS!$A$5:$A$400&lt;&gt;"")*(MOVIMIENTOS!$A$5:$A$400&lt;=$A38)*MOVIMIENTOS!$E$5:$E$400)-SUMPRODUCT((MOVIMIENTOS!$B$5:$B$400="REGALO")*(MOVIMIENTOS!$C$5:$C$400="P")*(MOVIMIENTOS!$D$5:$D$400="jabas")*(MOVIMIENTOS!$A$5:$A$400&lt;&gt;"")*(MOVIMIENTOS!$A$5:$A$400&lt;=$A38)*MOVIMIENTOS!$E$5:$E$400)-SUMPRODUCT((MOVIMIENTOS!$B$5:$B$400="VENTA")*(MOVIMIENTOS!$C$5:$C$400="P")*(MOVIMIENTOS!$D$5:$D$400="jabas")*(MOVIMIENTOS!$A$5:$A$400&lt;&gt;"")*(MOVIMIENTOS!$A$5:$A$400&lt;=$A38)*MOVIMIENTOS!$E$5:$E$400)+SUMPRODUCT((MOVIMIENTOS!$B$5:$B$400="AJUSTE")*(MOVIMIENTOS!$C$5:$C$400="P")*(MOVIMIENTOS!$D$5:$D$400="jabas")*(MOVIMIENTOS!$A$5:$A$400&lt;&gt;"")*(MOVIMIENTOS!$A$5:$A$400&lt;=$A38)*MOVIMIENTOS!$E$5:$E$400))</f>
        <v/>
      </c>
      <c r="D38" s="52" t="str">
        <f aca="false">IF($A38="","",SUMPRODUCT((MOVIMIENTOS!$B$5:$B$400="SALDO INICIAL")*(MOVIMIENTOS!$C$5:$C$400="C")*(MOVIMIENTOS!$D$5:$D$400="jabas")*(MOVIMIENTOS!$A$5:$A$400&lt;&gt;"")*(MOVIMIENTOS!$A$5:$A$400&lt;=$A38)*MOVIMIENTOS!$E$5:$E$400)+SUMPRODUCT((MOVIMIENTOS!$B$5:$B$400="PROCESO")*(MOVIMIENTOS!$C$5:$C$400="C")*(MOVIMIENTOS!$D$5:$D$400="jabas")*(MOVIMIENTOS!$A$5:$A$400&lt;&gt;"")*(MOVIMIENTOS!$A$5:$A$400&lt;=$A38)*MOVIMIENTOS!$E$5:$E$400)-SUMPRODUCT((MOVIMIENTOS!$B$5:$B$400="ENVÍO A SUPESA")*(MOVIMIENTOS!$C$5:$C$400="C")*(MOVIMIENTOS!$D$5:$D$400="jabas")*(MOVIMIENTOS!$A$5:$A$400&lt;&gt;"")*(MOVIMIENTOS!$A$5:$A$400&lt;=$A38)*MOVIMIENTOS!$E$5:$E$400)+SUMPRODUCT((MOVIMIENTOS!$B$5:$B$400="DEVOLUCIÓN")*(MOVIMIENTOS!$C$5:$C$400="C")*(MOVIMIENTOS!$D$5:$D$400="jabas")*(MOVIMIENTOS!$A$5:$A$400&lt;&gt;"")*(MOVIMIENTOS!$A$5:$A$400&lt;=$A38)*MOVIMIENTOS!$E$5:$E$400)-SUMPRODUCT((MOVIMIENTOS!$B$5:$B$400="TRASIEGO")*(MOVIMIENTOS!$C$5:$C$400="C")*(MOVIMIENTOS!$D$5:$D$400="jabas")*(MOVIMIENTOS!$A$5:$A$400&lt;&gt;"")*(MOVIMIENTOS!$A$5:$A$400&lt;=$A38)*MOVIMIENTOS!$E$5:$E$400)-SUMPRODUCT((MOVIMIENTOS!$B$5:$B$400="REGALO")*(MOVIMIENTOS!$C$5:$C$400="C")*(MOVIMIENTOS!$D$5:$D$400="jabas")*(MOVIMIENTOS!$A$5:$A$400&lt;&gt;"")*(MOVIMIENTOS!$A$5:$A$400&lt;=$A38)*MOVIMIENTOS!$E$5:$E$400)-SUMPRODUCT((MOVIMIENTOS!$B$5:$B$400="VENTA")*(MOVIMIENTOS!$C$5:$C$400="C")*(MOVIMIENTOS!$D$5:$D$400="jabas")*(MOVIMIENTOS!$A$5:$A$400&lt;&gt;"")*(MOVIMIENTOS!$A$5:$A$400&lt;=$A38)*MOVIMIENTOS!$E$5:$E$400)+SUMPRODUCT((MOVIMIENTOS!$B$5:$B$400="AJUSTE")*(MOVIMIENTOS!$C$5:$C$400="C")*(MOVIMIENTOS!$D$5:$D$400="jabas")*(MOVIMIENTOS!$A$5:$A$400&lt;&gt;"")*(MOVIMIENTOS!$A$5:$A$400&lt;=$A38)*MOVIMIENTOS!$E$5:$E$400))</f>
        <v/>
      </c>
      <c r="E38" s="52" t="str">
        <f aca="false">IF($A38="","",SUMPRODUCT((MOVIMIENTOS!$B$5:$B$400="SALDO INICIAL")*(MOVIMIENTOS!$C$5:$C$400="M")*(MOVIMIENTOS!$D$5:$D$400="jabas")*(MOVIMIENTOS!$A$5:$A$400&lt;&gt;"")*(MOVIMIENTOS!$A$5:$A$400&lt;=$A38)*MOVIMIENTOS!$E$5:$E$400)+SUMPRODUCT((MOVIMIENTOS!$B$5:$B$400="PROCESO")*(MOVIMIENTOS!$C$5:$C$400="M")*(MOVIMIENTOS!$D$5:$D$400="jabas")*(MOVIMIENTOS!$A$5:$A$400&lt;&gt;"")*(MOVIMIENTOS!$A$5:$A$400&lt;=$A38)*MOVIMIENTOS!$E$5:$E$400)-SUMPRODUCT((MOVIMIENTOS!$B$5:$B$400="ENVÍO A SUPESA")*(MOVIMIENTOS!$C$5:$C$400="M")*(MOVIMIENTOS!$D$5:$D$400="jabas")*(MOVIMIENTOS!$A$5:$A$400&lt;&gt;"")*(MOVIMIENTOS!$A$5:$A$400&lt;=$A38)*MOVIMIENTOS!$E$5:$E$400)+SUMPRODUCT((MOVIMIENTOS!$B$5:$B$400="DEVOLUCIÓN")*(MOVIMIENTOS!$C$5:$C$400="M")*(MOVIMIENTOS!$D$5:$D$400="jabas")*(MOVIMIENTOS!$A$5:$A$400&lt;&gt;"")*(MOVIMIENTOS!$A$5:$A$400&lt;=$A38)*MOVIMIENTOS!$E$5:$E$400)-SUMPRODUCT((MOVIMIENTOS!$B$5:$B$400="TRASIEGO")*(MOVIMIENTOS!$C$5:$C$400="M")*(MOVIMIENTOS!$D$5:$D$400="jabas")*(MOVIMIENTOS!$A$5:$A$400&lt;&gt;"")*(MOVIMIENTOS!$A$5:$A$400&lt;=$A38)*MOVIMIENTOS!$E$5:$E$400)-SUMPRODUCT((MOVIMIENTOS!$B$5:$B$400="REGALO")*(MOVIMIENTOS!$C$5:$C$400="M")*(MOVIMIENTOS!$D$5:$D$400="jabas")*(MOVIMIENTOS!$A$5:$A$400&lt;&gt;"")*(MOVIMIENTOS!$A$5:$A$400&lt;=$A38)*MOVIMIENTOS!$E$5:$E$400)-SUMPRODUCT((MOVIMIENTOS!$B$5:$B$400="VENTA")*(MOVIMIENTOS!$C$5:$C$400="M")*(MOVIMIENTOS!$D$5:$D$400="jabas")*(MOVIMIENTOS!$A$5:$A$400&lt;&gt;"")*(MOVIMIENTOS!$A$5:$A$400&lt;=$A38)*MOVIMIENTOS!$E$5:$E$400)+SUMPRODUCT((MOVIMIENTOS!$B$5:$B$400="AJUSTE")*(MOVIMIENTOS!$C$5:$C$400="M")*(MOVIMIENTOS!$D$5:$D$400="jabas")*(MOVIMIENTOS!$A$5:$A$400&lt;&gt;"")*(MOVIMIENTOS!$A$5:$A$400&lt;=$A38)*MOVIMIENTOS!$E$5:$E$400))</f>
        <v/>
      </c>
      <c r="F38" s="52" t="str">
        <f aca="false">IF($A38="","",SUMPRODUCT((MOVIMIENTOS!$B$5:$B$400="SALDO INICIAL")*(MOVIMIENTOS!$C$5:$C$400="Chancho")*(MOVIMIENTOS!$D$5:$D$400="sacos")*(MOVIMIENTOS!$A$5:$A$400&lt;&gt;"")*(MOVIMIENTOS!$A$5:$A$400&lt;=$A38)*MOVIMIENTOS!$E$5:$E$400)+SUMPRODUCT((MOVIMIENTOS!$B$5:$B$400="PROCESO")*(MOVIMIENTOS!$C$5:$C$400="Chancho")*(MOVIMIENTOS!$D$5:$D$400="sacos")*(MOVIMIENTOS!$A$5:$A$400&lt;&gt;"")*(MOVIMIENTOS!$A$5:$A$400&lt;=$A38)*MOVIMIENTOS!$E$5:$E$400)-SUMPRODUCT((MOVIMIENTOS!$B$5:$B$400="VENTA CHANCHO")*(MOVIMIENTOS!$C$5:$C$400="Chancho")*(MOVIMIENTOS!$D$5:$D$400="sacos")*(MOVIMIENTOS!$A$5:$A$400&lt;&gt;"")*(MOVIMIENTOS!$A$5:$A$400&lt;=$A38)*MOVIMIENTOS!$E$5:$E$400)-SUMPRODUCT((MOVIMIENTOS!$B$5:$B$400="REGALO")*(MOVIMIENTOS!$C$5:$C$400="Chancho")*(MOVIMIENTOS!$D$5:$D$400="sacos")*(MOVIMIENTOS!$A$5:$A$400&lt;&gt;"")*(MOVIMIENTOS!$A$5:$A$400&lt;=$A38)*MOVIMIENTOS!$E$5:$E$400)-SUMPRODUCT((MOVIMIENTOS!$B$5:$B$400="VENTA")*(MOVIMIENTOS!$C$5:$C$400="Chancho")*(MOVIMIENTOS!$D$5:$D$400="sacos")*(MOVIMIENTOS!$A$5:$A$400&lt;&gt;"")*(MOVIMIENTOS!$A$5:$A$400&lt;=$A38)*MOVIMIENTOS!$E$5:$E$400)+SUMPRODUCT((MOVIMIENTOS!$B$5:$B$400="AJUSTE")*(MOVIMIENTOS!$C$5:$C$400="Chancho")*(MOVIMIENTOS!$D$5:$D$400="sacos")*(MOVIMIENTOS!$A$5:$A$400&lt;&gt;"")*(MOVIMIENTOS!$A$5:$A$400&lt;=$A38)*MOVIMIENTOS!$E$5:$E$400))</f>
        <v/>
      </c>
      <c r="G38" s="52" t="str">
        <f aca="false">IF($A38="","",SUM(B38:E38))</f>
        <v/>
      </c>
      <c r="H38" s="52" t="str">
        <f aca="false">IF($A38="","",SUMPRODUCT((((MOVIMIENTOS!$B$5:$B$400="SALDO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38)*MOVIMIENTOS!$I$5:$I$400))</f>
        <v/>
      </c>
      <c r="I38" s="48"/>
      <c r="J38" s="48" t="str">
        <f aca="false">IF(AND(MOVIMIENTOS!$A38&lt;&gt;"",COUNTIF(MOVIMIENTOS!$A$5:$A37,MOVIMIENTOS!$A38)=0),COUNT(J$4:J37)+1,"")</f>
        <v/>
      </c>
      <c r="K38" s="53" t="n">
        <f aca="false">MOVIMIENTOS!$A38</f>
        <v>46217</v>
      </c>
      <c r="L38" s="48"/>
      <c r="M38" s="48"/>
      <c r="N38" s="48"/>
    </row>
    <row r="39" customFormat="false" ht="15" hidden="false" customHeight="true" outlineLevel="0" collapsed="false">
      <c r="A39" s="51" t="str">
        <f aca="false">IFERROR(INDEX(K$5:K$400,MATCH(ROW()-4,J$5:J$400,0)),"")</f>
        <v/>
      </c>
      <c r="B39" s="52" t="str">
        <f aca="false">IF($A39="","",SUMPRODUCT((MOVIMIENTOS!$B$5:$B$400="SALDO INICIAL")*(MOVIMIENTOS!$C$5:$C$400="A")*(MOVIMIENTOS!$D$5:$D$400="jabas")*(MOVIMIENTOS!$A$5:$A$400&lt;&gt;"")*(MOVIMIENTOS!$A$5:$A$400&lt;=$A39)*MOVIMIENTOS!$E$5:$E$400)+SUMPRODUCT((MOVIMIENTOS!$B$5:$B$400="PROCESO")*(MOVIMIENTOS!$C$5:$C$400="A")*(MOVIMIENTOS!$D$5:$D$400="jabas")*(MOVIMIENTOS!$A$5:$A$400&lt;&gt;"")*(MOVIMIENTOS!$A$5:$A$400&lt;=$A39)*MOVIMIENTOS!$E$5:$E$400)-SUMPRODUCT((MOVIMIENTOS!$B$5:$B$400="ENVÍO A SUPESA")*(MOVIMIENTOS!$C$5:$C$400="A")*(MOVIMIENTOS!$D$5:$D$400="jabas")*(MOVIMIENTOS!$A$5:$A$400&lt;&gt;"")*(MOVIMIENTOS!$A$5:$A$400&lt;=$A39)*MOVIMIENTOS!$E$5:$E$400)+SUMPRODUCT((MOVIMIENTOS!$B$5:$B$400="DEVOLUCIÓN")*(MOVIMIENTOS!$C$5:$C$400="A")*(MOVIMIENTOS!$D$5:$D$400="jabas")*(MOVIMIENTOS!$A$5:$A$400&lt;&gt;"")*(MOVIMIENTOS!$A$5:$A$400&lt;=$A39)*MOVIMIENTOS!$E$5:$E$400)-SUMPRODUCT((MOVIMIENTOS!$B$5:$B$400="TRASIEGO")*(MOVIMIENTOS!$C$5:$C$400="A")*(MOVIMIENTOS!$D$5:$D$400="jabas")*(MOVIMIENTOS!$A$5:$A$400&lt;&gt;"")*(MOVIMIENTOS!$A$5:$A$400&lt;=$A39)*MOVIMIENTOS!$E$5:$E$400)-SUMPRODUCT((MOVIMIENTOS!$B$5:$B$400="REGALO")*(MOVIMIENTOS!$C$5:$C$400="A")*(MOVIMIENTOS!$D$5:$D$400="jabas")*(MOVIMIENTOS!$A$5:$A$400&lt;&gt;"")*(MOVIMIENTOS!$A$5:$A$400&lt;=$A39)*MOVIMIENTOS!$E$5:$E$400)-SUMPRODUCT((MOVIMIENTOS!$B$5:$B$400="VENTA")*(MOVIMIENTOS!$C$5:$C$400="A")*(MOVIMIENTOS!$D$5:$D$400="jabas")*(MOVIMIENTOS!$A$5:$A$400&lt;&gt;"")*(MOVIMIENTOS!$A$5:$A$400&lt;=$A39)*MOVIMIENTOS!$E$5:$E$400)+SUMPRODUCT((MOVIMIENTOS!$B$5:$B$400="AJUSTE")*(MOVIMIENTOS!$C$5:$C$400="A")*(MOVIMIENTOS!$D$5:$D$400="jabas")*(MOVIMIENTOS!$A$5:$A$400&lt;&gt;"")*(MOVIMIENTOS!$A$5:$A$400&lt;=$A39)*MOVIMIENTOS!$E$5:$E$400))</f>
        <v/>
      </c>
      <c r="C39" s="52" t="str">
        <f aca="false">IF($A39="","",SUMPRODUCT((MOVIMIENTOS!$B$5:$B$400="SALDO INICIAL")*(MOVIMIENTOS!$C$5:$C$400="P")*(MOVIMIENTOS!$D$5:$D$400="jabas")*(MOVIMIENTOS!$A$5:$A$400&lt;&gt;"")*(MOVIMIENTOS!$A$5:$A$400&lt;=$A39)*MOVIMIENTOS!$E$5:$E$400)+SUMPRODUCT((MOVIMIENTOS!$B$5:$B$400="PROCESO")*(MOVIMIENTOS!$C$5:$C$400="P")*(MOVIMIENTOS!$D$5:$D$400="jabas")*(MOVIMIENTOS!$A$5:$A$400&lt;&gt;"")*(MOVIMIENTOS!$A$5:$A$400&lt;=$A39)*MOVIMIENTOS!$E$5:$E$400)-SUMPRODUCT((MOVIMIENTOS!$B$5:$B$400="ENVÍO A SUPESA")*(MOVIMIENTOS!$C$5:$C$400="P")*(MOVIMIENTOS!$D$5:$D$400="jabas")*(MOVIMIENTOS!$A$5:$A$400&lt;&gt;"")*(MOVIMIENTOS!$A$5:$A$400&lt;=$A39)*MOVIMIENTOS!$E$5:$E$400)+SUMPRODUCT((MOVIMIENTOS!$B$5:$B$400="DEVOLUCIÓN")*(MOVIMIENTOS!$C$5:$C$400="P")*(MOVIMIENTOS!$D$5:$D$400="jabas")*(MOVIMIENTOS!$A$5:$A$400&lt;&gt;"")*(MOVIMIENTOS!$A$5:$A$400&lt;=$A39)*MOVIMIENTOS!$E$5:$E$400)-SUMPRODUCT((MOVIMIENTOS!$B$5:$B$400="TRASIEGO")*(MOVIMIENTOS!$C$5:$C$400="P")*(MOVIMIENTOS!$D$5:$D$400="jabas")*(MOVIMIENTOS!$A$5:$A$400&lt;&gt;"")*(MOVIMIENTOS!$A$5:$A$400&lt;=$A39)*MOVIMIENTOS!$E$5:$E$400)-SUMPRODUCT((MOVIMIENTOS!$B$5:$B$400="REGALO")*(MOVIMIENTOS!$C$5:$C$400="P")*(MOVIMIENTOS!$D$5:$D$400="jabas")*(MOVIMIENTOS!$A$5:$A$400&lt;&gt;"")*(MOVIMIENTOS!$A$5:$A$400&lt;=$A39)*MOVIMIENTOS!$E$5:$E$400)-SUMPRODUCT((MOVIMIENTOS!$B$5:$B$400="VENTA")*(MOVIMIENTOS!$C$5:$C$400="P")*(MOVIMIENTOS!$D$5:$D$400="jabas")*(MOVIMIENTOS!$A$5:$A$400&lt;&gt;"")*(MOVIMIENTOS!$A$5:$A$400&lt;=$A39)*MOVIMIENTOS!$E$5:$E$400)+SUMPRODUCT((MOVIMIENTOS!$B$5:$B$400="AJUSTE")*(MOVIMIENTOS!$C$5:$C$400="P")*(MOVIMIENTOS!$D$5:$D$400="jabas")*(MOVIMIENTOS!$A$5:$A$400&lt;&gt;"")*(MOVIMIENTOS!$A$5:$A$400&lt;=$A39)*MOVIMIENTOS!$E$5:$E$400))</f>
        <v/>
      </c>
      <c r="D39" s="52" t="str">
        <f aca="false">IF($A39="","",SUMPRODUCT((MOVIMIENTOS!$B$5:$B$400="SALDO INICIAL")*(MOVIMIENTOS!$C$5:$C$400="C")*(MOVIMIENTOS!$D$5:$D$400="jabas")*(MOVIMIENTOS!$A$5:$A$400&lt;&gt;"")*(MOVIMIENTOS!$A$5:$A$400&lt;=$A39)*MOVIMIENTOS!$E$5:$E$400)+SUMPRODUCT((MOVIMIENTOS!$B$5:$B$400="PROCESO")*(MOVIMIENTOS!$C$5:$C$400="C")*(MOVIMIENTOS!$D$5:$D$400="jabas")*(MOVIMIENTOS!$A$5:$A$400&lt;&gt;"")*(MOVIMIENTOS!$A$5:$A$400&lt;=$A39)*MOVIMIENTOS!$E$5:$E$400)-SUMPRODUCT((MOVIMIENTOS!$B$5:$B$400="ENVÍO A SUPESA")*(MOVIMIENTOS!$C$5:$C$400="C")*(MOVIMIENTOS!$D$5:$D$400="jabas")*(MOVIMIENTOS!$A$5:$A$400&lt;&gt;"")*(MOVIMIENTOS!$A$5:$A$400&lt;=$A39)*MOVIMIENTOS!$E$5:$E$400)+SUMPRODUCT((MOVIMIENTOS!$B$5:$B$400="DEVOLUCIÓN")*(MOVIMIENTOS!$C$5:$C$400="C")*(MOVIMIENTOS!$D$5:$D$400="jabas")*(MOVIMIENTOS!$A$5:$A$400&lt;&gt;"")*(MOVIMIENTOS!$A$5:$A$400&lt;=$A39)*MOVIMIENTOS!$E$5:$E$400)-SUMPRODUCT((MOVIMIENTOS!$B$5:$B$400="TRASIEGO")*(MOVIMIENTOS!$C$5:$C$400="C")*(MOVIMIENTOS!$D$5:$D$400="jabas")*(MOVIMIENTOS!$A$5:$A$400&lt;&gt;"")*(MOVIMIENTOS!$A$5:$A$400&lt;=$A39)*MOVIMIENTOS!$E$5:$E$400)-SUMPRODUCT((MOVIMIENTOS!$B$5:$B$400="REGALO")*(MOVIMIENTOS!$C$5:$C$400="C")*(MOVIMIENTOS!$D$5:$D$400="jabas")*(MOVIMIENTOS!$A$5:$A$400&lt;&gt;"")*(MOVIMIENTOS!$A$5:$A$400&lt;=$A39)*MOVIMIENTOS!$E$5:$E$400)-SUMPRODUCT((MOVIMIENTOS!$B$5:$B$400="VENTA")*(MOVIMIENTOS!$C$5:$C$400="C")*(MOVIMIENTOS!$D$5:$D$400="jabas")*(MOVIMIENTOS!$A$5:$A$400&lt;&gt;"")*(MOVIMIENTOS!$A$5:$A$400&lt;=$A39)*MOVIMIENTOS!$E$5:$E$400)+SUMPRODUCT((MOVIMIENTOS!$B$5:$B$400="AJUSTE")*(MOVIMIENTOS!$C$5:$C$400="C")*(MOVIMIENTOS!$D$5:$D$400="jabas")*(MOVIMIENTOS!$A$5:$A$400&lt;&gt;"")*(MOVIMIENTOS!$A$5:$A$400&lt;=$A39)*MOVIMIENTOS!$E$5:$E$400))</f>
        <v/>
      </c>
      <c r="E39" s="52" t="str">
        <f aca="false">IF($A39="","",SUMPRODUCT((MOVIMIENTOS!$B$5:$B$400="SALDO INICIAL")*(MOVIMIENTOS!$C$5:$C$400="M")*(MOVIMIENTOS!$D$5:$D$400="jabas")*(MOVIMIENTOS!$A$5:$A$400&lt;&gt;"")*(MOVIMIENTOS!$A$5:$A$400&lt;=$A39)*MOVIMIENTOS!$E$5:$E$400)+SUMPRODUCT((MOVIMIENTOS!$B$5:$B$400="PROCESO")*(MOVIMIENTOS!$C$5:$C$400="M")*(MOVIMIENTOS!$D$5:$D$400="jabas")*(MOVIMIENTOS!$A$5:$A$400&lt;&gt;"")*(MOVIMIENTOS!$A$5:$A$400&lt;=$A39)*MOVIMIENTOS!$E$5:$E$400)-SUMPRODUCT((MOVIMIENTOS!$B$5:$B$400="ENVÍO A SUPESA")*(MOVIMIENTOS!$C$5:$C$400="M")*(MOVIMIENTOS!$D$5:$D$400="jabas")*(MOVIMIENTOS!$A$5:$A$400&lt;&gt;"")*(MOVIMIENTOS!$A$5:$A$400&lt;=$A39)*MOVIMIENTOS!$E$5:$E$400)+SUMPRODUCT((MOVIMIENTOS!$B$5:$B$400="DEVOLUCIÓN")*(MOVIMIENTOS!$C$5:$C$400="M")*(MOVIMIENTOS!$D$5:$D$400="jabas")*(MOVIMIENTOS!$A$5:$A$400&lt;&gt;"")*(MOVIMIENTOS!$A$5:$A$400&lt;=$A39)*MOVIMIENTOS!$E$5:$E$400)-SUMPRODUCT((MOVIMIENTOS!$B$5:$B$400="TRASIEGO")*(MOVIMIENTOS!$C$5:$C$400="M")*(MOVIMIENTOS!$D$5:$D$400="jabas")*(MOVIMIENTOS!$A$5:$A$400&lt;&gt;"")*(MOVIMIENTOS!$A$5:$A$400&lt;=$A39)*MOVIMIENTOS!$E$5:$E$400)-SUMPRODUCT((MOVIMIENTOS!$B$5:$B$400="REGALO")*(MOVIMIENTOS!$C$5:$C$400="M")*(MOVIMIENTOS!$D$5:$D$400="jabas")*(MOVIMIENTOS!$A$5:$A$400&lt;&gt;"")*(MOVIMIENTOS!$A$5:$A$400&lt;=$A39)*MOVIMIENTOS!$E$5:$E$400)-SUMPRODUCT((MOVIMIENTOS!$B$5:$B$400="VENTA")*(MOVIMIENTOS!$C$5:$C$400="M")*(MOVIMIENTOS!$D$5:$D$400="jabas")*(MOVIMIENTOS!$A$5:$A$400&lt;&gt;"")*(MOVIMIENTOS!$A$5:$A$400&lt;=$A39)*MOVIMIENTOS!$E$5:$E$400)+SUMPRODUCT((MOVIMIENTOS!$B$5:$B$400="AJUSTE")*(MOVIMIENTOS!$C$5:$C$400="M")*(MOVIMIENTOS!$D$5:$D$400="jabas")*(MOVIMIENTOS!$A$5:$A$400&lt;&gt;"")*(MOVIMIENTOS!$A$5:$A$400&lt;=$A39)*MOVIMIENTOS!$E$5:$E$400))</f>
        <v/>
      </c>
      <c r="F39" s="52" t="str">
        <f aca="false">IF($A39="","",SUMPRODUCT((MOVIMIENTOS!$B$5:$B$400="SALDO INICIAL")*(MOVIMIENTOS!$C$5:$C$400="Chancho")*(MOVIMIENTOS!$D$5:$D$400="sacos")*(MOVIMIENTOS!$A$5:$A$400&lt;&gt;"")*(MOVIMIENTOS!$A$5:$A$400&lt;=$A39)*MOVIMIENTOS!$E$5:$E$400)+SUMPRODUCT((MOVIMIENTOS!$B$5:$B$400="PROCESO")*(MOVIMIENTOS!$C$5:$C$400="Chancho")*(MOVIMIENTOS!$D$5:$D$400="sacos")*(MOVIMIENTOS!$A$5:$A$400&lt;&gt;"")*(MOVIMIENTOS!$A$5:$A$400&lt;=$A39)*MOVIMIENTOS!$E$5:$E$400)-SUMPRODUCT((MOVIMIENTOS!$B$5:$B$400="VENTA CHANCHO")*(MOVIMIENTOS!$C$5:$C$400="Chancho")*(MOVIMIENTOS!$D$5:$D$400="sacos")*(MOVIMIENTOS!$A$5:$A$400&lt;&gt;"")*(MOVIMIENTOS!$A$5:$A$400&lt;=$A39)*MOVIMIENTOS!$E$5:$E$400)-SUMPRODUCT((MOVIMIENTOS!$B$5:$B$400="REGALO")*(MOVIMIENTOS!$C$5:$C$400="Chancho")*(MOVIMIENTOS!$D$5:$D$400="sacos")*(MOVIMIENTOS!$A$5:$A$400&lt;&gt;"")*(MOVIMIENTOS!$A$5:$A$400&lt;=$A39)*MOVIMIENTOS!$E$5:$E$400)-SUMPRODUCT((MOVIMIENTOS!$B$5:$B$400="VENTA")*(MOVIMIENTOS!$C$5:$C$400="Chancho")*(MOVIMIENTOS!$D$5:$D$400="sacos")*(MOVIMIENTOS!$A$5:$A$400&lt;&gt;"")*(MOVIMIENTOS!$A$5:$A$400&lt;=$A39)*MOVIMIENTOS!$E$5:$E$400)+SUMPRODUCT((MOVIMIENTOS!$B$5:$B$400="AJUSTE")*(MOVIMIENTOS!$C$5:$C$400="Chancho")*(MOVIMIENTOS!$D$5:$D$400="sacos")*(MOVIMIENTOS!$A$5:$A$400&lt;&gt;"")*(MOVIMIENTOS!$A$5:$A$400&lt;=$A39)*MOVIMIENTOS!$E$5:$E$400))</f>
        <v/>
      </c>
      <c r="G39" s="52" t="str">
        <f aca="false">IF($A39="","",SUM(B39:E39))</f>
        <v/>
      </c>
      <c r="H39" s="52" t="str">
        <f aca="false">IF($A39="","",SUMPRODUCT((((MOVIMIENTOS!$B$5:$B$400="SALDO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39)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39)*MOVIMIENTOS!$I$5:$I$400))</f>
        <v/>
      </c>
      <c r="I39" s="48"/>
      <c r="J39" s="48" t="n">
        <f aca="false">IF(AND(MOVIMIENTOS!$A39&lt;&gt;"",COUNTIF(MOVIMIENTOS!$A$5:$A38,MOVIMIENTOS!$A39)=0),COUNT(J$4:J38)+1,"")</f>
        <v>5</v>
      </c>
      <c r="K39" s="53" t="n">
        <f aca="false">MOVIMIENTOS!$A39</f>
        <v>46218</v>
      </c>
      <c r="L39" s="48"/>
      <c r="M39" s="48"/>
      <c r="N39" s="48"/>
    </row>
    <row r="40" customFormat="false" ht="15" hidden="false" customHeight="true" outlineLevel="0" collapsed="false">
      <c r="A40" s="51" t="str">
        <f aca="false">IFERROR(INDEX(K$5:K$400,MATCH(ROW()-4,J$5:J$400,0)),"")</f>
        <v/>
      </c>
      <c r="B40" s="52" t="str">
        <f aca="false">IF($A40="","",SUMPRODUCT((MOVIMIENTOS!$B$5:$B$400="SALDO INICIAL")*(MOVIMIENTOS!$C$5:$C$400="A")*(MOVIMIENTOS!$D$5:$D$400="jabas")*(MOVIMIENTOS!$A$5:$A$400&lt;&gt;"")*(MOVIMIENTOS!$A$5:$A$400&lt;=$A40)*MOVIMIENTOS!$E$5:$E$400)+SUMPRODUCT((MOVIMIENTOS!$B$5:$B$400="PROCESO")*(MOVIMIENTOS!$C$5:$C$400="A")*(MOVIMIENTOS!$D$5:$D$400="jabas")*(MOVIMIENTOS!$A$5:$A$400&lt;&gt;"")*(MOVIMIENTOS!$A$5:$A$400&lt;=$A40)*MOVIMIENTOS!$E$5:$E$400)-SUMPRODUCT((MOVIMIENTOS!$B$5:$B$400="ENVÍO A SUPESA")*(MOVIMIENTOS!$C$5:$C$400="A")*(MOVIMIENTOS!$D$5:$D$400="jabas")*(MOVIMIENTOS!$A$5:$A$400&lt;&gt;"")*(MOVIMIENTOS!$A$5:$A$400&lt;=$A40)*MOVIMIENTOS!$E$5:$E$400)+SUMPRODUCT((MOVIMIENTOS!$B$5:$B$400="DEVOLUCIÓN")*(MOVIMIENTOS!$C$5:$C$400="A")*(MOVIMIENTOS!$D$5:$D$400="jabas")*(MOVIMIENTOS!$A$5:$A$400&lt;&gt;"")*(MOVIMIENTOS!$A$5:$A$400&lt;=$A40)*MOVIMIENTOS!$E$5:$E$400)-SUMPRODUCT((MOVIMIENTOS!$B$5:$B$400="TRASIEGO")*(MOVIMIENTOS!$C$5:$C$400="A")*(MOVIMIENTOS!$D$5:$D$400="jabas")*(MOVIMIENTOS!$A$5:$A$400&lt;&gt;"")*(MOVIMIENTOS!$A$5:$A$400&lt;=$A40)*MOVIMIENTOS!$E$5:$E$400)-SUMPRODUCT((MOVIMIENTOS!$B$5:$B$400="REGALO")*(MOVIMIENTOS!$C$5:$C$400="A")*(MOVIMIENTOS!$D$5:$D$400="jabas")*(MOVIMIENTOS!$A$5:$A$400&lt;&gt;"")*(MOVIMIENTOS!$A$5:$A$400&lt;=$A40)*MOVIMIENTOS!$E$5:$E$400)-SUMPRODUCT((MOVIMIENTOS!$B$5:$B$400="VENTA")*(MOVIMIENTOS!$C$5:$C$400="A")*(MOVIMIENTOS!$D$5:$D$400="jabas")*(MOVIMIENTOS!$A$5:$A$400&lt;&gt;"")*(MOVIMIENTOS!$A$5:$A$400&lt;=$A40)*MOVIMIENTOS!$E$5:$E$400)+SUMPRODUCT((MOVIMIENTOS!$B$5:$B$400="AJUSTE")*(MOVIMIENTOS!$C$5:$C$400="A")*(MOVIMIENTOS!$D$5:$D$400="jabas")*(MOVIMIENTOS!$A$5:$A$400&lt;&gt;"")*(MOVIMIENTOS!$A$5:$A$400&lt;=$A40)*MOVIMIENTOS!$E$5:$E$400))</f>
        <v/>
      </c>
      <c r="C40" s="52" t="str">
        <f aca="false">IF($A40="","",SUMPRODUCT((MOVIMIENTOS!$B$5:$B$400="SALDO INICIAL")*(MOVIMIENTOS!$C$5:$C$400="P")*(MOVIMIENTOS!$D$5:$D$400="jabas")*(MOVIMIENTOS!$A$5:$A$400&lt;&gt;"")*(MOVIMIENTOS!$A$5:$A$400&lt;=$A40)*MOVIMIENTOS!$E$5:$E$400)+SUMPRODUCT((MOVIMIENTOS!$B$5:$B$400="PROCESO")*(MOVIMIENTOS!$C$5:$C$400="P")*(MOVIMIENTOS!$D$5:$D$400="jabas")*(MOVIMIENTOS!$A$5:$A$400&lt;&gt;"")*(MOVIMIENTOS!$A$5:$A$400&lt;=$A40)*MOVIMIENTOS!$E$5:$E$400)-SUMPRODUCT((MOVIMIENTOS!$B$5:$B$400="ENVÍO A SUPESA")*(MOVIMIENTOS!$C$5:$C$400="P")*(MOVIMIENTOS!$D$5:$D$400="jabas")*(MOVIMIENTOS!$A$5:$A$400&lt;&gt;"")*(MOVIMIENTOS!$A$5:$A$400&lt;=$A40)*MOVIMIENTOS!$E$5:$E$400)+SUMPRODUCT((MOVIMIENTOS!$B$5:$B$400="DEVOLUCIÓN")*(MOVIMIENTOS!$C$5:$C$400="P")*(MOVIMIENTOS!$D$5:$D$400="jabas")*(MOVIMIENTOS!$A$5:$A$400&lt;&gt;"")*(MOVIMIENTOS!$A$5:$A$400&lt;=$A40)*MOVIMIENTOS!$E$5:$E$400)-SUMPRODUCT((MOVIMIENTOS!$B$5:$B$400="TRASIEGO")*(MOVIMIENTOS!$C$5:$C$400="P")*(MOVIMIENTOS!$D$5:$D$400="jabas")*(MOVIMIENTOS!$A$5:$A$400&lt;&gt;"")*(MOVIMIENTOS!$A$5:$A$400&lt;=$A40)*MOVIMIENTOS!$E$5:$E$400)-SUMPRODUCT((MOVIMIENTOS!$B$5:$B$400="REGALO")*(MOVIMIENTOS!$C$5:$C$400="P")*(MOVIMIENTOS!$D$5:$D$400="jabas")*(MOVIMIENTOS!$A$5:$A$400&lt;&gt;"")*(MOVIMIENTOS!$A$5:$A$400&lt;=$A40)*MOVIMIENTOS!$E$5:$E$400)-SUMPRODUCT((MOVIMIENTOS!$B$5:$B$400="VENTA")*(MOVIMIENTOS!$C$5:$C$400="P")*(MOVIMIENTOS!$D$5:$D$400="jabas")*(MOVIMIENTOS!$A$5:$A$400&lt;&gt;"")*(MOVIMIENTOS!$A$5:$A$400&lt;=$A40)*MOVIMIENTOS!$E$5:$E$400)+SUMPRODUCT((MOVIMIENTOS!$B$5:$B$400="AJUSTE")*(MOVIMIENTOS!$C$5:$C$400="P")*(MOVIMIENTOS!$D$5:$D$400="jabas")*(MOVIMIENTOS!$A$5:$A$400&lt;&gt;"")*(MOVIMIENTOS!$A$5:$A$400&lt;=$A40)*MOVIMIENTOS!$E$5:$E$400))</f>
        <v/>
      </c>
      <c r="D40" s="52" t="str">
        <f aca="false">IF($A40="","",SUMPRODUCT((MOVIMIENTOS!$B$5:$B$400="SALDO INICIAL")*(MOVIMIENTOS!$C$5:$C$400="C")*(MOVIMIENTOS!$D$5:$D$400="jabas")*(MOVIMIENTOS!$A$5:$A$400&lt;&gt;"")*(MOVIMIENTOS!$A$5:$A$400&lt;=$A40)*MOVIMIENTOS!$E$5:$E$400)+SUMPRODUCT((MOVIMIENTOS!$B$5:$B$400="PROCESO")*(MOVIMIENTOS!$C$5:$C$400="C")*(MOVIMIENTOS!$D$5:$D$400="jabas")*(MOVIMIENTOS!$A$5:$A$400&lt;&gt;"")*(MOVIMIENTOS!$A$5:$A$400&lt;=$A40)*MOVIMIENTOS!$E$5:$E$400)-SUMPRODUCT((MOVIMIENTOS!$B$5:$B$400="ENVÍO A SUPESA")*(MOVIMIENTOS!$C$5:$C$400="C")*(MOVIMIENTOS!$D$5:$D$400="jabas")*(MOVIMIENTOS!$A$5:$A$400&lt;&gt;"")*(MOVIMIENTOS!$A$5:$A$400&lt;=$A40)*MOVIMIENTOS!$E$5:$E$400)+SUMPRODUCT((MOVIMIENTOS!$B$5:$B$400="DEVOLUCIÓN")*(MOVIMIENTOS!$C$5:$C$400="C")*(MOVIMIENTOS!$D$5:$D$400="jabas")*(MOVIMIENTOS!$A$5:$A$400&lt;&gt;"")*(MOVIMIENTOS!$A$5:$A$400&lt;=$A40)*MOVIMIENTOS!$E$5:$E$400)-SUMPRODUCT((MOVIMIENTOS!$B$5:$B$400="TRASIEGO")*(MOVIMIENTOS!$C$5:$C$400="C")*(MOVIMIENTOS!$D$5:$D$400="jabas")*(MOVIMIENTOS!$A$5:$A$400&lt;&gt;"")*(MOVIMIENTOS!$A$5:$A$400&lt;=$A40)*MOVIMIENTOS!$E$5:$E$400)-SUMPRODUCT((MOVIMIENTOS!$B$5:$B$400="REGALO")*(MOVIMIENTOS!$C$5:$C$400="C")*(MOVIMIENTOS!$D$5:$D$400="jabas")*(MOVIMIENTOS!$A$5:$A$400&lt;&gt;"")*(MOVIMIENTOS!$A$5:$A$400&lt;=$A40)*MOVIMIENTOS!$E$5:$E$400)-SUMPRODUCT((MOVIMIENTOS!$B$5:$B$400="VENTA")*(MOVIMIENTOS!$C$5:$C$400="C")*(MOVIMIENTOS!$D$5:$D$400="jabas")*(MOVIMIENTOS!$A$5:$A$400&lt;&gt;"")*(MOVIMIENTOS!$A$5:$A$400&lt;=$A40)*MOVIMIENTOS!$E$5:$E$400)+SUMPRODUCT((MOVIMIENTOS!$B$5:$B$400="AJUSTE")*(MOVIMIENTOS!$C$5:$C$400="C")*(MOVIMIENTOS!$D$5:$D$400="jabas")*(MOVIMIENTOS!$A$5:$A$400&lt;&gt;"")*(MOVIMIENTOS!$A$5:$A$400&lt;=$A40)*MOVIMIENTOS!$E$5:$E$400))</f>
        <v/>
      </c>
      <c r="E40" s="52" t="str">
        <f aca="false">IF($A40="","",SUMPRODUCT((MOVIMIENTOS!$B$5:$B$400="SALDO INICIAL")*(MOVIMIENTOS!$C$5:$C$400="M")*(MOVIMIENTOS!$D$5:$D$400="jabas")*(MOVIMIENTOS!$A$5:$A$400&lt;&gt;"")*(MOVIMIENTOS!$A$5:$A$400&lt;=$A40)*MOVIMIENTOS!$E$5:$E$400)+SUMPRODUCT((MOVIMIENTOS!$B$5:$B$400="PROCESO")*(MOVIMIENTOS!$C$5:$C$400="M")*(MOVIMIENTOS!$D$5:$D$400="jabas")*(MOVIMIENTOS!$A$5:$A$400&lt;&gt;"")*(MOVIMIENTOS!$A$5:$A$400&lt;=$A40)*MOVIMIENTOS!$E$5:$E$400)-SUMPRODUCT((MOVIMIENTOS!$B$5:$B$400="ENVÍO A SUPESA")*(MOVIMIENTOS!$C$5:$C$400="M")*(MOVIMIENTOS!$D$5:$D$400="jabas")*(MOVIMIENTOS!$A$5:$A$400&lt;&gt;"")*(MOVIMIENTOS!$A$5:$A$400&lt;=$A40)*MOVIMIENTOS!$E$5:$E$400)+SUMPRODUCT((MOVIMIENTOS!$B$5:$B$400="DEVOLUCIÓN")*(MOVIMIENTOS!$C$5:$C$400="M")*(MOVIMIENTOS!$D$5:$D$400="jabas")*(MOVIMIENTOS!$A$5:$A$400&lt;&gt;"")*(MOVIMIENTOS!$A$5:$A$400&lt;=$A40)*MOVIMIENTOS!$E$5:$E$400)-SUMPRODUCT((MOVIMIENTOS!$B$5:$B$400="TRASIEGO")*(MOVIMIENTOS!$C$5:$C$400="M")*(MOVIMIENTOS!$D$5:$D$400="jabas")*(MOVIMIENTOS!$A$5:$A$400&lt;&gt;"")*(MOVIMIENTOS!$A$5:$A$400&lt;=$A40)*MOVIMIENTOS!$E$5:$E$400)-SUMPRODUCT((MOVIMIENTOS!$B$5:$B$400="REGALO")*(MOVIMIENTOS!$C$5:$C$400="M")*(MOVIMIENTOS!$D$5:$D$400="jabas")*(MOVIMIENTOS!$A$5:$A$400&lt;&gt;"")*(MOVIMIENTOS!$A$5:$A$400&lt;=$A40)*MOVIMIENTOS!$E$5:$E$400)-SUMPRODUCT((MOVIMIENTOS!$B$5:$B$400="VENTA")*(MOVIMIENTOS!$C$5:$C$400="M")*(MOVIMIENTOS!$D$5:$D$400="jabas")*(MOVIMIENTOS!$A$5:$A$400&lt;&gt;"")*(MOVIMIENTOS!$A$5:$A$400&lt;=$A40)*MOVIMIENTOS!$E$5:$E$400)+SUMPRODUCT((MOVIMIENTOS!$B$5:$B$400="AJUSTE")*(MOVIMIENTOS!$C$5:$C$400="M")*(MOVIMIENTOS!$D$5:$D$400="jabas")*(MOVIMIENTOS!$A$5:$A$400&lt;&gt;"")*(MOVIMIENTOS!$A$5:$A$400&lt;=$A40)*MOVIMIENTOS!$E$5:$E$400))</f>
        <v/>
      </c>
      <c r="F40" s="52" t="str">
        <f aca="false">IF($A40="","",SUMPRODUCT((MOVIMIENTOS!$B$5:$B$400="SALDO INICIAL")*(MOVIMIENTOS!$C$5:$C$400="Chancho")*(MOVIMIENTOS!$D$5:$D$400="sacos")*(MOVIMIENTOS!$A$5:$A$400&lt;&gt;"")*(MOVIMIENTOS!$A$5:$A$400&lt;=$A40)*MOVIMIENTOS!$E$5:$E$400)+SUMPRODUCT((MOVIMIENTOS!$B$5:$B$400="PROCESO")*(MOVIMIENTOS!$C$5:$C$400="Chancho")*(MOVIMIENTOS!$D$5:$D$400="sacos")*(MOVIMIENTOS!$A$5:$A$400&lt;&gt;"")*(MOVIMIENTOS!$A$5:$A$400&lt;=$A40)*MOVIMIENTOS!$E$5:$E$400)-SUMPRODUCT((MOVIMIENTOS!$B$5:$B$400="VENTA CHANCHO")*(MOVIMIENTOS!$C$5:$C$400="Chancho")*(MOVIMIENTOS!$D$5:$D$400="sacos")*(MOVIMIENTOS!$A$5:$A$400&lt;&gt;"")*(MOVIMIENTOS!$A$5:$A$400&lt;=$A40)*MOVIMIENTOS!$E$5:$E$400)-SUMPRODUCT((MOVIMIENTOS!$B$5:$B$400="REGALO")*(MOVIMIENTOS!$C$5:$C$400="Chancho")*(MOVIMIENTOS!$D$5:$D$400="sacos")*(MOVIMIENTOS!$A$5:$A$400&lt;&gt;"")*(MOVIMIENTOS!$A$5:$A$400&lt;=$A40)*MOVIMIENTOS!$E$5:$E$400)-SUMPRODUCT((MOVIMIENTOS!$B$5:$B$400="VENTA")*(MOVIMIENTOS!$C$5:$C$400="Chancho")*(MOVIMIENTOS!$D$5:$D$400="sacos")*(MOVIMIENTOS!$A$5:$A$400&lt;&gt;"")*(MOVIMIENTOS!$A$5:$A$400&lt;=$A40)*MOVIMIENTOS!$E$5:$E$400)+SUMPRODUCT((MOVIMIENTOS!$B$5:$B$400="AJUSTE")*(MOVIMIENTOS!$C$5:$C$400="Chancho")*(MOVIMIENTOS!$D$5:$D$400="sacos")*(MOVIMIENTOS!$A$5:$A$400&lt;&gt;"")*(MOVIMIENTOS!$A$5:$A$400&lt;=$A40)*MOVIMIENTOS!$E$5:$E$400))</f>
        <v/>
      </c>
      <c r="G40" s="52" t="str">
        <f aca="false">IF($A40="","",SUM(B40:E40))</f>
        <v/>
      </c>
      <c r="H40" s="52" t="str">
        <f aca="false">IF($A40="","",SUMPRODUCT((((MOVIMIENTOS!$B$5:$B$400="SALDO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40)*MOVIMIENTOS!$I$5:$I$400))</f>
        <v/>
      </c>
      <c r="I40" s="48"/>
      <c r="J40" s="48" t="str">
        <f aca="false">IF(AND(MOVIMIENTOS!$A40&lt;&gt;"",COUNTIF(MOVIMIENTOS!$A$5:$A39,MOVIMIENTOS!$A40)=0),COUNT(J$4:J39)+1,"")</f>
        <v/>
      </c>
      <c r="K40" s="53" t="n">
        <f aca="false">MOVIMIENTOS!$A40</f>
        <v>46218</v>
      </c>
      <c r="L40" s="48"/>
      <c r="M40" s="48"/>
      <c r="N40" s="48"/>
    </row>
    <row r="41" customFormat="false" ht="15" hidden="false" customHeight="true" outlineLevel="0" collapsed="false">
      <c r="A41" s="51" t="str">
        <f aca="false">IFERROR(INDEX(K$5:K$400,MATCH(ROW()-4,J$5:J$400,0)),"")</f>
        <v/>
      </c>
      <c r="B41" s="52" t="str">
        <f aca="false">IF($A41="","",SUMPRODUCT((MOVIMIENTOS!$B$5:$B$400="SALDO INICIAL")*(MOVIMIENTOS!$C$5:$C$400="A")*(MOVIMIENTOS!$D$5:$D$400="jabas")*(MOVIMIENTOS!$A$5:$A$400&lt;&gt;"")*(MOVIMIENTOS!$A$5:$A$400&lt;=$A41)*MOVIMIENTOS!$E$5:$E$400)+SUMPRODUCT((MOVIMIENTOS!$B$5:$B$400="PROCESO")*(MOVIMIENTOS!$C$5:$C$400="A")*(MOVIMIENTOS!$D$5:$D$400="jabas")*(MOVIMIENTOS!$A$5:$A$400&lt;&gt;"")*(MOVIMIENTOS!$A$5:$A$400&lt;=$A41)*MOVIMIENTOS!$E$5:$E$400)-SUMPRODUCT((MOVIMIENTOS!$B$5:$B$400="ENVÍO A SUPESA")*(MOVIMIENTOS!$C$5:$C$400="A")*(MOVIMIENTOS!$D$5:$D$400="jabas")*(MOVIMIENTOS!$A$5:$A$400&lt;&gt;"")*(MOVIMIENTOS!$A$5:$A$400&lt;=$A41)*MOVIMIENTOS!$E$5:$E$400)+SUMPRODUCT((MOVIMIENTOS!$B$5:$B$400="DEVOLUCIÓN")*(MOVIMIENTOS!$C$5:$C$400="A")*(MOVIMIENTOS!$D$5:$D$400="jabas")*(MOVIMIENTOS!$A$5:$A$400&lt;&gt;"")*(MOVIMIENTOS!$A$5:$A$400&lt;=$A41)*MOVIMIENTOS!$E$5:$E$400)-SUMPRODUCT((MOVIMIENTOS!$B$5:$B$400="TRASIEGO")*(MOVIMIENTOS!$C$5:$C$400="A")*(MOVIMIENTOS!$D$5:$D$400="jabas")*(MOVIMIENTOS!$A$5:$A$400&lt;&gt;"")*(MOVIMIENTOS!$A$5:$A$400&lt;=$A41)*MOVIMIENTOS!$E$5:$E$400)-SUMPRODUCT((MOVIMIENTOS!$B$5:$B$400="REGALO")*(MOVIMIENTOS!$C$5:$C$400="A")*(MOVIMIENTOS!$D$5:$D$400="jabas")*(MOVIMIENTOS!$A$5:$A$400&lt;&gt;"")*(MOVIMIENTOS!$A$5:$A$400&lt;=$A41)*MOVIMIENTOS!$E$5:$E$400)-SUMPRODUCT((MOVIMIENTOS!$B$5:$B$400="VENTA")*(MOVIMIENTOS!$C$5:$C$400="A")*(MOVIMIENTOS!$D$5:$D$400="jabas")*(MOVIMIENTOS!$A$5:$A$400&lt;&gt;"")*(MOVIMIENTOS!$A$5:$A$400&lt;=$A41)*MOVIMIENTOS!$E$5:$E$400)+SUMPRODUCT((MOVIMIENTOS!$B$5:$B$400="AJUSTE")*(MOVIMIENTOS!$C$5:$C$400="A")*(MOVIMIENTOS!$D$5:$D$400="jabas")*(MOVIMIENTOS!$A$5:$A$400&lt;&gt;"")*(MOVIMIENTOS!$A$5:$A$400&lt;=$A41)*MOVIMIENTOS!$E$5:$E$400))</f>
        <v/>
      </c>
      <c r="C41" s="52" t="str">
        <f aca="false">IF($A41="","",SUMPRODUCT((MOVIMIENTOS!$B$5:$B$400="SALDO INICIAL")*(MOVIMIENTOS!$C$5:$C$400="P")*(MOVIMIENTOS!$D$5:$D$400="jabas")*(MOVIMIENTOS!$A$5:$A$400&lt;&gt;"")*(MOVIMIENTOS!$A$5:$A$400&lt;=$A41)*MOVIMIENTOS!$E$5:$E$400)+SUMPRODUCT((MOVIMIENTOS!$B$5:$B$400="PROCESO")*(MOVIMIENTOS!$C$5:$C$400="P")*(MOVIMIENTOS!$D$5:$D$400="jabas")*(MOVIMIENTOS!$A$5:$A$400&lt;&gt;"")*(MOVIMIENTOS!$A$5:$A$400&lt;=$A41)*MOVIMIENTOS!$E$5:$E$400)-SUMPRODUCT((MOVIMIENTOS!$B$5:$B$400="ENVÍO A SUPESA")*(MOVIMIENTOS!$C$5:$C$400="P")*(MOVIMIENTOS!$D$5:$D$400="jabas")*(MOVIMIENTOS!$A$5:$A$400&lt;&gt;"")*(MOVIMIENTOS!$A$5:$A$400&lt;=$A41)*MOVIMIENTOS!$E$5:$E$400)+SUMPRODUCT((MOVIMIENTOS!$B$5:$B$400="DEVOLUCIÓN")*(MOVIMIENTOS!$C$5:$C$400="P")*(MOVIMIENTOS!$D$5:$D$400="jabas")*(MOVIMIENTOS!$A$5:$A$400&lt;&gt;"")*(MOVIMIENTOS!$A$5:$A$400&lt;=$A41)*MOVIMIENTOS!$E$5:$E$400)-SUMPRODUCT((MOVIMIENTOS!$B$5:$B$400="TRASIEGO")*(MOVIMIENTOS!$C$5:$C$400="P")*(MOVIMIENTOS!$D$5:$D$400="jabas")*(MOVIMIENTOS!$A$5:$A$400&lt;&gt;"")*(MOVIMIENTOS!$A$5:$A$400&lt;=$A41)*MOVIMIENTOS!$E$5:$E$400)-SUMPRODUCT((MOVIMIENTOS!$B$5:$B$400="REGALO")*(MOVIMIENTOS!$C$5:$C$400="P")*(MOVIMIENTOS!$D$5:$D$400="jabas")*(MOVIMIENTOS!$A$5:$A$400&lt;&gt;"")*(MOVIMIENTOS!$A$5:$A$400&lt;=$A41)*MOVIMIENTOS!$E$5:$E$400)-SUMPRODUCT((MOVIMIENTOS!$B$5:$B$400="VENTA")*(MOVIMIENTOS!$C$5:$C$400="P")*(MOVIMIENTOS!$D$5:$D$400="jabas")*(MOVIMIENTOS!$A$5:$A$400&lt;&gt;"")*(MOVIMIENTOS!$A$5:$A$400&lt;=$A41)*MOVIMIENTOS!$E$5:$E$400)+SUMPRODUCT((MOVIMIENTOS!$B$5:$B$400="AJUSTE")*(MOVIMIENTOS!$C$5:$C$400="P")*(MOVIMIENTOS!$D$5:$D$400="jabas")*(MOVIMIENTOS!$A$5:$A$400&lt;&gt;"")*(MOVIMIENTOS!$A$5:$A$400&lt;=$A41)*MOVIMIENTOS!$E$5:$E$400))</f>
        <v/>
      </c>
      <c r="D41" s="52" t="str">
        <f aca="false">IF($A41="","",SUMPRODUCT((MOVIMIENTOS!$B$5:$B$400="SALDO INICIAL")*(MOVIMIENTOS!$C$5:$C$400="C")*(MOVIMIENTOS!$D$5:$D$400="jabas")*(MOVIMIENTOS!$A$5:$A$400&lt;&gt;"")*(MOVIMIENTOS!$A$5:$A$400&lt;=$A41)*MOVIMIENTOS!$E$5:$E$400)+SUMPRODUCT((MOVIMIENTOS!$B$5:$B$400="PROCESO")*(MOVIMIENTOS!$C$5:$C$400="C")*(MOVIMIENTOS!$D$5:$D$400="jabas")*(MOVIMIENTOS!$A$5:$A$400&lt;&gt;"")*(MOVIMIENTOS!$A$5:$A$400&lt;=$A41)*MOVIMIENTOS!$E$5:$E$400)-SUMPRODUCT((MOVIMIENTOS!$B$5:$B$400="ENVÍO A SUPESA")*(MOVIMIENTOS!$C$5:$C$400="C")*(MOVIMIENTOS!$D$5:$D$400="jabas")*(MOVIMIENTOS!$A$5:$A$400&lt;&gt;"")*(MOVIMIENTOS!$A$5:$A$400&lt;=$A41)*MOVIMIENTOS!$E$5:$E$400)+SUMPRODUCT((MOVIMIENTOS!$B$5:$B$400="DEVOLUCIÓN")*(MOVIMIENTOS!$C$5:$C$400="C")*(MOVIMIENTOS!$D$5:$D$400="jabas")*(MOVIMIENTOS!$A$5:$A$400&lt;&gt;"")*(MOVIMIENTOS!$A$5:$A$400&lt;=$A41)*MOVIMIENTOS!$E$5:$E$400)-SUMPRODUCT((MOVIMIENTOS!$B$5:$B$400="TRASIEGO")*(MOVIMIENTOS!$C$5:$C$400="C")*(MOVIMIENTOS!$D$5:$D$400="jabas")*(MOVIMIENTOS!$A$5:$A$400&lt;&gt;"")*(MOVIMIENTOS!$A$5:$A$400&lt;=$A41)*MOVIMIENTOS!$E$5:$E$400)-SUMPRODUCT((MOVIMIENTOS!$B$5:$B$400="REGALO")*(MOVIMIENTOS!$C$5:$C$400="C")*(MOVIMIENTOS!$D$5:$D$400="jabas")*(MOVIMIENTOS!$A$5:$A$400&lt;&gt;"")*(MOVIMIENTOS!$A$5:$A$400&lt;=$A41)*MOVIMIENTOS!$E$5:$E$400)-SUMPRODUCT((MOVIMIENTOS!$B$5:$B$400="VENTA")*(MOVIMIENTOS!$C$5:$C$400="C")*(MOVIMIENTOS!$D$5:$D$400="jabas")*(MOVIMIENTOS!$A$5:$A$400&lt;&gt;"")*(MOVIMIENTOS!$A$5:$A$400&lt;=$A41)*MOVIMIENTOS!$E$5:$E$400)+SUMPRODUCT((MOVIMIENTOS!$B$5:$B$400="AJUSTE")*(MOVIMIENTOS!$C$5:$C$400="C")*(MOVIMIENTOS!$D$5:$D$400="jabas")*(MOVIMIENTOS!$A$5:$A$400&lt;&gt;"")*(MOVIMIENTOS!$A$5:$A$400&lt;=$A41)*MOVIMIENTOS!$E$5:$E$400))</f>
        <v/>
      </c>
      <c r="E41" s="52" t="str">
        <f aca="false">IF($A41="","",SUMPRODUCT((MOVIMIENTOS!$B$5:$B$400="SALDO INICIAL")*(MOVIMIENTOS!$C$5:$C$400="M")*(MOVIMIENTOS!$D$5:$D$400="jabas")*(MOVIMIENTOS!$A$5:$A$400&lt;&gt;"")*(MOVIMIENTOS!$A$5:$A$400&lt;=$A41)*MOVIMIENTOS!$E$5:$E$400)+SUMPRODUCT((MOVIMIENTOS!$B$5:$B$400="PROCESO")*(MOVIMIENTOS!$C$5:$C$400="M")*(MOVIMIENTOS!$D$5:$D$400="jabas")*(MOVIMIENTOS!$A$5:$A$400&lt;&gt;"")*(MOVIMIENTOS!$A$5:$A$400&lt;=$A41)*MOVIMIENTOS!$E$5:$E$400)-SUMPRODUCT((MOVIMIENTOS!$B$5:$B$400="ENVÍO A SUPESA")*(MOVIMIENTOS!$C$5:$C$400="M")*(MOVIMIENTOS!$D$5:$D$400="jabas")*(MOVIMIENTOS!$A$5:$A$400&lt;&gt;"")*(MOVIMIENTOS!$A$5:$A$400&lt;=$A41)*MOVIMIENTOS!$E$5:$E$400)+SUMPRODUCT((MOVIMIENTOS!$B$5:$B$400="DEVOLUCIÓN")*(MOVIMIENTOS!$C$5:$C$400="M")*(MOVIMIENTOS!$D$5:$D$400="jabas")*(MOVIMIENTOS!$A$5:$A$400&lt;&gt;"")*(MOVIMIENTOS!$A$5:$A$400&lt;=$A41)*MOVIMIENTOS!$E$5:$E$400)-SUMPRODUCT((MOVIMIENTOS!$B$5:$B$400="TRASIEGO")*(MOVIMIENTOS!$C$5:$C$400="M")*(MOVIMIENTOS!$D$5:$D$400="jabas")*(MOVIMIENTOS!$A$5:$A$400&lt;&gt;"")*(MOVIMIENTOS!$A$5:$A$400&lt;=$A41)*MOVIMIENTOS!$E$5:$E$400)-SUMPRODUCT((MOVIMIENTOS!$B$5:$B$400="REGALO")*(MOVIMIENTOS!$C$5:$C$400="M")*(MOVIMIENTOS!$D$5:$D$400="jabas")*(MOVIMIENTOS!$A$5:$A$400&lt;&gt;"")*(MOVIMIENTOS!$A$5:$A$400&lt;=$A41)*MOVIMIENTOS!$E$5:$E$400)-SUMPRODUCT((MOVIMIENTOS!$B$5:$B$400="VENTA")*(MOVIMIENTOS!$C$5:$C$400="M")*(MOVIMIENTOS!$D$5:$D$400="jabas")*(MOVIMIENTOS!$A$5:$A$400&lt;&gt;"")*(MOVIMIENTOS!$A$5:$A$400&lt;=$A41)*MOVIMIENTOS!$E$5:$E$400)+SUMPRODUCT((MOVIMIENTOS!$B$5:$B$400="AJUSTE")*(MOVIMIENTOS!$C$5:$C$400="M")*(MOVIMIENTOS!$D$5:$D$400="jabas")*(MOVIMIENTOS!$A$5:$A$400&lt;&gt;"")*(MOVIMIENTOS!$A$5:$A$400&lt;=$A41)*MOVIMIENTOS!$E$5:$E$400))</f>
        <v/>
      </c>
      <c r="F41" s="52" t="str">
        <f aca="false">IF($A41="","",SUMPRODUCT((MOVIMIENTOS!$B$5:$B$400="SALDO INICIAL")*(MOVIMIENTOS!$C$5:$C$400="Chancho")*(MOVIMIENTOS!$D$5:$D$400="sacos")*(MOVIMIENTOS!$A$5:$A$400&lt;&gt;"")*(MOVIMIENTOS!$A$5:$A$400&lt;=$A41)*MOVIMIENTOS!$E$5:$E$400)+SUMPRODUCT((MOVIMIENTOS!$B$5:$B$400="PROCESO")*(MOVIMIENTOS!$C$5:$C$400="Chancho")*(MOVIMIENTOS!$D$5:$D$400="sacos")*(MOVIMIENTOS!$A$5:$A$400&lt;&gt;"")*(MOVIMIENTOS!$A$5:$A$400&lt;=$A41)*MOVIMIENTOS!$E$5:$E$400)-SUMPRODUCT((MOVIMIENTOS!$B$5:$B$400="VENTA CHANCHO")*(MOVIMIENTOS!$C$5:$C$400="Chancho")*(MOVIMIENTOS!$D$5:$D$400="sacos")*(MOVIMIENTOS!$A$5:$A$400&lt;&gt;"")*(MOVIMIENTOS!$A$5:$A$400&lt;=$A41)*MOVIMIENTOS!$E$5:$E$400)-SUMPRODUCT((MOVIMIENTOS!$B$5:$B$400="REGALO")*(MOVIMIENTOS!$C$5:$C$400="Chancho")*(MOVIMIENTOS!$D$5:$D$400="sacos")*(MOVIMIENTOS!$A$5:$A$400&lt;&gt;"")*(MOVIMIENTOS!$A$5:$A$400&lt;=$A41)*MOVIMIENTOS!$E$5:$E$400)-SUMPRODUCT((MOVIMIENTOS!$B$5:$B$400="VENTA")*(MOVIMIENTOS!$C$5:$C$400="Chancho")*(MOVIMIENTOS!$D$5:$D$400="sacos")*(MOVIMIENTOS!$A$5:$A$400&lt;&gt;"")*(MOVIMIENTOS!$A$5:$A$400&lt;=$A41)*MOVIMIENTOS!$E$5:$E$400)+SUMPRODUCT((MOVIMIENTOS!$B$5:$B$400="AJUSTE")*(MOVIMIENTOS!$C$5:$C$400="Chancho")*(MOVIMIENTOS!$D$5:$D$400="sacos")*(MOVIMIENTOS!$A$5:$A$400&lt;&gt;"")*(MOVIMIENTOS!$A$5:$A$400&lt;=$A41)*MOVIMIENTOS!$E$5:$E$400))</f>
        <v/>
      </c>
      <c r="G41" s="52" t="str">
        <f aca="false">IF($A41="","",SUM(B41:E41))</f>
        <v/>
      </c>
      <c r="H41" s="52" t="str">
        <f aca="false">IF($A41="","",SUMPRODUCT((((MOVIMIENTOS!$B$5:$B$400="SALDO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41)*MOVIMIENTOS!$I$5:$I$400))</f>
        <v/>
      </c>
      <c r="I41" s="48"/>
      <c r="J41" s="48" t="str">
        <f aca="false">IF(AND(MOVIMIENTOS!$A41&lt;&gt;"",COUNTIF(MOVIMIENTOS!$A$5:$A40,MOVIMIENTOS!$A41)=0),COUNT(J$4:J40)+1,"")</f>
        <v/>
      </c>
      <c r="K41" s="53" t="n">
        <f aca="false">MOVIMIENTOS!$A41</f>
        <v>46218</v>
      </c>
      <c r="L41" s="48"/>
      <c r="M41" s="48"/>
      <c r="N41" s="48"/>
    </row>
    <row r="42" customFormat="false" ht="15" hidden="false" customHeight="true" outlineLevel="0" collapsed="false">
      <c r="A42" s="51" t="str">
        <f aca="false">IFERROR(INDEX(K$5:K$400,MATCH(ROW()-4,J$5:J$400,0)),"")</f>
        <v/>
      </c>
      <c r="B42" s="52" t="str">
        <f aca="false">IF($A42="","",SUMPRODUCT((MOVIMIENTOS!$B$5:$B$400="SALDO INICIAL")*(MOVIMIENTOS!$C$5:$C$400="A")*(MOVIMIENTOS!$D$5:$D$400="jabas")*(MOVIMIENTOS!$A$5:$A$400&lt;&gt;"")*(MOVIMIENTOS!$A$5:$A$400&lt;=$A42)*MOVIMIENTOS!$E$5:$E$400)+SUMPRODUCT((MOVIMIENTOS!$B$5:$B$400="PROCESO")*(MOVIMIENTOS!$C$5:$C$400="A")*(MOVIMIENTOS!$D$5:$D$400="jabas")*(MOVIMIENTOS!$A$5:$A$400&lt;&gt;"")*(MOVIMIENTOS!$A$5:$A$400&lt;=$A42)*MOVIMIENTOS!$E$5:$E$400)-SUMPRODUCT((MOVIMIENTOS!$B$5:$B$400="ENVÍO A SUPESA")*(MOVIMIENTOS!$C$5:$C$400="A")*(MOVIMIENTOS!$D$5:$D$400="jabas")*(MOVIMIENTOS!$A$5:$A$400&lt;&gt;"")*(MOVIMIENTOS!$A$5:$A$400&lt;=$A42)*MOVIMIENTOS!$E$5:$E$400)+SUMPRODUCT((MOVIMIENTOS!$B$5:$B$400="DEVOLUCIÓN")*(MOVIMIENTOS!$C$5:$C$400="A")*(MOVIMIENTOS!$D$5:$D$400="jabas")*(MOVIMIENTOS!$A$5:$A$400&lt;&gt;"")*(MOVIMIENTOS!$A$5:$A$400&lt;=$A42)*MOVIMIENTOS!$E$5:$E$400)-SUMPRODUCT((MOVIMIENTOS!$B$5:$B$400="TRASIEGO")*(MOVIMIENTOS!$C$5:$C$400="A")*(MOVIMIENTOS!$D$5:$D$400="jabas")*(MOVIMIENTOS!$A$5:$A$400&lt;&gt;"")*(MOVIMIENTOS!$A$5:$A$400&lt;=$A42)*MOVIMIENTOS!$E$5:$E$400)-SUMPRODUCT((MOVIMIENTOS!$B$5:$B$400="REGALO")*(MOVIMIENTOS!$C$5:$C$400="A")*(MOVIMIENTOS!$D$5:$D$400="jabas")*(MOVIMIENTOS!$A$5:$A$400&lt;&gt;"")*(MOVIMIENTOS!$A$5:$A$400&lt;=$A42)*MOVIMIENTOS!$E$5:$E$400)-SUMPRODUCT((MOVIMIENTOS!$B$5:$B$400="VENTA")*(MOVIMIENTOS!$C$5:$C$400="A")*(MOVIMIENTOS!$D$5:$D$400="jabas")*(MOVIMIENTOS!$A$5:$A$400&lt;&gt;"")*(MOVIMIENTOS!$A$5:$A$400&lt;=$A42)*MOVIMIENTOS!$E$5:$E$400)+SUMPRODUCT((MOVIMIENTOS!$B$5:$B$400="AJUSTE")*(MOVIMIENTOS!$C$5:$C$400="A")*(MOVIMIENTOS!$D$5:$D$400="jabas")*(MOVIMIENTOS!$A$5:$A$400&lt;&gt;"")*(MOVIMIENTOS!$A$5:$A$400&lt;=$A42)*MOVIMIENTOS!$E$5:$E$400))</f>
        <v/>
      </c>
      <c r="C42" s="52" t="str">
        <f aca="false">IF($A42="","",SUMPRODUCT((MOVIMIENTOS!$B$5:$B$400="SALDO INICIAL")*(MOVIMIENTOS!$C$5:$C$400="P")*(MOVIMIENTOS!$D$5:$D$400="jabas")*(MOVIMIENTOS!$A$5:$A$400&lt;&gt;"")*(MOVIMIENTOS!$A$5:$A$400&lt;=$A42)*MOVIMIENTOS!$E$5:$E$400)+SUMPRODUCT((MOVIMIENTOS!$B$5:$B$400="PROCESO")*(MOVIMIENTOS!$C$5:$C$400="P")*(MOVIMIENTOS!$D$5:$D$400="jabas")*(MOVIMIENTOS!$A$5:$A$400&lt;&gt;"")*(MOVIMIENTOS!$A$5:$A$400&lt;=$A42)*MOVIMIENTOS!$E$5:$E$400)-SUMPRODUCT((MOVIMIENTOS!$B$5:$B$400="ENVÍO A SUPESA")*(MOVIMIENTOS!$C$5:$C$400="P")*(MOVIMIENTOS!$D$5:$D$400="jabas")*(MOVIMIENTOS!$A$5:$A$400&lt;&gt;"")*(MOVIMIENTOS!$A$5:$A$400&lt;=$A42)*MOVIMIENTOS!$E$5:$E$400)+SUMPRODUCT((MOVIMIENTOS!$B$5:$B$400="DEVOLUCIÓN")*(MOVIMIENTOS!$C$5:$C$400="P")*(MOVIMIENTOS!$D$5:$D$400="jabas")*(MOVIMIENTOS!$A$5:$A$400&lt;&gt;"")*(MOVIMIENTOS!$A$5:$A$400&lt;=$A42)*MOVIMIENTOS!$E$5:$E$400)-SUMPRODUCT((MOVIMIENTOS!$B$5:$B$400="TRASIEGO")*(MOVIMIENTOS!$C$5:$C$400="P")*(MOVIMIENTOS!$D$5:$D$400="jabas")*(MOVIMIENTOS!$A$5:$A$400&lt;&gt;"")*(MOVIMIENTOS!$A$5:$A$400&lt;=$A42)*MOVIMIENTOS!$E$5:$E$400)-SUMPRODUCT((MOVIMIENTOS!$B$5:$B$400="REGALO")*(MOVIMIENTOS!$C$5:$C$400="P")*(MOVIMIENTOS!$D$5:$D$400="jabas")*(MOVIMIENTOS!$A$5:$A$400&lt;&gt;"")*(MOVIMIENTOS!$A$5:$A$400&lt;=$A42)*MOVIMIENTOS!$E$5:$E$400)-SUMPRODUCT((MOVIMIENTOS!$B$5:$B$400="VENTA")*(MOVIMIENTOS!$C$5:$C$400="P")*(MOVIMIENTOS!$D$5:$D$400="jabas")*(MOVIMIENTOS!$A$5:$A$400&lt;&gt;"")*(MOVIMIENTOS!$A$5:$A$400&lt;=$A42)*MOVIMIENTOS!$E$5:$E$400)+SUMPRODUCT((MOVIMIENTOS!$B$5:$B$400="AJUSTE")*(MOVIMIENTOS!$C$5:$C$400="P")*(MOVIMIENTOS!$D$5:$D$400="jabas")*(MOVIMIENTOS!$A$5:$A$400&lt;&gt;"")*(MOVIMIENTOS!$A$5:$A$400&lt;=$A42)*MOVIMIENTOS!$E$5:$E$400))</f>
        <v/>
      </c>
      <c r="D42" s="52" t="str">
        <f aca="false">IF($A42="","",SUMPRODUCT((MOVIMIENTOS!$B$5:$B$400="SALDO INICIAL")*(MOVIMIENTOS!$C$5:$C$400="C")*(MOVIMIENTOS!$D$5:$D$400="jabas")*(MOVIMIENTOS!$A$5:$A$400&lt;&gt;"")*(MOVIMIENTOS!$A$5:$A$400&lt;=$A42)*MOVIMIENTOS!$E$5:$E$400)+SUMPRODUCT((MOVIMIENTOS!$B$5:$B$400="PROCESO")*(MOVIMIENTOS!$C$5:$C$400="C")*(MOVIMIENTOS!$D$5:$D$400="jabas")*(MOVIMIENTOS!$A$5:$A$400&lt;&gt;"")*(MOVIMIENTOS!$A$5:$A$400&lt;=$A42)*MOVIMIENTOS!$E$5:$E$400)-SUMPRODUCT((MOVIMIENTOS!$B$5:$B$400="ENVÍO A SUPESA")*(MOVIMIENTOS!$C$5:$C$400="C")*(MOVIMIENTOS!$D$5:$D$400="jabas")*(MOVIMIENTOS!$A$5:$A$400&lt;&gt;"")*(MOVIMIENTOS!$A$5:$A$400&lt;=$A42)*MOVIMIENTOS!$E$5:$E$400)+SUMPRODUCT((MOVIMIENTOS!$B$5:$B$400="DEVOLUCIÓN")*(MOVIMIENTOS!$C$5:$C$400="C")*(MOVIMIENTOS!$D$5:$D$400="jabas")*(MOVIMIENTOS!$A$5:$A$400&lt;&gt;"")*(MOVIMIENTOS!$A$5:$A$400&lt;=$A42)*MOVIMIENTOS!$E$5:$E$400)-SUMPRODUCT((MOVIMIENTOS!$B$5:$B$400="TRASIEGO")*(MOVIMIENTOS!$C$5:$C$400="C")*(MOVIMIENTOS!$D$5:$D$400="jabas")*(MOVIMIENTOS!$A$5:$A$400&lt;&gt;"")*(MOVIMIENTOS!$A$5:$A$400&lt;=$A42)*MOVIMIENTOS!$E$5:$E$400)-SUMPRODUCT((MOVIMIENTOS!$B$5:$B$400="REGALO")*(MOVIMIENTOS!$C$5:$C$400="C")*(MOVIMIENTOS!$D$5:$D$400="jabas")*(MOVIMIENTOS!$A$5:$A$400&lt;&gt;"")*(MOVIMIENTOS!$A$5:$A$400&lt;=$A42)*MOVIMIENTOS!$E$5:$E$400)-SUMPRODUCT((MOVIMIENTOS!$B$5:$B$400="VENTA")*(MOVIMIENTOS!$C$5:$C$400="C")*(MOVIMIENTOS!$D$5:$D$400="jabas")*(MOVIMIENTOS!$A$5:$A$400&lt;&gt;"")*(MOVIMIENTOS!$A$5:$A$400&lt;=$A42)*MOVIMIENTOS!$E$5:$E$400)+SUMPRODUCT((MOVIMIENTOS!$B$5:$B$400="AJUSTE")*(MOVIMIENTOS!$C$5:$C$400="C")*(MOVIMIENTOS!$D$5:$D$400="jabas")*(MOVIMIENTOS!$A$5:$A$400&lt;&gt;"")*(MOVIMIENTOS!$A$5:$A$400&lt;=$A42)*MOVIMIENTOS!$E$5:$E$400))</f>
        <v/>
      </c>
      <c r="E42" s="52" t="str">
        <f aca="false">IF($A42="","",SUMPRODUCT((MOVIMIENTOS!$B$5:$B$400="SALDO INICIAL")*(MOVIMIENTOS!$C$5:$C$400="M")*(MOVIMIENTOS!$D$5:$D$400="jabas")*(MOVIMIENTOS!$A$5:$A$400&lt;&gt;"")*(MOVIMIENTOS!$A$5:$A$400&lt;=$A42)*MOVIMIENTOS!$E$5:$E$400)+SUMPRODUCT((MOVIMIENTOS!$B$5:$B$400="PROCESO")*(MOVIMIENTOS!$C$5:$C$400="M")*(MOVIMIENTOS!$D$5:$D$400="jabas")*(MOVIMIENTOS!$A$5:$A$400&lt;&gt;"")*(MOVIMIENTOS!$A$5:$A$400&lt;=$A42)*MOVIMIENTOS!$E$5:$E$400)-SUMPRODUCT((MOVIMIENTOS!$B$5:$B$400="ENVÍO A SUPESA")*(MOVIMIENTOS!$C$5:$C$400="M")*(MOVIMIENTOS!$D$5:$D$400="jabas")*(MOVIMIENTOS!$A$5:$A$400&lt;&gt;"")*(MOVIMIENTOS!$A$5:$A$400&lt;=$A42)*MOVIMIENTOS!$E$5:$E$400)+SUMPRODUCT((MOVIMIENTOS!$B$5:$B$400="DEVOLUCIÓN")*(MOVIMIENTOS!$C$5:$C$400="M")*(MOVIMIENTOS!$D$5:$D$400="jabas")*(MOVIMIENTOS!$A$5:$A$400&lt;&gt;"")*(MOVIMIENTOS!$A$5:$A$400&lt;=$A42)*MOVIMIENTOS!$E$5:$E$400)-SUMPRODUCT((MOVIMIENTOS!$B$5:$B$400="TRASIEGO")*(MOVIMIENTOS!$C$5:$C$400="M")*(MOVIMIENTOS!$D$5:$D$400="jabas")*(MOVIMIENTOS!$A$5:$A$400&lt;&gt;"")*(MOVIMIENTOS!$A$5:$A$400&lt;=$A42)*MOVIMIENTOS!$E$5:$E$400)-SUMPRODUCT((MOVIMIENTOS!$B$5:$B$400="REGALO")*(MOVIMIENTOS!$C$5:$C$400="M")*(MOVIMIENTOS!$D$5:$D$400="jabas")*(MOVIMIENTOS!$A$5:$A$400&lt;&gt;"")*(MOVIMIENTOS!$A$5:$A$400&lt;=$A42)*MOVIMIENTOS!$E$5:$E$400)-SUMPRODUCT((MOVIMIENTOS!$B$5:$B$400="VENTA")*(MOVIMIENTOS!$C$5:$C$400="M")*(MOVIMIENTOS!$D$5:$D$400="jabas")*(MOVIMIENTOS!$A$5:$A$400&lt;&gt;"")*(MOVIMIENTOS!$A$5:$A$400&lt;=$A42)*MOVIMIENTOS!$E$5:$E$400)+SUMPRODUCT((MOVIMIENTOS!$B$5:$B$400="AJUSTE")*(MOVIMIENTOS!$C$5:$C$400="M")*(MOVIMIENTOS!$D$5:$D$400="jabas")*(MOVIMIENTOS!$A$5:$A$400&lt;&gt;"")*(MOVIMIENTOS!$A$5:$A$400&lt;=$A42)*MOVIMIENTOS!$E$5:$E$400))</f>
        <v/>
      </c>
      <c r="F42" s="52" t="str">
        <f aca="false">IF($A42="","",SUMPRODUCT((MOVIMIENTOS!$B$5:$B$400="SALDO INICIAL")*(MOVIMIENTOS!$C$5:$C$400="Chancho")*(MOVIMIENTOS!$D$5:$D$400="sacos")*(MOVIMIENTOS!$A$5:$A$400&lt;&gt;"")*(MOVIMIENTOS!$A$5:$A$400&lt;=$A42)*MOVIMIENTOS!$E$5:$E$400)+SUMPRODUCT((MOVIMIENTOS!$B$5:$B$400="PROCESO")*(MOVIMIENTOS!$C$5:$C$400="Chancho")*(MOVIMIENTOS!$D$5:$D$400="sacos")*(MOVIMIENTOS!$A$5:$A$400&lt;&gt;"")*(MOVIMIENTOS!$A$5:$A$400&lt;=$A42)*MOVIMIENTOS!$E$5:$E$400)-SUMPRODUCT((MOVIMIENTOS!$B$5:$B$400="VENTA CHANCHO")*(MOVIMIENTOS!$C$5:$C$400="Chancho")*(MOVIMIENTOS!$D$5:$D$400="sacos")*(MOVIMIENTOS!$A$5:$A$400&lt;&gt;"")*(MOVIMIENTOS!$A$5:$A$400&lt;=$A42)*MOVIMIENTOS!$E$5:$E$400)-SUMPRODUCT((MOVIMIENTOS!$B$5:$B$400="REGALO")*(MOVIMIENTOS!$C$5:$C$400="Chancho")*(MOVIMIENTOS!$D$5:$D$400="sacos")*(MOVIMIENTOS!$A$5:$A$400&lt;&gt;"")*(MOVIMIENTOS!$A$5:$A$400&lt;=$A42)*MOVIMIENTOS!$E$5:$E$400)-SUMPRODUCT((MOVIMIENTOS!$B$5:$B$400="VENTA")*(MOVIMIENTOS!$C$5:$C$400="Chancho")*(MOVIMIENTOS!$D$5:$D$400="sacos")*(MOVIMIENTOS!$A$5:$A$400&lt;&gt;"")*(MOVIMIENTOS!$A$5:$A$400&lt;=$A42)*MOVIMIENTOS!$E$5:$E$400)+SUMPRODUCT((MOVIMIENTOS!$B$5:$B$400="AJUSTE")*(MOVIMIENTOS!$C$5:$C$400="Chancho")*(MOVIMIENTOS!$D$5:$D$400="sacos")*(MOVIMIENTOS!$A$5:$A$400&lt;&gt;"")*(MOVIMIENTOS!$A$5:$A$400&lt;=$A42)*MOVIMIENTOS!$E$5:$E$400))</f>
        <v/>
      </c>
      <c r="G42" s="52" t="str">
        <f aca="false">IF($A42="","",SUM(B42:E42))</f>
        <v/>
      </c>
      <c r="H42" s="52" t="str">
        <f aca="false">IF($A42="","",SUMPRODUCT((((MOVIMIENTOS!$B$5:$B$400="SALDO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42)*MOVIMIENTOS!$I$5:$I$400))</f>
        <v/>
      </c>
      <c r="I42" s="48"/>
      <c r="J42" s="48" t="str">
        <f aca="false">IF(AND(MOVIMIENTOS!$A42&lt;&gt;"",COUNTIF(MOVIMIENTOS!$A$5:$A41,MOVIMIENTOS!$A42)=0),COUNT(J$4:J41)+1,"")</f>
        <v/>
      </c>
      <c r="K42" s="53" t="n">
        <f aca="false">MOVIMIENTOS!$A42</f>
        <v>46218</v>
      </c>
      <c r="L42" s="48"/>
      <c r="M42" s="48"/>
      <c r="N42" s="48"/>
    </row>
    <row r="43" customFormat="false" ht="15" hidden="false" customHeight="true" outlineLevel="0" collapsed="false">
      <c r="A43" s="51" t="str">
        <f aca="false">IFERROR(INDEX(K$5:K$400,MATCH(ROW()-4,J$5:J$400,0)),"")</f>
        <v/>
      </c>
      <c r="B43" s="52" t="str">
        <f aca="false">IF($A43="","",SUMPRODUCT((MOVIMIENTOS!$B$5:$B$400="SALDO INICIAL")*(MOVIMIENTOS!$C$5:$C$400="A")*(MOVIMIENTOS!$D$5:$D$400="jabas")*(MOVIMIENTOS!$A$5:$A$400&lt;&gt;"")*(MOVIMIENTOS!$A$5:$A$400&lt;=$A43)*MOVIMIENTOS!$E$5:$E$400)+SUMPRODUCT((MOVIMIENTOS!$B$5:$B$400="PROCESO")*(MOVIMIENTOS!$C$5:$C$400="A")*(MOVIMIENTOS!$D$5:$D$400="jabas")*(MOVIMIENTOS!$A$5:$A$400&lt;&gt;"")*(MOVIMIENTOS!$A$5:$A$400&lt;=$A43)*MOVIMIENTOS!$E$5:$E$400)-SUMPRODUCT((MOVIMIENTOS!$B$5:$B$400="ENVÍO A SUPESA")*(MOVIMIENTOS!$C$5:$C$400="A")*(MOVIMIENTOS!$D$5:$D$400="jabas")*(MOVIMIENTOS!$A$5:$A$400&lt;&gt;"")*(MOVIMIENTOS!$A$5:$A$400&lt;=$A43)*MOVIMIENTOS!$E$5:$E$400)+SUMPRODUCT((MOVIMIENTOS!$B$5:$B$400="DEVOLUCIÓN")*(MOVIMIENTOS!$C$5:$C$400="A")*(MOVIMIENTOS!$D$5:$D$400="jabas")*(MOVIMIENTOS!$A$5:$A$400&lt;&gt;"")*(MOVIMIENTOS!$A$5:$A$400&lt;=$A43)*MOVIMIENTOS!$E$5:$E$400)-SUMPRODUCT((MOVIMIENTOS!$B$5:$B$400="TRASIEGO")*(MOVIMIENTOS!$C$5:$C$400="A")*(MOVIMIENTOS!$D$5:$D$400="jabas")*(MOVIMIENTOS!$A$5:$A$400&lt;&gt;"")*(MOVIMIENTOS!$A$5:$A$400&lt;=$A43)*MOVIMIENTOS!$E$5:$E$400)-SUMPRODUCT((MOVIMIENTOS!$B$5:$B$400="REGALO")*(MOVIMIENTOS!$C$5:$C$400="A")*(MOVIMIENTOS!$D$5:$D$400="jabas")*(MOVIMIENTOS!$A$5:$A$400&lt;&gt;"")*(MOVIMIENTOS!$A$5:$A$400&lt;=$A43)*MOVIMIENTOS!$E$5:$E$400)-SUMPRODUCT((MOVIMIENTOS!$B$5:$B$400="VENTA")*(MOVIMIENTOS!$C$5:$C$400="A")*(MOVIMIENTOS!$D$5:$D$400="jabas")*(MOVIMIENTOS!$A$5:$A$400&lt;&gt;"")*(MOVIMIENTOS!$A$5:$A$400&lt;=$A43)*MOVIMIENTOS!$E$5:$E$400)+SUMPRODUCT((MOVIMIENTOS!$B$5:$B$400="AJUSTE")*(MOVIMIENTOS!$C$5:$C$400="A")*(MOVIMIENTOS!$D$5:$D$400="jabas")*(MOVIMIENTOS!$A$5:$A$400&lt;&gt;"")*(MOVIMIENTOS!$A$5:$A$400&lt;=$A43)*MOVIMIENTOS!$E$5:$E$400))</f>
        <v/>
      </c>
      <c r="C43" s="52" t="str">
        <f aca="false">IF($A43="","",SUMPRODUCT((MOVIMIENTOS!$B$5:$B$400="SALDO INICIAL")*(MOVIMIENTOS!$C$5:$C$400="P")*(MOVIMIENTOS!$D$5:$D$400="jabas")*(MOVIMIENTOS!$A$5:$A$400&lt;&gt;"")*(MOVIMIENTOS!$A$5:$A$400&lt;=$A43)*MOVIMIENTOS!$E$5:$E$400)+SUMPRODUCT((MOVIMIENTOS!$B$5:$B$400="PROCESO")*(MOVIMIENTOS!$C$5:$C$400="P")*(MOVIMIENTOS!$D$5:$D$400="jabas")*(MOVIMIENTOS!$A$5:$A$400&lt;&gt;"")*(MOVIMIENTOS!$A$5:$A$400&lt;=$A43)*MOVIMIENTOS!$E$5:$E$400)-SUMPRODUCT((MOVIMIENTOS!$B$5:$B$400="ENVÍO A SUPESA")*(MOVIMIENTOS!$C$5:$C$400="P")*(MOVIMIENTOS!$D$5:$D$400="jabas")*(MOVIMIENTOS!$A$5:$A$400&lt;&gt;"")*(MOVIMIENTOS!$A$5:$A$400&lt;=$A43)*MOVIMIENTOS!$E$5:$E$400)+SUMPRODUCT((MOVIMIENTOS!$B$5:$B$400="DEVOLUCIÓN")*(MOVIMIENTOS!$C$5:$C$400="P")*(MOVIMIENTOS!$D$5:$D$400="jabas")*(MOVIMIENTOS!$A$5:$A$400&lt;&gt;"")*(MOVIMIENTOS!$A$5:$A$400&lt;=$A43)*MOVIMIENTOS!$E$5:$E$400)-SUMPRODUCT((MOVIMIENTOS!$B$5:$B$400="TRASIEGO")*(MOVIMIENTOS!$C$5:$C$400="P")*(MOVIMIENTOS!$D$5:$D$400="jabas")*(MOVIMIENTOS!$A$5:$A$400&lt;&gt;"")*(MOVIMIENTOS!$A$5:$A$400&lt;=$A43)*MOVIMIENTOS!$E$5:$E$400)-SUMPRODUCT((MOVIMIENTOS!$B$5:$B$400="REGALO")*(MOVIMIENTOS!$C$5:$C$400="P")*(MOVIMIENTOS!$D$5:$D$400="jabas")*(MOVIMIENTOS!$A$5:$A$400&lt;&gt;"")*(MOVIMIENTOS!$A$5:$A$400&lt;=$A43)*MOVIMIENTOS!$E$5:$E$400)-SUMPRODUCT((MOVIMIENTOS!$B$5:$B$400="VENTA")*(MOVIMIENTOS!$C$5:$C$400="P")*(MOVIMIENTOS!$D$5:$D$400="jabas")*(MOVIMIENTOS!$A$5:$A$400&lt;&gt;"")*(MOVIMIENTOS!$A$5:$A$400&lt;=$A43)*MOVIMIENTOS!$E$5:$E$400)+SUMPRODUCT((MOVIMIENTOS!$B$5:$B$400="AJUSTE")*(MOVIMIENTOS!$C$5:$C$400="P")*(MOVIMIENTOS!$D$5:$D$400="jabas")*(MOVIMIENTOS!$A$5:$A$400&lt;&gt;"")*(MOVIMIENTOS!$A$5:$A$400&lt;=$A43)*MOVIMIENTOS!$E$5:$E$400))</f>
        <v/>
      </c>
      <c r="D43" s="52" t="str">
        <f aca="false">IF($A43="","",SUMPRODUCT((MOVIMIENTOS!$B$5:$B$400="SALDO INICIAL")*(MOVIMIENTOS!$C$5:$C$400="C")*(MOVIMIENTOS!$D$5:$D$400="jabas")*(MOVIMIENTOS!$A$5:$A$400&lt;&gt;"")*(MOVIMIENTOS!$A$5:$A$400&lt;=$A43)*MOVIMIENTOS!$E$5:$E$400)+SUMPRODUCT((MOVIMIENTOS!$B$5:$B$400="PROCESO")*(MOVIMIENTOS!$C$5:$C$400="C")*(MOVIMIENTOS!$D$5:$D$400="jabas")*(MOVIMIENTOS!$A$5:$A$400&lt;&gt;"")*(MOVIMIENTOS!$A$5:$A$400&lt;=$A43)*MOVIMIENTOS!$E$5:$E$400)-SUMPRODUCT((MOVIMIENTOS!$B$5:$B$400="ENVÍO A SUPESA")*(MOVIMIENTOS!$C$5:$C$400="C")*(MOVIMIENTOS!$D$5:$D$400="jabas")*(MOVIMIENTOS!$A$5:$A$400&lt;&gt;"")*(MOVIMIENTOS!$A$5:$A$400&lt;=$A43)*MOVIMIENTOS!$E$5:$E$400)+SUMPRODUCT((MOVIMIENTOS!$B$5:$B$400="DEVOLUCIÓN")*(MOVIMIENTOS!$C$5:$C$400="C")*(MOVIMIENTOS!$D$5:$D$400="jabas")*(MOVIMIENTOS!$A$5:$A$400&lt;&gt;"")*(MOVIMIENTOS!$A$5:$A$400&lt;=$A43)*MOVIMIENTOS!$E$5:$E$400)-SUMPRODUCT((MOVIMIENTOS!$B$5:$B$400="TRASIEGO")*(MOVIMIENTOS!$C$5:$C$400="C")*(MOVIMIENTOS!$D$5:$D$400="jabas")*(MOVIMIENTOS!$A$5:$A$400&lt;&gt;"")*(MOVIMIENTOS!$A$5:$A$400&lt;=$A43)*MOVIMIENTOS!$E$5:$E$400)-SUMPRODUCT((MOVIMIENTOS!$B$5:$B$400="REGALO")*(MOVIMIENTOS!$C$5:$C$400="C")*(MOVIMIENTOS!$D$5:$D$400="jabas")*(MOVIMIENTOS!$A$5:$A$400&lt;&gt;"")*(MOVIMIENTOS!$A$5:$A$400&lt;=$A43)*MOVIMIENTOS!$E$5:$E$400)-SUMPRODUCT((MOVIMIENTOS!$B$5:$B$400="VENTA")*(MOVIMIENTOS!$C$5:$C$400="C")*(MOVIMIENTOS!$D$5:$D$400="jabas")*(MOVIMIENTOS!$A$5:$A$400&lt;&gt;"")*(MOVIMIENTOS!$A$5:$A$400&lt;=$A43)*MOVIMIENTOS!$E$5:$E$400)+SUMPRODUCT((MOVIMIENTOS!$B$5:$B$400="AJUSTE")*(MOVIMIENTOS!$C$5:$C$400="C")*(MOVIMIENTOS!$D$5:$D$400="jabas")*(MOVIMIENTOS!$A$5:$A$400&lt;&gt;"")*(MOVIMIENTOS!$A$5:$A$400&lt;=$A43)*MOVIMIENTOS!$E$5:$E$400))</f>
        <v/>
      </c>
      <c r="E43" s="52" t="str">
        <f aca="false">IF($A43="","",SUMPRODUCT((MOVIMIENTOS!$B$5:$B$400="SALDO INICIAL")*(MOVIMIENTOS!$C$5:$C$400="M")*(MOVIMIENTOS!$D$5:$D$400="jabas")*(MOVIMIENTOS!$A$5:$A$400&lt;&gt;"")*(MOVIMIENTOS!$A$5:$A$400&lt;=$A43)*MOVIMIENTOS!$E$5:$E$400)+SUMPRODUCT((MOVIMIENTOS!$B$5:$B$400="PROCESO")*(MOVIMIENTOS!$C$5:$C$400="M")*(MOVIMIENTOS!$D$5:$D$400="jabas")*(MOVIMIENTOS!$A$5:$A$400&lt;&gt;"")*(MOVIMIENTOS!$A$5:$A$400&lt;=$A43)*MOVIMIENTOS!$E$5:$E$400)-SUMPRODUCT((MOVIMIENTOS!$B$5:$B$400="ENVÍO A SUPESA")*(MOVIMIENTOS!$C$5:$C$400="M")*(MOVIMIENTOS!$D$5:$D$400="jabas")*(MOVIMIENTOS!$A$5:$A$400&lt;&gt;"")*(MOVIMIENTOS!$A$5:$A$400&lt;=$A43)*MOVIMIENTOS!$E$5:$E$400)+SUMPRODUCT((MOVIMIENTOS!$B$5:$B$400="DEVOLUCIÓN")*(MOVIMIENTOS!$C$5:$C$400="M")*(MOVIMIENTOS!$D$5:$D$400="jabas")*(MOVIMIENTOS!$A$5:$A$400&lt;&gt;"")*(MOVIMIENTOS!$A$5:$A$400&lt;=$A43)*MOVIMIENTOS!$E$5:$E$400)-SUMPRODUCT((MOVIMIENTOS!$B$5:$B$400="TRASIEGO")*(MOVIMIENTOS!$C$5:$C$400="M")*(MOVIMIENTOS!$D$5:$D$400="jabas")*(MOVIMIENTOS!$A$5:$A$400&lt;&gt;"")*(MOVIMIENTOS!$A$5:$A$400&lt;=$A43)*MOVIMIENTOS!$E$5:$E$400)-SUMPRODUCT((MOVIMIENTOS!$B$5:$B$400="REGALO")*(MOVIMIENTOS!$C$5:$C$400="M")*(MOVIMIENTOS!$D$5:$D$400="jabas")*(MOVIMIENTOS!$A$5:$A$400&lt;&gt;"")*(MOVIMIENTOS!$A$5:$A$400&lt;=$A43)*MOVIMIENTOS!$E$5:$E$400)-SUMPRODUCT((MOVIMIENTOS!$B$5:$B$400="VENTA")*(MOVIMIENTOS!$C$5:$C$400="M")*(MOVIMIENTOS!$D$5:$D$400="jabas")*(MOVIMIENTOS!$A$5:$A$400&lt;&gt;"")*(MOVIMIENTOS!$A$5:$A$400&lt;=$A43)*MOVIMIENTOS!$E$5:$E$400)+SUMPRODUCT((MOVIMIENTOS!$B$5:$B$400="AJUSTE")*(MOVIMIENTOS!$C$5:$C$400="M")*(MOVIMIENTOS!$D$5:$D$400="jabas")*(MOVIMIENTOS!$A$5:$A$400&lt;&gt;"")*(MOVIMIENTOS!$A$5:$A$400&lt;=$A43)*MOVIMIENTOS!$E$5:$E$400))</f>
        <v/>
      </c>
      <c r="F43" s="52" t="str">
        <f aca="false">IF($A43="","",SUMPRODUCT((MOVIMIENTOS!$B$5:$B$400="SALDO INICIAL")*(MOVIMIENTOS!$C$5:$C$400="Chancho")*(MOVIMIENTOS!$D$5:$D$400="sacos")*(MOVIMIENTOS!$A$5:$A$400&lt;&gt;"")*(MOVIMIENTOS!$A$5:$A$400&lt;=$A43)*MOVIMIENTOS!$E$5:$E$400)+SUMPRODUCT((MOVIMIENTOS!$B$5:$B$400="PROCESO")*(MOVIMIENTOS!$C$5:$C$400="Chancho")*(MOVIMIENTOS!$D$5:$D$400="sacos")*(MOVIMIENTOS!$A$5:$A$400&lt;&gt;"")*(MOVIMIENTOS!$A$5:$A$400&lt;=$A43)*MOVIMIENTOS!$E$5:$E$400)-SUMPRODUCT((MOVIMIENTOS!$B$5:$B$400="VENTA CHANCHO")*(MOVIMIENTOS!$C$5:$C$400="Chancho")*(MOVIMIENTOS!$D$5:$D$400="sacos")*(MOVIMIENTOS!$A$5:$A$400&lt;&gt;"")*(MOVIMIENTOS!$A$5:$A$400&lt;=$A43)*MOVIMIENTOS!$E$5:$E$400)-SUMPRODUCT((MOVIMIENTOS!$B$5:$B$400="REGALO")*(MOVIMIENTOS!$C$5:$C$400="Chancho")*(MOVIMIENTOS!$D$5:$D$400="sacos")*(MOVIMIENTOS!$A$5:$A$400&lt;&gt;"")*(MOVIMIENTOS!$A$5:$A$400&lt;=$A43)*MOVIMIENTOS!$E$5:$E$400)-SUMPRODUCT((MOVIMIENTOS!$B$5:$B$400="VENTA")*(MOVIMIENTOS!$C$5:$C$400="Chancho")*(MOVIMIENTOS!$D$5:$D$400="sacos")*(MOVIMIENTOS!$A$5:$A$400&lt;&gt;"")*(MOVIMIENTOS!$A$5:$A$400&lt;=$A43)*MOVIMIENTOS!$E$5:$E$400)+SUMPRODUCT((MOVIMIENTOS!$B$5:$B$400="AJUSTE")*(MOVIMIENTOS!$C$5:$C$400="Chancho")*(MOVIMIENTOS!$D$5:$D$400="sacos")*(MOVIMIENTOS!$A$5:$A$400&lt;&gt;"")*(MOVIMIENTOS!$A$5:$A$400&lt;=$A43)*MOVIMIENTOS!$E$5:$E$400))</f>
        <v/>
      </c>
      <c r="G43" s="52" t="str">
        <f aca="false">IF($A43="","",SUM(B43:E43))</f>
        <v/>
      </c>
      <c r="H43" s="52" t="str">
        <f aca="false">IF($A43="","",SUMPRODUCT((((MOVIMIENTOS!$B$5:$B$400="SALDO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43)*MOVIMIENTOS!$I$5:$I$400))</f>
        <v/>
      </c>
      <c r="I43" s="48"/>
      <c r="J43" s="48" t="str">
        <f aca="false">IF(AND(MOVIMIENTOS!$A43&lt;&gt;"",COUNTIF(MOVIMIENTOS!$A$5:$A42,MOVIMIENTOS!$A43)=0),COUNT(J$4:J42)+1,"")</f>
        <v/>
      </c>
      <c r="K43" s="53" t="n">
        <f aca="false">MOVIMIENTOS!$A43</f>
        <v>46218</v>
      </c>
      <c r="L43" s="48"/>
      <c r="M43" s="48"/>
      <c r="N43" s="48"/>
    </row>
    <row r="44" customFormat="false" ht="15" hidden="false" customHeight="true" outlineLevel="0" collapsed="false">
      <c r="A44" s="51" t="str">
        <f aca="false">IFERROR(INDEX(K$5:K$400,MATCH(ROW()-4,J$5:J$400,0)),"")</f>
        <v/>
      </c>
      <c r="B44" s="52" t="str">
        <f aca="false">IF($A44="","",SUMPRODUCT((MOVIMIENTOS!$B$5:$B$400="SALDO INICIAL")*(MOVIMIENTOS!$C$5:$C$400="A")*(MOVIMIENTOS!$D$5:$D$400="jabas")*(MOVIMIENTOS!$A$5:$A$400&lt;&gt;"")*(MOVIMIENTOS!$A$5:$A$400&lt;=$A44)*MOVIMIENTOS!$E$5:$E$400)+SUMPRODUCT((MOVIMIENTOS!$B$5:$B$400="PROCESO")*(MOVIMIENTOS!$C$5:$C$400="A")*(MOVIMIENTOS!$D$5:$D$400="jabas")*(MOVIMIENTOS!$A$5:$A$400&lt;&gt;"")*(MOVIMIENTOS!$A$5:$A$400&lt;=$A44)*MOVIMIENTOS!$E$5:$E$400)-SUMPRODUCT((MOVIMIENTOS!$B$5:$B$400="ENVÍO A SUPESA")*(MOVIMIENTOS!$C$5:$C$400="A")*(MOVIMIENTOS!$D$5:$D$400="jabas")*(MOVIMIENTOS!$A$5:$A$400&lt;&gt;"")*(MOVIMIENTOS!$A$5:$A$400&lt;=$A44)*MOVIMIENTOS!$E$5:$E$400)+SUMPRODUCT((MOVIMIENTOS!$B$5:$B$400="DEVOLUCIÓN")*(MOVIMIENTOS!$C$5:$C$400="A")*(MOVIMIENTOS!$D$5:$D$400="jabas")*(MOVIMIENTOS!$A$5:$A$400&lt;&gt;"")*(MOVIMIENTOS!$A$5:$A$400&lt;=$A44)*MOVIMIENTOS!$E$5:$E$400)-SUMPRODUCT((MOVIMIENTOS!$B$5:$B$400="TRASIEGO")*(MOVIMIENTOS!$C$5:$C$400="A")*(MOVIMIENTOS!$D$5:$D$400="jabas")*(MOVIMIENTOS!$A$5:$A$400&lt;&gt;"")*(MOVIMIENTOS!$A$5:$A$400&lt;=$A44)*MOVIMIENTOS!$E$5:$E$400)-SUMPRODUCT((MOVIMIENTOS!$B$5:$B$400="REGALO")*(MOVIMIENTOS!$C$5:$C$400="A")*(MOVIMIENTOS!$D$5:$D$400="jabas")*(MOVIMIENTOS!$A$5:$A$400&lt;&gt;"")*(MOVIMIENTOS!$A$5:$A$400&lt;=$A44)*MOVIMIENTOS!$E$5:$E$400)-SUMPRODUCT((MOVIMIENTOS!$B$5:$B$400="VENTA")*(MOVIMIENTOS!$C$5:$C$400="A")*(MOVIMIENTOS!$D$5:$D$400="jabas")*(MOVIMIENTOS!$A$5:$A$400&lt;&gt;"")*(MOVIMIENTOS!$A$5:$A$400&lt;=$A44)*MOVIMIENTOS!$E$5:$E$400)+SUMPRODUCT((MOVIMIENTOS!$B$5:$B$400="AJUSTE")*(MOVIMIENTOS!$C$5:$C$400="A")*(MOVIMIENTOS!$D$5:$D$400="jabas")*(MOVIMIENTOS!$A$5:$A$400&lt;&gt;"")*(MOVIMIENTOS!$A$5:$A$400&lt;=$A44)*MOVIMIENTOS!$E$5:$E$400))</f>
        <v/>
      </c>
      <c r="C44" s="52" t="str">
        <f aca="false">IF($A44="","",SUMPRODUCT((MOVIMIENTOS!$B$5:$B$400="SALDO INICIAL")*(MOVIMIENTOS!$C$5:$C$400="P")*(MOVIMIENTOS!$D$5:$D$400="jabas")*(MOVIMIENTOS!$A$5:$A$400&lt;&gt;"")*(MOVIMIENTOS!$A$5:$A$400&lt;=$A44)*MOVIMIENTOS!$E$5:$E$400)+SUMPRODUCT((MOVIMIENTOS!$B$5:$B$400="PROCESO")*(MOVIMIENTOS!$C$5:$C$400="P")*(MOVIMIENTOS!$D$5:$D$400="jabas")*(MOVIMIENTOS!$A$5:$A$400&lt;&gt;"")*(MOVIMIENTOS!$A$5:$A$400&lt;=$A44)*MOVIMIENTOS!$E$5:$E$400)-SUMPRODUCT((MOVIMIENTOS!$B$5:$B$400="ENVÍO A SUPESA")*(MOVIMIENTOS!$C$5:$C$400="P")*(MOVIMIENTOS!$D$5:$D$400="jabas")*(MOVIMIENTOS!$A$5:$A$400&lt;&gt;"")*(MOVIMIENTOS!$A$5:$A$400&lt;=$A44)*MOVIMIENTOS!$E$5:$E$400)+SUMPRODUCT((MOVIMIENTOS!$B$5:$B$400="DEVOLUCIÓN")*(MOVIMIENTOS!$C$5:$C$400="P")*(MOVIMIENTOS!$D$5:$D$400="jabas")*(MOVIMIENTOS!$A$5:$A$400&lt;&gt;"")*(MOVIMIENTOS!$A$5:$A$400&lt;=$A44)*MOVIMIENTOS!$E$5:$E$400)-SUMPRODUCT((MOVIMIENTOS!$B$5:$B$400="TRASIEGO")*(MOVIMIENTOS!$C$5:$C$400="P")*(MOVIMIENTOS!$D$5:$D$400="jabas")*(MOVIMIENTOS!$A$5:$A$400&lt;&gt;"")*(MOVIMIENTOS!$A$5:$A$400&lt;=$A44)*MOVIMIENTOS!$E$5:$E$400)-SUMPRODUCT((MOVIMIENTOS!$B$5:$B$400="REGALO")*(MOVIMIENTOS!$C$5:$C$400="P")*(MOVIMIENTOS!$D$5:$D$400="jabas")*(MOVIMIENTOS!$A$5:$A$400&lt;&gt;"")*(MOVIMIENTOS!$A$5:$A$400&lt;=$A44)*MOVIMIENTOS!$E$5:$E$400)-SUMPRODUCT((MOVIMIENTOS!$B$5:$B$400="VENTA")*(MOVIMIENTOS!$C$5:$C$400="P")*(MOVIMIENTOS!$D$5:$D$400="jabas")*(MOVIMIENTOS!$A$5:$A$400&lt;&gt;"")*(MOVIMIENTOS!$A$5:$A$400&lt;=$A44)*MOVIMIENTOS!$E$5:$E$400)+SUMPRODUCT((MOVIMIENTOS!$B$5:$B$400="AJUSTE")*(MOVIMIENTOS!$C$5:$C$400="P")*(MOVIMIENTOS!$D$5:$D$400="jabas")*(MOVIMIENTOS!$A$5:$A$400&lt;&gt;"")*(MOVIMIENTOS!$A$5:$A$400&lt;=$A44)*MOVIMIENTOS!$E$5:$E$400))</f>
        <v/>
      </c>
      <c r="D44" s="52" t="str">
        <f aca="false">IF($A44="","",SUMPRODUCT((MOVIMIENTOS!$B$5:$B$400="SALDO INICIAL")*(MOVIMIENTOS!$C$5:$C$400="C")*(MOVIMIENTOS!$D$5:$D$400="jabas")*(MOVIMIENTOS!$A$5:$A$400&lt;&gt;"")*(MOVIMIENTOS!$A$5:$A$400&lt;=$A44)*MOVIMIENTOS!$E$5:$E$400)+SUMPRODUCT((MOVIMIENTOS!$B$5:$B$400="PROCESO")*(MOVIMIENTOS!$C$5:$C$400="C")*(MOVIMIENTOS!$D$5:$D$400="jabas")*(MOVIMIENTOS!$A$5:$A$400&lt;&gt;"")*(MOVIMIENTOS!$A$5:$A$400&lt;=$A44)*MOVIMIENTOS!$E$5:$E$400)-SUMPRODUCT((MOVIMIENTOS!$B$5:$B$400="ENVÍO A SUPESA")*(MOVIMIENTOS!$C$5:$C$400="C")*(MOVIMIENTOS!$D$5:$D$400="jabas")*(MOVIMIENTOS!$A$5:$A$400&lt;&gt;"")*(MOVIMIENTOS!$A$5:$A$400&lt;=$A44)*MOVIMIENTOS!$E$5:$E$400)+SUMPRODUCT((MOVIMIENTOS!$B$5:$B$400="DEVOLUCIÓN")*(MOVIMIENTOS!$C$5:$C$400="C")*(MOVIMIENTOS!$D$5:$D$400="jabas")*(MOVIMIENTOS!$A$5:$A$400&lt;&gt;"")*(MOVIMIENTOS!$A$5:$A$400&lt;=$A44)*MOVIMIENTOS!$E$5:$E$400)-SUMPRODUCT((MOVIMIENTOS!$B$5:$B$400="TRASIEGO")*(MOVIMIENTOS!$C$5:$C$400="C")*(MOVIMIENTOS!$D$5:$D$400="jabas")*(MOVIMIENTOS!$A$5:$A$400&lt;&gt;"")*(MOVIMIENTOS!$A$5:$A$400&lt;=$A44)*MOVIMIENTOS!$E$5:$E$400)-SUMPRODUCT((MOVIMIENTOS!$B$5:$B$400="REGALO")*(MOVIMIENTOS!$C$5:$C$400="C")*(MOVIMIENTOS!$D$5:$D$400="jabas")*(MOVIMIENTOS!$A$5:$A$400&lt;&gt;"")*(MOVIMIENTOS!$A$5:$A$400&lt;=$A44)*MOVIMIENTOS!$E$5:$E$400)-SUMPRODUCT((MOVIMIENTOS!$B$5:$B$400="VENTA")*(MOVIMIENTOS!$C$5:$C$400="C")*(MOVIMIENTOS!$D$5:$D$400="jabas")*(MOVIMIENTOS!$A$5:$A$400&lt;&gt;"")*(MOVIMIENTOS!$A$5:$A$400&lt;=$A44)*MOVIMIENTOS!$E$5:$E$400)+SUMPRODUCT((MOVIMIENTOS!$B$5:$B$400="AJUSTE")*(MOVIMIENTOS!$C$5:$C$400="C")*(MOVIMIENTOS!$D$5:$D$400="jabas")*(MOVIMIENTOS!$A$5:$A$400&lt;&gt;"")*(MOVIMIENTOS!$A$5:$A$400&lt;=$A44)*MOVIMIENTOS!$E$5:$E$400))</f>
        <v/>
      </c>
      <c r="E44" s="52" t="str">
        <f aca="false">IF($A44="","",SUMPRODUCT((MOVIMIENTOS!$B$5:$B$400="SALDO INICIAL")*(MOVIMIENTOS!$C$5:$C$400="M")*(MOVIMIENTOS!$D$5:$D$400="jabas")*(MOVIMIENTOS!$A$5:$A$400&lt;&gt;"")*(MOVIMIENTOS!$A$5:$A$400&lt;=$A44)*MOVIMIENTOS!$E$5:$E$400)+SUMPRODUCT((MOVIMIENTOS!$B$5:$B$400="PROCESO")*(MOVIMIENTOS!$C$5:$C$400="M")*(MOVIMIENTOS!$D$5:$D$400="jabas")*(MOVIMIENTOS!$A$5:$A$400&lt;&gt;"")*(MOVIMIENTOS!$A$5:$A$400&lt;=$A44)*MOVIMIENTOS!$E$5:$E$400)-SUMPRODUCT((MOVIMIENTOS!$B$5:$B$400="ENVÍO A SUPESA")*(MOVIMIENTOS!$C$5:$C$400="M")*(MOVIMIENTOS!$D$5:$D$400="jabas")*(MOVIMIENTOS!$A$5:$A$400&lt;&gt;"")*(MOVIMIENTOS!$A$5:$A$400&lt;=$A44)*MOVIMIENTOS!$E$5:$E$400)+SUMPRODUCT((MOVIMIENTOS!$B$5:$B$400="DEVOLUCIÓN")*(MOVIMIENTOS!$C$5:$C$400="M")*(MOVIMIENTOS!$D$5:$D$400="jabas")*(MOVIMIENTOS!$A$5:$A$400&lt;&gt;"")*(MOVIMIENTOS!$A$5:$A$400&lt;=$A44)*MOVIMIENTOS!$E$5:$E$400)-SUMPRODUCT((MOVIMIENTOS!$B$5:$B$400="TRASIEGO")*(MOVIMIENTOS!$C$5:$C$400="M")*(MOVIMIENTOS!$D$5:$D$400="jabas")*(MOVIMIENTOS!$A$5:$A$400&lt;&gt;"")*(MOVIMIENTOS!$A$5:$A$400&lt;=$A44)*MOVIMIENTOS!$E$5:$E$400)-SUMPRODUCT((MOVIMIENTOS!$B$5:$B$400="REGALO")*(MOVIMIENTOS!$C$5:$C$400="M")*(MOVIMIENTOS!$D$5:$D$400="jabas")*(MOVIMIENTOS!$A$5:$A$400&lt;&gt;"")*(MOVIMIENTOS!$A$5:$A$400&lt;=$A44)*MOVIMIENTOS!$E$5:$E$400)-SUMPRODUCT((MOVIMIENTOS!$B$5:$B$400="VENTA")*(MOVIMIENTOS!$C$5:$C$400="M")*(MOVIMIENTOS!$D$5:$D$400="jabas")*(MOVIMIENTOS!$A$5:$A$400&lt;&gt;"")*(MOVIMIENTOS!$A$5:$A$400&lt;=$A44)*MOVIMIENTOS!$E$5:$E$400)+SUMPRODUCT((MOVIMIENTOS!$B$5:$B$400="AJUSTE")*(MOVIMIENTOS!$C$5:$C$400="M")*(MOVIMIENTOS!$D$5:$D$400="jabas")*(MOVIMIENTOS!$A$5:$A$400&lt;&gt;"")*(MOVIMIENTOS!$A$5:$A$400&lt;=$A44)*MOVIMIENTOS!$E$5:$E$400))</f>
        <v/>
      </c>
      <c r="F44" s="52" t="str">
        <f aca="false">IF($A44="","",SUMPRODUCT((MOVIMIENTOS!$B$5:$B$400="SALDO INICIAL")*(MOVIMIENTOS!$C$5:$C$400="Chancho")*(MOVIMIENTOS!$D$5:$D$400="sacos")*(MOVIMIENTOS!$A$5:$A$400&lt;&gt;"")*(MOVIMIENTOS!$A$5:$A$400&lt;=$A44)*MOVIMIENTOS!$E$5:$E$400)+SUMPRODUCT((MOVIMIENTOS!$B$5:$B$400="PROCESO")*(MOVIMIENTOS!$C$5:$C$400="Chancho")*(MOVIMIENTOS!$D$5:$D$400="sacos")*(MOVIMIENTOS!$A$5:$A$400&lt;&gt;"")*(MOVIMIENTOS!$A$5:$A$400&lt;=$A44)*MOVIMIENTOS!$E$5:$E$400)-SUMPRODUCT((MOVIMIENTOS!$B$5:$B$400="VENTA CHANCHO")*(MOVIMIENTOS!$C$5:$C$400="Chancho")*(MOVIMIENTOS!$D$5:$D$400="sacos")*(MOVIMIENTOS!$A$5:$A$400&lt;&gt;"")*(MOVIMIENTOS!$A$5:$A$400&lt;=$A44)*MOVIMIENTOS!$E$5:$E$400)-SUMPRODUCT((MOVIMIENTOS!$B$5:$B$400="REGALO")*(MOVIMIENTOS!$C$5:$C$400="Chancho")*(MOVIMIENTOS!$D$5:$D$400="sacos")*(MOVIMIENTOS!$A$5:$A$400&lt;&gt;"")*(MOVIMIENTOS!$A$5:$A$400&lt;=$A44)*MOVIMIENTOS!$E$5:$E$400)-SUMPRODUCT((MOVIMIENTOS!$B$5:$B$400="VENTA")*(MOVIMIENTOS!$C$5:$C$400="Chancho")*(MOVIMIENTOS!$D$5:$D$400="sacos")*(MOVIMIENTOS!$A$5:$A$400&lt;&gt;"")*(MOVIMIENTOS!$A$5:$A$400&lt;=$A44)*MOVIMIENTOS!$E$5:$E$400)+SUMPRODUCT((MOVIMIENTOS!$B$5:$B$400="AJUSTE")*(MOVIMIENTOS!$C$5:$C$400="Chancho")*(MOVIMIENTOS!$D$5:$D$400="sacos")*(MOVIMIENTOS!$A$5:$A$400&lt;&gt;"")*(MOVIMIENTOS!$A$5:$A$400&lt;=$A44)*MOVIMIENTOS!$E$5:$E$400))</f>
        <v/>
      </c>
      <c r="G44" s="52" t="str">
        <f aca="false">IF($A44="","",SUM(B44:E44))</f>
        <v/>
      </c>
      <c r="H44" s="52" t="str">
        <f aca="false">IF($A44="","",SUMPRODUCT((((MOVIMIENTOS!$B$5:$B$400="SALDO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44)*MOVIMIENTOS!$I$5:$I$400))</f>
        <v/>
      </c>
      <c r="I44" s="48"/>
      <c r="J44" s="48" t="str">
        <f aca="false">IF(AND(MOVIMIENTOS!$A44&lt;&gt;"",COUNTIF(MOVIMIENTOS!$A$5:$A43,MOVIMIENTOS!$A44)=0),COUNT(J$4:J43)+1,"")</f>
        <v/>
      </c>
      <c r="K44" s="53" t="n">
        <f aca="false">MOVIMIENTOS!$A44</f>
        <v>46218</v>
      </c>
      <c r="L44" s="48"/>
      <c r="M44" s="48"/>
      <c r="N44" s="48"/>
    </row>
    <row r="45" customFormat="false" ht="15" hidden="false" customHeight="true" outlineLevel="0" collapsed="false">
      <c r="A45" s="51" t="str">
        <f aca="false">IFERROR(INDEX(K$5:K$400,MATCH(ROW()-4,J$5:J$400,0)),"")</f>
        <v/>
      </c>
      <c r="B45" s="52" t="str">
        <f aca="false">IF($A45="","",SUMPRODUCT((MOVIMIENTOS!$B$5:$B$400="SALDO INICIAL")*(MOVIMIENTOS!$C$5:$C$400="A")*(MOVIMIENTOS!$D$5:$D$400="jabas")*(MOVIMIENTOS!$A$5:$A$400&lt;&gt;"")*(MOVIMIENTOS!$A$5:$A$400&lt;=$A45)*MOVIMIENTOS!$E$5:$E$400)+SUMPRODUCT((MOVIMIENTOS!$B$5:$B$400="PROCESO")*(MOVIMIENTOS!$C$5:$C$400="A")*(MOVIMIENTOS!$D$5:$D$400="jabas")*(MOVIMIENTOS!$A$5:$A$400&lt;&gt;"")*(MOVIMIENTOS!$A$5:$A$400&lt;=$A45)*MOVIMIENTOS!$E$5:$E$400)-SUMPRODUCT((MOVIMIENTOS!$B$5:$B$400="ENVÍO A SUPESA")*(MOVIMIENTOS!$C$5:$C$400="A")*(MOVIMIENTOS!$D$5:$D$400="jabas")*(MOVIMIENTOS!$A$5:$A$400&lt;&gt;"")*(MOVIMIENTOS!$A$5:$A$400&lt;=$A45)*MOVIMIENTOS!$E$5:$E$400)+SUMPRODUCT((MOVIMIENTOS!$B$5:$B$400="DEVOLUCIÓN")*(MOVIMIENTOS!$C$5:$C$400="A")*(MOVIMIENTOS!$D$5:$D$400="jabas")*(MOVIMIENTOS!$A$5:$A$400&lt;&gt;"")*(MOVIMIENTOS!$A$5:$A$400&lt;=$A45)*MOVIMIENTOS!$E$5:$E$400)-SUMPRODUCT((MOVIMIENTOS!$B$5:$B$400="TRASIEGO")*(MOVIMIENTOS!$C$5:$C$400="A")*(MOVIMIENTOS!$D$5:$D$400="jabas")*(MOVIMIENTOS!$A$5:$A$400&lt;&gt;"")*(MOVIMIENTOS!$A$5:$A$400&lt;=$A45)*MOVIMIENTOS!$E$5:$E$400)-SUMPRODUCT((MOVIMIENTOS!$B$5:$B$400="REGALO")*(MOVIMIENTOS!$C$5:$C$400="A")*(MOVIMIENTOS!$D$5:$D$400="jabas")*(MOVIMIENTOS!$A$5:$A$400&lt;&gt;"")*(MOVIMIENTOS!$A$5:$A$400&lt;=$A45)*MOVIMIENTOS!$E$5:$E$400)-SUMPRODUCT((MOVIMIENTOS!$B$5:$B$400="VENTA")*(MOVIMIENTOS!$C$5:$C$400="A")*(MOVIMIENTOS!$D$5:$D$400="jabas")*(MOVIMIENTOS!$A$5:$A$400&lt;&gt;"")*(MOVIMIENTOS!$A$5:$A$400&lt;=$A45)*MOVIMIENTOS!$E$5:$E$400)+SUMPRODUCT((MOVIMIENTOS!$B$5:$B$400="AJUSTE")*(MOVIMIENTOS!$C$5:$C$400="A")*(MOVIMIENTOS!$D$5:$D$400="jabas")*(MOVIMIENTOS!$A$5:$A$400&lt;&gt;"")*(MOVIMIENTOS!$A$5:$A$400&lt;=$A45)*MOVIMIENTOS!$E$5:$E$400))</f>
        <v/>
      </c>
      <c r="C45" s="52" t="str">
        <f aca="false">IF($A45="","",SUMPRODUCT((MOVIMIENTOS!$B$5:$B$400="SALDO INICIAL")*(MOVIMIENTOS!$C$5:$C$400="P")*(MOVIMIENTOS!$D$5:$D$400="jabas")*(MOVIMIENTOS!$A$5:$A$400&lt;&gt;"")*(MOVIMIENTOS!$A$5:$A$400&lt;=$A45)*MOVIMIENTOS!$E$5:$E$400)+SUMPRODUCT((MOVIMIENTOS!$B$5:$B$400="PROCESO")*(MOVIMIENTOS!$C$5:$C$400="P")*(MOVIMIENTOS!$D$5:$D$400="jabas")*(MOVIMIENTOS!$A$5:$A$400&lt;&gt;"")*(MOVIMIENTOS!$A$5:$A$400&lt;=$A45)*MOVIMIENTOS!$E$5:$E$400)-SUMPRODUCT((MOVIMIENTOS!$B$5:$B$400="ENVÍO A SUPESA")*(MOVIMIENTOS!$C$5:$C$400="P")*(MOVIMIENTOS!$D$5:$D$400="jabas")*(MOVIMIENTOS!$A$5:$A$400&lt;&gt;"")*(MOVIMIENTOS!$A$5:$A$400&lt;=$A45)*MOVIMIENTOS!$E$5:$E$400)+SUMPRODUCT((MOVIMIENTOS!$B$5:$B$400="DEVOLUCIÓN")*(MOVIMIENTOS!$C$5:$C$400="P")*(MOVIMIENTOS!$D$5:$D$400="jabas")*(MOVIMIENTOS!$A$5:$A$400&lt;&gt;"")*(MOVIMIENTOS!$A$5:$A$400&lt;=$A45)*MOVIMIENTOS!$E$5:$E$400)-SUMPRODUCT((MOVIMIENTOS!$B$5:$B$400="TRASIEGO")*(MOVIMIENTOS!$C$5:$C$400="P")*(MOVIMIENTOS!$D$5:$D$400="jabas")*(MOVIMIENTOS!$A$5:$A$400&lt;&gt;"")*(MOVIMIENTOS!$A$5:$A$400&lt;=$A45)*MOVIMIENTOS!$E$5:$E$400)-SUMPRODUCT((MOVIMIENTOS!$B$5:$B$400="REGALO")*(MOVIMIENTOS!$C$5:$C$400="P")*(MOVIMIENTOS!$D$5:$D$400="jabas")*(MOVIMIENTOS!$A$5:$A$400&lt;&gt;"")*(MOVIMIENTOS!$A$5:$A$400&lt;=$A45)*MOVIMIENTOS!$E$5:$E$400)-SUMPRODUCT((MOVIMIENTOS!$B$5:$B$400="VENTA")*(MOVIMIENTOS!$C$5:$C$400="P")*(MOVIMIENTOS!$D$5:$D$400="jabas")*(MOVIMIENTOS!$A$5:$A$400&lt;&gt;"")*(MOVIMIENTOS!$A$5:$A$400&lt;=$A45)*MOVIMIENTOS!$E$5:$E$400)+SUMPRODUCT((MOVIMIENTOS!$B$5:$B$400="AJUSTE")*(MOVIMIENTOS!$C$5:$C$400="P")*(MOVIMIENTOS!$D$5:$D$400="jabas")*(MOVIMIENTOS!$A$5:$A$400&lt;&gt;"")*(MOVIMIENTOS!$A$5:$A$400&lt;=$A45)*MOVIMIENTOS!$E$5:$E$400))</f>
        <v/>
      </c>
      <c r="D45" s="52" t="str">
        <f aca="false">IF($A45="","",SUMPRODUCT((MOVIMIENTOS!$B$5:$B$400="SALDO INICIAL")*(MOVIMIENTOS!$C$5:$C$400="C")*(MOVIMIENTOS!$D$5:$D$400="jabas")*(MOVIMIENTOS!$A$5:$A$400&lt;&gt;"")*(MOVIMIENTOS!$A$5:$A$400&lt;=$A45)*MOVIMIENTOS!$E$5:$E$400)+SUMPRODUCT((MOVIMIENTOS!$B$5:$B$400="PROCESO")*(MOVIMIENTOS!$C$5:$C$400="C")*(MOVIMIENTOS!$D$5:$D$400="jabas")*(MOVIMIENTOS!$A$5:$A$400&lt;&gt;"")*(MOVIMIENTOS!$A$5:$A$400&lt;=$A45)*MOVIMIENTOS!$E$5:$E$400)-SUMPRODUCT((MOVIMIENTOS!$B$5:$B$400="ENVÍO A SUPESA")*(MOVIMIENTOS!$C$5:$C$400="C")*(MOVIMIENTOS!$D$5:$D$400="jabas")*(MOVIMIENTOS!$A$5:$A$400&lt;&gt;"")*(MOVIMIENTOS!$A$5:$A$400&lt;=$A45)*MOVIMIENTOS!$E$5:$E$400)+SUMPRODUCT((MOVIMIENTOS!$B$5:$B$400="DEVOLUCIÓN")*(MOVIMIENTOS!$C$5:$C$400="C")*(MOVIMIENTOS!$D$5:$D$400="jabas")*(MOVIMIENTOS!$A$5:$A$400&lt;&gt;"")*(MOVIMIENTOS!$A$5:$A$400&lt;=$A45)*MOVIMIENTOS!$E$5:$E$400)-SUMPRODUCT((MOVIMIENTOS!$B$5:$B$400="TRASIEGO")*(MOVIMIENTOS!$C$5:$C$400="C")*(MOVIMIENTOS!$D$5:$D$400="jabas")*(MOVIMIENTOS!$A$5:$A$400&lt;&gt;"")*(MOVIMIENTOS!$A$5:$A$400&lt;=$A45)*MOVIMIENTOS!$E$5:$E$400)-SUMPRODUCT((MOVIMIENTOS!$B$5:$B$400="REGALO")*(MOVIMIENTOS!$C$5:$C$400="C")*(MOVIMIENTOS!$D$5:$D$400="jabas")*(MOVIMIENTOS!$A$5:$A$400&lt;&gt;"")*(MOVIMIENTOS!$A$5:$A$400&lt;=$A45)*MOVIMIENTOS!$E$5:$E$400)-SUMPRODUCT((MOVIMIENTOS!$B$5:$B$400="VENTA")*(MOVIMIENTOS!$C$5:$C$400="C")*(MOVIMIENTOS!$D$5:$D$400="jabas")*(MOVIMIENTOS!$A$5:$A$400&lt;&gt;"")*(MOVIMIENTOS!$A$5:$A$400&lt;=$A45)*MOVIMIENTOS!$E$5:$E$400)+SUMPRODUCT((MOVIMIENTOS!$B$5:$B$400="AJUSTE")*(MOVIMIENTOS!$C$5:$C$400="C")*(MOVIMIENTOS!$D$5:$D$400="jabas")*(MOVIMIENTOS!$A$5:$A$400&lt;&gt;"")*(MOVIMIENTOS!$A$5:$A$400&lt;=$A45)*MOVIMIENTOS!$E$5:$E$400))</f>
        <v/>
      </c>
      <c r="E45" s="52" t="str">
        <f aca="false">IF($A45="","",SUMPRODUCT((MOVIMIENTOS!$B$5:$B$400="SALDO INICIAL")*(MOVIMIENTOS!$C$5:$C$400="M")*(MOVIMIENTOS!$D$5:$D$400="jabas")*(MOVIMIENTOS!$A$5:$A$400&lt;&gt;"")*(MOVIMIENTOS!$A$5:$A$400&lt;=$A45)*MOVIMIENTOS!$E$5:$E$400)+SUMPRODUCT((MOVIMIENTOS!$B$5:$B$400="PROCESO")*(MOVIMIENTOS!$C$5:$C$400="M")*(MOVIMIENTOS!$D$5:$D$400="jabas")*(MOVIMIENTOS!$A$5:$A$400&lt;&gt;"")*(MOVIMIENTOS!$A$5:$A$400&lt;=$A45)*MOVIMIENTOS!$E$5:$E$400)-SUMPRODUCT((MOVIMIENTOS!$B$5:$B$400="ENVÍO A SUPESA")*(MOVIMIENTOS!$C$5:$C$400="M")*(MOVIMIENTOS!$D$5:$D$400="jabas")*(MOVIMIENTOS!$A$5:$A$400&lt;&gt;"")*(MOVIMIENTOS!$A$5:$A$400&lt;=$A45)*MOVIMIENTOS!$E$5:$E$400)+SUMPRODUCT((MOVIMIENTOS!$B$5:$B$400="DEVOLUCIÓN")*(MOVIMIENTOS!$C$5:$C$400="M")*(MOVIMIENTOS!$D$5:$D$400="jabas")*(MOVIMIENTOS!$A$5:$A$400&lt;&gt;"")*(MOVIMIENTOS!$A$5:$A$400&lt;=$A45)*MOVIMIENTOS!$E$5:$E$400)-SUMPRODUCT((MOVIMIENTOS!$B$5:$B$400="TRASIEGO")*(MOVIMIENTOS!$C$5:$C$400="M")*(MOVIMIENTOS!$D$5:$D$400="jabas")*(MOVIMIENTOS!$A$5:$A$400&lt;&gt;"")*(MOVIMIENTOS!$A$5:$A$400&lt;=$A45)*MOVIMIENTOS!$E$5:$E$400)-SUMPRODUCT((MOVIMIENTOS!$B$5:$B$400="REGALO")*(MOVIMIENTOS!$C$5:$C$400="M")*(MOVIMIENTOS!$D$5:$D$400="jabas")*(MOVIMIENTOS!$A$5:$A$400&lt;&gt;"")*(MOVIMIENTOS!$A$5:$A$400&lt;=$A45)*MOVIMIENTOS!$E$5:$E$400)-SUMPRODUCT((MOVIMIENTOS!$B$5:$B$400="VENTA")*(MOVIMIENTOS!$C$5:$C$400="M")*(MOVIMIENTOS!$D$5:$D$400="jabas")*(MOVIMIENTOS!$A$5:$A$400&lt;&gt;"")*(MOVIMIENTOS!$A$5:$A$400&lt;=$A45)*MOVIMIENTOS!$E$5:$E$400)+SUMPRODUCT((MOVIMIENTOS!$B$5:$B$400="AJUSTE")*(MOVIMIENTOS!$C$5:$C$400="M")*(MOVIMIENTOS!$D$5:$D$400="jabas")*(MOVIMIENTOS!$A$5:$A$400&lt;&gt;"")*(MOVIMIENTOS!$A$5:$A$400&lt;=$A45)*MOVIMIENTOS!$E$5:$E$400))</f>
        <v/>
      </c>
      <c r="F45" s="52" t="str">
        <f aca="false">IF($A45="","",SUMPRODUCT((MOVIMIENTOS!$B$5:$B$400="SALDO INICIAL")*(MOVIMIENTOS!$C$5:$C$400="Chancho")*(MOVIMIENTOS!$D$5:$D$400="sacos")*(MOVIMIENTOS!$A$5:$A$400&lt;&gt;"")*(MOVIMIENTOS!$A$5:$A$400&lt;=$A45)*MOVIMIENTOS!$E$5:$E$400)+SUMPRODUCT((MOVIMIENTOS!$B$5:$B$400="PROCESO")*(MOVIMIENTOS!$C$5:$C$400="Chancho")*(MOVIMIENTOS!$D$5:$D$400="sacos")*(MOVIMIENTOS!$A$5:$A$400&lt;&gt;"")*(MOVIMIENTOS!$A$5:$A$400&lt;=$A45)*MOVIMIENTOS!$E$5:$E$400)-SUMPRODUCT((MOVIMIENTOS!$B$5:$B$400="VENTA CHANCHO")*(MOVIMIENTOS!$C$5:$C$400="Chancho")*(MOVIMIENTOS!$D$5:$D$400="sacos")*(MOVIMIENTOS!$A$5:$A$400&lt;&gt;"")*(MOVIMIENTOS!$A$5:$A$400&lt;=$A45)*MOVIMIENTOS!$E$5:$E$400)-SUMPRODUCT((MOVIMIENTOS!$B$5:$B$400="REGALO")*(MOVIMIENTOS!$C$5:$C$400="Chancho")*(MOVIMIENTOS!$D$5:$D$400="sacos")*(MOVIMIENTOS!$A$5:$A$400&lt;&gt;"")*(MOVIMIENTOS!$A$5:$A$400&lt;=$A45)*MOVIMIENTOS!$E$5:$E$400)-SUMPRODUCT((MOVIMIENTOS!$B$5:$B$400="VENTA")*(MOVIMIENTOS!$C$5:$C$400="Chancho")*(MOVIMIENTOS!$D$5:$D$400="sacos")*(MOVIMIENTOS!$A$5:$A$400&lt;&gt;"")*(MOVIMIENTOS!$A$5:$A$400&lt;=$A45)*MOVIMIENTOS!$E$5:$E$400)+SUMPRODUCT((MOVIMIENTOS!$B$5:$B$400="AJUSTE")*(MOVIMIENTOS!$C$5:$C$400="Chancho")*(MOVIMIENTOS!$D$5:$D$400="sacos")*(MOVIMIENTOS!$A$5:$A$400&lt;&gt;"")*(MOVIMIENTOS!$A$5:$A$400&lt;=$A45)*MOVIMIENTOS!$E$5:$E$400))</f>
        <v/>
      </c>
      <c r="G45" s="52" t="str">
        <f aca="false">IF($A45="","",SUM(B45:E45))</f>
        <v/>
      </c>
      <c r="H45" s="52" t="str">
        <f aca="false">IF($A45="","",SUMPRODUCT((((MOVIMIENTOS!$B$5:$B$400="SALDO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45)*MOVIMIENTOS!$I$5:$I$400))</f>
        <v/>
      </c>
      <c r="I45" s="48"/>
      <c r="J45" s="48" t="str">
        <f aca="false">IF(AND(MOVIMIENTOS!$A45&lt;&gt;"",COUNTIF(MOVIMIENTOS!$A$5:$A44,MOVIMIENTOS!$A45)=0),COUNT(J$4:J44)+1,"")</f>
        <v/>
      </c>
      <c r="K45" s="53" t="n">
        <f aca="false">MOVIMIENTOS!$A45</f>
        <v>46218</v>
      </c>
      <c r="L45" s="48"/>
      <c r="M45" s="48"/>
      <c r="N45" s="48"/>
    </row>
    <row r="46" customFormat="false" ht="15" hidden="false" customHeight="true" outlineLevel="0" collapsed="false">
      <c r="A46" s="51" t="str">
        <f aca="false">IFERROR(INDEX(K$5:K$400,MATCH(ROW()-4,J$5:J$400,0)),"")</f>
        <v/>
      </c>
      <c r="B46" s="52" t="str">
        <f aca="false">IF($A46="","",SUMPRODUCT((MOVIMIENTOS!$B$5:$B$400="SALDO INICIAL")*(MOVIMIENTOS!$C$5:$C$400="A")*(MOVIMIENTOS!$D$5:$D$400="jabas")*(MOVIMIENTOS!$A$5:$A$400&lt;&gt;"")*(MOVIMIENTOS!$A$5:$A$400&lt;=$A46)*MOVIMIENTOS!$E$5:$E$400)+SUMPRODUCT((MOVIMIENTOS!$B$5:$B$400="PROCESO")*(MOVIMIENTOS!$C$5:$C$400="A")*(MOVIMIENTOS!$D$5:$D$400="jabas")*(MOVIMIENTOS!$A$5:$A$400&lt;&gt;"")*(MOVIMIENTOS!$A$5:$A$400&lt;=$A46)*MOVIMIENTOS!$E$5:$E$400)-SUMPRODUCT((MOVIMIENTOS!$B$5:$B$400="ENVÍO A SUPESA")*(MOVIMIENTOS!$C$5:$C$400="A")*(MOVIMIENTOS!$D$5:$D$400="jabas")*(MOVIMIENTOS!$A$5:$A$400&lt;&gt;"")*(MOVIMIENTOS!$A$5:$A$400&lt;=$A46)*MOVIMIENTOS!$E$5:$E$400)+SUMPRODUCT((MOVIMIENTOS!$B$5:$B$400="DEVOLUCIÓN")*(MOVIMIENTOS!$C$5:$C$400="A")*(MOVIMIENTOS!$D$5:$D$400="jabas")*(MOVIMIENTOS!$A$5:$A$400&lt;&gt;"")*(MOVIMIENTOS!$A$5:$A$400&lt;=$A46)*MOVIMIENTOS!$E$5:$E$400)-SUMPRODUCT((MOVIMIENTOS!$B$5:$B$400="TRASIEGO")*(MOVIMIENTOS!$C$5:$C$400="A")*(MOVIMIENTOS!$D$5:$D$400="jabas")*(MOVIMIENTOS!$A$5:$A$400&lt;&gt;"")*(MOVIMIENTOS!$A$5:$A$400&lt;=$A46)*MOVIMIENTOS!$E$5:$E$400)-SUMPRODUCT((MOVIMIENTOS!$B$5:$B$400="REGALO")*(MOVIMIENTOS!$C$5:$C$400="A")*(MOVIMIENTOS!$D$5:$D$400="jabas")*(MOVIMIENTOS!$A$5:$A$400&lt;&gt;"")*(MOVIMIENTOS!$A$5:$A$400&lt;=$A46)*MOVIMIENTOS!$E$5:$E$400)-SUMPRODUCT((MOVIMIENTOS!$B$5:$B$400="VENTA")*(MOVIMIENTOS!$C$5:$C$400="A")*(MOVIMIENTOS!$D$5:$D$400="jabas")*(MOVIMIENTOS!$A$5:$A$400&lt;&gt;"")*(MOVIMIENTOS!$A$5:$A$400&lt;=$A46)*MOVIMIENTOS!$E$5:$E$400)+SUMPRODUCT((MOVIMIENTOS!$B$5:$B$400="AJUSTE")*(MOVIMIENTOS!$C$5:$C$400="A")*(MOVIMIENTOS!$D$5:$D$400="jabas")*(MOVIMIENTOS!$A$5:$A$400&lt;&gt;"")*(MOVIMIENTOS!$A$5:$A$400&lt;=$A46)*MOVIMIENTOS!$E$5:$E$400))</f>
        <v/>
      </c>
      <c r="C46" s="52" t="str">
        <f aca="false">IF($A46="","",SUMPRODUCT((MOVIMIENTOS!$B$5:$B$400="SALDO INICIAL")*(MOVIMIENTOS!$C$5:$C$400="P")*(MOVIMIENTOS!$D$5:$D$400="jabas")*(MOVIMIENTOS!$A$5:$A$400&lt;&gt;"")*(MOVIMIENTOS!$A$5:$A$400&lt;=$A46)*MOVIMIENTOS!$E$5:$E$400)+SUMPRODUCT((MOVIMIENTOS!$B$5:$B$400="PROCESO")*(MOVIMIENTOS!$C$5:$C$400="P")*(MOVIMIENTOS!$D$5:$D$400="jabas")*(MOVIMIENTOS!$A$5:$A$400&lt;&gt;"")*(MOVIMIENTOS!$A$5:$A$400&lt;=$A46)*MOVIMIENTOS!$E$5:$E$400)-SUMPRODUCT((MOVIMIENTOS!$B$5:$B$400="ENVÍO A SUPESA")*(MOVIMIENTOS!$C$5:$C$400="P")*(MOVIMIENTOS!$D$5:$D$400="jabas")*(MOVIMIENTOS!$A$5:$A$400&lt;&gt;"")*(MOVIMIENTOS!$A$5:$A$400&lt;=$A46)*MOVIMIENTOS!$E$5:$E$400)+SUMPRODUCT((MOVIMIENTOS!$B$5:$B$400="DEVOLUCIÓN")*(MOVIMIENTOS!$C$5:$C$400="P")*(MOVIMIENTOS!$D$5:$D$400="jabas")*(MOVIMIENTOS!$A$5:$A$400&lt;&gt;"")*(MOVIMIENTOS!$A$5:$A$400&lt;=$A46)*MOVIMIENTOS!$E$5:$E$400)-SUMPRODUCT((MOVIMIENTOS!$B$5:$B$400="TRASIEGO")*(MOVIMIENTOS!$C$5:$C$400="P")*(MOVIMIENTOS!$D$5:$D$400="jabas")*(MOVIMIENTOS!$A$5:$A$400&lt;&gt;"")*(MOVIMIENTOS!$A$5:$A$400&lt;=$A46)*MOVIMIENTOS!$E$5:$E$400)-SUMPRODUCT((MOVIMIENTOS!$B$5:$B$400="REGALO")*(MOVIMIENTOS!$C$5:$C$400="P")*(MOVIMIENTOS!$D$5:$D$400="jabas")*(MOVIMIENTOS!$A$5:$A$400&lt;&gt;"")*(MOVIMIENTOS!$A$5:$A$400&lt;=$A46)*MOVIMIENTOS!$E$5:$E$400)-SUMPRODUCT((MOVIMIENTOS!$B$5:$B$400="VENTA")*(MOVIMIENTOS!$C$5:$C$400="P")*(MOVIMIENTOS!$D$5:$D$400="jabas")*(MOVIMIENTOS!$A$5:$A$400&lt;&gt;"")*(MOVIMIENTOS!$A$5:$A$400&lt;=$A46)*MOVIMIENTOS!$E$5:$E$400)+SUMPRODUCT((MOVIMIENTOS!$B$5:$B$400="AJUSTE")*(MOVIMIENTOS!$C$5:$C$400="P")*(MOVIMIENTOS!$D$5:$D$400="jabas")*(MOVIMIENTOS!$A$5:$A$400&lt;&gt;"")*(MOVIMIENTOS!$A$5:$A$400&lt;=$A46)*MOVIMIENTOS!$E$5:$E$400))</f>
        <v/>
      </c>
      <c r="D46" s="52" t="str">
        <f aca="false">IF($A46="","",SUMPRODUCT((MOVIMIENTOS!$B$5:$B$400="SALDO INICIAL")*(MOVIMIENTOS!$C$5:$C$400="C")*(MOVIMIENTOS!$D$5:$D$400="jabas")*(MOVIMIENTOS!$A$5:$A$400&lt;&gt;"")*(MOVIMIENTOS!$A$5:$A$400&lt;=$A46)*MOVIMIENTOS!$E$5:$E$400)+SUMPRODUCT((MOVIMIENTOS!$B$5:$B$400="PROCESO")*(MOVIMIENTOS!$C$5:$C$400="C")*(MOVIMIENTOS!$D$5:$D$400="jabas")*(MOVIMIENTOS!$A$5:$A$400&lt;&gt;"")*(MOVIMIENTOS!$A$5:$A$400&lt;=$A46)*MOVIMIENTOS!$E$5:$E$400)-SUMPRODUCT((MOVIMIENTOS!$B$5:$B$400="ENVÍO A SUPESA")*(MOVIMIENTOS!$C$5:$C$400="C")*(MOVIMIENTOS!$D$5:$D$400="jabas")*(MOVIMIENTOS!$A$5:$A$400&lt;&gt;"")*(MOVIMIENTOS!$A$5:$A$400&lt;=$A46)*MOVIMIENTOS!$E$5:$E$400)+SUMPRODUCT((MOVIMIENTOS!$B$5:$B$400="DEVOLUCIÓN")*(MOVIMIENTOS!$C$5:$C$400="C")*(MOVIMIENTOS!$D$5:$D$400="jabas")*(MOVIMIENTOS!$A$5:$A$400&lt;&gt;"")*(MOVIMIENTOS!$A$5:$A$400&lt;=$A46)*MOVIMIENTOS!$E$5:$E$400)-SUMPRODUCT((MOVIMIENTOS!$B$5:$B$400="TRASIEGO")*(MOVIMIENTOS!$C$5:$C$400="C")*(MOVIMIENTOS!$D$5:$D$400="jabas")*(MOVIMIENTOS!$A$5:$A$400&lt;&gt;"")*(MOVIMIENTOS!$A$5:$A$400&lt;=$A46)*MOVIMIENTOS!$E$5:$E$400)-SUMPRODUCT((MOVIMIENTOS!$B$5:$B$400="REGALO")*(MOVIMIENTOS!$C$5:$C$400="C")*(MOVIMIENTOS!$D$5:$D$400="jabas")*(MOVIMIENTOS!$A$5:$A$400&lt;&gt;"")*(MOVIMIENTOS!$A$5:$A$400&lt;=$A46)*MOVIMIENTOS!$E$5:$E$400)-SUMPRODUCT((MOVIMIENTOS!$B$5:$B$400="VENTA")*(MOVIMIENTOS!$C$5:$C$400="C")*(MOVIMIENTOS!$D$5:$D$400="jabas")*(MOVIMIENTOS!$A$5:$A$400&lt;&gt;"")*(MOVIMIENTOS!$A$5:$A$400&lt;=$A46)*MOVIMIENTOS!$E$5:$E$400)+SUMPRODUCT((MOVIMIENTOS!$B$5:$B$400="AJUSTE")*(MOVIMIENTOS!$C$5:$C$400="C")*(MOVIMIENTOS!$D$5:$D$400="jabas")*(MOVIMIENTOS!$A$5:$A$400&lt;&gt;"")*(MOVIMIENTOS!$A$5:$A$400&lt;=$A46)*MOVIMIENTOS!$E$5:$E$400))</f>
        <v/>
      </c>
      <c r="E46" s="52" t="str">
        <f aca="false">IF($A46="","",SUMPRODUCT((MOVIMIENTOS!$B$5:$B$400="SALDO INICIAL")*(MOVIMIENTOS!$C$5:$C$400="M")*(MOVIMIENTOS!$D$5:$D$400="jabas")*(MOVIMIENTOS!$A$5:$A$400&lt;&gt;"")*(MOVIMIENTOS!$A$5:$A$400&lt;=$A46)*MOVIMIENTOS!$E$5:$E$400)+SUMPRODUCT((MOVIMIENTOS!$B$5:$B$400="PROCESO")*(MOVIMIENTOS!$C$5:$C$400="M")*(MOVIMIENTOS!$D$5:$D$400="jabas")*(MOVIMIENTOS!$A$5:$A$400&lt;&gt;"")*(MOVIMIENTOS!$A$5:$A$400&lt;=$A46)*MOVIMIENTOS!$E$5:$E$400)-SUMPRODUCT((MOVIMIENTOS!$B$5:$B$400="ENVÍO A SUPESA")*(MOVIMIENTOS!$C$5:$C$400="M")*(MOVIMIENTOS!$D$5:$D$400="jabas")*(MOVIMIENTOS!$A$5:$A$400&lt;&gt;"")*(MOVIMIENTOS!$A$5:$A$400&lt;=$A46)*MOVIMIENTOS!$E$5:$E$400)+SUMPRODUCT((MOVIMIENTOS!$B$5:$B$400="DEVOLUCIÓN")*(MOVIMIENTOS!$C$5:$C$400="M")*(MOVIMIENTOS!$D$5:$D$400="jabas")*(MOVIMIENTOS!$A$5:$A$400&lt;&gt;"")*(MOVIMIENTOS!$A$5:$A$400&lt;=$A46)*MOVIMIENTOS!$E$5:$E$400)-SUMPRODUCT((MOVIMIENTOS!$B$5:$B$400="TRASIEGO")*(MOVIMIENTOS!$C$5:$C$400="M")*(MOVIMIENTOS!$D$5:$D$400="jabas")*(MOVIMIENTOS!$A$5:$A$400&lt;&gt;"")*(MOVIMIENTOS!$A$5:$A$400&lt;=$A46)*MOVIMIENTOS!$E$5:$E$400)-SUMPRODUCT((MOVIMIENTOS!$B$5:$B$400="REGALO")*(MOVIMIENTOS!$C$5:$C$400="M")*(MOVIMIENTOS!$D$5:$D$400="jabas")*(MOVIMIENTOS!$A$5:$A$400&lt;&gt;"")*(MOVIMIENTOS!$A$5:$A$400&lt;=$A46)*MOVIMIENTOS!$E$5:$E$400)-SUMPRODUCT((MOVIMIENTOS!$B$5:$B$400="VENTA")*(MOVIMIENTOS!$C$5:$C$400="M")*(MOVIMIENTOS!$D$5:$D$400="jabas")*(MOVIMIENTOS!$A$5:$A$400&lt;&gt;"")*(MOVIMIENTOS!$A$5:$A$400&lt;=$A46)*MOVIMIENTOS!$E$5:$E$400)+SUMPRODUCT((MOVIMIENTOS!$B$5:$B$400="AJUSTE")*(MOVIMIENTOS!$C$5:$C$400="M")*(MOVIMIENTOS!$D$5:$D$400="jabas")*(MOVIMIENTOS!$A$5:$A$400&lt;&gt;"")*(MOVIMIENTOS!$A$5:$A$400&lt;=$A46)*MOVIMIENTOS!$E$5:$E$400))</f>
        <v/>
      </c>
      <c r="F46" s="52" t="str">
        <f aca="false">IF($A46="","",SUMPRODUCT((MOVIMIENTOS!$B$5:$B$400="SALDO INICIAL")*(MOVIMIENTOS!$C$5:$C$400="Chancho")*(MOVIMIENTOS!$D$5:$D$400="sacos")*(MOVIMIENTOS!$A$5:$A$400&lt;&gt;"")*(MOVIMIENTOS!$A$5:$A$400&lt;=$A46)*MOVIMIENTOS!$E$5:$E$400)+SUMPRODUCT((MOVIMIENTOS!$B$5:$B$400="PROCESO")*(MOVIMIENTOS!$C$5:$C$400="Chancho")*(MOVIMIENTOS!$D$5:$D$400="sacos")*(MOVIMIENTOS!$A$5:$A$400&lt;&gt;"")*(MOVIMIENTOS!$A$5:$A$400&lt;=$A46)*MOVIMIENTOS!$E$5:$E$400)-SUMPRODUCT((MOVIMIENTOS!$B$5:$B$400="VENTA CHANCHO")*(MOVIMIENTOS!$C$5:$C$400="Chancho")*(MOVIMIENTOS!$D$5:$D$400="sacos")*(MOVIMIENTOS!$A$5:$A$400&lt;&gt;"")*(MOVIMIENTOS!$A$5:$A$400&lt;=$A46)*MOVIMIENTOS!$E$5:$E$400)-SUMPRODUCT((MOVIMIENTOS!$B$5:$B$400="REGALO")*(MOVIMIENTOS!$C$5:$C$400="Chancho")*(MOVIMIENTOS!$D$5:$D$400="sacos")*(MOVIMIENTOS!$A$5:$A$400&lt;&gt;"")*(MOVIMIENTOS!$A$5:$A$400&lt;=$A46)*MOVIMIENTOS!$E$5:$E$400)-SUMPRODUCT((MOVIMIENTOS!$B$5:$B$400="VENTA")*(MOVIMIENTOS!$C$5:$C$400="Chancho")*(MOVIMIENTOS!$D$5:$D$400="sacos")*(MOVIMIENTOS!$A$5:$A$400&lt;&gt;"")*(MOVIMIENTOS!$A$5:$A$400&lt;=$A46)*MOVIMIENTOS!$E$5:$E$400)+SUMPRODUCT((MOVIMIENTOS!$B$5:$B$400="AJUSTE")*(MOVIMIENTOS!$C$5:$C$400="Chancho")*(MOVIMIENTOS!$D$5:$D$400="sacos")*(MOVIMIENTOS!$A$5:$A$400&lt;&gt;"")*(MOVIMIENTOS!$A$5:$A$400&lt;=$A46)*MOVIMIENTOS!$E$5:$E$400))</f>
        <v/>
      </c>
      <c r="G46" s="52" t="str">
        <f aca="false">IF($A46="","",SUM(B46:E46))</f>
        <v/>
      </c>
      <c r="H46" s="52" t="str">
        <f aca="false">IF($A46="","",SUMPRODUCT((((MOVIMIENTOS!$B$5:$B$400="SALDO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46)*MOVIMIENTOS!$I$5:$I$400))</f>
        <v/>
      </c>
      <c r="I46" s="48"/>
      <c r="J46" s="48" t="str">
        <f aca="false">IF(AND(MOVIMIENTOS!$A46&lt;&gt;"",COUNTIF(MOVIMIENTOS!$A$5:$A45,MOVIMIENTOS!$A46)=0),COUNT(J$4:J45)+1,"")</f>
        <v/>
      </c>
      <c r="K46" s="53" t="n">
        <f aca="false">MOVIMIENTOS!$A46</f>
        <v>46218</v>
      </c>
      <c r="L46" s="48"/>
      <c r="M46" s="48"/>
      <c r="N46" s="48"/>
    </row>
    <row r="47" customFormat="false" ht="15" hidden="false" customHeight="true" outlineLevel="0" collapsed="false">
      <c r="A47" s="51" t="str">
        <f aca="false">IFERROR(INDEX(K$5:K$400,MATCH(ROW()-4,J$5:J$400,0)),"")</f>
        <v/>
      </c>
      <c r="B47" s="52" t="str">
        <f aca="false">IF($A47="","",SUMPRODUCT((MOVIMIENTOS!$B$5:$B$400="SALDO INICIAL")*(MOVIMIENTOS!$C$5:$C$400="A")*(MOVIMIENTOS!$D$5:$D$400="jabas")*(MOVIMIENTOS!$A$5:$A$400&lt;&gt;"")*(MOVIMIENTOS!$A$5:$A$400&lt;=$A47)*MOVIMIENTOS!$E$5:$E$400)+SUMPRODUCT((MOVIMIENTOS!$B$5:$B$400="PROCESO")*(MOVIMIENTOS!$C$5:$C$400="A")*(MOVIMIENTOS!$D$5:$D$400="jabas")*(MOVIMIENTOS!$A$5:$A$400&lt;&gt;"")*(MOVIMIENTOS!$A$5:$A$400&lt;=$A47)*MOVIMIENTOS!$E$5:$E$400)-SUMPRODUCT((MOVIMIENTOS!$B$5:$B$400="ENVÍO A SUPESA")*(MOVIMIENTOS!$C$5:$C$400="A")*(MOVIMIENTOS!$D$5:$D$400="jabas")*(MOVIMIENTOS!$A$5:$A$400&lt;&gt;"")*(MOVIMIENTOS!$A$5:$A$400&lt;=$A47)*MOVIMIENTOS!$E$5:$E$400)+SUMPRODUCT((MOVIMIENTOS!$B$5:$B$400="DEVOLUCIÓN")*(MOVIMIENTOS!$C$5:$C$400="A")*(MOVIMIENTOS!$D$5:$D$400="jabas")*(MOVIMIENTOS!$A$5:$A$400&lt;&gt;"")*(MOVIMIENTOS!$A$5:$A$400&lt;=$A47)*MOVIMIENTOS!$E$5:$E$400)-SUMPRODUCT((MOVIMIENTOS!$B$5:$B$400="TRASIEGO")*(MOVIMIENTOS!$C$5:$C$400="A")*(MOVIMIENTOS!$D$5:$D$400="jabas")*(MOVIMIENTOS!$A$5:$A$400&lt;&gt;"")*(MOVIMIENTOS!$A$5:$A$400&lt;=$A47)*MOVIMIENTOS!$E$5:$E$400)-SUMPRODUCT((MOVIMIENTOS!$B$5:$B$400="REGALO")*(MOVIMIENTOS!$C$5:$C$400="A")*(MOVIMIENTOS!$D$5:$D$400="jabas")*(MOVIMIENTOS!$A$5:$A$400&lt;&gt;"")*(MOVIMIENTOS!$A$5:$A$400&lt;=$A47)*MOVIMIENTOS!$E$5:$E$400)-SUMPRODUCT((MOVIMIENTOS!$B$5:$B$400="VENTA")*(MOVIMIENTOS!$C$5:$C$400="A")*(MOVIMIENTOS!$D$5:$D$400="jabas")*(MOVIMIENTOS!$A$5:$A$400&lt;&gt;"")*(MOVIMIENTOS!$A$5:$A$400&lt;=$A47)*MOVIMIENTOS!$E$5:$E$400)+SUMPRODUCT((MOVIMIENTOS!$B$5:$B$400="AJUSTE")*(MOVIMIENTOS!$C$5:$C$400="A")*(MOVIMIENTOS!$D$5:$D$400="jabas")*(MOVIMIENTOS!$A$5:$A$400&lt;&gt;"")*(MOVIMIENTOS!$A$5:$A$400&lt;=$A47)*MOVIMIENTOS!$E$5:$E$400))</f>
        <v/>
      </c>
      <c r="C47" s="52" t="str">
        <f aca="false">IF($A47="","",SUMPRODUCT((MOVIMIENTOS!$B$5:$B$400="SALDO INICIAL")*(MOVIMIENTOS!$C$5:$C$400="P")*(MOVIMIENTOS!$D$5:$D$400="jabas")*(MOVIMIENTOS!$A$5:$A$400&lt;&gt;"")*(MOVIMIENTOS!$A$5:$A$400&lt;=$A47)*MOVIMIENTOS!$E$5:$E$400)+SUMPRODUCT((MOVIMIENTOS!$B$5:$B$400="PROCESO")*(MOVIMIENTOS!$C$5:$C$400="P")*(MOVIMIENTOS!$D$5:$D$400="jabas")*(MOVIMIENTOS!$A$5:$A$400&lt;&gt;"")*(MOVIMIENTOS!$A$5:$A$400&lt;=$A47)*MOVIMIENTOS!$E$5:$E$400)-SUMPRODUCT((MOVIMIENTOS!$B$5:$B$400="ENVÍO A SUPESA")*(MOVIMIENTOS!$C$5:$C$400="P")*(MOVIMIENTOS!$D$5:$D$400="jabas")*(MOVIMIENTOS!$A$5:$A$400&lt;&gt;"")*(MOVIMIENTOS!$A$5:$A$400&lt;=$A47)*MOVIMIENTOS!$E$5:$E$400)+SUMPRODUCT((MOVIMIENTOS!$B$5:$B$400="DEVOLUCIÓN")*(MOVIMIENTOS!$C$5:$C$400="P")*(MOVIMIENTOS!$D$5:$D$400="jabas")*(MOVIMIENTOS!$A$5:$A$400&lt;&gt;"")*(MOVIMIENTOS!$A$5:$A$400&lt;=$A47)*MOVIMIENTOS!$E$5:$E$400)-SUMPRODUCT((MOVIMIENTOS!$B$5:$B$400="TRASIEGO")*(MOVIMIENTOS!$C$5:$C$400="P")*(MOVIMIENTOS!$D$5:$D$400="jabas")*(MOVIMIENTOS!$A$5:$A$400&lt;&gt;"")*(MOVIMIENTOS!$A$5:$A$400&lt;=$A47)*MOVIMIENTOS!$E$5:$E$400)-SUMPRODUCT((MOVIMIENTOS!$B$5:$B$400="REGALO")*(MOVIMIENTOS!$C$5:$C$400="P")*(MOVIMIENTOS!$D$5:$D$400="jabas")*(MOVIMIENTOS!$A$5:$A$400&lt;&gt;"")*(MOVIMIENTOS!$A$5:$A$400&lt;=$A47)*MOVIMIENTOS!$E$5:$E$400)-SUMPRODUCT((MOVIMIENTOS!$B$5:$B$400="VENTA")*(MOVIMIENTOS!$C$5:$C$400="P")*(MOVIMIENTOS!$D$5:$D$400="jabas")*(MOVIMIENTOS!$A$5:$A$400&lt;&gt;"")*(MOVIMIENTOS!$A$5:$A$400&lt;=$A47)*MOVIMIENTOS!$E$5:$E$400)+SUMPRODUCT((MOVIMIENTOS!$B$5:$B$400="AJUSTE")*(MOVIMIENTOS!$C$5:$C$400="P")*(MOVIMIENTOS!$D$5:$D$400="jabas")*(MOVIMIENTOS!$A$5:$A$400&lt;&gt;"")*(MOVIMIENTOS!$A$5:$A$400&lt;=$A47)*MOVIMIENTOS!$E$5:$E$400))</f>
        <v/>
      </c>
      <c r="D47" s="52" t="str">
        <f aca="false">IF($A47="","",SUMPRODUCT((MOVIMIENTOS!$B$5:$B$400="SALDO INICIAL")*(MOVIMIENTOS!$C$5:$C$400="C")*(MOVIMIENTOS!$D$5:$D$400="jabas")*(MOVIMIENTOS!$A$5:$A$400&lt;&gt;"")*(MOVIMIENTOS!$A$5:$A$400&lt;=$A47)*MOVIMIENTOS!$E$5:$E$400)+SUMPRODUCT((MOVIMIENTOS!$B$5:$B$400="PROCESO")*(MOVIMIENTOS!$C$5:$C$400="C")*(MOVIMIENTOS!$D$5:$D$400="jabas")*(MOVIMIENTOS!$A$5:$A$400&lt;&gt;"")*(MOVIMIENTOS!$A$5:$A$400&lt;=$A47)*MOVIMIENTOS!$E$5:$E$400)-SUMPRODUCT((MOVIMIENTOS!$B$5:$B$400="ENVÍO A SUPESA")*(MOVIMIENTOS!$C$5:$C$400="C")*(MOVIMIENTOS!$D$5:$D$400="jabas")*(MOVIMIENTOS!$A$5:$A$400&lt;&gt;"")*(MOVIMIENTOS!$A$5:$A$400&lt;=$A47)*MOVIMIENTOS!$E$5:$E$400)+SUMPRODUCT((MOVIMIENTOS!$B$5:$B$400="DEVOLUCIÓN")*(MOVIMIENTOS!$C$5:$C$400="C")*(MOVIMIENTOS!$D$5:$D$400="jabas")*(MOVIMIENTOS!$A$5:$A$400&lt;&gt;"")*(MOVIMIENTOS!$A$5:$A$400&lt;=$A47)*MOVIMIENTOS!$E$5:$E$400)-SUMPRODUCT((MOVIMIENTOS!$B$5:$B$400="TRASIEGO")*(MOVIMIENTOS!$C$5:$C$400="C")*(MOVIMIENTOS!$D$5:$D$400="jabas")*(MOVIMIENTOS!$A$5:$A$400&lt;&gt;"")*(MOVIMIENTOS!$A$5:$A$400&lt;=$A47)*MOVIMIENTOS!$E$5:$E$400)-SUMPRODUCT((MOVIMIENTOS!$B$5:$B$400="REGALO")*(MOVIMIENTOS!$C$5:$C$400="C")*(MOVIMIENTOS!$D$5:$D$400="jabas")*(MOVIMIENTOS!$A$5:$A$400&lt;&gt;"")*(MOVIMIENTOS!$A$5:$A$400&lt;=$A47)*MOVIMIENTOS!$E$5:$E$400)-SUMPRODUCT((MOVIMIENTOS!$B$5:$B$400="VENTA")*(MOVIMIENTOS!$C$5:$C$400="C")*(MOVIMIENTOS!$D$5:$D$400="jabas")*(MOVIMIENTOS!$A$5:$A$400&lt;&gt;"")*(MOVIMIENTOS!$A$5:$A$400&lt;=$A47)*MOVIMIENTOS!$E$5:$E$400)+SUMPRODUCT((MOVIMIENTOS!$B$5:$B$400="AJUSTE")*(MOVIMIENTOS!$C$5:$C$400="C")*(MOVIMIENTOS!$D$5:$D$400="jabas")*(MOVIMIENTOS!$A$5:$A$400&lt;&gt;"")*(MOVIMIENTOS!$A$5:$A$400&lt;=$A47)*MOVIMIENTOS!$E$5:$E$400))</f>
        <v/>
      </c>
      <c r="E47" s="52" t="str">
        <f aca="false">IF($A47="","",SUMPRODUCT((MOVIMIENTOS!$B$5:$B$400="SALDO INICIAL")*(MOVIMIENTOS!$C$5:$C$400="M")*(MOVIMIENTOS!$D$5:$D$400="jabas")*(MOVIMIENTOS!$A$5:$A$400&lt;&gt;"")*(MOVIMIENTOS!$A$5:$A$400&lt;=$A47)*MOVIMIENTOS!$E$5:$E$400)+SUMPRODUCT((MOVIMIENTOS!$B$5:$B$400="PROCESO")*(MOVIMIENTOS!$C$5:$C$400="M")*(MOVIMIENTOS!$D$5:$D$400="jabas")*(MOVIMIENTOS!$A$5:$A$400&lt;&gt;"")*(MOVIMIENTOS!$A$5:$A$400&lt;=$A47)*MOVIMIENTOS!$E$5:$E$400)-SUMPRODUCT((MOVIMIENTOS!$B$5:$B$400="ENVÍO A SUPESA")*(MOVIMIENTOS!$C$5:$C$400="M")*(MOVIMIENTOS!$D$5:$D$400="jabas")*(MOVIMIENTOS!$A$5:$A$400&lt;&gt;"")*(MOVIMIENTOS!$A$5:$A$400&lt;=$A47)*MOVIMIENTOS!$E$5:$E$400)+SUMPRODUCT((MOVIMIENTOS!$B$5:$B$400="DEVOLUCIÓN")*(MOVIMIENTOS!$C$5:$C$400="M")*(MOVIMIENTOS!$D$5:$D$400="jabas")*(MOVIMIENTOS!$A$5:$A$400&lt;&gt;"")*(MOVIMIENTOS!$A$5:$A$400&lt;=$A47)*MOVIMIENTOS!$E$5:$E$400)-SUMPRODUCT((MOVIMIENTOS!$B$5:$B$400="TRASIEGO")*(MOVIMIENTOS!$C$5:$C$400="M")*(MOVIMIENTOS!$D$5:$D$400="jabas")*(MOVIMIENTOS!$A$5:$A$400&lt;&gt;"")*(MOVIMIENTOS!$A$5:$A$400&lt;=$A47)*MOVIMIENTOS!$E$5:$E$400)-SUMPRODUCT((MOVIMIENTOS!$B$5:$B$400="REGALO")*(MOVIMIENTOS!$C$5:$C$400="M")*(MOVIMIENTOS!$D$5:$D$400="jabas")*(MOVIMIENTOS!$A$5:$A$400&lt;&gt;"")*(MOVIMIENTOS!$A$5:$A$400&lt;=$A47)*MOVIMIENTOS!$E$5:$E$400)-SUMPRODUCT((MOVIMIENTOS!$B$5:$B$400="VENTA")*(MOVIMIENTOS!$C$5:$C$400="M")*(MOVIMIENTOS!$D$5:$D$400="jabas")*(MOVIMIENTOS!$A$5:$A$400&lt;&gt;"")*(MOVIMIENTOS!$A$5:$A$400&lt;=$A47)*MOVIMIENTOS!$E$5:$E$400)+SUMPRODUCT((MOVIMIENTOS!$B$5:$B$400="AJUSTE")*(MOVIMIENTOS!$C$5:$C$400="M")*(MOVIMIENTOS!$D$5:$D$400="jabas")*(MOVIMIENTOS!$A$5:$A$400&lt;&gt;"")*(MOVIMIENTOS!$A$5:$A$400&lt;=$A47)*MOVIMIENTOS!$E$5:$E$400))</f>
        <v/>
      </c>
      <c r="F47" s="52" t="str">
        <f aca="false">IF($A47="","",SUMPRODUCT((MOVIMIENTOS!$B$5:$B$400="SALDO INICIAL")*(MOVIMIENTOS!$C$5:$C$400="Chancho")*(MOVIMIENTOS!$D$5:$D$400="sacos")*(MOVIMIENTOS!$A$5:$A$400&lt;&gt;"")*(MOVIMIENTOS!$A$5:$A$400&lt;=$A47)*MOVIMIENTOS!$E$5:$E$400)+SUMPRODUCT((MOVIMIENTOS!$B$5:$B$400="PROCESO")*(MOVIMIENTOS!$C$5:$C$400="Chancho")*(MOVIMIENTOS!$D$5:$D$400="sacos")*(MOVIMIENTOS!$A$5:$A$400&lt;&gt;"")*(MOVIMIENTOS!$A$5:$A$400&lt;=$A47)*MOVIMIENTOS!$E$5:$E$400)-SUMPRODUCT((MOVIMIENTOS!$B$5:$B$400="VENTA CHANCHO")*(MOVIMIENTOS!$C$5:$C$400="Chancho")*(MOVIMIENTOS!$D$5:$D$400="sacos")*(MOVIMIENTOS!$A$5:$A$400&lt;&gt;"")*(MOVIMIENTOS!$A$5:$A$400&lt;=$A47)*MOVIMIENTOS!$E$5:$E$400)-SUMPRODUCT((MOVIMIENTOS!$B$5:$B$400="REGALO")*(MOVIMIENTOS!$C$5:$C$400="Chancho")*(MOVIMIENTOS!$D$5:$D$400="sacos")*(MOVIMIENTOS!$A$5:$A$400&lt;&gt;"")*(MOVIMIENTOS!$A$5:$A$400&lt;=$A47)*MOVIMIENTOS!$E$5:$E$400)-SUMPRODUCT((MOVIMIENTOS!$B$5:$B$400="VENTA")*(MOVIMIENTOS!$C$5:$C$400="Chancho")*(MOVIMIENTOS!$D$5:$D$400="sacos")*(MOVIMIENTOS!$A$5:$A$400&lt;&gt;"")*(MOVIMIENTOS!$A$5:$A$400&lt;=$A47)*MOVIMIENTOS!$E$5:$E$400)+SUMPRODUCT((MOVIMIENTOS!$B$5:$B$400="AJUSTE")*(MOVIMIENTOS!$C$5:$C$400="Chancho")*(MOVIMIENTOS!$D$5:$D$400="sacos")*(MOVIMIENTOS!$A$5:$A$400&lt;&gt;"")*(MOVIMIENTOS!$A$5:$A$400&lt;=$A47)*MOVIMIENTOS!$E$5:$E$400))</f>
        <v/>
      </c>
      <c r="G47" s="52" t="str">
        <f aca="false">IF($A47="","",SUM(B47:E47))</f>
        <v/>
      </c>
      <c r="H47" s="52" t="str">
        <f aca="false">IF($A47="","",SUMPRODUCT((((MOVIMIENTOS!$B$5:$B$400="SALDO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47)*MOVIMIENTOS!$I$5:$I$400))</f>
        <v/>
      </c>
      <c r="I47" s="48"/>
      <c r="J47" s="48" t="str">
        <f aca="false">IF(AND(MOVIMIENTOS!$A47&lt;&gt;"",COUNTIF(MOVIMIENTOS!$A$5:$A46,MOVIMIENTOS!$A47)=0),COUNT(J$4:J46)+1,"")</f>
        <v/>
      </c>
      <c r="K47" s="53" t="n">
        <f aca="false">MOVIMIENTOS!$A47</f>
        <v>46218</v>
      </c>
      <c r="L47" s="48"/>
      <c r="M47" s="48"/>
      <c r="N47" s="48"/>
    </row>
    <row r="48" customFormat="false" ht="15" hidden="false" customHeight="true" outlineLevel="0" collapsed="false">
      <c r="A48" s="51" t="str">
        <f aca="false">IFERROR(INDEX(K$5:K$400,MATCH(ROW()-4,J$5:J$400,0)),"")</f>
        <v/>
      </c>
      <c r="B48" s="52" t="str">
        <f aca="false">IF($A48="","",SUMPRODUCT((MOVIMIENTOS!$B$5:$B$400="SALDO INICIAL")*(MOVIMIENTOS!$C$5:$C$400="A")*(MOVIMIENTOS!$D$5:$D$400="jabas")*(MOVIMIENTOS!$A$5:$A$400&lt;&gt;"")*(MOVIMIENTOS!$A$5:$A$400&lt;=$A48)*MOVIMIENTOS!$E$5:$E$400)+SUMPRODUCT((MOVIMIENTOS!$B$5:$B$400="PROCESO")*(MOVIMIENTOS!$C$5:$C$400="A")*(MOVIMIENTOS!$D$5:$D$400="jabas")*(MOVIMIENTOS!$A$5:$A$400&lt;&gt;"")*(MOVIMIENTOS!$A$5:$A$400&lt;=$A48)*MOVIMIENTOS!$E$5:$E$400)-SUMPRODUCT((MOVIMIENTOS!$B$5:$B$400="ENVÍO A SUPESA")*(MOVIMIENTOS!$C$5:$C$400="A")*(MOVIMIENTOS!$D$5:$D$400="jabas")*(MOVIMIENTOS!$A$5:$A$400&lt;&gt;"")*(MOVIMIENTOS!$A$5:$A$400&lt;=$A48)*MOVIMIENTOS!$E$5:$E$400)+SUMPRODUCT((MOVIMIENTOS!$B$5:$B$400="DEVOLUCIÓN")*(MOVIMIENTOS!$C$5:$C$400="A")*(MOVIMIENTOS!$D$5:$D$400="jabas")*(MOVIMIENTOS!$A$5:$A$400&lt;&gt;"")*(MOVIMIENTOS!$A$5:$A$400&lt;=$A48)*MOVIMIENTOS!$E$5:$E$400)-SUMPRODUCT((MOVIMIENTOS!$B$5:$B$400="TRASIEGO")*(MOVIMIENTOS!$C$5:$C$400="A")*(MOVIMIENTOS!$D$5:$D$400="jabas")*(MOVIMIENTOS!$A$5:$A$400&lt;&gt;"")*(MOVIMIENTOS!$A$5:$A$400&lt;=$A48)*MOVIMIENTOS!$E$5:$E$400)-SUMPRODUCT((MOVIMIENTOS!$B$5:$B$400="REGALO")*(MOVIMIENTOS!$C$5:$C$400="A")*(MOVIMIENTOS!$D$5:$D$400="jabas")*(MOVIMIENTOS!$A$5:$A$400&lt;&gt;"")*(MOVIMIENTOS!$A$5:$A$400&lt;=$A48)*MOVIMIENTOS!$E$5:$E$400)-SUMPRODUCT((MOVIMIENTOS!$B$5:$B$400="VENTA")*(MOVIMIENTOS!$C$5:$C$400="A")*(MOVIMIENTOS!$D$5:$D$400="jabas")*(MOVIMIENTOS!$A$5:$A$400&lt;&gt;"")*(MOVIMIENTOS!$A$5:$A$400&lt;=$A48)*MOVIMIENTOS!$E$5:$E$400)+SUMPRODUCT((MOVIMIENTOS!$B$5:$B$400="AJUSTE")*(MOVIMIENTOS!$C$5:$C$400="A")*(MOVIMIENTOS!$D$5:$D$400="jabas")*(MOVIMIENTOS!$A$5:$A$400&lt;&gt;"")*(MOVIMIENTOS!$A$5:$A$400&lt;=$A48)*MOVIMIENTOS!$E$5:$E$400))</f>
        <v/>
      </c>
      <c r="C48" s="52" t="str">
        <f aca="false">IF($A48="","",SUMPRODUCT((MOVIMIENTOS!$B$5:$B$400="SALDO INICIAL")*(MOVIMIENTOS!$C$5:$C$400="P")*(MOVIMIENTOS!$D$5:$D$400="jabas")*(MOVIMIENTOS!$A$5:$A$400&lt;&gt;"")*(MOVIMIENTOS!$A$5:$A$400&lt;=$A48)*MOVIMIENTOS!$E$5:$E$400)+SUMPRODUCT((MOVIMIENTOS!$B$5:$B$400="PROCESO")*(MOVIMIENTOS!$C$5:$C$400="P")*(MOVIMIENTOS!$D$5:$D$400="jabas")*(MOVIMIENTOS!$A$5:$A$400&lt;&gt;"")*(MOVIMIENTOS!$A$5:$A$400&lt;=$A48)*MOVIMIENTOS!$E$5:$E$400)-SUMPRODUCT((MOVIMIENTOS!$B$5:$B$400="ENVÍO A SUPESA")*(MOVIMIENTOS!$C$5:$C$400="P")*(MOVIMIENTOS!$D$5:$D$400="jabas")*(MOVIMIENTOS!$A$5:$A$400&lt;&gt;"")*(MOVIMIENTOS!$A$5:$A$400&lt;=$A48)*MOVIMIENTOS!$E$5:$E$400)+SUMPRODUCT((MOVIMIENTOS!$B$5:$B$400="DEVOLUCIÓN")*(MOVIMIENTOS!$C$5:$C$400="P")*(MOVIMIENTOS!$D$5:$D$400="jabas")*(MOVIMIENTOS!$A$5:$A$400&lt;&gt;"")*(MOVIMIENTOS!$A$5:$A$400&lt;=$A48)*MOVIMIENTOS!$E$5:$E$400)-SUMPRODUCT((MOVIMIENTOS!$B$5:$B$400="TRASIEGO")*(MOVIMIENTOS!$C$5:$C$400="P")*(MOVIMIENTOS!$D$5:$D$400="jabas")*(MOVIMIENTOS!$A$5:$A$400&lt;&gt;"")*(MOVIMIENTOS!$A$5:$A$400&lt;=$A48)*MOVIMIENTOS!$E$5:$E$400)-SUMPRODUCT((MOVIMIENTOS!$B$5:$B$400="REGALO")*(MOVIMIENTOS!$C$5:$C$400="P")*(MOVIMIENTOS!$D$5:$D$400="jabas")*(MOVIMIENTOS!$A$5:$A$400&lt;&gt;"")*(MOVIMIENTOS!$A$5:$A$400&lt;=$A48)*MOVIMIENTOS!$E$5:$E$400)-SUMPRODUCT((MOVIMIENTOS!$B$5:$B$400="VENTA")*(MOVIMIENTOS!$C$5:$C$400="P")*(MOVIMIENTOS!$D$5:$D$400="jabas")*(MOVIMIENTOS!$A$5:$A$400&lt;&gt;"")*(MOVIMIENTOS!$A$5:$A$400&lt;=$A48)*MOVIMIENTOS!$E$5:$E$400)+SUMPRODUCT((MOVIMIENTOS!$B$5:$B$400="AJUSTE")*(MOVIMIENTOS!$C$5:$C$400="P")*(MOVIMIENTOS!$D$5:$D$400="jabas")*(MOVIMIENTOS!$A$5:$A$400&lt;&gt;"")*(MOVIMIENTOS!$A$5:$A$400&lt;=$A48)*MOVIMIENTOS!$E$5:$E$400))</f>
        <v/>
      </c>
      <c r="D48" s="52" t="str">
        <f aca="false">IF($A48="","",SUMPRODUCT((MOVIMIENTOS!$B$5:$B$400="SALDO INICIAL")*(MOVIMIENTOS!$C$5:$C$400="C")*(MOVIMIENTOS!$D$5:$D$400="jabas")*(MOVIMIENTOS!$A$5:$A$400&lt;&gt;"")*(MOVIMIENTOS!$A$5:$A$400&lt;=$A48)*MOVIMIENTOS!$E$5:$E$400)+SUMPRODUCT((MOVIMIENTOS!$B$5:$B$400="PROCESO")*(MOVIMIENTOS!$C$5:$C$400="C")*(MOVIMIENTOS!$D$5:$D$400="jabas")*(MOVIMIENTOS!$A$5:$A$400&lt;&gt;"")*(MOVIMIENTOS!$A$5:$A$400&lt;=$A48)*MOVIMIENTOS!$E$5:$E$400)-SUMPRODUCT((MOVIMIENTOS!$B$5:$B$400="ENVÍO A SUPESA")*(MOVIMIENTOS!$C$5:$C$400="C")*(MOVIMIENTOS!$D$5:$D$400="jabas")*(MOVIMIENTOS!$A$5:$A$400&lt;&gt;"")*(MOVIMIENTOS!$A$5:$A$400&lt;=$A48)*MOVIMIENTOS!$E$5:$E$400)+SUMPRODUCT((MOVIMIENTOS!$B$5:$B$400="DEVOLUCIÓN")*(MOVIMIENTOS!$C$5:$C$400="C")*(MOVIMIENTOS!$D$5:$D$400="jabas")*(MOVIMIENTOS!$A$5:$A$400&lt;&gt;"")*(MOVIMIENTOS!$A$5:$A$400&lt;=$A48)*MOVIMIENTOS!$E$5:$E$400)-SUMPRODUCT((MOVIMIENTOS!$B$5:$B$400="TRASIEGO")*(MOVIMIENTOS!$C$5:$C$400="C")*(MOVIMIENTOS!$D$5:$D$400="jabas")*(MOVIMIENTOS!$A$5:$A$400&lt;&gt;"")*(MOVIMIENTOS!$A$5:$A$400&lt;=$A48)*MOVIMIENTOS!$E$5:$E$400)-SUMPRODUCT((MOVIMIENTOS!$B$5:$B$400="REGALO")*(MOVIMIENTOS!$C$5:$C$400="C")*(MOVIMIENTOS!$D$5:$D$400="jabas")*(MOVIMIENTOS!$A$5:$A$400&lt;&gt;"")*(MOVIMIENTOS!$A$5:$A$400&lt;=$A48)*MOVIMIENTOS!$E$5:$E$400)-SUMPRODUCT((MOVIMIENTOS!$B$5:$B$400="VENTA")*(MOVIMIENTOS!$C$5:$C$400="C")*(MOVIMIENTOS!$D$5:$D$400="jabas")*(MOVIMIENTOS!$A$5:$A$400&lt;&gt;"")*(MOVIMIENTOS!$A$5:$A$400&lt;=$A48)*MOVIMIENTOS!$E$5:$E$400)+SUMPRODUCT((MOVIMIENTOS!$B$5:$B$400="AJUSTE")*(MOVIMIENTOS!$C$5:$C$400="C")*(MOVIMIENTOS!$D$5:$D$400="jabas")*(MOVIMIENTOS!$A$5:$A$400&lt;&gt;"")*(MOVIMIENTOS!$A$5:$A$400&lt;=$A48)*MOVIMIENTOS!$E$5:$E$400))</f>
        <v/>
      </c>
      <c r="E48" s="52" t="str">
        <f aca="false">IF($A48="","",SUMPRODUCT((MOVIMIENTOS!$B$5:$B$400="SALDO INICIAL")*(MOVIMIENTOS!$C$5:$C$400="M")*(MOVIMIENTOS!$D$5:$D$400="jabas")*(MOVIMIENTOS!$A$5:$A$400&lt;&gt;"")*(MOVIMIENTOS!$A$5:$A$400&lt;=$A48)*MOVIMIENTOS!$E$5:$E$400)+SUMPRODUCT((MOVIMIENTOS!$B$5:$B$400="PROCESO")*(MOVIMIENTOS!$C$5:$C$400="M")*(MOVIMIENTOS!$D$5:$D$400="jabas")*(MOVIMIENTOS!$A$5:$A$400&lt;&gt;"")*(MOVIMIENTOS!$A$5:$A$400&lt;=$A48)*MOVIMIENTOS!$E$5:$E$400)-SUMPRODUCT((MOVIMIENTOS!$B$5:$B$400="ENVÍO A SUPESA")*(MOVIMIENTOS!$C$5:$C$400="M")*(MOVIMIENTOS!$D$5:$D$400="jabas")*(MOVIMIENTOS!$A$5:$A$400&lt;&gt;"")*(MOVIMIENTOS!$A$5:$A$400&lt;=$A48)*MOVIMIENTOS!$E$5:$E$400)+SUMPRODUCT((MOVIMIENTOS!$B$5:$B$400="DEVOLUCIÓN")*(MOVIMIENTOS!$C$5:$C$400="M")*(MOVIMIENTOS!$D$5:$D$400="jabas")*(MOVIMIENTOS!$A$5:$A$400&lt;&gt;"")*(MOVIMIENTOS!$A$5:$A$400&lt;=$A48)*MOVIMIENTOS!$E$5:$E$400)-SUMPRODUCT((MOVIMIENTOS!$B$5:$B$400="TRASIEGO")*(MOVIMIENTOS!$C$5:$C$400="M")*(MOVIMIENTOS!$D$5:$D$400="jabas")*(MOVIMIENTOS!$A$5:$A$400&lt;&gt;"")*(MOVIMIENTOS!$A$5:$A$400&lt;=$A48)*MOVIMIENTOS!$E$5:$E$400)-SUMPRODUCT((MOVIMIENTOS!$B$5:$B$400="REGALO")*(MOVIMIENTOS!$C$5:$C$400="M")*(MOVIMIENTOS!$D$5:$D$400="jabas")*(MOVIMIENTOS!$A$5:$A$400&lt;&gt;"")*(MOVIMIENTOS!$A$5:$A$400&lt;=$A48)*MOVIMIENTOS!$E$5:$E$400)-SUMPRODUCT((MOVIMIENTOS!$B$5:$B$400="VENTA")*(MOVIMIENTOS!$C$5:$C$400="M")*(MOVIMIENTOS!$D$5:$D$400="jabas")*(MOVIMIENTOS!$A$5:$A$400&lt;&gt;"")*(MOVIMIENTOS!$A$5:$A$400&lt;=$A48)*MOVIMIENTOS!$E$5:$E$400)+SUMPRODUCT((MOVIMIENTOS!$B$5:$B$400="AJUSTE")*(MOVIMIENTOS!$C$5:$C$400="M")*(MOVIMIENTOS!$D$5:$D$400="jabas")*(MOVIMIENTOS!$A$5:$A$400&lt;&gt;"")*(MOVIMIENTOS!$A$5:$A$400&lt;=$A48)*MOVIMIENTOS!$E$5:$E$400))</f>
        <v/>
      </c>
      <c r="F48" s="52" t="str">
        <f aca="false">IF($A48="","",SUMPRODUCT((MOVIMIENTOS!$B$5:$B$400="SALDO INICIAL")*(MOVIMIENTOS!$C$5:$C$400="Chancho")*(MOVIMIENTOS!$D$5:$D$400="sacos")*(MOVIMIENTOS!$A$5:$A$400&lt;&gt;"")*(MOVIMIENTOS!$A$5:$A$400&lt;=$A48)*MOVIMIENTOS!$E$5:$E$400)+SUMPRODUCT((MOVIMIENTOS!$B$5:$B$400="PROCESO")*(MOVIMIENTOS!$C$5:$C$400="Chancho")*(MOVIMIENTOS!$D$5:$D$400="sacos")*(MOVIMIENTOS!$A$5:$A$400&lt;&gt;"")*(MOVIMIENTOS!$A$5:$A$400&lt;=$A48)*MOVIMIENTOS!$E$5:$E$400)-SUMPRODUCT((MOVIMIENTOS!$B$5:$B$400="VENTA CHANCHO")*(MOVIMIENTOS!$C$5:$C$400="Chancho")*(MOVIMIENTOS!$D$5:$D$400="sacos")*(MOVIMIENTOS!$A$5:$A$400&lt;&gt;"")*(MOVIMIENTOS!$A$5:$A$400&lt;=$A48)*MOVIMIENTOS!$E$5:$E$400)-SUMPRODUCT((MOVIMIENTOS!$B$5:$B$400="REGALO")*(MOVIMIENTOS!$C$5:$C$400="Chancho")*(MOVIMIENTOS!$D$5:$D$400="sacos")*(MOVIMIENTOS!$A$5:$A$400&lt;&gt;"")*(MOVIMIENTOS!$A$5:$A$400&lt;=$A48)*MOVIMIENTOS!$E$5:$E$400)-SUMPRODUCT((MOVIMIENTOS!$B$5:$B$400="VENTA")*(MOVIMIENTOS!$C$5:$C$400="Chancho")*(MOVIMIENTOS!$D$5:$D$400="sacos")*(MOVIMIENTOS!$A$5:$A$400&lt;&gt;"")*(MOVIMIENTOS!$A$5:$A$400&lt;=$A48)*MOVIMIENTOS!$E$5:$E$400)+SUMPRODUCT((MOVIMIENTOS!$B$5:$B$400="AJUSTE")*(MOVIMIENTOS!$C$5:$C$400="Chancho")*(MOVIMIENTOS!$D$5:$D$400="sacos")*(MOVIMIENTOS!$A$5:$A$400&lt;&gt;"")*(MOVIMIENTOS!$A$5:$A$400&lt;=$A48)*MOVIMIENTOS!$E$5:$E$400))</f>
        <v/>
      </c>
      <c r="G48" s="52" t="str">
        <f aca="false">IF($A48="","",SUM(B48:E48))</f>
        <v/>
      </c>
      <c r="H48" s="52" t="str">
        <f aca="false">IF($A48="","",SUMPRODUCT((((MOVIMIENTOS!$B$5:$B$400="SALDO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48)*MOVIMIENTOS!$I$5:$I$400))</f>
        <v/>
      </c>
      <c r="I48" s="48"/>
      <c r="J48" s="48" t="str">
        <f aca="false">IF(AND(MOVIMIENTOS!$A48&lt;&gt;"",COUNTIF(MOVIMIENTOS!$A$5:$A47,MOVIMIENTOS!$A48)=0),COUNT(J$4:J47)+1,"")</f>
        <v/>
      </c>
      <c r="K48" s="53" t="n">
        <f aca="false">MOVIMIENTOS!$A48</f>
        <v>46218</v>
      </c>
      <c r="L48" s="48"/>
      <c r="M48" s="48"/>
      <c r="N48" s="48"/>
    </row>
    <row r="49" customFormat="false" ht="15" hidden="false" customHeight="true" outlineLevel="0" collapsed="false">
      <c r="A49" s="51" t="str">
        <f aca="false">IFERROR(INDEX(K$5:K$400,MATCH(ROW()-4,J$5:J$400,0)),"")</f>
        <v/>
      </c>
      <c r="B49" s="52" t="str">
        <f aca="false">IF($A49="","",SUMPRODUCT((MOVIMIENTOS!$B$5:$B$400="SALDO INICIAL")*(MOVIMIENTOS!$C$5:$C$400="A")*(MOVIMIENTOS!$D$5:$D$400="jabas")*(MOVIMIENTOS!$A$5:$A$400&lt;&gt;"")*(MOVIMIENTOS!$A$5:$A$400&lt;=$A49)*MOVIMIENTOS!$E$5:$E$400)+SUMPRODUCT((MOVIMIENTOS!$B$5:$B$400="PROCESO")*(MOVIMIENTOS!$C$5:$C$400="A")*(MOVIMIENTOS!$D$5:$D$400="jabas")*(MOVIMIENTOS!$A$5:$A$400&lt;&gt;"")*(MOVIMIENTOS!$A$5:$A$400&lt;=$A49)*MOVIMIENTOS!$E$5:$E$400)-SUMPRODUCT((MOVIMIENTOS!$B$5:$B$400="ENVÍO A SUPESA")*(MOVIMIENTOS!$C$5:$C$400="A")*(MOVIMIENTOS!$D$5:$D$400="jabas")*(MOVIMIENTOS!$A$5:$A$400&lt;&gt;"")*(MOVIMIENTOS!$A$5:$A$400&lt;=$A49)*MOVIMIENTOS!$E$5:$E$400)+SUMPRODUCT((MOVIMIENTOS!$B$5:$B$400="DEVOLUCIÓN")*(MOVIMIENTOS!$C$5:$C$400="A")*(MOVIMIENTOS!$D$5:$D$400="jabas")*(MOVIMIENTOS!$A$5:$A$400&lt;&gt;"")*(MOVIMIENTOS!$A$5:$A$400&lt;=$A49)*MOVIMIENTOS!$E$5:$E$400)-SUMPRODUCT((MOVIMIENTOS!$B$5:$B$400="TRASIEGO")*(MOVIMIENTOS!$C$5:$C$400="A")*(MOVIMIENTOS!$D$5:$D$400="jabas")*(MOVIMIENTOS!$A$5:$A$400&lt;&gt;"")*(MOVIMIENTOS!$A$5:$A$400&lt;=$A49)*MOVIMIENTOS!$E$5:$E$400)-SUMPRODUCT((MOVIMIENTOS!$B$5:$B$400="REGALO")*(MOVIMIENTOS!$C$5:$C$400="A")*(MOVIMIENTOS!$D$5:$D$400="jabas")*(MOVIMIENTOS!$A$5:$A$400&lt;&gt;"")*(MOVIMIENTOS!$A$5:$A$400&lt;=$A49)*MOVIMIENTOS!$E$5:$E$400)-SUMPRODUCT((MOVIMIENTOS!$B$5:$B$400="VENTA")*(MOVIMIENTOS!$C$5:$C$400="A")*(MOVIMIENTOS!$D$5:$D$400="jabas")*(MOVIMIENTOS!$A$5:$A$400&lt;&gt;"")*(MOVIMIENTOS!$A$5:$A$400&lt;=$A49)*MOVIMIENTOS!$E$5:$E$400)+SUMPRODUCT((MOVIMIENTOS!$B$5:$B$400="AJUSTE")*(MOVIMIENTOS!$C$5:$C$400="A")*(MOVIMIENTOS!$D$5:$D$400="jabas")*(MOVIMIENTOS!$A$5:$A$400&lt;&gt;"")*(MOVIMIENTOS!$A$5:$A$400&lt;=$A49)*MOVIMIENTOS!$E$5:$E$400))</f>
        <v/>
      </c>
      <c r="C49" s="52" t="str">
        <f aca="false">IF($A49="","",SUMPRODUCT((MOVIMIENTOS!$B$5:$B$400="SALDO INICIAL")*(MOVIMIENTOS!$C$5:$C$400="P")*(MOVIMIENTOS!$D$5:$D$400="jabas")*(MOVIMIENTOS!$A$5:$A$400&lt;&gt;"")*(MOVIMIENTOS!$A$5:$A$400&lt;=$A49)*MOVIMIENTOS!$E$5:$E$400)+SUMPRODUCT((MOVIMIENTOS!$B$5:$B$400="PROCESO")*(MOVIMIENTOS!$C$5:$C$400="P")*(MOVIMIENTOS!$D$5:$D$400="jabas")*(MOVIMIENTOS!$A$5:$A$400&lt;&gt;"")*(MOVIMIENTOS!$A$5:$A$400&lt;=$A49)*MOVIMIENTOS!$E$5:$E$400)-SUMPRODUCT((MOVIMIENTOS!$B$5:$B$400="ENVÍO A SUPESA")*(MOVIMIENTOS!$C$5:$C$400="P")*(MOVIMIENTOS!$D$5:$D$400="jabas")*(MOVIMIENTOS!$A$5:$A$400&lt;&gt;"")*(MOVIMIENTOS!$A$5:$A$400&lt;=$A49)*MOVIMIENTOS!$E$5:$E$400)+SUMPRODUCT((MOVIMIENTOS!$B$5:$B$400="DEVOLUCIÓN")*(MOVIMIENTOS!$C$5:$C$400="P")*(MOVIMIENTOS!$D$5:$D$400="jabas")*(MOVIMIENTOS!$A$5:$A$400&lt;&gt;"")*(MOVIMIENTOS!$A$5:$A$400&lt;=$A49)*MOVIMIENTOS!$E$5:$E$400)-SUMPRODUCT((MOVIMIENTOS!$B$5:$B$400="TRASIEGO")*(MOVIMIENTOS!$C$5:$C$400="P")*(MOVIMIENTOS!$D$5:$D$400="jabas")*(MOVIMIENTOS!$A$5:$A$400&lt;&gt;"")*(MOVIMIENTOS!$A$5:$A$400&lt;=$A49)*MOVIMIENTOS!$E$5:$E$400)-SUMPRODUCT((MOVIMIENTOS!$B$5:$B$400="REGALO")*(MOVIMIENTOS!$C$5:$C$400="P")*(MOVIMIENTOS!$D$5:$D$400="jabas")*(MOVIMIENTOS!$A$5:$A$400&lt;&gt;"")*(MOVIMIENTOS!$A$5:$A$400&lt;=$A49)*MOVIMIENTOS!$E$5:$E$400)-SUMPRODUCT((MOVIMIENTOS!$B$5:$B$400="VENTA")*(MOVIMIENTOS!$C$5:$C$400="P")*(MOVIMIENTOS!$D$5:$D$400="jabas")*(MOVIMIENTOS!$A$5:$A$400&lt;&gt;"")*(MOVIMIENTOS!$A$5:$A$400&lt;=$A49)*MOVIMIENTOS!$E$5:$E$400)+SUMPRODUCT((MOVIMIENTOS!$B$5:$B$400="AJUSTE")*(MOVIMIENTOS!$C$5:$C$400="P")*(MOVIMIENTOS!$D$5:$D$400="jabas")*(MOVIMIENTOS!$A$5:$A$400&lt;&gt;"")*(MOVIMIENTOS!$A$5:$A$400&lt;=$A49)*MOVIMIENTOS!$E$5:$E$400))</f>
        <v/>
      </c>
      <c r="D49" s="52" t="str">
        <f aca="false">IF($A49="","",SUMPRODUCT((MOVIMIENTOS!$B$5:$B$400="SALDO INICIAL")*(MOVIMIENTOS!$C$5:$C$400="C")*(MOVIMIENTOS!$D$5:$D$400="jabas")*(MOVIMIENTOS!$A$5:$A$400&lt;&gt;"")*(MOVIMIENTOS!$A$5:$A$400&lt;=$A49)*MOVIMIENTOS!$E$5:$E$400)+SUMPRODUCT((MOVIMIENTOS!$B$5:$B$400="PROCESO")*(MOVIMIENTOS!$C$5:$C$400="C")*(MOVIMIENTOS!$D$5:$D$400="jabas")*(MOVIMIENTOS!$A$5:$A$400&lt;&gt;"")*(MOVIMIENTOS!$A$5:$A$400&lt;=$A49)*MOVIMIENTOS!$E$5:$E$400)-SUMPRODUCT((MOVIMIENTOS!$B$5:$B$400="ENVÍO A SUPESA")*(MOVIMIENTOS!$C$5:$C$400="C")*(MOVIMIENTOS!$D$5:$D$400="jabas")*(MOVIMIENTOS!$A$5:$A$400&lt;&gt;"")*(MOVIMIENTOS!$A$5:$A$400&lt;=$A49)*MOVIMIENTOS!$E$5:$E$400)+SUMPRODUCT((MOVIMIENTOS!$B$5:$B$400="DEVOLUCIÓN")*(MOVIMIENTOS!$C$5:$C$400="C")*(MOVIMIENTOS!$D$5:$D$400="jabas")*(MOVIMIENTOS!$A$5:$A$400&lt;&gt;"")*(MOVIMIENTOS!$A$5:$A$400&lt;=$A49)*MOVIMIENTOS!$E$5:$E$400)-SUMPRODUCT((MOVIMIENTOS!$B$5:$B$400="TRASIEGO")*(MOVIMIENTOS!$C$5:$C$400="C")*(MOVIMIENTOS!$D$5:$D$400="jabas")*(MOVIMIENTOS!$A$5:$A$400&lt;&gt;"")*(MOVIMIENTOS!$A$5:$A$400&lt;=$A49)*MOVIMIENTOS!$E$5:$E$400)-SUMPRODUCT((MOVIMIENTOS!$B$5:$B$400="REGALO")*(MOVIMIENTOS!$C$5:$C$400="C")*(MOVIMIENTOS!$D$5:$D$400="jabas")*(MOVIMIENTOS!$A$5:$A$400&lt;&gt;"")*(MOVIMIENTOS!$A$5:$A$400&lt;=$A49)*MOVIMIENTOS!$E$5:$E$400)-SUMPRODUCT((MOVIMIENTOS!$B$5:$B$400="VENTA")*(MOVIMIENTOS!$C$5:$C$400="C")*(MOVIMIENTOS!$D$5:$D$400="jabas")*(MOVIMIENTOS!$A$5:$A$400&lt;&gt;"")*(MOVIMIENTOS!$A$5:$A$400&lt;=$A49)*MOVIMIENTOS!$E$5:$E$400)+SUMPRODUCT((MOVIMIENTOS!$B$5:$B$400="AJUSTE")*(MOVIMIENTOS!$C$5:$C$400="C")*(MOVIMIENTOS!$D$5:$D$400="jabas")*(MOVIMIENTOS!$A$5:$A$400&lt;&gt;"")*(MOVIMIENTOS!$A$5:$A$400&lt;=$A49)*MOVIMIENTOS!$E$5:$E$400))</f>
        <v/>
      </c>
      <c r="E49" s="52" t="str">
        <f aca="false">IF($A49="","",SUMPRODUCT((MOVIMIENTOS!$B$5:$B$400="SALDO INICIAL")*(MOVIMIENTOS!$C$5:$C$400="M")*(MOVIMIENTOS!$D$5:$D$400="jabas")*(MOVIMIENTOS!$A$5:$A$400&lt;&gt;"")*(MOVIMIENTOS!$A$5:$A$400&lt;=$A49)*MOVIMIENTOS!$E$5:$E$400)+SUMPRODUCT((MOVIMIENTOS!$B$5:$B$400="PROCESO")*(MOVIMIENTOS!$C$5:$C$400="M")*(MOVIMIENTOS!$D$5:$D$400="jabas")*(MOVIMIENTOS!$A$5:$A$400&lt;&gt;"")*(MOVIMIENTOS!$A$5:$A$400&lt;=$A49)*MOVIMIENTOS!$E$5:$E$400)-SUMPRODUCT((MOVIMIENTOS!$B$5:$B$400="ENVÍO A SUPESA")*(MOVIMIENTOS!$C$5:$C$400="M")*(MOVIMIENTOS!$D$5:$D$400="jabas")*(MOVIMIENTOS!$A$5:$A$400&lt;&gt;"")*(MOVIMIENTOS!$A$5:$A$400&lt;=$A49)*MOVIMIENTOS!$E$5:$E$400)+SUMPRODUCT((MOVIMIENTOS!$B$5:$B$400="DEVOLUCIÓN")*(MOVIMIENTOS!$C$5:$C$400="M")*(MOVIMIENTOS!$D$5:$D$400="jabas")*(MOVIMIENTOS!$A$5:$A$400&lt;&gt;"")*(MOVIMIENTOS!$A$5:$A$400&lt;=$A49)*MOVIMIENTOS!$E$5:$E$400)-SUMPRODUCT((MOVIMIENTOS!$B$5:$B$400="TRASIEGO")*(MOVIMIENTOS!$C$5:$C$400="M")*(MOVIMIENTOS!$D$5:$D$400="jabas")*(MOVIMIENTOS!$A$5:$A$400&lt;&gt;"")*(MOVIMIENTOS!$A$5:$A$400&lt;=$A49)*MOVIMIENTOS!$E$5:$E$400)-SUMPRODUCT((MOVIMIENTOS!$B$5:$B$400="REGALO")*(MOVIMIENTOS!$C$5:$C$400="M")*(MOVIMIENTOS!$D$5:$D$400="jabas")*(MOVIMIENTOS!$A$5:$A$400&lt;&gt;"")*(MOVIMIENTOS!$A$5:$A$400&lt;=$A49)*MOVIMIENTOS!$E$5:$E$400)-SUMPRODUCT((MOVIMIENTOS!$B$5:$B$400="VENTA")*(MOVIMIENTOS!$C$5:$C$400="M")*(MOVIMIENTOS!$D$5:$D$400="jabas")*(MOVIMIENTOS!$A$5:$A$400&lt;&gt;"")*(MOVIMIENTOS!$A$5:$A$400&lt;=$A49)*MOVIMIENTOS!$E$5:$E$400)+SUMPRODUCT((MOVIMIENTOS!$B$5:$B$400="AJUSTE")*(MOVIMIENTOS!$C$5:$C$400="M")*(MOVIMIENTOS!$D$5:$D$400="jabas")*(MOVIMIENTOS!$A$5:$A$400&lt;&gt;"")*(MOVIMIENTOS!$A$5:$A$400&lt;=$A49)*MOVIMIENTOS!$E$5:$E$400))</f>
        <v/>
      </c>
      <c r="F49" s="52" t="str">
        <f aca="false">IF($A49="","",SUMPRODUCT((MOVIMIENTOS!$B$5:$B$400="SALDO INICIAL")*(MOVIMIENTOS!$C$5:$C$400="Chancho")*(MOVIMIENTOS!$D$5:$D$400="sacos")*(MOVIMIENTOS!$A$5:$A$400&lt;&gt;"")*(MOVIMIENTOS!$A$5:$A$400&lt;=$A49)*MOVIMIENTOS!$E$5:$E$400)+SUMPRODUCT((MOVIMIENTOS!$B$5:$B$400="PROCESO")*(MOVIMIENTOS!$C$5:$C$400="Chancho")*(MOVIMIENTOS!$D$5:$D$400="sacos")*(MOVIMIENTOS!$A$5:$A$400&lt;&gt;"")*(MOVIMIENTOS!$A$5:$A$400&lt;=$A49)*MOVIMIENTOS!$E$5:$E$400)-SUMPRODUCT((MOVIMIENTOS!$B$5:$B$400="VENTA CHANCHO")*(MOVIMIENTOS!$C$5:$C$400="Chancho")*(MOVIMIENTOS!$D$5:$D$400="sacos")*(MOVIMIENTOS!$A$5:$A$400&lt;&gt;"")*(MOVIMIENTOS!$A$5:$A$400&lt;=$A49)*MOVIMIENTOS!$E$5:$E$400)-SUMPRODUCT((MOVIMIENTOS!$B$5:$B$400="REGALO")*(MOVIMIENTOS!$C$5:$C$400="Chancho")*(MOVIMIENTOS!$D$5:$D$400="sacos")*(MOVIMIENTOS!$A$5:$A$400&lt;&gt;"")*(MOVIMIENTOS!$A$5:$A$400&lt;=$A49)*MOVIMIENTOS!$E$5:$E$400)-SUMPRODUCT((MOVIMIENTOS!$B$5:$B$400="VENTA")*(MOVIMIENTOS!$C$5:$C$400="Chancho")*(MOVIMIENTOS!$D$5:$D$400="sacos")*(MOVIMIENTOS!$A$5:$A$400&lt;&gt;"")*(MOVIMIENTOS!$A$5:$A$400&lt;=$A49)*MOVIMIENTOS!$E$5:$E$400)+SUMPRODUCT((MOVIMIENTOS!$B$5:$B$400="AJUSTE")*(MOVIMIENTOS!$C$5:$C$400="Chancho")*(MOVIMIENTOS!$D$5:$D$400="sacos")*(MOVIMIENTOS!$A$5:$A$400&lt;&gt;"")*(MOVIMIENTOS!$A$5:$A$400&lt;=$A49)*MOVIMIENTOS!$E$5:$E$400))</f>
        <v/>
      </c>
      <c r="G49" s="52" t="str">
        <f aca="false">IF($A49="","",SUM(B49:E49))</f>
        <v/>
      </c>
      <c r="H49" s="52" t="str">
        <f aca="false">IF($A49="","",SUMPRODUCT((((MOVIMIENTOS!$B$5:$B$400="SALDO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49)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49)*MOVIMIENTOS!$I$5:$I$400))</f>
        <v/>
      </c>
      <c r="I49" s="48"/>
      <c r="J49" s="48" t="str">
        <f aca="false">IF(AND(MOVIMIENTOS!$A49&lt;&gt;"",COUNTIF(MOVIMIENTOS!$A$5:$A48,MOVIMIENTOS!$A49)=0),COUNT(J$4:J48)+1,"")</f>
        <v/>
      </c>
      <c r="K49" s="53" t="n">
        <f aca="false">MOVIMIENTOS!$A49</f>
        <v>46218</v>
      </c>
      <c r="L49" s="48"/>
      <c r="M49" s="48"/>
      <c r="N49" s="48"/>
    </row>
    <row r="50" customFormat="false" ht="15" hidden="false" customHeight="true" outlineLevel="0" collapsed="false">
      <c r="A50" s="51" t="str">
        <f aca="false">IFERROR(INDEX(K$5:K$400,MATCH(ROW()-4,J$5:J$400,0)),"")</f>
        <v/>
      </c>
      <c r="B50" s="52" t="str">
        <f aca="false">IF($A50="","",SUMPRODUCT((MOVIMIENTOS!$B$5:$B$400="SALDO INICIAL")*(MOVIMIENTOS!$C$5:$C$400="A")*(MOVIMIENTOS!$D$5:$D$400="jabas")*(MOVIMIENTOS!$A$5:$A$400&lt;&gt;"")*(MOVIMIENTOS!$A$5:$A$400&lt;=$A50)*MOVIMIENTOS!$E$5:$E$400)+SUMPRODUCT((MOVIMIENTOS!$B$5:$B$400="PROCESO")*(MOVIMIENTOS!$C$5:$C$400="A")*(MOVIMIENTOS!$D$5:$D$400="jabas")*(MOVIMIENTOS!$A$5:$A$400&lt;&gt;"")*(MOVIMIENTOS!$A$5:$A$400&lt;=$A50)*MOVIMIENTOS!$E$5:$E$400)-SUMPRODUCT((MOVIMIENTOS!$B$5:$B$400="ENVÍO A SUPESA")*(MOVIMIENTOS!$C$5:$C$400="A")*(MOVIMIENTOS!$D$5:$D$400="jabas")*(MOVIMIENTOS!$A$5:$A$400&lt;&gt;"")*(MOVIMIENTOS!$A$5:$A$400&lt;=$A50)*MOVIMIENTOS!$E$5:$E$400)+SUMPRODUCT((MOVIMIENTOS!$B$5:$B$400="DEVOLUCIÓN")*(MOVIMIENTOS!$C$5:$C$400="A")*(MOVIMIENTOS!$D$5:$D$400="jabas")*(MOVIMIENTOS!$A$5:$A$400&lt;&gt;"")*(MOVIMIENTOS!$A$5:$A$400&lt;=$A50)*MOVIMIENTOS!$E$5:$E$400)-SUMPRODUCT((MOVIMIENTOS!$B$5:$B$400="TRASIEGO")*(MOVIMIENTOS!$C$5:$C$400="A")*(MOVIMIENTOS!$D$5:$D$400="jabas")*(MOVIMIENTOS!$A$5:$A$400&lt;&gt;"")*(MOVIMIENTOS!$A$5:$A$400&lt;=$A50)*MOVIMIENTOS!$E$5:$E$400)-SUMPRODUCT((MOVIMIENTOS!$B$5:$B$400="REGALO")*(MOVIMIENTOS!$C$5:$C$400="A")*(MOVIMIENTOS!$D$5:$D$400="jabas")*(MOVIMIENTOS!$A$5:$A$400&lt;&gt;"")*(MOVIMIENTOS!$A$5:$A$400&lt;=$A50)*MOVIMIENTOS!$E$5:$E$400)-SUMPRODUCT((MOVIMIENTOS!$B$5:$B$400="VENTA")*(MOVIMIENTOS!$C$5:$C$400="A")*(MOVIMIENTOS!$D$5:$D$400="jabas")*(MOVIMIENTOS!$A$5:$A$400&lt;&gt;"")*(MOVIMIENTOS!$A$5:$A$400&lt;=$A50)*MOVIMIENTOS!$E$5:$E$400)+SUMPRODUCT((MOVIMIENTOS!$B$5:$B$400="AJUSTE")*(MOVIMIENTOS!$C$5:$C$400="A")*(MOVIMIENTOS!$D$5:$D$400="jabas")*(MOVIMIENTOS!$A$5:$A$400&lt;&gt;"")*(MOVIMIENTOS!$A$5:$A$400&lt;=$A50)*MOVIMIENTOS!$E$5:$E$400))</f>
        <v/>
      </c>
      <c r="C50" s="52" t="str">
        <f aca="false">IF($A50="","",SUMPRODUCT((MOVIMIENTOS!$B$5:$B$400="SALDO INICIAL")*(MOVIMIENTOS!$C$5:$C$400="P")*(MOVIMIENTOS!$D$5:$D$400="jabas")*(MOVIMIENTOS!$A$5:$A$400&lt;&gt;"")*(MOVIMIENTOS!$A$5:$A$400&lt;=$A50)*MOVIMIENTOS!$E$5:$E$400)+SUMPRODUCT((MOVIMIENTOS!$B$5:$B$400="PROCESO")*(MOVIMIENTOS!$C$5:$C$400="P")*(MOVIMIENTOS!$D$5:$D$400="jabas")*(MOVIMIENTOS!$A$5:$A$400&lt;&gt;"")*(MOVIMIENTOS!$A$5:$A$400&lt;=$A50)*MOVIMIENTOS!$E$5:$E$400)-SUMPRODUCT((MOVIMIENTOS!$B$5:$B$400="ENVÍO A SUPESA")*(MOVIMIENTOS!$C$5:$C$400="P")*(MOVIMIENTOS!$D$5:$D$400="jabas")*(MOVIMIENTOS!$A$5:$A$400&lt;&gt;"")*(MOVIMIENTOS!$A$5:$A$400&lt;=$A50)*MOVIMIENTOS!$E$5:$E$400)+SUMPRODUCT((MOVIMIENTOS!$B$5:$B$400="DEVOLUCIÓN")*(MOVIMIENTOS!$C$5:$C$400="P")*(MOVIMIENTOS!$D$5:$D$400="jabas")*(MOVIMIENTOS!$A$5:$A$400&lt;&gt;"")*(MOVIMIENTOS!$A$5:$A$400&lt;=$A50)*MOVIMIENTOS!$E$5:$E$400)-SUMPRODUCT((MOVIMIENTOS!$B$5:$B$400="TRASIEGO")*(MOVIMIENTOS!$C$5:$C$400="P")*(MOVIMIENTOS!$D$5:$D$400="jabas")*(MOVIMIENTOS!$A$5:$A$400&lt;&gt;"")*(MOVIMIENTOS!$A$5:$A$400&lt;=$A50)*MOVIMIENTOS!$E$5:$E$400)-SUMPRODUCT((MOVIMIENTOS!$B$5:$B$400="REGALO")*(MOVIMIENTOS!$C$5:$C$400="P")*(MOVIMIENTOS!$D$5:$D$400="jabas")*(MOVIMIENTOS!$A$5:$A$400&lt;&gt;"")*(MOVIMIENTOS!$A$5:$A$400&lt;=$A50)*MOVIMIENTOS!$E$5:$E$400)-SUMPRODUCT((MOVIMIENTOS!$B$5:$B$400="VENTA")*(MOVIMIENTOS!$C$5:$C$400="P")*(MOVIMIENTOS!$D$5:$D$400="jabas")*(MOVIMIENTOS!$A$5:$A$400&lt;&gt;"")*(MOVIMIENTOS!$A$5:$A$400&lt;=$A50)*MOVIMIENTOS!$E$5:$E$400)+SUMPRODUCT((MOVIMIENTOS!$B$5:$B$400="AJUSTE")*(MOVIMIENTOS!$C$5:$C$400="P")*(MOVIMIENTOS!$D$5:$D$400="jabas")*(MOVIMIENTOS!$A$5:$A$400&lt;&gt;"")*(MOVIMIENTOS!$A$5:$A$400&lt;=$A50)*MOVIMIENTOS!$E$5:$E$400))</f>
        <v/>
      </c>
      <c r="D50" s="52" t="str">
        <f aca="false">IF($A50="","",SUMPRODUCT((MOVIMIENTOS!$B$5:$B$400="SALDO INICIAL")*(MOVIMIENTOS!$C$5:$C$400="C")*(MOVIMIENTOS!$D$5:$D$400="jabas")*(MOVIMIENTOS!$A$5:$A$400&lt;&gt;"")*(MOVIMIENTOS!$A$5:$A$400&lt;=$A50)*MOVIMIENTOS!$E$5:$E$400)+SUMPRODUCT((MOVIMIENTOS!$B$5:$B$400="PROCESO")*(MOVIMIENTOS!$C$5:$C$400="C")*(MOVIMIENTOS!$D$5:$D$400="jabas")*(MOVIMIENTOS!$A$5:$A$400&lt;&gt;"")*(MOVIMIENTOS!$A$5:$A$400&lt;=$A50)*MOVIMIENTOS!$E$5:$E$400)-SUMPRODUCT((MOVIMIENTOS!$B$5:$B$400="ENVÍO A SUPESA")*(MOVIMIENTOS!$C$5:$C$400="C")*(MOVIMIENTOS!$D$5:$D$400="jabas")*(MOVIMIENTOS!$A$5:$A$400&lt;&gt;"")*(MOVIMIENTOS!$A$5:$A$400&lt;=$A50)*MOVIMIENTOS!$E$5:$E$400)+SUMPRODUCT((MOVIMIENTOS!$B$5:$B$400="DEVOLUCIÓN")*(MOVIMIENTOS!$C$5:$C$400="C")*(MOVIMIENTOS!$D$5:$D$400="jabas")*(MOVIMIENTOS!$A$5:$A$400&lt;&gt;"")*(MOVIMIENTOS!$A$5:$A$400&lt;=$A50)*MOVIMIENTOS!$E$5:$E$400)-SUMPRODUCT((MOVIMIENTOS!$B$5:$B$400="TRASIEGO")*(MOVIMIENTOS!$C$5:$C$400="C")*(MOVIMIENTOS!$D$5:$D$400="jabas")*(MOVIMIENTOS!$A$5:$A$400&lt;&gt;"")*(MOVIMIENTOS!$A$5:$A$400&lt;=$A50)*MOVIMIENTOS!$E$5:$E$400)-SUMPRODUCT((MOVIMIENTOS!$B$5:$B$400="REGALO")*(MOVIMIENTOS!$C$5:$C$400="C")*(MOVIMIENTOS!$D$5:$D$400="jabas")*(MOVIMIENTOS!$A$5:$A$400&lt;&gt;"")*(MOVIMIENTOS!$A$5:$A$400&lt;=$A50)*MOVIMIENTOS!$E$5:$E$400)-SUMPRODUCT((MOVIMIENTOS!$B$5:$B$400="VENTA")*(MOVIMIENTOS!$C$5:$C$400="C")*(MOVIMIENTOS!$D$5:$D$400="jabas")*(MOVIMIENTOS!$A$5:$A$400&lt;&gt;"")*(MOVIMIENTOS!$A$5:$A$400&lt;=$A50)*MOVIMIENTOS!$E$5:$E$400)+SUMPRODUCT((MOVIMIENTOS!$B$5:$B$400="AJUSTE")*(MOVIMIENTOS!$C$5:$C$400="C")*(MOVIMIENTOS!$D$5:$D$400="jabas")*(MOVIMIENTOS!$A$5:$A$400&lt;&gt;"")*(MOVIMIENTOS!$A$5:$A$400&lt;=$A50)*MOVIMIENTOS!$E$5:$E$400))</f>
        <v/>
      </c>
      <c r="E50" s="52" t="str">
        <f aca="false">IF($A50="","",SUMPRODUCT((MOVIMIENTOS!$B$5:$B$400="SALDO INICIAL")*(MOVIMIENTOS!$C$5:$C$400="M")*(MOVIMIENTOS!$D$5:$D$400="jabas")*(MOVIMIENTOS!$A$5:$A$400&lt;&gt;"")*(MOVIMIENTOS!$A$5:$A$400&lt;=$A50)*MOVIMIENTOS!$E$5:$E$400)+SUMPRODUCT((MOVIMIENTOS!$B$5:$B$400="PROCESO")*(MOVIMIENTOS!$C$5:$C$400="M")*(MOVIMIENTOS!$D$5:$D$400="jabas")*(MOVIMIENTOS!$A$5:$A$400&lt;&gt;"")*(MOVIMIENTOS!$A$5:$A$400&lt;=$A50)*MOVIMIENTOS!$E$5:$E$400)-SUMPRODUCT((MOVIMIENTOS!$B$5:$B$400="ENVÍO A SUPESA")*(MOVIMIENTOS!$C$5:$C$400="M")*(MOVIMIENTOS!$D$5:$D$400="jabas")*(MOVIMIENTOS!$A$5:$A$400&lt;&gt;"")*(MOVIMIENTOS!$A$5:$A$400&lt;=$A50)*MOVIMIENTOS!$E$5:$E$400)+SUMPRODUCT((MOVIMIENTOS!$B$5:$B$400="DEVOLUCIÓN")*(MOVIMIENTOS!$C$5:$C$400="M")*(MOVIMIENTOS!$D$5:$D$400="jabas")*(MOVIMIENTOS!$A$5:$A$400&lt;&gt;"")*(MOVIMIENTOS!$A$5:$A$400&lt;=$A50)*MOVIMIENTOS!$E$5:$E$400)-SUMPRODUCT((MOVIMIENTOS!$B$5:$B$400="TRASIEGO")*(MOVIMIENTOS!$C$5:$C$400="M")*(MOVIMIENTOS!$D$5:$D$400="jabas")*(MOVIMIENTOS!$A$5:$A$400&lt;&gt;"")*(MOVIMIENTOS!$A$5:$A$400&lt;=$A50)*MOVIMIENTOS!$E$5:$E$400)-SUMPRODUCT((MOVIMIENTOS!$B$5:$B$400="REGALO")*(MOVIMIENTOS!$C$5:$C$400="M")*(MOVIMIENTOS!$D$5:$D$400="jabas")*(MOVIMIENTOS!$A$5:$A$400&lt;&gt;"")*(MOVIMIENTOS!$A$5:$A$400&lt;=$A50)*MOVIMIENTOS!$E$5:$E$400)-SUMPRODUCT((MOVIMIENTOS!$B$5:$B$400="VENTA")*(MOVIMIENTOS!$C$5:$C$400="M")*(MOVIMIENTOS!$D$5:$D$400="jabas")*(MOVIMIENTOS!$A$5:$A$400&lt;&gt;"")*(MOVIMIENTOS!$A$5:$A$400&lt;=$A50)*MOVIMIENTOS!$E$5:$E$400)+SUMPRODUCT((MOVIMIENTOS!$B$5:$B$400="AJUSTE")*(MOVIMIENTOS!$C$5:$C$400="M")*(MOVIMIENTOS!$D$5:$D$400="jabas")*(MOVIMIENTOS!$A$5:$A$400&lt;&gt;"")*(MOVIMIENTOS!$A$5:$A$400&lt;=$A50)*MOVIMIENTOS!$E$5:$E$400))</f>
        <v/>
      </c>
      <c r="F50" s="52" t="str">
        <f aca="false">IF($A50="","",SUMPRODUCT((MOVIMIENTOS!$B$5:$B$400="SALDO INICIAL")*(MOVIMIENTOS!$C$5:$C$400="Chancho")*(MOVIMIENTOS!$D$5:$D$400="sacos")*(MOVIMIENTOS!$A$5:$A$400&lt;&gt;"")*(MOVIMIENTOS!$A$5:$A$400&lt;=$A50)*MOVIMIENTOS!$E$5:$E$400)+SUMPRODUCT((MOVIMIENTOS!$B$5:$B$400="PROCESO")*(MOVIMIENTOS!$C$5:$C$400="Chancho")*(MOVIMIENTOS!$D$5:$D$400="sacos")*(MOVIMIENTOS!$A$5:$A$400&lt;&gt;"")*(MOVIMIENTOS!$A$5:$A$400&lt;=$A50)*MOVIMIENTOS!$E$5:$E$400)-SUMPRODUCT((MOVIMIENTOS!$B$5:$B$400="VENTA CHANCHO")*(MOVIMIENTOS!$C$5:$C$400="Chancho")*(MOVIMIENTOS!$D$5:$D$400="sacos")*(MOVIMIENTOS!$A$5:$A$400&lt;&gt;"")*(MOVIMIENTOS!$A$5:$A$400&lt;=$A50)*MOVIMIENTOS!$E$5:$E$400)-SUMPRODUCT((MOVIMIENTOS!$B$5:$B$400="REGALO")*(MOVIMIENTOS!$C$5:$C$400="Chancho")*(MOVIMIENTOS!$D$5:$D$400="sacos")*(MOVIMIENTOS!$A$5:$A$400&lt;&gt;"")*(MOVIMIENTOS!$A$5:$A$400&lt;=$A50)*MOVIMIENTOS!$E$5:$E$400)-SUMPRODUCT((MOVIMIENTOS!$B$5:$B$400="VENTA")*(MOVIMIENTOS!$C$5:$C$400="Chancho")*(MOVIMIENTOS!$D$5:$D$400="sacos")*(MOVIMIENTOS!$A$5:$A$400&lt;&gt;"")*(MOVIMIENTOS!$A$5:$A$400&lt;=$A50)*MOVIMIENTOS!$E$5:$E$400)+SUMPRODUCT((MOVIMIENTOS!$B$5:$B$400="AJUSTE")*(MOVIMIENTOS!$C$5:$C$400="Chancho")*(MOVIMIENTOS!$D$5:$D$400="sacos")*(MOVIMIENTOS!$A$5:$A$400&lt;&gt;"")*(MOVIMIENTOS!$A$5:$A$400&lt;=$A50)*MOVIMIENTOS!$E$5:$E$400))</f>
        <v/>
      </c>
      <c r="G50" s="52" t="str">
        <f aca="false">IF($A50="","",SUM(B50:E50))</f>
        <v/>
      </c>
      <c r="H50" s="52" t="str">
        <f aca="false">IF($A50="","",SUMPRODUCT((((MOVIMIENTOS!$B$5:$B$400="SALDO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50)*MOVIMIENTOS!$I$5:$I$400))</f>
        <v/>
      </c>
      <c r="I50" s="48"/>
      <c r="J50" s="48" t="n">
        <f aca="false">IF(AND(MOVIMIENTOS!$A50&lt;&gt;"",COUNTIF(MOVIMIENTOS!$A$5:$A49,MOVIMIENTOS!$A50)=0),COUNT(J$4:J49)+1,"")</f>
        <v>6</v>
      </c>
      <c r="K50" s="53" t="n">
        <f aca="false">MOVIMIENTOS!$A50</f>
        <v>46219</v>
      </c>
      <c r="L50" s="48"/>
      <c r="M50" s="48"/>
      <c r="N50" s="48"/>
    </row>
    <row r="51" customFormat="false" ht="15" hidden="false" customHeight="true" outlineLevel="0" collapsed="false">
      <c r="A51" s="51" t="str">
        <f aca="false">IFERROR(INDEX(K$5:K$400,MATCH(ROW()-4,J$5:J$400,0)),"")</f>
        <v/>
      </c>
      <c r="B51" s="52" t="str">
        <f aca="false">IF($A51="","",SUMPRODUCT((MOVIMIENTOS!$B$5:$B$400="SALDO INICIAL")*(MOVIMIENTOS!$C$5:$C$400="A")*(MOVIMIENTOS!$D$5:$D$400="jabas")*(MOVIMIENTOS!$A$5:$A$400&lt;&gt;"")*(MOVIMIENTOS!$A$5:$A$400&lt;=$A51)*MOVIMIENTOS!$E$5:$E$400)+SUMPRODUCT((MOVIMIENTOS!$B$5:$B$400="PROCESO")*(MOVIMIENTOS!$C$5:$C$400="A")*(MOVIMIENTOS!$D$5:$D$400="jabas")*(MOVIMIENTOS!$A$5:$A$400&lt;&gt;"")*(MOVIMIENTOS!$A$5:$A$400&lt;=$A51)*MOVIMIENTOS!$E$5:$E$400)-SUMPRODUCT((MOVIMIENTOS!$B$5:$B$400="ENVÍO A SUPESA")*(MOVIMIENTOS!$C$5:$C$400="A")*(MOVIMIENTOS!$D$5:$D$400="jabas")*(MOVIMIENTOS!$A$5:$A$400&lt;&gt;"")*(MOVIMIENTOS!$A$5:$A$400&lt;=$A51)*MOVIMIENTOS!$E$5:$E$400)+SUMPRODUCT((MOVIMIENTOS!$B$5:$B$400="DEVOLUCIÓN")*(MOVIMIENTOS!$C$5:$C$400="A")*(MOVIMIENTOS!$D$5:$D$400="jabas")*(MOVIMIENTOS!$A$5:$A$400&lt;&gt;"")*(MOVIMIENTOS!$A$5:$A$400&lt;=$A51)*MOVIMIENTOS!$E$5:$E$400)-SUMPRODUCT((MOVIMIENTOS!$B$5:$B$400="TRASIEGO")*(MOVIMIENTOS!$C$5:$C$400="A")*(MOVIMIENTOS!$D$5:$D$400="jabas")*(MOVIMIENTOS!$A$5:$A$400&lt;&gt;"")*(MOVIMIENTOS!$A$5:$A$400&lt;=$A51)*MOVIMIENTOS!$E$5:$E$400)-SUMPRODUCT((MOVIMIENTOS!$B$5:$B$400="REGALO")*(MOVIMIENTOS!$C$5:$C$400="A")*(MOVIMIENTOS!$D$5:$D$400="jabas")*(MOVIMIENTOS!$A$5:$A$400&lt;&gt;"")*(MOVIMIENTOS!$A$5:$A$400&lt;=$A51)*MOVIMIENTOS!$E$5:$E$400)-SUMPRODUCT((MOVIMIENTOS!$B$5:$B$400="VENTA")*(MOVIMIENTOS!$C$5:$C$400="A")*(MOVIMIENTOS!$D$5:$D$400="jabas")*(MOVIMIENTOS!$A$5:$A$400&lt;&gt;"")*(MOVIMIENTOS!$A$5:$A$400&lt;=$A51)*MOVIMIENTOS!$E$5:$E$400)+SUMPRODUCT((MOVIMIENTOS!$B$5:$B$400="AJUSTE")*(MOVIMIENTOS!$C$5:$C$400="A")*(MOVIMIENTOS!$D$5:$D$400="jabas")*(MOVIMIENTOS!$A$5:$A$400&lt;&gt;"")*(MOVIMIENTOS!$A$5:$A$400&lt;=$A51)*MOVIMIENTOS!$E$5:$E$400))</f>
        <v/>
      </c>
      <c r="C51" s="52" t="str">
        <f aca="false">IF($A51="","",SUMPRODUCT((MOVIMIENTOS!$B$5:$B$400="SALDO INICIAL")*(MOVIMIENTOS!$C$5:$C$400="P")*(MOVIMIENTOS!$D$5:$D$400="jabas")*(MOVIMIENTOS!$A$5:$A$400&lt;&gt;"")*(MOVIMIENTOS!$A$5:$A$400&lt;=$A51)*MOVIMIENTOS!$E$5:$E$400)+SUMPRODUCT((MOVIMIENTOS!$B$5:$B$400="PROCESO")*(MOVIMIENTOS!$C$5:$C$400="P")*(MOVIMIENTOS!$D$5:$D$400="jabas")*(MOVIMIENTOS!$A$5:$A$400&lt;&gt;"")*(MOVIMIENTOS!$A$5:$A$400&lt;=$A51)*MOVIMIENTOS!$E$5:$E$400)-SUMPRODUCT((MOVIMIENTOS!$B$5:$B$400="ENVÍO A SUPESA")*(MOVIMIENTOS!$C$5:$C$400="P")*(MOVIMIENTOS!$D$5:$D$400="jabas")*(MOVIMIENTOS!$A$5:$A$400&lt;&gt;"")*(MOVIMIENTOS!$A$5:$A$400&lt;=$A51)*MOVIMIENTOS!$E$5:$E$400)+SUMPRODUCT((MOVIMIENTOS!$B$5:$B$400="DEVOLUCIÓN")*(MOVIMIENTOS!$C$5:$C$400="P")*(MOVIMIENTOS!$D$5:$D$400="jabas")*(MOVIMIENTOS!$A$5:$A$400&lt;&gt;"")*(MOVIMIENTOS!$A$5:$A$400&lt;=$A51)*MOVIMIENTOS!$E$5:$E$400)-SUMPRODUCT((MOVIMIENTOS!$B$5:$B$400="TRASIEGO")*(MOVIMIENTOS!$C$5:$C$400="P")*(MOVIMIENTOS!$D$5:$D$400="jabas")*(MOVIMIENTOS!$A$5:$A$400&lt;&gt;"")*(MOVIMIENTOS!$A$5:$A$400&lt;=$A51)*MOVIMIENTOS!$E$5:$E$400)-SUMPRODUCT((MOVIMIENTOS!$B$5:$B$400="REGALO")*(MOVIMIENTOS!$C$5:$C$400="P")*(MOVIMIENTOS!$D$5:$D$400="jabas")*(MOVIMIENTOS!$A$5:$A$400&lt;&gt;"")*(MOVIMIENTOS!$A$5:$A$400&lt;=$A51)*MOVIMIENTOS!$E$5:$E$400)-SUMPRODUCT((MOVIMIENTOS!$B$5:$B$400="VENTA")*(MOVIMIENTOS!$C$5:$C$400="P")*(MOVIMIENTOS!$D$5:$D$400="jabas")*(MOVIMIENTOS!$A$5:$A$400&lt;&gt;"")*(MOVIMIENTOS!$A$5:$A$400&lt;=$A51)*MOVIMIENTOS!$E$5:$E$400)+SUMPRODUCT((MOVIMIENTOS!$B$5:$B$400="AJUSTE")*(MOVIMIENTOS!$C$5:$C$400="P")*(MOVIMIENTOS!$D$5:$D$400="jabas")*(MOVIMIENTOS!$A$5:$A$400&lt;&gt;"")*(MOVIMIENTOS!$A$5:$A$400&lt;=$A51)*MOVIMIENTOS!$E$5:$E$400))</f>
        <v/>
      </c>
      <c r="D51" s="52" t="str">
        <f aca="false">IF($A51="","",SUMPRODUCT((MOVIMIENTOS!$B$5:$B$400="SALDO INICIAL")*(MOVIMIENTOS!$C$5:$C$400="C")*(MOVIMIENTOS!$D$5:$D$400="jabas")*(MOVIMIENTOS!$A$5:$A$400&lt;&gt;"")*(MOVIMIENTOS!$A$5:$A$400&lt;=$A51)*MOVIMIENTOS!$E$5:$E$400)+SUMPRODUCT((MOVIMIENTOS!$B$5:$B$400="PROCESO")*(MOVIMIENTOS!$C$5:$C$400="C")*(MOVIMIENTOS!$D$5:$D$400="jabas")*(MOVIMIENTOS!$A$5:$A$400&lt;&gt;"")*(MOVIMIENTOS!$A$5:$A$400&lt;=$A51)*MOVIMIENTOS!$E$5:$E$400)-SUMPRODUCT((MOVIMIENTOS!$B$5:$B$400="ENVÍO A SUPESA")*(MOVIMIENTOS!$C$5:$C$400="C")*(MOVIMIENTOS!$D$5:$D$400="jabas")*(MOVIMIENTOS!$A$5:$A$400&lt;&gt;"")*(MOVIMIENTOS!$A$5:$A$400&lt;=$A51)*MOVIMIENTOS!$E$5:$E$400)+SUMPRODUCT((MOVIMIENTOS!$B$5:$B$400="DEVOLUCIÓN")*(MOVIMIENTOS!$C$5:$C$400="C")*(MOVIMIENTOS!$D$5:$D$400="jabas")*(MOVIMIENTOS!$A$5:$A$400&lt;&gt;"")*(MOVIMIENTOS!$A$5:$A$400&lt;=$A51)*MOVIMIENTOS!$E$5:$E$400)-SUMPRODUCT((MOVIMIENTOS!$B$5:$B$400="TRASIEGO")*(MOVIMIENTOS!$C$5:$C$400="C")*(MOVIMIENTOS!$D$5:$D$400="jabas")*(MOVIMIENTOS!$A$5:$A$400&lt;&gt;"")*(MOVIMIENTOS!$A$5:$A$400&lt;=$A51)*MOVIMIENTOS!$E$5:$E$400)-SUMPRODUCT((MOVIMIENTOS!$B$5:$B$400="REGALO")*(MOVIMIENTOS!$C$5:$C$400="C")*(MOVIMIENTOS!$D$5:$D$400="jabas")*(MOVIMIENTOS!$A$5:$A$400&lt;&gt;"")*(MOVIMIENTOS!$A$5:$A$400&lt;=$A51)*MOVIMIENTOS!$E$5:$E$400)-SUMPRODUCT((MOVIMIENTOS!$B$5:$B$400="VENTA")*(MOVIMIENTOS!$C$5:$C$400="C")*(MOVIMIENTOS!$D$5:$D$400="jabas")*(MOVIMIENTOS!$A$5:$A$400&lt;&gt;"")*(MOVIMIENTOS!$A$5:$A$400&lt;=$A51)*MOVIMIENTOS!$E$5:$E$400)+SUMPRODUCT((MOVIMIENTOS!$B$5:$B$400="AJUSTE")*(MOVIMIENTOS!$C$5:$C$400="C")*(MOVIMIENTOS!$D$5:$D$400="jabas")*(MOVIMIENTOS!$A$5:$A$400&lt;&gt;"")*(MOVIMIENTOS!$A$5:$A$400&lt;=$A51)*MOVIMIENTOS!$E$5:$E$400))</f>
        <v/>
      </c>
      <c r="E51" s="52" t="str">
        <f aca="false">IF($A51="","",SUMPRODUCT((MOVIMIENTOS!$B$5:$B$400="SALDO INICIAL")*(MOVIMIENTOS!$C$5:$C$400="M")*(MOVIMIENTOS!$D$5:$D$400="jabas")*(MOVIMIENTOS!$A$5:$A$400&lt;&gt;"")*(MOVIMIENTOS!$A$5:$A$400&lt;=$A51)*MOVIMIENTOS!$E$5:$E$400)+SUMPRODUCT((MOVIMIENTOS!$B$5:$B$400="PROCESO")*(MOVIMIENTOS!$C$5:$C$400="M")*(MOVIMIENTOS!$D$5:$D$400="jabas")*(MOVIMIENTOS!$A$5:$A$400&lt;&gt;"")*(MOVIMIENTOS!$A$5:$A$400&lt;=$A51)*MOVIMIENTOS!$E$5:$E$400)-SUMPRODUCT((MOVIMIENTOS!$B$5:$B$400="ENVÍO A SUPESA")*(MOVIMIENTOS!$C$5:$C$400="M")*(MOVIMIENTOS!$D$5:$D$400="jabas")*(MOVIMIENTOS!$A$5:$A$400&lt;&gt;"")*(MOVIMIENTOS!$A$5:$A$400&lt;=$A51)*MOVIMIENTOS!$E$5:$E$400)+SUMPRODUCT((MOVIMIENTOS!$B$5:$B$400="DEVOLUCIÓN")*(MOVIMIENTOS!$C$5:$C$400="M")*(MOVIMIENTOS!$D$5:$D$400="jabas")*(MOVIMIENTOS!$A$5:$A$400&lt;&gt;"")*(MOVIMIENTOS!$A$5:$A$400&lt;=$A51)*MOVIMIENTOS!$E$5:$E$400)-SUMPRODUCT((MOVIMIENTOS!$B$5:$B$400="TRASIEGO")*(MOVIMIENTOS!$C$5:$C$400="M")*(MOVIMIENTOS!$D$5:$D$400="jabas")*(MOVIMIENTOS!$A$5:$A$400&lt;&gt;"")*(MOVIMIENTOS!$A$5:$A$400&lt;=$A51)*MOVIMIENTOS!$E$5:$E$400)-SUMPRODUCT((MOVIMIENTOS!$B$5:$B$400="REGALO")*(MOVIMIENTOS!$C$5:$C$400="M")*(MOVIMIENTOS!$D$5:$D$400="jabas")*(MOVIMIENTOS!$A$5:$A$400&lt;&gt;"")*(MOVIMIENTOS!$A$5:$A$400&lt;=$A51)*MOVIMIENTOS!$E$5:$E$400)-SUMPRODUCT((MOVIMIENTOS!$B$5:$B$400="VENTA")*(MOVIMIENTOS!$C$5:$C$400="M")*(MOVIMIENTOS!$D$5:$D$400="jabas")*(MOVIMIENTOS!$A$5:$A$400&lt;&gt;"")*(MOVIMIENTOS!$A$5:$A$400&lt;=$A51)*MOVIMIENTOS!$E$5:$E$400)+SUMPRODUCT((MOVIMIENTOS!$B$5:$B$400="AJUSTE")*(MOVIMIENTOS!$C$5:$C$400="M")*(MOVIMIENTOS!$D$5:$D$400="jabas")*(MOVIMIENTOS!$A$5:$A$400&lt;&gt;"")*(MOVIMIENTOS!$A$5:$A$400&lt;=$A51)*MOVIMIENTOS!$E$5:$E$400))</f>
        <v/>
      </c>
      <c r="F51" s="52" t="str">
        <f aca="false">IF($A51="","",SUMPRODUCT((MOVIMIENTOS!$B$5:$B$400="SALDO INICIAL")*(MOVIMIENTOS!$C$5:$C$400="Chancho")*(MOVIMIENTOS!$D$5:$D$400="sacos")*(MOVIMIENTOS!$A$5:$A$400&lt;&gt;"")*(MOVIMIENTOS!$A$5:$A$400&lt;=$A51)*MOVIMIENTOS!$E$5:$E$400)+SUMPRODUCT((MOVIMIENTOS!$B$5:$B$400="PROCESO")*(MOVIMIENTOS!$C$5:$C$400="Chancho")*(MOVIMIENTOS!$D$5:$D$400="sacos")*(MOVIMIENTOS!$A$5:$A$400&lt;&gt;"")*(MOVIMIENTOS!$A$5:$A$400&lt;=$A51)*MOVIMIENTOS!$E$5:$E$400)-SUMPRODUCT((MOVIMIENTOS!$B$5:$B$400="VENTA CHANCHO")*(MOVIMIENTOS!$C$5:$C$400="Chancho")*(MOVIMIENTOS!$D$5:$D$400="sacos")*(MOVIMIENTOS!$A$5:$A$400&lt;&gt;"")*(MOVIMIENTOS!$A$5:$A$400&lt;=$A51)*MOVIMIENTOS!$E$5:$E$400)-SUMPRODUCT((MOVIMIENTOS!$B$5:$B$400="REGALO")*(MOVIMIENTOS!$C$5:$C$400="Chancho")*(MOVIMIENTOS!$D$5:$D$400="sacos")*(MOVIMIENTOS!$A$5:$A$400&lt;&gt;"")*(MOVIMIENTOS!$A$5:$A$400&lt;=$A51)*MOVIMIENTOS!$E$5:$E$400)-SUMPRODUCT((MOVIMIENTOS!$B$5:$B$400="VENTA")*(MOVIMIENTOS!$C$5:$C$400="Chancho")*(MOVIMIENTOS!$D$5:$D$400="sacos")*(MOVIMIENTOS!$A$5:$A$400&lt;&gt;"")*(MOVIMIENTOS!$A$5:$A$400&lt;=$A51)*MOVIMIENTOS!$E$5:$E$400)+SUMPRODUCT((MOVIMIENTOS!$B$5:$B$400="AJUSTE")*(MOVIMIENTOS!$C$5:$C$400="Chancho")*(MOVIMIENTOS!$D$5:$D$400="sacos")*(MOVIMIENTOS!$A$5:$A$400&lt;&gt;"")*(MOVIMIENTOS!$A$5:$A$400&lt;=$A51)*MOVIMIENTOS!$E$5:$E$400))</f>
        <v/>
      </c>
      <c r="G51" s="52" t="str">
        <f aca="false">IF($A51="","",SUM(B51:E51))</f>
        <v/>
      </c>
      <c r="H51" s="52" t="str">
        <f aca="false">IF($A51="","",SUMPRODUCT((((MOVIMIENTOS!$B$5:$B$400="SALDO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51)*MOVIMIENTOS!$I$5:$I$400))</f>
        <v/>
      </c>
      <c r="I51" s="48"/>
      <c r="J51" s="48" t="str">
        <f aca="false">IF(AND(MOVIMIENTOS!$A51&lt;&gt;"",COUNTIF(MOVIMIENTOS!$A$5:$A50,MOVIMIENTOS!$A51)=0),COUNT(J$4:J50)+1,"")</f>
        <v/>
      </c>
      <c r="K51" s="53" t="n">
        <f aca="false">MOVIMIENTOS!$A51</f>
        <v>46219</v>
      </c>
      <c r="L51" s="48"/>
      <c r="M51" s="48"/>
      <c r="N51" s="48"/>
    </row>
    <row r="52" customFormat="false" ht="15" hidden="false" customHeight="true" outlineLevel="0" collapsed="false">
      <c r="A52" s="51" t="str">
        <f aca="false">IFERROR(INDEX(K$5:K$400,MATCH(ROW()-4,J$5:J$400,0)),"")</f>
        <v/>
      </c>
      <c r="B52" s="52" t="str">
        <f aca="false">IF($A52="","",SUMPRODUCT((MOVIMIENTOS!$B$5:$B$400="SALDO INICIAL")*(MOVIMIENTOS!$C$5:$C$400="A")*(MOVIMIENTOS!$D$5:$D$400="jabas")*(MOVIMIENTOS!$A$5:$A$400&lt;&gt;"")*(MOVIMIENTOS!$A$5:$A$400&lt;=$A52)*MOVIMIENTOS!$E$5:$E$400)+SUMPRODUCT((MOVIMIENTOS!$B$5:$B$400="PROCESO")*(MOVIMIENTOS!$C$5:$C$400="A")*(MOVIMIENTOS!$D$5:$D$400="jabas")*(MOVIMIENTOS!$A$5:$A$400&lt;&gt;"")*(MOVIMIENTOS!$A$5:$A$400&lt;=$A52)*MOVIMIENTOS!$E$5:$E$400)-SUMPRODUCT((MOVIMIENTOS!$B$5:$B$400="ENVÍO A SUPESA")*(MOVIMIENTOS!$C$5:$C$400="A")*(MOVIMIENTOS!$D$5:$D$400="jabas")*(MOVIMIENTOS!$A$5:$A$400&lt;&gt;"")*(MOVIMIENTOS!$A$5:$A$400&lt;=$A52)*MOVIMIENTOS!$E$5:$E$400)+SUMPRODUCT((MOVIMIENTOS!$B$5:$B$400="DEVOLUCIÓN")*(MOVIMIENTOS!$C$5:$C$400="A")*(MOVIMIENTOS!$D$5:$D$400="jabas")*(MOVIMIENTOS!$A$5:$A$400&lt;&gt;"")*(MOVIMIENTOS!$A$5:$A$400&lt;=$A52)*MOVIMIENTOS!$E$5:$E$400)-SUMPRODUCT((MOVIMIENTOS!$B$5:$B$400="TRASIEGO")*(MOVIMIENTOS!$C$5:$C$400="A")*(MOVIMIENTOS!$D$5:$D$400="jabas")*(MOVIMIENTOS!$A$5:$A$400&lt;&gt;"")*(MOVIMIENTOS!$A$5:$A$400&lt;=$A52)*MOVIMIENTOS!$E$5:$E$400)-SUMPRODUCT((MOVIMIENTOS!$B$5:$B$400="REGALO")*(MOVIMIENTOS!$C$5:$C$400="A")*(MOVIMIENTOS!$D$5:$D$400="jabas")*(MOVIMIENTOS!$A$5:$A$400&lt;&gt;"")*(MOVIMIENTOS!$A$5:$A$400&lt;=$A52)*MOVIMIENTOS!$E$5:$E$400)-SUMPRODUCT((MOVIMIENTOS!$B$5:$B$400="VENTA")*(MOVIMIENTOS!$C$5:$C$400="A")*(MOVIMIENTOS!$D$5:$D$400="jabas")*(MOVIMIENTOS!$A$5:$A$400&lt;&gt;"")*(MOVIMIENTOS!$A$5:$A$400&lt;=$A52)*MOVIMIENTOS!$E$5:$E$400)+SUMPRODUCT((MOVIMIENTOS!$B$5:$B$400="AJUSTE")*(MOVIMIENTOS!$C$5:$C$400="A")*(MOVIMIENTOS!$D$5:$D$400="jabas")*(MOVIMIENTOS!$A$5:$A$400&lt;&gt;"")*(MOVIMIENTOS!$A$5:$A$400&lt;=$A52)*MOVIMIENTOS!$E$5:$E$400))</f>
        <v/>
      </c>
      <c r="C52" s="52" t="str">
        <f aca="false">IF($A52="","",SUMPRODUCT((MOVIMIENTOS!$B$5:$B$400="SALDO INICIAL")*(MOVIMIENTOS!$C$5:$C$400="P")*(MOVIMIENTOS!$D$5:$D$400="jabas")*(MOVIMIENTOS!$A$5:$A$400&lt;&gt;"")*(MOVIMIENTOS!$A$5:$A$400&lt;=$A52)*MOVIMIENTOS!$E$5:$E$400)+SUMPRODUCT((MOVIMIENTOS!$B$5:$B$400="PROCESO")*(MOVIMIENTOS!$C$5:$C$400="P")*(MOVIMIENTOS!$D$5:$D$400="jabas")*(MOVIMIENTOS!$A$5:$A$400&lt;&gt;"")*(MOVIMIENTOS!$A$5:$A$400&lt;=$A52)*MOVIMIENTOS!$E$5:$E$400)-SUMPRODUCT((MOVIMIENTOS!$B$5:$B$400="ENVÍO A SUPESA")*(MOVIMIENTOS!$C$5:$C$400="P")*(MOVIMIENTOS!$D$5:$D$400="jabas")*(MOVIMIENTOS!$A$5:$A$400&lt;&gt;"")*(MOVIMIENTOS!$A$5:$A$400&lt;=$A52)*MOVIMIENTOS!$E$5:$E$400)+SUMPRODUCT((MOVIMIENTOS!$B$5:$B$400="DEVOLUCIÓN")*(MOVIMIENTOS!$C$5:$C$400="P")*(MOVIMIENTOS!$D$5:$D$400="jabas")*(MOVIMIENTOS!$A$5:$A$400&lt;&gt;"")*(MOVIMIENTOS!$A$5:$A$400&lt;=$A52)*MOVIMIENTOS!$E$5:$E$400)-SUMPRODUCT((MOVIMIENTOS!$B$5:$B$400="TRASIEGO")*(MOVIMIENTOS!$C$5:$C$400="P")*(MOVIMIENTOS!$D$5:$D$400="jabas")*(MOVIMIENTOS!$A$5:$A$400&lt;&gt;"")*(MOVIMIENTOS!$A$5:$A$400&lt;=$A52)*MOVIMIENTOS!$E$5:$E$400)-SUMPRODUCT((MOVIMIENTOS!$B$5:$B$400="REGALO")*(MOVIMIENTOS!$C$5:$C$400="P")*(MOVIMIENTOS!$D$5:$D$400="jabas")*(MOVIMIENTOS!$A$5:$A$400&lt;&gt;"")*(MOVIMIENTOS!$A$5:$A$400&lt;=$A52)*MOVIMIENTOS!$E$5:$E$400)-SUMPRODUCT((MOVIMIENTOS!$B$5:$B$400="VENTA")*(MOVIMIENTOS!$C$5:$C$400="P")*(MOVIMIENTOS!$D$5:$D$400="jabas")*(MOVIMIENTOS!$A$5:$A$400&lt;&gt;"")*(MOVIMIENTOS!$A$5:$A$400&lt;=$A52)*MOVIMIENTOS!$E$5:$E$400)+SUMPRODUCT((MOVIMIENTOS!$B$5:$B$400="AJUSTE")*(MOVIMIENTOS!$C$5:$C$400="P")*(MOVIMIENTOS!$D$5:$D$400="jabas")*(MOVIMIENTOS!$A$5:$A$400&lt;&gt;"")*(MOVIMIENTOS!$A$5:$A$400&lt;=$A52)*MOVIMIENTOS!$E$5:$E$400))</f>
        <v/>
      </c>
      <c r="D52" s="52" t="str">
        <f aca="false">IF($A52="","",SUMPRODUCT((MOVIMIENTOS!$B$5:$B$400="SALDO INICIAL")*(MOVIMIENTOS!$C$5:$C$400="C")*(MOVIMIENTOS!$D$5:$D$400="jabas")*(MOVIMIENTOS!$A$5:$A$400&lt;&gt;"")*(MOVIMIENTOS!$A$5:$A$400&lt;=$A52)*MOVIMIENTOS!$E$5:$E$400)+SUMPRODUCT((MOVIMIENTOS!$B$5:$B$400="PROCESO")*(MOVIMIENTOS!$C$5:$C$400="C")*(MOVIMIENTOS!$D$5:$D$400="jabas")*(MOVIMIENTOS!$A$5:$A$400&lt;&gt;"")*(MOVIMIENTOS!$A$5:$A$400&lt;=$A52)*MOVIMIENTOS!$E$5:$E$400)-SUMPRODUCT((MOVIMIENTOS!$B$5:$B$400="ENVÍO A SUPESA")*(MOVIMIENTOS!$C$5:$C$400="C")*(MOVIMIENTOS!$D$5:$D$400="jabas")*(MOVIMIENTOS!$A$5:$A$400&lt;&gt;"")*(MOVIMIENTOS!$A$5:$A$400&lt;=$A52)*MOVIMIENTOS!$E$5:$E$400)+SUMPRODUCT((MOVIMIENTOS!$B$5:$B$400="DEVOLUCIÓN")*(MOVIMIENTOS!$C$5:$C$400="C")*(MOVIMIENTOS!$D$5:$D$400="jabas")*(MOVIMIENTOS!$A$5:$A$400&lt;&gt;"")*(MOVIMIENTOS!$A$5:$A$400&lt;=$A52)*MOVIMIENTOS!$E$5:$E$400)-SUMPRODUCT((MOVIMIENTOS!$B$5:$B$400="TRASIEGO")*(MOVIMIENTOS!$C$5:$C$400="C")*(MOVIMIENTOS!$D$5:$D$400="jabas")*(MOVIMIENTOS!$A$5:$A$400&lt;&gt;"")*(MOVIMIENTOS!$A$5:$A$400&lt;=$A52)*MOVIMIENTOS!$E$5:$E$400)-SUMPRODUCT((MOVIMIENTOS!$B$5:$B$400="REGALO")*(MOVIMIENTOS!$C$5:$C$400="C")*(MOVIMIENTOS!$D$5:$D$400="jabas")*(MOVIMIENTOS!$A$5:$A$400&lt;&gt;"")*(MOVIMIENTOS!$A$5:$A$400&lt;=$A52)*MOVIMIENTOS!$E$5:$E$400)-SUMPRODUCT((MOVIMIENTOS!$B$5:$B$400="VENTA")*(MOVIMIENTOS!$C$5:$C$400="C")*(MOVIMIENTOS!$D$5:$D$400="jabas")*(MOVIMIENTOS!$A$5:$A$400&lt;&gt;"")*(MOVIMIENTOS!$A$5:$A$400&lt;=$A52)*MOVIMIENTOS!$E$5:$E$400)+SUMPRODUCT((MOVIMIENTOS!$B$5:$B$400="AJUSTE")*(MOVIMIENTOS!$C$5:$C$400="C")*(MOVIMIENTOS!$D$5:$D$400="jabas")*(MOVIMIENTOS!$A$5:$A$400&lt;&gt;"")*(MOVIMIENTOS!$A$5:$A$400&lt;=$A52)*MOVIMIENTOS!$E$5:$E$400))</f>
        <v/>
      </c>
      <c r="E52" s="52" t="str">
        <f aca="false">IF($A52="","",SUMPRODUCT((MOVIMIENTOS!$B$5:$B$400="SALDO INICIAL")*(MOVIMIENTOS!$C$5:$C$400="M")*(MOVIMIENTOS!$D$5:$D$400="jabas")*(MOVIMIENTOS!$A$5:$A$400&lt;&gt;"")*(MOVIMIENTOS!$A$5:$A$400&lt;=$A52)*MOVIMIENTOS!$E$5:$E$400)+SUMPRODUCT((MOVIMIENTOS!$B$5:$B$400="PROCESO")*(MOVIMIENTOS!$C$5:$C$400="M")*(MOVIMIENTOS!$D$5:$D$400="jabas")*(MOVIMIENTOS!$A$5:$A$400&lt;&gt;"")*(MOVIMIENTOS!$A$5:$A$400&lt;=$A52)*MOVIMIENTOS!$E$5:$E$400)-SUMPRODUCT((MOVIMIENTOS!$B$5:$B$400="ENVÍO A SUPESA")*(MOVIMIENTOS!$C$5:$C$400="M")*(MOVIMIENTOS!$D$5:$D$400="jabas")*(MOVIMIENTOS!$A$5:$A$400&lt;&gt;"")*(MOVIMIENTOS!$A$5:$A$400&lt;=$A52)*MOVIMIENTOS!$E$5:$E$400)+SUMPRODUCT((MOVIMIENTOS!$B$5:$B$400="DEVOLUCIÓN")*(MOVIMIENTOS!$C$5:$C$400="M")*(MOVIMIENTOS!$D$5:$D$400="jabas")*(MOVIMIENTOS!$A$5:$A$400&lt;&gt;"")*(MOVIMIENTOS!$A$5:$A$400&lt;=$A52)*MOVIMIENTOS!$E$5:$E$400)-SUMPRODUCT((MOVIMIENTOS!$B$5:$B$400="TRASIEGO")*(MOVIMIENTOS!$C$5:$C$400="M")*(MOVIMIENTOS!$D$5:$D$400="jabas")*(MOVIMIENTOS!$A$5:$A$400&lt;&gt;"")*(MOVIMIENTOS!$A$5:$A$400&lt;=$A52)*MOVIMIENTOS!$E$5:$E$400)-SUMPRODUCT((MOVIMIENTOS!$B$5:$B$400="REGALO")*(MOVIMIENTOS!$C$5:$C$400="M")*(MOVIMIENTOS!$D$5:$D$400="jabas")*(MOVIMIENTOS!$A$5:$A$400&lt;&gt;"")*(MOVIMIENTOS!$A$5:$A$400&lt;=$A52)*MOVIMIENTOS!$E$5:$E$400)-SUMPRODUCT((MOVIMIENTOS!$B$5:$B$400="VENTA")*(MOVIMIENTOS!$C$5:$C$400="M")*(MOVIMIENTOS!$D$5:$D$400="jabas")*(MOVIMIENTOS!$A$5:$A$400&lt;&gt;"")*(MOVIMIENTOS!$A$5:$A$400&lt;=$A52)*MOVIMIENTOS!$E$5:$E$400)+SUMPRODUCT((MOVIMIENTOS!$B$5:$B$400="AJUSTE")*(MOVIMIENTOS!$C$5:$C$400="M")*(MOVIMIENTOS!$D$5:$D$400="jabas")*(MOVIMIENTOS!$A$5:$A$400&lt;&gt;"")*(MOVIMIENTOS!$A$5:$A$400&lt;=$A52)*MOVIMIENTOS!$E$5:$E$400))</f>
        <v/>
      </c>
      <c r="F52" s="52" t="str">
        <f aca="false">IF($A52="","",SUMPRODUCT((MOVIMIENTOS!$B$5:$B$400="SALDO INICIAL")*(MOVIMIENTOS!$C$5:$C$400="Chancho")*(MOVIMIENTOS!$D$5:$D$400="sacos")*(MOVIMIENTOS!$A$5:$A$400&lt;&gt;"")*(MOVIMIENTOS!$A$5:$A$400&lt;=$A52)*MOVIMIENTOS!$E$5:$E$400)+SUMPRODUCT((MOVIMIENTOS!$B$5:$B$400="PROCESO")*(MOVIMIENTOS!$C$5:$C$400="Chancho")*(MOVIMIENTOS!$D$5:$D$400="sacos")*(MOVIMIENTOS!$A$5:$A$400&lt;&gt;"")*(MOVIMIENTOS!$A$5:$A$400&lt;=$A52)*MOVIMIENTOS!$E$5:$E$400)-SUMPRODUCT((MOVIMIENTOS!$B$5:$B$400="VENTA CHANCHO")*(MOVIMIENTOS!$C$5:$C$400="Chancho")*(MOVIMIENTOS!$D$5:$D$400="sacos")*(MOVIMIENTOS!$A$5:$A$400&lt;&gt;"")*(MOVIMIENTOS!$A$5:$A$400&lt;=$A52)*MOVIMIENTOS!$E$5:$E$400)-SUMPRODUCT((MOVIMIENTOS!$B$5:$B$400="REGALO")*(MOVIMIENTOS!$C$5:$C$400="Chancho")*(MOVIMIENTOS!$D$5:$D$400="sacos")*(MOVIMIENTOS!$A$5:$A$400&lt;&gt;"")*(MOVIMIENTOS!$A$5:$A$400&lt;=$A52)*MOVIMIENTOS!$E$5:$E$400)-SUMPRODUCT((MOVIMIENTOS!$B$5:$B$400="VENTA")*(MOVIMIENTOS!$C$5:$C$400="Chancho")*(MOVIMIENTOS!$D$5:$D$400="sacos")*(MOVIMIENTOS!$A$5:$A$400&lt;&gt;"")*(MOVIMIENTOS!$A$5:$A$400&lt;=$A52)*MOVIMIENTOS!$E$5:$E$400)+SUMPRODUCT((MOVIMIENTOS!$B$5:$B$400="AJUSTE")*(MOVIMIENTOS!$C$5:$C$400="Chancho")*(MOVIMIENTOS!$D$5:$D$400="sacos")*(MOVIMIENTOS!$A$5:$A$400&lt;&gt;"")*(MOVIMIENTOS!$A$5:$A$400&lt;=$A52)*MOVIMIENTOS!$E$5:$E$400))</f>
        <v/>
      </c>
      <c r="G52" s="52" t="str">
        <f aca="false">IF($A52="","",SUM(B52:E52))</f>
        <v/>
      </c>
      <c r="H52" s="52" t="str">
        <f aca="false">IF($A52="","",SUMPRODUCT((((MOVIMIENTOS!$B$5:$B$400="SALDO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52)*MOVIMIENTOS!$I$5:$I$400))</f>
        <v/>
      </c>
      <c r="I52" s="48"/>
      <c r="J52" s="48" t="str">
        <f aca="false">IF(AND(MOVIMIENTOS!$A52&lt;&gt;"",COUNTIF(MOVIMIENTOS!$A$5:$A51,MOVIMIENTOS!$A52)=0),COUNT(J$4:J51)+1,"")</f>
        <v/>
      </c>
      <c r="K52" s="53" t="n">
        <f aca="false">MOVIMIENTOS!$A52</f>
        <v>46219</v>
      </c>
      <c r="L52" s="48"/>
      <c r="M52" s="48"/>
      <c r="N52" s="48"/>
    </row>
    <row r="53" customFormat="false" ht="15" hidden="false" customHeight="true" outlineLevel="0" collapsed="false">
      <c r="A53" s="51" t="str">
        <f aca="false">IFERROR(INDEX(K$5:K$400,MATCH(ROW()-4,J$5:J$400,0)),"")</f>
        <v/>
      </c>
      <c r="B53" s="52" t="str">
        <f aca="false">IF($A53="","",SUMPRODUCT((MOVIMIENTOS!$B$5:$B$400="SALDO INICIAL")*(MOVIMIENTOS!$C$5:$C$400="A")*(MOVIMIENTOS!$D$5:$D$400="jabas")*(MOVIMIENTOS!$A$5:$A$400&lt;&gt;"")*(MOVIMIENTOS!$A$5:$A$400&lt;=$A53)*MOVIMIENTOS!$E$5:$E$400)+SUMPRODUCT((MOVIMIENTOS!$B$5:$B$400="PROCESO")*(MOVIMIENTOS!$C$5:$C$400="A")*(MOVIMIENTOS!$D$5:$D$400="jabas")*(MOVIMIENTOS!$A$5:$A$400&lt;&gt;"")*(MOVIMIENTOS!$A$5:$A$400&lt;=$A53)*MOVIMIENTOS!$E$5:$E$400)-SUMPRODUCT((MOVIMIENTOS!$B$5:$B$400="ENVÍO A SUPESA")*(MOVIMIENTOS!$C$5:$C$400="A")*(MOVIMIENTOS!$D$5:$D$400="jabas")*(MOVIMIENTOS!$A$5:$A$400&lt;&gt;"")*(MOVIMIENTOS!$A$5:$A$400&lt;=$A53)*MOVIMIENTOS!$E$5:$E$400)+SUMPRODUCT((MOVIMIENTOS!$B$5:$B$400="DEVOLUCIÓN")*(MOVIMIENTOS!$C$5:$C$400="A")*(MOVIMIENTOS!$D$5:$D$400="jabas")*(MOVIMIENTOS!$A$5:$A$400&lt;&gt;"")*(MOVIMIENTOS!$A$5:$A$400&lt;=$A53)*MOVIMIENTOS!$E$5:$E$400)-SUMPRODUCT((MOVIMIENTOS!$B$5:$B$400="TRASIEGO")*(MOVIMIENTOS!$C$5:$C$400="A")*(MOVIMIENTOS!$D$5:$D$400="jabas")*(MOVIMIENTOS!$A$5:$A$400&lt;&gt;"")*(MOVIMIENTOS!$A$5:$A$400&lt;=$A53)*MOVIMIENTOS!$E$5:$E$400)-SUMPRODUCT((MOVIMIENTOS!$B$5:$B$400="REGALO")*(MOVIMIENTOS!$C$5:$C$400="A")*(MOVIMIENTOS!$D$5:$D$400="jabas")*(MOVIMIENTOS!$A$5:$A$400&lt;&gt;"")*(MOVIMIENTOS!$A$5:$A$400&lt;=$A53)*MOVIMIENTOS!$E$5:$E$400)-SUMPRODUCT((MOVIMIENTOS!$B$5:$B$400="VENTA")*(MOVIMIENTOS!$C$5:$C$400="A")*(MOVIMIENTOS!$D$5:$D$400="jabas")*(MOVIMIENTOS!$A$5:$A$400&lt;&gt;"")*(MOVIMIENTOS!$A$5:$A$400&lt;=$A53)*MOVIMIENTOS!$E$5:$E$400)+SUMPRODUCT((MOVIMIENTOS!$B$5:$B$400="AJUSTE")*(MOVIMIENTOS!$C$5:$C$400="A")*(MOVIMIENTOS!$D$5:$D$400="jabas")*(MOVIMIENTOS!$A$5:$A$400&lt;&gt;"")*(MOVIMIENTOS!$A$5:$A$400&lt;=$A53)*MOVIMIENTOS!$E$5:$E$400))</f>
        <v/>
      </c>
      <c r="C53" s="52" t="str">
        <f aca="false">IF($A53="","",SUMPRODUCT((MOVIMIENTOS!$B$5:$B$400="SALDO INICIAL")*(MOVIMIENTOS!$C$5:$C$400="P")*(MOVIMIENTOS!$D$5:$D$400="jabas")*(MOVIMIENTOS!$A$5:$A$400&lt;&gt;"")*(MOVIMIENTOS!$A$5:$A$400&lt;=$A53)*MOVIMIENTOS!$E$5:$E$400)+SUMPRODUCT((MOVIMIENTOS!$B$5:$B$400="PROCESO")*(MOVIMIENTOS!$C$5:$C$400="P")*(MOVIMIENTOS!$D$5:$D$400="jabas")*(MOVIMIENTOS!$A$5:$A$400&lt;&gt;"")*(MOVIMIENTOS!$A$5:$A$400&lt;=$A53)*MOVIMIENTOS!$E$5:$E$400)-SUMPRODUCT((MOVIMIENTOS!$B$5:$B$400="ENVÍO A SUPESA")*(MOVIMIENTOS!$C$5:$C$400="P")*(MOVIMIENTOS!$D$5:$D$400="jabas")*(MOVIMIENTOS!$A$5:$A$400&lt;&gt;"")*(MOVIMIENTOS!$A$5:$A$400&lt;=$A53)*MOVIMIENTOS!$E$5:$E$400)+SUMPRODUCT((MOVIMIENTOS!$B$5:$B$400="DEVOLUCIÓN")*(MOVIMIENTOS!$C$5:$C$400="P")*(MOVIMIENTOS!$D$5:$D$400="jabas")*(MOVIMIENTOS!$A$5:$A$400&lt;&gt;"")*(MOVIMIENTOS!$A$5:$A$400&lt;=$A53)*MOVIMIENTOS!$E$5:$E$400)-SUMPRODUCT((MOVIMIENTOS!$B$5:$B$400="TRASIEGO")*(MOVIMIENTOS!$C$5:$C$400="P")*(MOVIMIENTOS!$D$5:$D$400="jabas")*(MOVIMIENTOS!$A$5:$A$400&lt;&gt;"")*(MOVIMIENTOS!$A$5:$A$400&lt;=$A53)*MOVIMIENTOS!$E$5:$E$400)-SUMPRODUCT((MOVIMIENTOS!$B$5:$B$400="REGALO")*(MOVIMIENTOS!$C$5:$C$400="P")*(MOVIMIENTOS!$D$5:$D$400="jabas")*(MOVIMIENTOS!$A$5:$A$400&lt;&gt;"")*(MOVIMIENTOS!$A$5:$A$400&lt;=$A53)*MOVIMIENTOS!$E$5:$E$400)-SUMPRODUCT((MOVIMIENTOS!$B$5:$B$400="VENTA")*(MOVIMIENTOS!$C$5:$C$400="P")*(MOVIMIENTOS!$D$5:$D$400="jabas")*(MOVIMIENTOS!$A$5:$A$400&lt;&gt;"")*(MOVIMIENTOS!$A$5:$A$400&lt;=$A53)*MOVIMIENTOS!$E$5:$E$400)+SUMPRODUCT((MOVIMIENTOS!$B$5:$B$400="AJUSTE")*(MOVIMIENTOS!$C$5:$C$400="P")*(MOVIMIENTOS!$D$5:$D$400="jabas")*(MOVIMIENTOS!$A$5:$A$400&lt;&gt;"")*(MOVIMIENTOS!$A$5:$A$400&lt;=$A53)*MOVIMIENTOS!$E$5:$E$400))</f>
        <v/>
      </c>
      <c r="D53" s="52" t="str">
        <f aca="false">IF($A53="","",SUMPRODUCT((MOVIMIENTOS!$B$5:$B$400="SALDO INICIAL")*(MOVIMIENTOS!$C$5:$C$400="C")*(MOVIMIENTOS!$D$5:$D$400="jabas")*(MOVIMIENTOS!$A$5:$A$400&lt;&gt;"")*(MOVIMIENTOS!$A$5:$A$400&lt;=$A53)*MOVIMIENTOS!$E$5:$E$400)+SUMPRODUCT((MOVIMIENTOS!$B$5:$B$400="PROCESO")*(MOVIMIENTOS!$C$5:$C$400="C")*(MOVIMIENTOS!$D$5:$D$400="jabas")*(MOVIMIENTOS!$A$5:$A$400&lt;&gt;"")*(MOVIMIENTOS!$A$5:$A$400&lt;=$A53)*MOVIMIENTOS!$E$5:$E$400)-SUMPRODUCT((MOVIMIENTOS!$B$5:$B$400="ENVÍO A SUPESA")*(MOVIMIENTOS!$C$5:$C$400="C")*(MOVIMIENTOS!$D$5:$D$400="jabas")*(MOVIMIENTOS!$A$5:$A$400&lt;&gt;"")*(MOVIMIENTOS!$A$5:$A$400&lt;=$A53)*MOVIMIENTOS!$E$5:$E$400)+SUMPRODUCT((MOVIMIENTOS!$B$5:$B$400="DEVOLUCIÓN")*(MOVIMIENTOS!$C$5:$C$400="C")*(MOVIMIENTOS!$D$5:$D$400="jabas")*(MOVIMIENTOS!$A$5:$A$400&lt;&gt;"")*(MOVIMIENTOS!$A$5:$A$400&lt;=$A53)*MOVIMIENTOS!$E$5:$E$400)-SUMPRODUCT((MOVIMIENTOS!$B$5:$B$400="TRASIEGO")*(MOVIMIENTOS!$C$5:$C$400="C")*(MOVIMIENTOS!$D$5:$D$400="jabas")*(MOVIMIENTOS!$A$5:$A$400&lt;&gt;"")*(MOVIMIENTOS!$A$5:$A$400&lt;=$A53)*MOVIMIENTOS!$E$5:$E$400)-SUMPRODUCT((MOVIMIENTOS!$B$5:$B$400="REGALO")*(MOVIMIENTOS!$C$5:$C$400="C")*(MOVIMIENTOS!$D$5:$D$400="jabas")*(MOVIMIENTOS!$A$5:$A$400&lt;&gt;"")*(MOVIMIENTOS!$A$5:$A$400&lt;=$A53)*MOVIMIENTOS!$E$5:$E$400)-SUMPRODUCT((MOVIMIENTOS!$B$5:$B$400="VENTA")*(MOVIMIENTOS!$C$5:$C$400="C")*(MOVIMIENTOS!$D$5:$D$400="jabas")*(MOVIMIENTOS!$A$5:$A$400&lt;&gt;"")*(MOVIMIENTOS!$A$5:$A$400&lt;=$A53)*MOVIMIENTOS!$E$5:$E$400)+SUMPRODUCT((MOVIMIENTOS!$B$5:$B$400="AJUSTE")*(MOVIMIENTOS!$C$5:$C$400="C")*(MOVIMIENTOS!$D$5:$D$400="jabas")*(MOVIMIENTOS!$A$5:$A$400&lt;&gt;"")*(MOVIMIENTOS!$A$5:$A$400&lt;=$A53)*MOVIMIENTOS!$E$5:$E$400))</f>
        <v/>
      </c>
      <c r="E53" s="52" t="str">
        <f aca="false">IF($A53="","",SUMPRODUCT((MOVIMIENTOS!$B$5:$B$400="SALDO INICIAL")*(MOVIMIENTOS!$C$5:$C$400="M")*(MOVIMIENTOS!$D$5:$D$400="jabas")*(MOVIMIENTOS!$A$5:$A$400&lt;&gt;"")*(MOVIMIENTOS!$A$5:$A$400&lt;=$A53)*MOVIMIENTOS!$E$5:$E$400)+SUMPRODUCT((MOVIMIENTOS!$B$5:$B$400="PROCESO")*(MOVIMIENTOS!$C$5:$C$400="M")*(MOVIMIENTOS!$D$5:$D$400="jabas")*(MOVIMIENTOS!$A$5:$A$400&lt;&gt;"")*(MOVIMIENTOS!$A$5:$A$400&lt;=$A53)*MOVIMIENTOS!$E$5:$E$400)-SUMPRODUCT((MOVIMIENTOS!$B$5:$B$400="ENVÍO A SUPESA")*(MOVIMIENTOS!$C$5:$C$400="M")*(MOVIMIENTOS!$D$5:$D$400="jabas")*(MOVIMIENTOS!$A$5:$A$400&lt;&gt;"")*(MOVIMIENTOS!$A$5:$A$400&lt;=$A53)*MOVIMIENTOS!$E$5:$E$400)+SUMPRODUCT((MOVIMIENTOS!$B$5:$B$400="DEVOLUCIÓN")*(MOVIMIENTOS!$C$5:$C$400="M")*(MOVIMIENTOS!$D$5:$D$400="jabas")*(MOVIMIENTOS!$A$5:$A$400&lt;&gt;"")*(MOVIMIENTOS!$A$5:$A$400&lt;=$A53)*MOVIMIENTOS!$E$5:$E$400)-SUMPRODUCT((MOVIMIENTOS!$B$5:$B$400="TRASIEGO")*(MOVIMIENTOS!$C$5:$C$400="M")*(MOVIMIENTOS!$D$5:$D$400="jabas")*(MOVIMIENTOS!$A$5:$A$400&lt;&gt;"")*(MOVIMIENTOS!$A$5:$A$400&lt;=$A53)*MOVIMIENTOS!$E$5:$E$400)-SUMPRODUCT((MOVIMIENTOS!$B$5:$B$400="REGALO")*(MOVIMIENTOS!$C$5:$C$400="M")*(MOVIMIENTOS!$D$5:$D$400="jabas")*(MOVIMIENTOS!$A$5:$A$400&lt;&gt;"")*(MOVIMIENTOS!$A$5:$A$400&lt;=$A53)*MOVIMIENTOS!$E$5:$E$400)-SUMPRODUCT((MOVIMIENTOS!$B$5:$B$400="VENTA")*(MOVIMIENTOS!$C$5:$C$400="M")*(MOVIMIENTOS!$D$5:$D$400="jabas")*(MOVIMIENTOS!$A$5:$A$400&lt;&gt;"")*(MOVIMIENTOS!$A$5:$A$400&lt;=$A53)*MOVIMIENTOS!$E$5:$E$400)+SUMPRODUCT((MOVIMIENTOS!$B$5:$B$400="AJUSTE")*(MOVIMIENTOS!$C$5:$C$400="M")*(MOVIMIENTOS!$D$5:$D$400="jabas")*(MOVIMIENTOS!$A$5:$A$400&lt;&gt;"")*(MOVIMIENTOS!$A$5:$A$400&lt;=$A53)*MOVIMIENTOS!$E$5:$E$400))</f>
        <v/>
      </c>
      <c r="F53" s="52" t="str">
        <f aca="false">IF($A53="","",SUMPRODUCT((MOVIMIENTOS!$B$5:$B$400="SALDO INICIAL")*(MOVIMIENTOS!$C$5:$C$400="Chancho")*(MOVIMIENTOS!$D$5:$D$400="sacos")*(MOVIMIENTOS!$A$5:$A$400&lt;&gt;"")*(MOVIMIENTOS!$A$5:$A$400&lt;=$A53)*MOVIMIENTOS!$E$5:$E$400)+SUMPRODUCT((MOVIMIENTOS!$B$5:$B$400="PROCESO")*(MOVIMIENTOS!$C$5:$C$400="Chancho")*(MOVIMIENTOS!$D$5:$D$400="sacos")*(MOVIMIENTOS!$A$5:$A$400&lt;&gt;"")*(MOVIMIENTOS!$A$5:$A$400&lt;=$A53)*MOVIMIENTOS!$E$5:$E$400)-SUMPRODUCT((MOVIMIENTOS!$B$5:$B$400="VENTA CHANCHO")*(MOVIMIENTOS!$C$5:$C$400="Chancho")*(MOVIMIENTOS!$D$5:$D$400="sacos")*(MOVIMIENTOS!$A$5:$A$400&lt;&gt;"")*(MOVIMIENTOS!$A$5:$A$400&lt;=$A53)*MOVIMIENTOS!$E$5:$E$400)-SUMPRODUCT((MOVIMIENTOS!$B$5:$B$400="REGALO")*(MOVIMIENTOS!$C$5:$C$400="Chancho")*(MOVIMIENTOS!$D$5:$D$400="sacos")*(MOVIMIENTOS!$A$5:$A$400&lt;&gt;"")*(MOVIMIENTOS!$A$5:$A$400&lt;=$A53)*MOVIMIENTOS!$E$5:$E$400)-SUMPRODUCT((MOVIMIENTOS!$B$5:$B$400="VENTA")*(MOVIMIENTOS!$C$5:$C$400="Chancho")*(MOVIMIENTOS!$D$5:$D$400="sacos")*(MOVIMIENTOS!$A$5:$A$400&lt;&gt;"")*(MOVIMIENTOS!$A$5:$A$400&lt;=$A53)*MOVIMIENTOS!$E$5:$E$400)+SUMPRODUCT((MOVIMIENTOS!$B$5:$B$400="AJUSTE")*(MOVIMIENTOS!$C$5:$C$400="Chancho")*(MOVIMIENTOS!$D$5:$D$400="sacos")*(MOVIMIENTOS!$A$5:$A$400&lt;&gt;"")*(MOVIMIENTOS!$A$5:$A$400&lt;=$A53)*MOVIMIENTOS!$E$5:$E$400))</f>
        <v/>
      </c>
      <c r="G53" s="52" t="str">
        <f aca="false">IF($A53="","",SUM(B53:E53))</f>
        <v/>
      </c>
      <c r="H53" s="52" t="str">
        <f aca="false">IF($A53="","",SUMPRODUCT((((MOVIMIENTOS!$B$5:$B$400="SALDO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53)*MOVIMIENTOS!$I$5:$I$400))</f>
        <v/>
      </c>
      <c r="I53" s="48"/>
      <c r="J53" s="48" t="str">
        <f aca="false">IF(AND(MOVIMIENTOS!$A53&lt;&gt;"",COUNTIF(MOVIMIENTOS!$A$5:$A52,MOVIMIENTOS!$A53)=0),COUNT(J$4:J52)+1,"")</f>
        <v/>
      </c>
      <c r="K53" s="53" t="n">
        <f aca="false">MOVIMIENTOS!$A53</f>
        <v>46219</v>
      </c>
      <c r="L53" s="48"/>
      <c r="M53" s="48"/>
      <c r="N53" s="48"/>
    </row>
    <row r="54" customFormat="false" ht="15" hidden="false" customHeight="true" outlineLevel="0" collapsed="false">
      <c r="A54" s="51" t="str">
        <f aca="false">IFERROR(INDEX(K$5:K$400,MATCH(ROW()-4,J$5:J$400,0)),"")</f>
        <v/>
      </c>
      <c r="B54" s="52" t="str">
        <f aca="false">IF($A54="","",SUMPRODUCT((MOVIMIENTOS!$B$5:$B$400="SALDO INICIAL")*(MOVIMIENTOS!$C$5:$C$400="A")*(MOVIMIENTOS!$D$5:$D$400="jabas")*(MOVIMIENTOS!$A$5:$A$400&lt;&gt;"")*(MOVIMIENTOS!$A$5:$A$400&lt;=$A54)*MOVIMIENTOS!$E$5:$E$400)+SUMPRODUCT((MOVIMIENTOS!$B$5:$B$400="PROCESO")*(MOVIMIENTOS!$C$5:$C$400="A")*(MOVIMIENTOS!$D$5:$D$400="jabas")*(MOVIMIENTOS!$A$5:$A$400&lt;&gt;"")*(MOVIMIENTOS!$A$5:$A$400&lt;=$A54)*MOVIMIENTOS!$E$5:$E$400)-SUMPRODUCT((MOVIMIENTOS!$B$5:$B$400="ENVÍO A SUPESA")*(MOVIMIENTOS!$C$5:$C$400="A")*(MOVIMIENTOS!$D$5:$D$400="jabas")*(MOVIMIENTOS!$A$5:$A$400&lt;&gt;"")*(MOVIMIENTOS!$A$5:$A$400&lt;=$A54)*MOVIMIENTOS!$E$5:$E$400)+SUMPRODUCT((MOVIMIENTOS!$B$5:$B$400="DEVOLUCIÓN")*(MOVIMIENTOS!$C$5:$C$400="A")*(MOVIMIENTOS!$D$5:$D$400="jabas")*(MOVIMIENTOS!$A$5:$A$400&lt;&gt;"")*(MOVIMIENTOS!$A$5:$A$400&lt;=$A54)*MOVIMIENTOS!$E$5:$E$400)-SUMPRODUCT((MOVIMIENTOS!$B$5:$B$400="TRASIEGO")*(MOVIMIENTOS!$C$5:$C$400="A")*(MOVIMIENTOS!$D$5:$D$400="jabas")*(MOVIMIENTOS!$A$5:$A$400&lt;&gt;"")*(MOVIMIENTOS!$A$5:$A$400&lt;=$A54)*MOVIMIENTOS!$E$5:$E$400)-SUMPRODUCT((MOVIMIENTOS!$B$5:$B$400="REGALO")*(MOVIMIENTOS!$C$5:$C$400="A")*(MOVIMIENTOS!$D$5:$D$400="jabas")*(MOVIMIENTOS!$A$5:$A$400&lt;&gt;"")*(MOVIMIENTOS!$A$5:$A$400&lt;=$A54)*MOVIMIENTOS!$E$5:$E$400)-SUMPRODUCT((MOVIMIENTOS!$B$5:$B$400="VENTA")*(MOVIMIENTOS!$C$5:$C$400="A")*(MOVIMIENTOS!$D$5:$D$400="jabas")*(MOVIMIENTOS!$A$5:$A$400&lt;&gt;"")*(MOVIMIENTOS!$A$5:$A$400&lt;=$A54)*MOVIMIENTOS!$E$5:$E$400)+SUMPRODUCT((MOVIMIENTOS!$B$5:$B$400="AJUSTE")*(MOVIMIENTOS!$C$5:$C$400="A")*(MOVIMIENTOS!$D$5:$D$400="jabas")*(MOVIMIENTOS!$A$5:$A$400&lt;&gt;"")*(MOVIMIENTOS!$A$5:$A$400&lt;=$A54)*MOVIMIENTOS!$E$5:$E$400))</f>
        <v/>
      </c>
      <c r="C54" s="52" t="str">
        <f aca="false">IF($A54="","",SUMPRODUCT((MOVIMIENTOS!$B$5:$B$400="SALDO INICIAL")*(MOVIMIENTOS!$C$5:$C$400="P")*(MOVIMIENTOS!$D$5:$D$400="jabas")*(MOVIMIENTOS!$A$5:$A$400&lt;&gt;"")*(MOVIMIENTOS!$A$5:$A$400&lt;=$A54)*MOVIMIENTOS!$E$5:$E$400)+SUMPRODUCT((MOVIMIENTOS!$B$5:$B$400="PROCESO")*(MOVIMIENTOS!$C$5:$C$400="P")*(MOVIMIENTOS!$D$5:$D$400="jabas")*(MOVIMIENTOS!$A$5:$A$400&lt;&gt;"")*(MOVIMIENTOS!$A$5:$A$400&lt;=$A54)*MOVIMIENTOS!$E$5:$E$400)-SUMPRODUCT((MOVIMIENTOS!$B$5:$B$400="ENVÍO A SUPESA")*(MOVIMIENTOS!$C$5:$C$400="P")*(MOVIMIENTOS!$D$5:$D$400="jabas")*(MOVIMIENTOS!$A$5:$A$400&lt;&gt;"")*(MOVIMIENTOS!$A$5:$A$400&lt;=$A54)*MOVIMIENTOS!$E$5:$E$400)+SUMPRODUCT((MOVIMIENTOS!$B$5:$B$400="DEVOLUCIÓN")*(MOVIMIENTOS!$C$5:$C$400="P")*(MOVIMIENTOS!$D$5:$D$400="jabas")*(MOVIMIENTOS!$A$5:$A$400&lt;&gt;"")*(MOVIMIENTOS!$A$5:$A$400&lt;=$A54)*MOVIMIENTOS!$E$5:$E$400)-SUMPRODUCT((MOVIMIENTOS!$B$5:$B$400="TRASIEGO")*(MOVIMIENTOS!$C$5:$C$400="P")*(MOVIMIENTOS!$D$5:$D$400="jabas")*(MOVIMIENTOS!$A$5:$A$400&lt;&gt;"")*(MOVIMIENTOS!$A$5:$A$400&lt;=$A54)*MOVIMIENTOS!$E$5:$E$400)-SUMPRODUCT((MOVIMIENTOS!$B$5:$B$400="REGALO")*(MOVIMIENTOS!$C$5:$C$400="P")*(MOVIMIENTOS!$D$5:$D$400="jabas")*(MOVIMIENTOS!$A$5:$A$400&lt;&gt;"")*(MOVIMIENTOS!$A$5:$A$400&lt;=$A54)*MOVIMIENTOS!$E$5:$E$400)-SUMPRODUCT((MOVIMIENTOS!$B$5:$B$400="VENTA")*(MOVIMIENTOS!$C$5:$C$400="P")*(MOVIMIENTOS!$D$5:$D$400="jabas")*(MOVIMIENTOS!$A$5:$A$400&lt;&gt;"")*(MOVIMIENTOS!$A$5:$A$400&lt;=$A54)*MOVIMIENTOS!$E$5:$E$400)+SUMPRODUCT((MOVIMIENTOS!$B$5:$B$400="AJUSTE")*(MOVIMIENTOS!$C$5:$C$400="P")*(MOVIMIENTOS!$D$5:$D$400="jabas")*(MOVIMIENTOS!$A$5:$A$400&lt;&gt;"")*(MOVIMIENTOS!$A$5:$A$400&lt;=$A54)*MOVIMIENTOS!$E$5:$E$400))</f>
        <v/>
      </c>
      <c r="D54" s="52" t="str">
        <f aca="false">IF($A54="","",SUMPRODUCT((MOVIMIENTOS!$B$5:$B$400="SALDO INICIAL")*(MOVIMIENTOS!$C$5:$C$400="C")*(MOVIMIENTOS!$D$5:$D$400="jabas")*(MOVIMIENTOS!$A$5:$A$400&lt;&gt;"")*(MOVIMIENTOS!$A$5:$A$400&lt;=$A54)*MOVIMIENTOS!$E$5:$E$400)+SUMPRODUCT((MOVIMIENTOS!$B$5:$B$400="PROCESO")*(MOVIMIENTOS!$C$5:$C$400="C")*(MOVIMIENTOS!$D$5:$D$400="jabas")*(MOVIMIENTOS!$A$5:$A$400&lt;&gt;"")*(MOVIMIENTOS!$A$5:$A$400&lt;=$A54)*MOVIMIENTOS!$E$5:$E$400)-SUMPRODUCT((MOVIMIENTOS!$B$5:$B$400="ENVÍO A SUPESA")*(MOVIMIENTOS!$C$5:$C$400="C")*(MOVIMIENTOS!$D$5:$D$400="jabas")*(MOVIMIENTOS!$A$5:$A$400&lt;&gt;"")*(MOVIMIENTOS!$A$5:$A$400&lt;=$A54)*MOVIMIENTOS!$E$5:$E$400)+SUMPRODUCT((MOVIMIENTOS!$B$5:$B$400="DEVOLUCIÓN")*(MOVIMIENTOS!$C$5:$C$400="C")*(MOVIMIENTOS!$D$5:$D$400="jabas")*(MOVIMIENTOS!$A$5:$A$400&lt;&gt;"")*(MOVIMIENTOS!$A$5:$A$400&lt;=$A54)*MOVIMIENTOS!$E$5:$E$400)-SUMPRODUCT((MOVIMIENTOS!$B$5:$B$400="TRASIEGO")*(MOVIMIENTOS!$C$5:$C$400="C")*(MOVIMIENTOS!$D$5:$D$400="jabas")*(MOVIMIENTOS!$A$5:$A$400&lt;&gt;"")*(MOVIMIENTOS!$A$5:$A$400&lt;=$A54)*MOVIMIENTOS!$E$5:$E$400)-SUMPRODUCT((MOVIMIENTOS!$B$5:$B$400="REGALO")*(MOVIMIENTOS!$C$5:$C$400="C")*(MOVIMIENTOS!$D$5:$D$400="jabas")*(MOVIMIENTOS!$A$5:$A$400&lt;&gt;"")*(MOVIMIENTOS!$A$5:$A$400&lt;=$A54)*MOVIMIENTOS!$E$5:$E$400)-SUMPRODUCT((MOVIMIENTOS!$B$5:$B$400="VENTA")*(MOVIMIENTOS!$C$5:$C$400="C")*(MOVIMIENTOS!$D$5:$D$400="jabas")*(MOVIMIENTOS!$A$5:$A$400&lt;&gt;"")*(MOVIMIENTOS!$A$5:$A$400&lt;=$A54)*MOVIMIENTOS!$E$5:$E$400)+SUMPRODUCT((MOVIMIENTOS!$B$5:$B$400="AJUSTE")*(MOVIMIENTOS!$C$5:$C$400="C")*(MOVIMIENTOS!$D$5:$D$400="jabas")*(MOVIMIENTOS!$A$5:$A$400&lt;&gt;"")*(MOVIMIENTOS!$A$5:$A$400&lt;=$A54)*MOVIMIENTOS!$E$5:$E$400))</f>
        <v/>
      </c>
      <c r="E54" s="52" t="str">
        <f aca="false">IF($A54="","",SUMPRODUCT((MOVIMIENTOS!$B$5:$B$400="SALDO INICIAL")*(MOVIMIENTOS!$C$5:$C$400="M")*(MOVIMIENTOS!$D$5:$D$400="jabas")*(MOVIMIENTOS!$A$5:$A$400&lt;&gt;"")*(MOVIMIENTOS!$A$5:$A$400&lt;=$A54)*MOVIMIENTOS!$E$5:$E$400)+SUMPRODUCT((MOVIMIENTOS!$B$5:$B$400="PROCESO")*(MOVIMIENTOS!$C$5:$C$400="M")*(MOVIMIENTOS!$D$5:$D$400="jabas")*(MOVIMIENTOS!$A$5:$A$400&lt;&gt;"")*(MOVIMIENTOS!$A$5:$A$400&lt;=$A54)*MOVIMIENTOS!$E$5:$E$400)-SUMPRODUCT((MOVIMIENTOS!$B$5:$B$400="ENVÍO A SUPESA")*(MOVIMIENTOS!$C$5:$C$400="M")*(MOVIMIENTOS!$D$5:$D$400="jabas")*(MOVIMIENTOS!$A$5:$A$400&lt;&gt;"")*(MOVIMIENTOS!$A$5:$A$400&lt;=$A54)*MOVIMIENTOS!$E$5:$E$400)+SUMPRODUCT((MOVIMIENTOS!$B$5:$B$400="DEVOLUCIÓN")*(MOVIMIENTOS!$C$5:$C$400="M")*(MOVIMIENTOS!$D$5:$D$400="jabas")*(MOVIMIENTOS!$A$5:$A$400&lt;&gt;"")*(MOVIMIENTOS!$A$5:$A$400&lt;=$A54)*MOVIMIENTOS!$E$5:$E$400)-SUMPRODUCT((MOVIMIENTOS!$B$5:$B$400="TRASIEGO")*(MOVIMIENTOS!$C$5:$C$400="M")*(MOVIMIENTOS!$D$5:$D$400="jabas")*(MOVIMIENTOS!$A$5:$A$400&lt;&gt;"")*(MOVIMIENTOS!$A$5:$A$400&lt;=$A54)*MOVIMIENTOS!$E$5:$E$400)-SUMPRODUCT((MOVIMIENTOS!$B$5:$B$400="REGALO")*(MOVIMIENTOS!$C$5:$C$400="M")*(MOVIMIENTOS!$D$5:$D$400="jabas")*(MOVIMIENTOS!$A$5:$A$400&lt;&gt;"")*(MOVIMIENTOS!$A$5:$A$400&lt;=$A54)*MOVIMIENTOS!$E$5:$E$400)-SUMPRODUCT((MOVIMIENTOS!$B$5:$B$400="VENTA")*(MOVIMIENTOS!$C$5:$C$400="M")*(MOVIMIENTOS!$D$5:$D$400="jabas")*(MOVIMIENTOS!$A$5:$A$400&lt;&gt;"")*(MOVIMIENTOS!$A$5:$A$400&lt;=$A54)*MOVIMIENTOS!$E$5:$E$400)+SUMPRODUCT((MOVIMIENTOS!$B$5:$B$400="AJUSTE")*(MOVIMIENTOS!$C$5:$C$400="M")*(MOVIMIENTOS!$D$5:$D$400="jabas")*(MOVIMIENTOS!$A$5:$A$400&lt;&gt;"")*(MOVIMIENTOS!$A$5:$A$400&lt;=$A54)*MOVIMIENTOS!$E$5:$E$400))</f>
        <v/>
      </c>
      <c r="F54" s="52" t="str">
        <f aca="false">IF($A54="","",SUMPRODUCT((MOVIMIENTOS!$B$5:$B$400="SALDO INICIAL")*(MOVIMIENTOS!$C$5:$C$400="Chancho")*(MOVIMIENTOS!$D$5:$D$400="sacos")*(MOVIMIENTOS!$A$5:$A$400&lt;&gt;"")*(MOVIMIENTOS!$A$5:$A$400&lt;=$A54)*MOVIMIENTOS!$E$5:$E$400)+SUMPRODUCT((MOVIMIENTOS!$B$5:$B$400="PROCESO")*(MOVIMIENTOS!$C$5:$C$400="Chancho")*(MOVIMIENTOS!$D$5:$D$400="sacos")*(MOVIMIENTOS!$A$5:$A$400&lt;&gt;"")*(MOVIMIENTOS!$A$5:$A$400&lt;=$A54)*MOVIMIENTOS!$E$5:$E$400)-SUMPRODUCT((MOVIMIENTOS!$B$5:$B$400="VENTA CHANCHO")*(MOVIMIENTOS!$C$5:$C$400="Chancho")*(MOVIMIENTOS!$D$5:$D$400="sacos")*(MOVIMIENTOS!$A$5:$A$400&lt;&gt;"")*(MOVIMIENTOS!$A$5:$A$400&lt;=$A54)*MOVIMIENTOS!$E$5:$E$400)-SUMPRODUCT((MOVIMIENTOS!$B$5:$B$400="REGALO")*(MOVIMIENTOS!$C$5:$C$400="Chancho")*(MOVIMIENTOS!$D$5:$D$400="sacos")*(MOVIMIENTOS!$A$5:$A$400&lt;&gt;"")*(MOVIMIENTOS!$A$5:$A$400&lt;=$A54)*MOVIMIENTOS!$E$5:$E$400)-SUMPRODUCT((MOVIMIENTOS!$B$5:$B$400="VENTA")*(MOVIMIENTOS!$C$5:$C$400="Chancho")*(MOVIMIENTOS!$D$5:$D$400="sacos")*(MOVIMIENTOS!$A$5:$A$400&lt;&gt;"")*(MOVIMIENTOS!$A$5:$A$400&lt;=$A54)*MOVIMIENTOS!$E$5:$E$400)+SUMPRODUCT((MOVIMIENTOS!$B$5:$B$400="AJUSTE")*(MOVIMIENTOS!$C$5:$C$400="Chancho")*(MOVIMIENTOS!$D$5:$D$400="sacos")*(MOVIMIENTOS!$A$5:$A$400&lt;&gt;"")*(MOVIMIENTOS!$A$5:$A$400&lt;=$A54)*MOVIMIENTOS!$E$5:$E$400))</f>
        <v/>
      </c>
      <c r="G54" s="52" t="str">
        <f aca="false">IF($A54="","",SUM(B54:E54))</f>
        <v/>
      </c>
      <c r="H54" s="52" t="str">
        <f aca="false">IF($A54="","",SUMPRODUCT((((MOVIMIENTOS!$B$5:$B$400="SALDO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54)*MOVIMIENTOS!$I$5:$I$400))</f>
        <v/>
      </c>
      <c r="I54" s="48"/>
      <c r="J54" s="48" t="str">
        <f aca="false">IF(AND(MOVIMIENTOS!$A54&lt;&gt;"",COUNTIF(MOVIMIENTOS!$A$5:$A53,MOVIMIENTOS!$A54)=0),COUNT(J$4:J53)+1,"")</f>
        <v/>
      </c>
      <c r="K54" s="53" t="n">
        <f aca="false">MOVIMIENTOS!$A54</f>
        <v>46219</v>
      </c>
      <c r="L54" s="48"/>
      <c r="M54" s="48"/>
      <c r="N54" s="48"/>
    </row>
    <row r="55" customFormat="false" ht="15" hidden="false" customHeight="true" outlineLevel="0" collapsed="false">
      <c r="A55" s="51" t="str">
        <f aca="false">IFERROR(INDEX(K$5:K$400,MATCH(ROW()-4,J$5:J$400,0)),"")</f>
        <v/>
      </c>
      <c r="B55" s="52" t="str">
        <f aca="false">IF($A55="","",SUMPRODUCT((MOVIMIENTOS!$B$5:$B$400="SALDO INICIAL")*(MOVIMIENTOS!$C$5:$C$400="A")*(MOVIMIENTOS!$D$5:$D$400="jabas")*(MOVIMIENTOS!$A$5:$A$400&lt;&gt;"")*(MOVIMIENTOS!$A$5:$A$400&lt;=$A55)*MOVIMIENTOS!$E$5:$E$400)+SUMPRODUCT((MOVIMIENTOS!$B$5:$B$400="PROCESO")*(MOVIMIENTOS!$C$5:$C$400="A")*(MOVIMIENTOS!$D$5:$D$400="jabas")*(MOVIMIENTOS!$A$5:$A$400&lt;&gt;"")*(MOVIMIENTOS!$A$5:$A$400&lt;=$A55)*MOVIMIENTOS!$E$5:$E$400)-SUMPRODUCT((MOVIMIENTOS!$B$5:$B$400="ENVÍO A SUPESA")*(MOVIMIENTOS!$C$5:$C$400="A")*(MOVIMIENTOS!$D$5:$D$400="jabas")*(MOVIMIENTOS!$A$5:$A$400&lt;&gt;"")*(MOVIMIENTOS!$A$5:$A$400&lt;=$A55)*MOVIMIENTOS!$E$5:$E$400)+SUMPRODUCT((MOVIMIENTOS!$B$5:$B$400="DEVOLUCIÓN")*(MOVIMIENTOS!$C$5:$C$400="A")*(MOVIMIENTOS!$D$5:$D$400="jabas")*(MOVIMIENTOS!$A$5:$A$400&lt;&gt;"")*(MOVIMIENTOS!$A$5:$A$400&lt;=$A55)*MOVIMIENTOS!$E$5:$E$400)-SUMPRODUCT((MOVIMIENTOS!$B$5:$B$400="TRASIEGO")*(MOVIMIENTOS!$C$5:$C$400="A")*(MOVIMIENTOS!$D$5:$D$400="jabas")*(MOVIMIENTOS!$A$5:$A$400&lt;&gt;"")*(MOVIMIENTOS!$A$5:$A$400&lt;=$A55)*MOVIMIENTOS!$E$5:$E$400)-SUMPRODUCT((MOVIMIENTOS!$B$5:$B$400="REGALO")*(MOVIMIENTOS!$C$5:$C$400="A")*(MOVIMIENTOS!$D$5:$D$400="jabas")*(MOVIMIENTOS!$A$5:$A$400&lt;&gt;"")*(MOVIMIENTOS!$A$5:$A$400&lt;=$A55)*MOVIMIENTOS!$E$5:$E$400)-SUMPRODUCT((MOVIMIENTOS!$B$5:$B$400="VENTA")*(MOVIMIENTOS!$C$5:$C$400="A")*(MOVIMIENTOS!$D$5:$D$400="jabas")*(MOVIMIENTOS!$A$5:$A$400&lt;&gt;"")*(MOVIMIENTOS!$A$5:$A$400&lt;=$A55)*MOVIMIENTOS!$E$5:$E$400)+SUMPRODUCT((MOVIMIENTOS!$B$5:$B$400="AJUSTE")*(MOVIMIENTOS!$C$5:$C$400="A")*(MOVIMIENTOS!$D$5:$D$400="jabas")*(MOVIMIENTOS!$A$5:$A$400&lt;&gt;"")*(MOVIMIENTOS!$A$5:$A$400&lt;=$A55)*MOVIMIENTOS!$E$5:$E$400))</f>
        <v/>
      </c>
      <c r="C55" s="52" t="str">
        <f aca="false">IF($A55="","",SUMPRODUCT((MOVIMIENTOS!$B$5:$B$400="SALDO INICIAL")*(MOVIMIENTOS!$C$5:$C$400="P")*(MOVIMIENTOS!$D$5:$D$400="jabas")*(MOVIMIENTOS!$A$5:$A$400&lt;&gt;"")*(MOVIMIENTOS!$A$5:$A$400&lt;=$A55)*MOVIMIENTOS!$E$5:$E$400)+SUMPRODUCT((MOVIMIENTOS!$B$5:$B$400="PROCESO")*(MOVIMIENTOS!$C$5:$C$400="P")*(MOVIMIENTOS!$D$5:$D$400="jabas")*(MOVIMIENTOS!$A$5:$A$400&lt;&gt;"")*(MOVIMIENTOS!$A$5:$A$400&lt;=$A55)*MOVIMIENTOS!$E$5:$E$400)-SUMPRODUCT((MOVIMIENTOS!$B$5:$B$400="ENVÍO A SUPESA")*(MOVIMIENTOS!$C$5:$C$400="P")*(MOVIMIENTOS!$D$5:$D$400="jabas")*(MOVIMIENTOS!$A$5:$A$400&lt;&gt;"")*(MOVIMIENTOS!$A$5:$A$400&lt;=$A55)*MOVIMIENTOS!$E$5:$E$400)+SUMPRODUCT((MOVIMIENTOS!$B$5:$B$400="DEVOLUCIÓN")*(MOVIMIENTOS!$C$5:$C$400="P")*(MOVIMIENTOS!$D$5:$D$400="jabas")*(MOVIMIENTOS!$A$5:$A$400&lt;&gt;"")*(MOVIMIENTOS!$A$5:$A$400&lt;=$A55)*MOVIMIENTOS!$E$5:$E$400)-SUMPRODUCT((MOVIMIENTOS!$B$5:$B$400="TRASIEGO")*(MOVIMIENTOS!$C$5:$C$400="P")*(MOVIMIENTOS!$D$5:$D$400="jabas")*(MOVIMIENTOS!$A$5:$A$400&lt;&gt;"")*(MOVIMIENTOS!$A$5:$A$400&lt;=$A55)*MOVIMIENTOS!$E$5:$E$400)-SUMPRODUCT((MOVIMIENTOS!$B$5:$B$400="REGALO")*(MOVIMIENTOS!$C$5:$C$400="P")*(MOVIMIENTOS!$D$5:$D$400="jabas")*(MOVIMIENTOS!$A$5:$A$400&lt;&gt;"")*(MOVIMIENTOS!$A$5:$A$400&lt;=$A55)*MOVIMIENTOS!$E$5:$E$400)-SUMPRODUCT((MOVIMIENTOS!$B$5:$B$400="VENTA")*(MOVIMIENTOS!$C$5:$C$400="P")*(MOVIMIENTOS!$D$5:$D$400="jabas")*(MOVIMIENTOS!$A$5:$A$400&lt;&gt;"")*(MOVIMIENTOS!$A$5:$A$400&lt;=$A55)*MOVIMIENTOS!$E$5:$E$400)+SUMPRODUCT((MOVIMIENTOS!$B$5:$B$400="AJUSTE")*(MOVIMIENTOS!$C$5:$C$400="P")*(MOVIMIENTOS!$D$5:$D$400="jabas")*(MOVIMIENTOS!$A$5:$A$400&lt;&gt;"")*(MOVIMIENTOS!$A$5:$A$400&lt;=$A55)*MOVIMIENTOS!$E$5:$E$400))</f>
        <v/>
      </c>
      <c r="D55" s="52" t="str">
        <f aca="false">IF($A55="","",SUMPRODUCT((MOVIMIENTOS!$B$5:$B$400="SALDO INICIAL")*(MOVIMIENTOS!$C$5:$C$400="C")*(MOVIMIENTOS!$D$5:$D$400="jabas")*(MOVIMIENTOS!$A$5:$A$400&lt;&gt;"")*(MOVIMIENTOS!$A$5:$A$400&lt;=$A55)*MOVIMIENTOS!$E$5:$E$400)+SUMPRODUCT((MOVIMIENTOS!$B$5:$B$400="PROCESO")*(MOVIMIENTOS!$C$5:$C$400="C")*(MOVIMIENTOS!$D$5:$D$400="jabas")*(MOVIMIENTOS!$A$5:$A$400&lt;&gt;"")*(MOVIMIENTOS!$A$5:$A$400&lt;=$A55)*MOVIMIENTOS!$E$5:$E$400)-SUMPRODUCT((MOVIMIENTOS!$B$5:$B$400="ENVÍO A SUPESA")*(MOVIMIENTOS!$C$5:$C$400="C")*(MOVIMIENTOS!$D$5:$D$400="jabas")*(MOVIMIENTOS!$A$5:$A$400&lt;&gt;"")*(MOVIMIENTOS!$A$5:$A$400&lt;=$A55)*MOVIMIENTOS!$E$5:$E$400)+SUMPRODUCT((MOVIMIENTOS!$B$5:$B$400="DEVOLUCIÓN")*(MOVIMIENTOS!$C$5:$C$400="C")*(MOVIMIENTOS!$D$5:$D$400="jabas")*(MOVIMIENTOS!$A$5:$A$400&lt;&gt;"")*(MOVIMIENTOS!$A$5:$A$400&lt;=$A55)*MOVIMIENTOS!$E$5:$E$400)-SUMPRODUCT((MOVIMIENTOS!$B$5:$B$400="TRASIEGO")*(MOVIMIENTOS!$C$5:$C$400="C")*(MOVIMIENTOS!$D$5:$D$400="jabas")*(MOVIMIENTOS!$A$5:$A$400&lt;&gt;"")*(MOVIMIENTOS!$A$5:$A$400&lt;=$A55)*MOVIMIENTOS!$E$5:$E$400)-SUMPRODUCT((MOVIMIENTOS!$B$5:$B$400="REGALO")*(MOVIMIENTOS!$C$5:$C$400="C")*(MOVIMIENTOS!$D$5:$D$400="jabas")*(MOVIMIENTOS!$A$5:$A$400&lt;&gt;"")*(MOVIMIENTOS!$A$5:$A$400&lt;=$A55)*MOVIMIENTOS!$E$5:$E$400)-SUMPRODUCT((MOVIMIENTOS!$B$5:$B$400="VENTA")*(MOVIMIENTOS!$C$5:$C$400="C")*(MOVIMIENTOS!$D$5:$D$400="jabas")*(MOVIMIENTOS!$A$5:$A$400&lt;&gt;"")*(MOVIMIENTOS!$A$5:$A$400&lt;=$A55)*MOVIMIENTOS!$E$5:$E$400)+SUMPRODUCT((MOVIMIENTOS!$B$5:$B$400="AJUSTE")*(MOVIMIENTOS!$C$5:$C$400="C")*(MOVIMIENTOS!$D$5:$D$400="jabas")*(MOVIMIENTOS!$A$5:$A$400&lt;&gt;"")*(MOVIMIENTOS!$A$5:$A$400&lt;=$A55)*MOVIMIENTOS!$E$5:$E$400))</f>
        <v/>
      </c>
      <c r="E55" s="52" t="str">
        <f aca="false">IF($A55="","",SUMPRODUCT((MOVIMIENTOS!$B$5:$B$400="SALDO INICIAL")*(MOVIMIENTOS!$C$5:$C$400="M")*(MOVIMIENTOS!$D$5:$D$400="jabas")*(MOVIMIENTOS!$A$5:$A$400&lt;&gt;"")*(MOVIMIENTOS!$A$5:$A$400&lt;=$A55)*MOVIMIENTOS!$E$5:$E$400)+SUMPRODUCT((MOVIMIENTOS!$B$5:$B$400="PROCESO")*(MOVIMIENTOS!$C$5:$C$400="M")*(MOVIMIENTOS!$D$5:$D$400="jabas")*(MOVIMIENTOS!$A$5:$A$400&lt;&gt;"")*(MOVIMIENTOS!$A$5:$A$400&lt;=$A55)*MOVIMIENTOS!$E$5:$E$400)-SUMPRODUCT((MOVIMIENTOS!$B$5:$B$400="ENVÍO A SUPESA")*(MOVIMIENTOS!$C$5:$C$400="M")*(MOVIMIENTOS!$D$5:$D$400="jabas")*(MOVIMIENTOS!$A$5:$A$400&lt;&gt;"")*(MOVIMIENTOS!$A$5:$A$400&lt;=$A55)*MOVIMIENTOS!$E$5:$E$400)+SUMPRODUCT((MOVIMIENTOS!$B$5:$B$400="DEVOLUCIÓN")*(MOVIMIENTOS!$C$5:$C$400="M")*(MOVIMIENTOS!$D$5:$D$400="jabas")*(MOVIMIENTOS!$A$5:$A$400&lt;&gt;"")*(MOVIMIENTOS!$A$5:$A$400&lt;=$A55)*MOVIMIENTOS!$E$5:$E$400)-SUMPRODUCT((MOVIMIENTOS!$B$5:$B$400="TRASIEGO")*(MOVIMIENTOS!$C$5:$C$400="M")*(MOVIMIENTOS!$D$5:$D$400="jabas")*(MOVIMIENTOS!$A$5:$A$400&lt;&gt;"")*(MOVIMIENTOS!$A$5:$A$400&lt;=$A55)*MOVIMIENTOS!$E$5:$E$400)-SUMPRODUCT((MOVIMIENTOS!$B$5:$B$400="REGALO")*(MOVIMIENTOS!$C$5:$C$400="M")*(MOVIMIENTOS!$D$5:$D$400="jabas")*(MOVIMIENTOS!$A$5:$A$400&lt;&gt;"")*(MOVIMIENTOS!$A$5:$A$400&lt;=$A55)*MOVIMIENTOS!$E$5:$E$400)-SUMPRODUCT((MOVIMIENTOS!$B$5:$B$400="VENTA")*(MOVIMIENTOS!$C$5:$C$400="M")*(MOVIMIENTOS!$D$5:$D$400="jabas")*(MOVIMIENTOS!$A$5:$A$400&lt;&gt;"")*(MOVIMIENTOS!$A$5:$A$400&lt;=$A55)*MOVIMIENTOS!$E$5:$E$400)+SUMPRODUCT((MOVIMIENTOS!$B$5:$B$400="AJUSTE")*(MOVIMIENTOS!$C$5:$C$400="M")*(MOVIMIENTOS!$D$5:$D$400="jabas")*(MOVIMIENTOS!$A$5:$A$400&lt;&gt;"")*(MOVIMIENTOS!$A$5:$A$400&lt;=$A55)*MOVIMIENTOS!$E$5:$E$400))</f>
        <v/>
      </c>
      <c r="F55" s="52" t="str">
        <f aca="false">IF($A55="","",SUMPRODUCT((MOVIMIENTOS!$B$5:$B$400="SALDO INICIAL")*(MOVIMIENTOS!$C$5:$C$400="Chancho")*(MOVIMIENTOS!$D$5:$D$400="sacos")*(MOVIMIENTOS!$A$5:$A$400&lt;&gt;"")*(MOVIMIENTOS!$A$5:$A$400&lt;=$A55)*MOVIMIENTOS!$E$5:$E$400)+SUMPRODUCT((MOVIMIENTOS!$B$5:$B$400="PROCESO")*(MOVIMIENTOS!$C$5:$C$400="Chancho")*(MOVIMIENTOS!$D$5:$D$400="sacos")*(MOVIMIENTOS!$A$5:$A$400&lt;&gt;"")*(MOVIMIENTOS!$A$5:$A$400&lt;=$A55)*MOVIMIENTOS!$E$5:$E$400)-SUMPRODUCT((MOVIMIENTOS!$B$5:$B$400="VENTA CHANCHO")*(MOVIMIENTOS!$C$5:$C$400="Chancho")*(MOVIMIENTOS!$D$5:$D$400="sacos")*(MOVIMIENTOS!$A$5:$A$400&lt;&gt;"")*(MOVIMIENTOS!$A$5:$A$400&lt;=$A55)*MOVIMIENTOS!$E$5:$E$400)-SUMPRODUCT((MOVIMIENTOS!$B$5:$B$400="REGALO")*(MOVIMIENTOS!$C$5:$C$400="Chancho")*(MOVIMIENTOS!$D$5:$D$400="sacos")*(MOVIMIENTOS!$A$5:$A$400&lt;&gt;"")*(MOVIMIENTOS!$A$5:$A$400&lt;=$A55)*MOVIMIENTOS!$E$5:$E$400)-SUMPRODUCT((MOVIMIENTOS!$B$5:$B$400="VENTA")*(MOVIMIENTOS!$C$5:$C$400="Chancho")*(MOVIMIENTOS!$D$5:$D$400="sacos")*(MOVIMIENTOS!$A$5:$A$400&lt;&gt;"")*(MOVIMIENTOS!$A$5:$A$400&lt;=$A55)*MOVIMIENTOS!$E$5:$E$400)+SUMPRODUCT((MOVIMIENTOS!$B$5:$B$400="AJUSTE")*(MOVIMIENTOS!$C$5:$C$400="Chancho")*(MOVIMIENTOS!$D$5:$D$400="sacos")*(MOVIMIENTOS!$A$5:$A$400&lt;&gt;"")*(MOVIMIENTOS!$A$5:$A$400&lt;=$A55)*MOVIMIENTOS!$E$5:$E$400))</f>
        <v/>
      </c>
      <c r="G55" s="52" t="str">
        <f aca="false">IF($A55="","",SUM(B55:E55))</f>
        <v/>
      </c>
      <c r="H55" s="52" t="str">
        <f aca="false">IF($A55="","",SUMPRODUCT((((MOVIMIENTOS!$B$5:$B$400="SALDO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55)*MOVIMIENTOS!$I$5:$I$400))</f>
        <v/>
      </c>
      <c r="I55" s="48"/>
      <c r="J55" s="48" t="str">
        <f aca="false">IF(AND(MOVIMIENTOS!$A55&lt;&gt;"",COUNTIF(MOVIMIENTOS!$A$5:$A54,MOVIMIENTOS!$A55)=0),COUNT(J$4:J54)+1,"")</f>
        <v/>
      </c>
      <c r="K55" s="53" t="n">
        <f aca="false">MOVIMIENTOS!$A55</f>
        <v>46219</v>
      </c>
      <c r="L55" s="48"/>
      <c r="M55" s="48"/>
      <c r="N55" s="48"/>
    </row>
    <row r="56" customFormat="false" ht="15" hidden="false" customHeight="true" outlineLevel="0" collapsed="false">
      <c r="A56" s="51" t="str">
        <f aca="false">IFERROR(INDEX(K$5:K$400,MATCH(ROW()-4,J$5:J$400,0)),"")</f>
        <v/>
      </c>
      <c r="B56" s="52" t="str">
        <f aca="false">IF($A56="","",SUMPRODUCT((MOVIMIENTOS!$B$5:$B$400="SALDO INICIAL")*(MOVIMIENTOS!$C$5:$C$400="A")*(MOVIMIENTOS!$D$5:$D$400="jabas")*(MOVIMIENTOS!$A$5:$A$400&lt;&gt;"")*(MOVIMIENTOS!$A$5:$A$400&lt;=$A56)*MOVIMIENTOS!$E$5:$E$400)+SUMPRODUCT((MOVIMIENTOS!$B$5:$B$400="PROCESO")*(MOVIMIENTOS!$C$5:$C$400="A")*(MOVIMIENTOS!$D$5:$D$400="jabas")*(MOVIMIENTOS!$A$5:$A$400&lt;&gt;"")*(MOVIMIENTOS!$A$5:$A$400&lt;=$A56)*MOVIMIENTOS!$E$5:$E$400)-SUMPRODUCT((MOVIMIENTOS!$B$5:$B$400="ENVÍO A SUPESA")*(MOVIMIENTOS!$C$5:$C$400="A")*(MOVIMIENTOS!$D$5:$D$400="jabas")*(MOVIMIENTOS!$A$5:$A$400&lt;&gt;"")*(MOVIMIENTOS!$A$5:$A$400&lt;=$A56)*MOVIMIENTOS!$E$5:$E$400)+SUMPRODUCT((MOVIMIENTOS!$B$5:$B$400="DEVOLUCIÓN")*(MOVIMIENTOS!$C$5:$C$400="A")*(MOVIMIENTOS!$D$5:$D$400="jabas")*(MOVIMIENTOS!$A$5:$A$400&lt;&gt;"")*(MOVIMIENTOS!$A$5:$A$400&lt;=$A56)*MOVIMIENTOS!$E$5:$E$400)-SUMPRODUCT((MOVIMIENTOS!$B$5:$B$400="TRASIEGO")*(MOVIMIENTOS!$C$5:$C$400="A")*(MOVIMIENTOS!$D$5:$D$400="jabas")*(MOVIMIENTOS!$A$5:$A$400&lt;&gt;"")*(MOVIMIENTOS!$A$5:$A$400&lt;=$A56)*MOVIMIENTOS!$E$5:$E$400)-SUMPRODUCT((MOVIMIENTOS!$B$5:$B$400="REGALO")*(MOVIMIENTOS!$C$5:$C$400="A")*(MOVIMIENTOS!$D$5:$D$400="jabas")*(MOVIMIENTOS!$A$5:$A$400&lt;&gt;"")*(MOVIMIENTOS!$A$5:$A$400&lt;=$A56)*MOVIMIENTOS!$E$5:$E$400)-SUMPRODUCT((MOVIMIENTOS!$B$5:$B$400="VENTA")*(MOVIMIENTOS!$C$5:$C$400="A")*(MOVIMIENTOS!$D$5:$D$400="jabas")*(MOVIMIENTOS!$A$5:$A$400&lt;&gt;"")*(MOVIMIENTOS!$A$5:$A$400&lt;=$A56)*MOVIMIENTOS!$E$5:$E$400)+SUMPRODUCT((MOVIMIENTOS!$B$5:$B$400="AJUSTE")*(MOVIMIENTOS!$C$5:$C$400="A")*(MOVIMIENTOS!$D$5:$D$400="jabas")*(MOVIMIENTOS!$A$5:$A$400&lt;&gt;"")*(MOVIMIENTOS!$A$5:$A$400&lt;=$A56)*MOVIMIENTOS!$E$5:$E$400))</f>
        <v/>
      </c>
      <c r="C56" s="52" t="str">
        <f aca="false">IF($A56="","",SUMPRODUCT((MOVIMIENTOS!$B$5:$B$400="SALDO INICIAL")*(MOVIMIENTOS!$C$5:$C$400="P")*(MOVIMIENTOS!$D$5:$D$400="jabas")*(MOVIMIENTOS!$A$5:$A$400&lt;&gt;"")*(MOVIMIENTOS!$A$5:$A$400&lt;=$A56)*MOVIMIENTOS!$E$5:$E$400)+SUMPRODUCT((MOVIMIENTOS!$B$5:$B$400="PROCESO")*(MOVIMIENTOS!$C$5:$C$400="P")*(MOVIMIENTOS!$D$5:$D$400="jabas")*(MOVIMIENTOS!$A$5:$A$400&lt;&gt;"")*(MOVIMIENTOS!$A$5:$A$400&lt;=$A56)*MOVIMIENTOS!$E$5:$E$400)-SUMPRODUCT((MOVIMIENTOS!$B$5:$B$400="ENVÍO A SUPESA")*(MOVIMIENTOS!$C$5:$C$400="P")*(MOVIMIENTOS!$D$5:$D$400="jabas")*(MOVIMIENTOS!$A$5:$A$400&lt;&gt;"")*(MOVIMIENTOS!$A$5:$A$400&lt;=$A56)*MOVIMIENTOS!$E$5:$E$400)+SUMPRODUCT((MOVIMIENTOS!$B$5:$B$400="DEVOLUCIÓN")*(MOVIMIENTOS!$C$5:$C$400="P")*(MOVIMIENTOS!$D$5:$D$400="jabas")*(MOVIMIENTOS!$A$5:$A$400&lt;&gt;"")*(MOVIMIENTOS!$A$5:$A$400&lt;=$A56)*MOVIMIENTOS!$E$5:$E$400)-SUMPRODUCT((MOVIMIENTOS!$B$5:$B$400="TRASIEGO")*(MOVIMIENTOS!$C$5:$C$400="P")*(MOVIMIENTOS!$D$5:$D$400="jabas")*(MOVIMIENTOS!$A$5:$A$400&lt;&gt;"")*(MOVIMIENTOS!$A$5:$A$400&lt;=$A56)*MOVIMIENTOS!$E$5:$E$400)-SUMPRODUCT((MOVIMIENTOS!$B$5:$B$400="REGALO")*(MOVIMIENTOS!$C$5:$C$400="P")*(MOVIMIENTOS!$D$5:$D$400="jabas")*(MOVIMIENTOS!$A$5:$A$400&lt;&gt;"")*(MOVIMIENTOS!$A$5:$A$400&lt;=$A56)*MOVIMIENTOS!$E$5:$E$400)-SUMPRODUCT((MOVIMIENTOS!$B$5:$B$400="VENTA")*(MOVIMIENTOS!$C$5:$C$400="P")*(MOVIMIENTOS!$D$5:$D$400="jabas")*(MOVIMIENTOS!$A$5:$A$400&lt;&gt;"")*(MOVIMIENTOS!$A$5:$A$400&lt;=$A56)*MOVIMIENTOS!$E$5:$E$400)+SUMPRODUCT((MOVIMIENTOS!$B$5:$B$400="AJUSTE")*(MOVIMIENTOS!$C$5:$C$400="P")*(MOVIMIENTOS!$D$5:$D$400="jabas")*(MOVIMIENTOS!$A$5:$A$400&lt;&gt;"")*(MOVIMIENTOS!$A$5:$A$400&lt;=$A56)*MOVIMIENTOS!$E$5:$E$400))</f>
        <v/>
      </c>
      <c r="D56" s="52" t="str">
        <f aca="false">IF($A56="","",SUMPRODUCT((MOVIMIENTOS!$B$5:$B$400="SALDO INICIAL")*(MOVIMIENTOS!$C$5:$C$400="C")*(MOVIMIENTOS!$D$5:$D$400="jabas")*(MOVIMIENTOS!$A$5:$A$400&lt;&gt;"")*(MOVIMIENTOS!$A$5:$A$400&lt;=$A56)*MOVIMIENTOS!$E$5:$E$400)+SUMPRODUCT((MOVIMIENTOS!$B$5:$B$400="PROCESO")*(MOVIMIENTOS!$C$5:$C$400="C")*(MOVIMIENTOS!$D$5:$D$400="jabas")*(MOVIMIENTOS!$A$5:$A$400&lt;&gt;"")*(MOVIMIENTOS!$A$5:$A$400&lt;=$A56)*MOVIMIENTOS!$E$5:$E$400)-SUMPRODUCT((MOVIMIENTOS!$B$5:$B$400="ENVÍO A SUPESA")*(MOVIMIENTOS!$C$5:$C$400="C")*(MOVIMIENTOS!$D$5:$D$400="jabas")*(MOVIMIENTOS!$A$5:$A$400&lt;&gt;"")*(MOVIMIENTOS!$A$5:$A$400&lt;=$A56)*MOVIMIENTOS!$E$5:$E$400)+SUMPRODUCT((MOVIMIENTOS!$B$5:$B$400="DEVOLUCIÓN")*(MOVIMIENTOS!$C$5:$C$400="C")*(MOVIMIENTOS!$D$5:$D$400="jabas")*(MOVIMIENTOS!$A$5:$A$400&lt;&gt;"")*(MOVIMIENTOS!$A$5:$A$400&lt;=$A56)*MOVIMIENTOS!$E$5:$E$400)-SUMPRODUCT((MOVIMIENTOS!$B$5:$B$400="TRASIEGO")*(MOVIMIENTOS!$C$5:$C$400="C")*(MOVIMIENTOS!$D$5:$D$400="jabas")*(MOVIMIENTOS!$A$5:$A$400&lt;&gt;"")*(MOVIMIENTOS!$A$5:$A$400&lt;=$A56)*MOVIMIENTOS!$E$5:$E$400)-SUMPRODUCT((MOVIMIENTOS!$B$5:$B$400="REGALO")*(MOVIMIENTOS!$C$5:$C$400="C")*(MOVIMIENTOS!$D$5:$D$400="jabas")*(MOVIMIENTOS!$A$5:$A$400&lt;&gt;"")*(MOVIMIENTOS!$A$5:$A$400&lt;=$A56)*MOVIMIENTOS!$E$5:$E$400)-SUMPRODUCT((MOVIMIENTOS!$B$5:$B$400="VENTA")*(MOVIMIENTOS!$C$5:$C$400="C")*(MOVIMIENTOS!$D$5:$D$400="jabas")*(MOVIMIENTOS!$A$5:$A$400&lt;&gt;"")*(MOVIMIENTOS!$A$5:$A$400&lt;=$A56)*MOVIMIENTOS!$E$5:$E$400)+SUMPRODUCT((MOVIMIENTOS!$B$5:$B$400="AJUSTE")*(MOVIMIENTOS!$C$5:$C$400="C")*(MOVIMIENTOS!$D$5:$D$400="jabas")*(MOVIMIENTOS!$A$5:$A$400&lt;&gt;"")*(MOVIMIENTOS!$A$5:$A$400&lt;=$A56)*MOVIMIENTOS!$E$5:$E$400))</f>
        <v/>
      </c>
      <c r="E56" s="52" t="str">
        <f aca="false">IF($A56="","",SUMPRODUCT((MOVIMIENTOS!$B$5:$B$400="SALDO INICIAL")*(MOVIMIENTOS!$C$5:$C$400="M")*(MOVIMIENTOS!$D$5:$D$400="jabas")*(MOVIMIENTOS!$A$5:$A$400&lt;&gt;"")*(MOVIMIENTOS!$A$5:$A$400&lt;=$A56)*MOVIMIENTOS!$E$5:$E$400)+SUMPRODUCT((MOVIMIENTOS!$B$5:$B$400="PROCESO")*(MOVIMIENTOS!$C$5:$C$400="M")*(MOVIMIENTOS!$D$5:$D$400="jabas")*(MOVIMIENTOS!$A$5:$A$400&lt;&gt;"")*(MOVIMIENTOS!$A$5:$A$400&lt;=$A56)*MOVIMIENTOS!$E$5:$E$400)-SUMPRODUCT((MOVIMIENTOS!$B$5:$B$400="ENVÍO A SUPESA")*(MOVIMIENTOS!$C$5:$C$400="M")*(MOVIMIENTOS!$D$5:$D$400="jabas")*(MOVIMIENTOS!$A$5:$A$400&lt;&gt;"")*(MOVIMIENTOS!$A$5:$A$400&lt;=$A56)*MOVIMIENTOS!$E$5:$E$400)+SUMPRODUCT((MOVIMIENTOS!$B$5:$B$400="DEVOLUCIÓN")*(MOVIMIENTOS!$C$5:$C$400="M")*(MOVIMIENTOS!$D$5:$D$400="jabas")*(MOVIMIENTOS!$A$5:$A$400&lt;&gt;"")*(MOVIMIENTOS!$A$5:$A$400&lt;=$A56)*MOVIMIENTOS!$E$5:$E$400)-SUMPRODUCT((MOVIMIENTOS!$B$5:$B$400="TRASIEGO")*(MOVIMIENTOS!$C$5:$C$400="M")*(MOVIMIENTOS!$D$5:$D$400="jabas")*(MOVIMIENTOS!$A$5:$A$400&lt;&gt;"")*(MOVIMIENTOS!$A$5:$A$400&lt;=$A56)*MOVIMIENTOS!$E$5:$E$400)-SUMPRODUCT((MOVIMIENTOS!$B$5:$B$400="REGALO")*(MOVIMIENTOS!$C$5:$C$400="M")*(MOVIMIENTOS!$D$5:$D$400="jabas")*(MOVIMIENTOS!$A$5:$A$400&lt;&gt;"")*(MOVIMIENTOS!$A$5:$A$400&lt;=$A56)*MOVIMIENTOS!$E$5:$E$400)-SUMPRODUCT((MOVIMIENTOS!$B$5:$B$400="VENTA")*(MOVIMIENTOS!$C$5:$C$400="M")*(MOVIMIENTOS!$D$5:$D$400="jabas")*(MOVIMIENTOS!$A$5:$A$400&lt;&gt;"")*(MOVIMIENTOS!$A$5:$A$400&lt;=$A56)*MOVIMIENTOS!$E$5:$E$400)+SUMPRODUCT((MOVIMIENTOS!$B$5:$B$400="AJUSTE")*(MOVIMIENTOS!$C$5:$C$400="M")*(MOVIMIENTOS!$D$5:$D$400="jabas")*(MOVIMIENTOS!$A$5:$A$400&lt;&gt;"")*(MOVIMIENTOS!$A$5:$A$400&lt;=$A56)*MOVIMIENTOS!$E$5:$E$400))</f>
        <v/>
      </c>
      <c r="F56" s="52" t="str">
        <f aca="false">IF($A56="","",SUMPRODUCT((MOVIMIENTOS!$B$5:$B$400="SALDO INICIAL")*(MOVIMIENTOS!$C$5:$C$400="Chancho")*(MOVIMIENTOS!$D$5:$D$400="sacos")*(MOVIMIENTOS!$A$5:$A$400&lt;&gt;"")*(MOVIMIENTOS!$A$5:$A$400&lt;=$A56)*MOVIMIENTOS!$E$5:$E$400)+SUMPRODUCT((MOVIMIENTOS!$B$5:$B$400="PROCESO")*(MOVIMIENTOS!$C$5:$C$400="Chancho")*(MOVIMIENTOS!$D$5:$D$400="sacos")*(MOVIMIENTOS!$A$5:$A$400&lt;&gt;"")*(MOVIMIENTOS!$A$5:$A$400&lt;=$A56)*MOVIMIENTOS!$E$5:$E$400)-SUMPRODUCT((MOVIMIENTOS!$B$5:$B$400="VENTA CHANCHO")*(MOVIMIENTOS!$C$5:$C$400="Chancho")*(MOVIMIENTOS!$D$5:$D$400="sacos")*(MOVIMIENTOS!$A$5:$A$400&lt;&gt;"")*(MOVIMIENTOS!$A$5:$A$400&lt;=$A56)*MOVIMIENTOS!$E$5:$E$400)-SUMPRODUCT((MOVIMIENTOS!$B$5:$B$400="REGALO")*(MOVIMIENTOS!$C$5:$C$400="Chancho")*(MOVIMIENTOS!$D$5:$D$400="sacos")*(MOVIMIENTOS!$A$5:$A$400&lt;&gt;"")*(MOVIMIENTOS!$A$5:$A$400&lt;=$A56)*MOVIMIENTOS!$E$5:$E$400)-SUMPRODUCT((MOVIMIENTOS!$B$5:$B$400="VENTA")*(MOVIMIENTOS!$C$5:$C$400="Chancho")*(MOVIMIENTOS!$D$5:$D$400="sacos")*(MOVIMIENTOS!$A$5:$A$400&lt;&gt;"")*(MOVIMIENTOS!$A$5:$A$400&lt;=$A56)*MOVIMIENTOS!$E$5:$E$400)+SUMPRODUCT((MOVIMIENTOS!$B$5:$B$400="AJUSTE")*(MOVIMIENTOS!$C$5:$C$400="Chancho")*(MOVIMIENTOS!$D$5:$D$400="sacos")*(MOVIMIENTOS!$A$5:$A$400&lt;&gt;"")*(MOVIMIENTOS!$A$5:$A$400&lt;=$A56)*MOVIMIENTOS!$E$5:$E$400))</f>
        <v/>
      </c>
      <c r="G56" s="52" t="str">
        <f aca="false">IF($A56="","",SUM(B56:E56))</f>
        <v/>
      </c>
      <c r="H56" s="52" t="str">
        <f aca="false">IF($A56="","",SUMPRODUCT((((MOVIMIENTOS!$B$5:$B$400="SALDO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56)*MOVIMIENTOS!$I$5:$I$400))</f>
        <v/>
      </c>
      <c r="I56" s="48"/>
      <c r="J56" s="48" t="str">
        <f aca="false">IF(AND(MOVIMIENTOS!$A56&lt;&gt;"",COUNTIF(MOVIMIENTOS!$A$5:$A55,MOVIMIENTOS!$A56)=0),COUNT(J$4:J55)+1,"")</f>
        <v/>
      </c>
      <c r="K56" s="53" t="n">
        <f aca="false">MOVIMIENTOS!$A56</f>
        <v>46219</v>
      </c>
      <c r="L56" s="48"/>
      <c r="M56" s="48"/>
      <c r="N56" s="48"/>
    </row>
    <row r="57" customFormat="false" ht="15" hidden="false" customHeight="true" outlineLevel="0" collapsed="false">
      <c r="A57" s="51" t="str">
        <f aca="false">IFERROR(INDEX(K$5:K$400,MATCH(ROW()-4,J$5:J$400,0)),"")</f>
        <v/>
      </c>
      <c r="B57" s="52" t="str">
        <f aca="false">IF($A57="","",SUMPRODUCT((MOVIMIENTOS!$B$5:$B$400="SALDO INICIAL")*(MOVIMIENTOS!$C$5:$C$400="A")*(MOVIMIENTOS!$D$5:$D$400="jabas")*(MOVIMIENTOS!$A$5:$A$400&lt;&gt;"")*(MOVIMIENTOS!$A$5:$A$400&lt;=$A57)*MOVIMIENTOS!$E$5:$E$400)+SUMPRODUCT((MOVIMIENTOS!$B$5:$B$400="PROCESO")*(MOVIMIENTOS!$C$5:$C$400="A")*(MOVIMIENTOS!$D$5:$D$400="jabas")*(MOVIMIENTOS!$A$5:$A$400&lt;&gt;"")*(MOVIMIENTOS!$A$5:$A$400&lt;=$A57)*MOVIMIENTOS!$E$5:$E$400)-SUMPRODUCT((MOVIMIENTOS!$B$5:$B$400="ENVÍO A SUPESA")*(MOVIMIENTOS!$C$5:$C$400="A")*(MOVIMIENTOS!$D$5:$D$400="jabas")*(MOVIMIENTOS!$A$5:$A$400&lt;&gt;"")*(MOVIMIENTOS!$A$5:$A$400&lt;=$A57)*MOVIMIENTOS!$E$5:$E$400)+SUMPRODUCT((MOVIMIENTOS!$B$5:$B$400="DEVOLUCIÓN")*(MOVIMIENTOS!$C$5:$C$400="A")*(MOVIMIENTOS!$D$5:$D$400="jabas")*(MOVIMIENTOS!$A$5:$A$400&lt;&gt;"")*(MOVIMIENTOS!$A$5:$A$400&lt;=$A57)*MOVIMIENTOS!$E$5:$E$400)-SUMPRODUCT((MOVIMIENTOS!$B$5:$B$400="TRASIEGO")*(MOVIMIENTOS!$C$5:$C$400="A")*(MOVIMIENTOS!$D$5:$D$400="jabas")*(MOVIMIENTOS!$A$5:$A$400&lt;&gt;"")*(MOVIMIENTOS!$A$5:$A$400&lt;=$A57)*MOVIMIENTOS!$E$5:$E$400)-SUMPRODUCT((MOVIMIENTOS!$B$5:$B$400="REGALO")*(MOVIMIENTOS!$C$5:$C$400="A")*(MOVIMIENTOS!$D$5:$D$400="jabas")*(MOVIMIENTOS!$A$5:$A$400&lt;&gt;"")*(MOVIMIENTOS!$A$5:$A$400&lt;=$A57)*MOVIMIENTOS!$E$5:$E$400)-SUMPRODUCT((MOVIMIENTOS!$B$5:$B$400="VENTA")*(MOVIMIENTOS!$C$5:$C$400="A")*(MOVIMIENTOS!$D$5:$D$400="jabas")*(MOVIMIENTOS!$A$5:$A$400&lt;&gt;"")*(MOVIMIENTOS!$A$5:$A$400&lt;=$A57)*MOVIMIENTOS!$E$5:$E$400)+SUMPRODUCT((MOVIMIENTOS!$B$5:$B$400="AJUSTE")*(MOVIMIENTOS!$C$5:$C$400="A")*(MOVIMIENTOS!$D$5:$D$400="jabas")*(MOVIMIENTOS!$A$5:$A$400&lt;&gt;"")*(MOVIMIENTOS!$A$5:$A$400&lt;=$A57)*MOVIMIENTOS!$E$5:$E$400))</f>
        <v/>
      </c>
      <c r="C57" s="52" t="str">
        <f aca="false">IF($A57="","",SUMPRODUCT((MOVIMIENTOS!$B$5:$B$400="SALDO INICIAL")*(MOVIMIENTOS!$C$5:$C$400="P")*(MOVIMIENTOS!$D$5:$D$400="jabas")*(MOVIMIENTOS!$A$5:$A$400&lt;&gt;"")*(MOVIMIENTOS!$A$5:$A$400&lt;=$A57)*MOVIMIENTOS!$E$5:$E$400)+SUMPRODUCT((MOVIMIENTOS!$B$5:$B$400="PROCESO")*(MOVIMIENTOS!$C$5:$C$400="P")*(MOVIMIENTOS!$D$5:$D$400="jabas")*(MOVIMIENTOS!$A$5:$A$400&lt;&gt;"")*(MOVIMIENTOS!$A$5:$A$400&lt;=$A57)*MOVIMIENTOS!$E$5:$E$400)-SUMPRODUCT((MOVIMIENTOS!$B$5:$B$400="ENVÍO A SUPESA")*(MOVIMIENTOS!$C$5:$C$400="P")*(MOVIMIENTOS!$D$5:$D$400="jabas")*(MOVIMIENTOS!$A$5:$A$400&lt;&gt;"")*(MOVIMIENTOS!$A$5:$A$400&lt;=$A57)*MOVIMIENTOS!$E$5:$E$400)+SUMPRODUCT((MOVIMIENTOS!$B$5:$B$400="DEVOLUCIÓN")*(MOVIMIENTOS!$C$5:$C$400="P")*(MOVIMIENTOS!$D$5:$D$400="jabas")*(MOVIMIENTOS!$A$5:$A$400&lt;&gt;"")*(MOVIMIENTOS!$A$5:$A$400&lt;=$A57)*MOVIMIENTOS!$E$5:$E$400)-SUMPRODUCT((MOVIMIENTOS!$B$5:$B$400="TRASIEGO")*(MOVIMIENTOS!$C$5:$C$400="P")*(MOVIMIENTOS!$D$5:$D$400="jabas")*(MOVIMIENTOS!$A$5:$A$400&lt;&gt;"")*(MOVIMIENTOS!$A$5:$A$400&lt;=$A57)*MOVIMIENTOS!$E$5:$E$400)-SUMPRODUCT((MOVIMIENTOS!$B$5:$B$400="REGALO")*(MOVIMIENTOS!$C$5:$C$400="P")*(MOVIMIENTOS!$D$5:$D$400="jabas")*(MOVIMIENTOS!$A$5:$A$400&lt;&gt;"")*(MOVIMIENTOS!$A$5:$A$400&lt;=$A57)*MOVIMIENTOS!$E$5:$E$400)-SUMPRODUCT((MOVIMIENTOS!$B$5:$B$400="VENTA")*(MOVIMIENTOS!$C$5:$C$400="P")*(MOVIMIENTOS!$D$5:$D$400="jabas")*(MOVIMIENTOS!$A$5:$A$400&lt;&gt;"")*(MOVIMIENTOS!$A$5:$A$400&lt;=$A57)*MOVIMIENTOS!$E$5:$E$400)+SUMPRODUCT((MOVIMIENTOS!$B$5:$B$400="AJUSTE")*(MOVIMIENTOS!$C$5:$C$400="P")*(MOVIMIENTOS!$D$5:$D$400="jabas")*(MOVIMIENTOS!$A$5:$A$400&lt;&gt;"")*(MOVIMIENTOS!$A$5:$A$400&lt;=$A57)*MOVIMIENTOS!$E$5:$E$400))</f>
        <v/>
      </c>
      <c r="D57" s="52" t="str">
        <f aca="false">IF($A57="","",SUMPRODUCT((MOVIMIENTOS!$B$5:$B$400="SALDO INICIAL")*(MOVIMIENTOS!$C$5:$C$400="C")*(MOVIMIENTOS!$D$5:$D$400="jabas")*(MOVIMIENTOS!$A$5:$A$400&lt;&gt;"")*(MOVIMIENTOS!$A$5:$A$400&lt;=$A57)*MOVIMIENTOS!$E$5:$E$400)+SUMPRODUCT((MOVIMIENTOS!$B$5:$B$400="PROCESO")*(MOVIMIENTOS!$C$5:$C$400="C")*(MOVIMIENTOS!$D$5:$D$400="jabas")*(MOVIMIENTOS!$A$5:$A$400&lt;&gt;"")*(MOVIMIENTOS!$A$5:$A$400&lt;=$A57)*MOVIMIENTOS!$E$5:$E$400)-SUMPRODUCT((MOVIMIENTOS!$B$5:$B$400="ENVÍO A SUPESA")*(MOVIMIENTOS!$C$5:$C$400="C")*(MOVIMIENTOS!$D$5:$D$400="jabas")*(MOVIMIENTOS!$A$5:$A$400&lt;&gt;"")*(MOVIMIENTOS!$A$5:$A$400&lt;=$A57)*MOVIMIENTOS!$E$5:$E$400)+SUMPRODUCT((MOVIMIENTOS!$B$5:$B$400="DEVOLUCIÓN")*(MOVIMIENTOS!$C$5:$C$400="C")*(MOVIMIENTOS!$D$5:$D$400="jabas")*(MOVIMIENTOS!$A$5:$A$400&lt;&gt;"")*(MOVIMIENTOS!$A$5:$A$400&lt;=$A57)*MOVIMIENTOS!$E$5:$E$400)-SUMPRODUCT((MOVIMIENTOS!$B$5:$B$400="TRASIEGO")*(MOVIMIENTOS!$C$5:$C$400="C")*(MOVIMIENTOS!$D$5:$D$400="jabas")*(MOVIMIENTOS!$A$5:$A$400&lt;&gt;"")*(MOVIMIENTOS!$A$5:$A$400&lt;=$A57)*MOVIMIENTOS!$E$5:$E$400)-SUMPRODUCT((MOVIMIENTOS!$B$5:$B$400="REGALO")*(MOVIMIENTOS!$C$5:$C$400="C")*(MOVIMIENTOS!$D$5:$D$400="jabas")*(MOVIMIENTOS!$A$5:$A$400&lt;&gt;"")*(MOVIMIENTOS!$A$5:$A$400&lt;=$A57)*MOVIMIENTOS!$E$5:$E$400)-SUMPRODUCT((MOVIMIENTOS!$B$5:$B$400="VENTA")*(MOVIMIENTOS!$C$5:$C$400="C")*(MOVIMIENTOS!$D$5:$D$400="jabas")*(MOVIMIENTOS!$A$5:$A$400&lt;&gt;"")*(MOVIMIENTOS!$A$5:$A$400&lt;=$A57)*MOVIMIENTOS!$E$5:$E$400)+SUMPRODUCT((MOVIMIENTOS!$B$5:$B$400="AJUSTE")*(MOVIMIENTOS!$C$5:$C$400="C")*(MOVIMIENTOS!$D$5:$D$400="jabas")*(MOVIMIENTOS!$A$5:$A$400&lt;&gt;"")*(MOVIMIENTOS!$A$5:$A$400&lt;=$A57)*MOVIMIENTOS!$E$5:$E$400))</f>
        <v/>
      </c>
      <c r="E57" s="52" t="str">
        <f aca="false">IF($A57="","",SUMPRODUCT((MOVIMIENTOS!$B$5:$B$400="SALDO INICIAL")*(MOVIMIENTOS!$C$5:$C$400="M")*(MOVIMIENTOS!$D$5:$D$400="jabas")*(MOVIMIENTOS!$A$5:$A$400&lt;&gt;"")*(MOVIMIENTOS!$A$5:$A$400&lt;=$A57)*MOVIMIENTOS!$E$5:$E$400)+SUMPRODUCT((MOVIMIENTOS!$B$5:$B$400="PROCESO")*(MOVIMIENTOS!$C$5:$C$400="M")*(MOVIMIENTOS!$D$5:$D$400="jabas")*(MOVIMIENTOS!$A$5:$A$400&lt;&gt;"")*(MOVIMIENTOS!$A$5:$A$400&lt;=$A57)*MOVIMIENTOS!$E$5:$E$400)-SUMPRODUCT((MOVIMIENTOS!$B$5:$B$400="ENVÍO A SUPESA")*(MOVIMIENTOS!$C$5:$C$400="M")*(MOVIMIENTOS!$D$5:$D$400="jabas")*(MOVIMIENTOS!$A$5:$A$400&lt;&gt;"")*(MOVIMIENTOS!$A$5:$A$400&lt;=$A57)*MOVIMIENTOS!$E$5:$E$400)+SUMPRODUCT((MOVIMIENTOS!$B$5:$B$400="DEVOLUCIÓN")*(MOVIMIENTOS!$C$5:$C$400="M")*(MOVIMIENTOS!$D$5:$D$400="jabas")*(MOVIMIENTOS!$A$5:$A$400&lt;&gt;"")*(MOVIMIENTOS!$A$5:$A$400&lt;=$A57)*MOVIMIENTOS!$E$5:$E$400)-SUMPRODUCT((MOVIMIENTOS!$B$5:$B$400="TRASIEGO")*(MOVIMIENTOS!$C$5:$C$400="M")*(MOVIMIENTOS!$D$5:$D$400="jabas")*(MOVIMIENTOS!$A$5:$A$400&lt;&gt;"")*(MOVIMIENTOS!$A$5:$A$400&lt;=$A57)*MOVIMIENTOS!$E$5:$E$400)-SUMPRODUCT((MOVIMIENTOS!$B$5:$B$400="REGALO")*(MOVIMIENTOS!$C$5:$C$400="M")*(MOVIMIENTOS!$D$5:$D$400="jabas")*(MOVIMIENTOS!$A$5:$A$400&lt;&gt;"")*(MOVIMIENTOS!$A$5:$A$400&lt;=$A57)*MOVIMIENTOS!$E$5:$E$400)-SUMPRODUCT((MOVIMIENTOS!$B$5:$B$400="VENTA")*(MOVIMIENTOS!$C$5:$C$400="M")*(MOVIMIENTOS!$D$5:$D$400="jabas")*(MOVIMIENTOS!$A$5:$A$400&lt;&gt;"")*(MOVIMIENTOS!$A$5:$A$400&lt;=$A57)*MOVIMIENTOS!$E$5:$E$400)+SUMPRODUCT((MOVIMIENTOS!$B$5:$B$400="AJUSTE")*(MOVIMIENTOS!$C$5:$C$400="M")*(MOVIMIENTOS!$D$5:$D$400="jabas")*(MOVIMIENTOS!$A$5:$A$400&lt;&gt;"")*(MOVIMIENTOS!$A$5:$A$400&lt;=$A57)*MOVIMIENTOS!$E$5:$E$400))</f>
        <v/>
      </c>
      <c r="F57" s="52" t="str">
        <f aca="false">IF($A57="","",SUMPRODUCT((MOVIMIENTOS!$B$5:$B$400="SALDO INICIAL")*(MOVIMIENTOS!$C$5:$C$400="Chancho")*(MOVIMIENTOS!$D$5:$D$400="sacos")*(MOVIMIENTOS!$A$5:$A$400&lt;&gt;"")*(MOVIMIENTOS!$A$5:$A$400&lt;=$A57)*MOVIMIENTOS!$E$5:$E$400)+SUMPRODUCT((MOVIMIENTOS!$B$5:$B$400="PROCESO")*(MOVIMIENTOS!$C$5:$C$400="Chancho")*(MOVIMIENTOS!$D$5:$D$400="sacos")*(MOVIMIENTOS!$A$5:$A$400&lt;&gt;"")*(MOVIMIENTOS!$A$5:$A$400&lt;=$A57)*MOVIMIENTOS!$E$5:$E$400)-SUMPRODUCT((MOVIMIENTOS!$B$5:$B$400="VENTA CHANCHO")*(MOVIMIENTOS!$C$5:$C$400="Chancho")*(MOVIMIENTOS!$D$5:$D$400="sacos")*(MOVIMIENTOS!$A$5:$A$400&lt;&gt;"")*(MOVIMIENTOS!$A$5:$A$400&lt;=$A57)*MOVIMIENTOS!$E$5:$E$400)-SUMPRODUCT((MOVIMIENTOS!$B$5:$B$400="REGALO")*(MOVIMIENTOS!$C$5:$C$400="Chancho")*(MOVIMIENTOS!$D$5:$D$400="sacos")*(MOVIMIENTOS!$A$5:$A$400&lt;&gt;"")*(MOVIMIENTOS!$A$5:$A$400&lt;=$A57)*MOVIMIENTOS!$E$5:$E$400)-SUMPRODUCT((MOVIMIENTOS!$B$5:$B$400="VENTA")*(MOVIMIENTOS!$C$5:$C$400="Chancho")*(MOVIMIENTOS!$D$5:$D$400="sacos")*(MOVIMIENTOS!$A$5:$A$400&lt;&gt;"")*(MOVIMIENTOS!$A$5:$A$400&lt;=$A57)*MOVIMIENTOS!$E$5:$E$400)+SUMPRODUCT((MOVIMIENTOS!$B$5:$B$400="AJUSTE")*(MOVIMIENTOS!$C$5:$C$400="Chancho")*(MOVIMIENTOS!$D$5:$D$400="sacos")*(MOVIMIENTOS!$A$5:$A$400&lt;&gt;"")*(MOVIMIENTOS!$A$5:$A$400&lt;=$A57)*MOVIMIENTOS!$E$5:$E$400))</f>
        <v/>
      </c>
      <c r="G57" s="52" t="str">
        <f aca="false">IF($A57="","",SUM(B57:E57))</f>
        <v/>
      </c>
      <c r="H57" s="52" t="str">
        <f aca="false">IF($A57="","",SUMPRODUCT((((MOVIMIENTOS!$B$5:$B$400="SALDO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57)*MOVIMIENTOS!$I$5:$I$400))</f>
        <v/>
      </c>
      <c r="I57" s="48"/>
      <c r="J57" s="48" t="str">
        <f aca="false">IF(AND(MOVIMIENTOS!$A57&lt;&gt;"",COUNTIF(MOVIMIENTOS!$A$5:$A56,MOVIMIENTOS!$A57)=0),COUNT(J$4:J56)+1,"")</f>
        <v/>
      </c>
      <c r="K57" s="53" t="n">
        <f aca="false">MOVIMIENTOS!$A57</f>
        <v>46219</v>
      </c>
      <c r="L57" s="48"/>
      <c r="M57" s="48"/>
      <c r="N57" s="48"/>
    </row>
    <row r="58" customFormat="false" ht="15" hidden="false" customHeight="true" outlineLevel="0" collapsed="false">
      <c r="A58" s="51" t="str">
        <f aca="false">IFERROR(INDEX(K$5:K$400,MATCH(ROW()-4,J$5:J$400,0)),"")</f>
        <v/>
      </c>
      <c r="B58" s="52" t="str">
        <f aca="false">IF($A58="","",SUMPRODUCT((MOVIMIENTOS!$B$5:$B$400="SALDO INICIAL")*(MOVIMIENTOS!$C$5:$C$400="A")*(MOVIMIENTOS!$D$5:$D$400="jabas")*(MOVIMIENTOS!$A$5:$A$400&lt;&gt;"")*(MOVIMIENTOS!$A$5:$A$400&lt;=$A58)*MOVIMIENTOS!$E$5:$E$400)+SUMPRODUCT((MOVIMIENTOS!$B$5:$B$400="PROCESO")*(MOVIMIENTOS!$C$5:$C$400="A")*(MOVIMIENTOS!$D$5:$D$400="jabas")*(MOVIMIENTOS!$A$5:$A$400&lt;&gt;"")*(MOVIMIENTOS!$A$5:$A$400&lt;=$A58)*MOVIMIENTOS!$E$5:$E$400)-SUMPRODUCT((MOVIMIENTOS!$B$5:$B$400="ENVÍO A SUPESA")*(MOVIMIENTOS!$C$5:$C$400="A")*(MOVIMIENTOS!$D$5:$D$400="jabas")*(MOVIMIENTOS!$A$5:$A$400&lt;&gt;"")*(MOVIMIENTOS!$A$5:$A$400&lt;=$A58)*MOVIMIENTOS!$E$5:$E$400)+SUMPRODUCT((MOVIMIENTOS!$B$5:$B$400="DEVOLUCIÓN")*(MOVIMIENTOS!$C$5:$C$400="A")*(MOVIMIENTOS!$D$5:$D$400="jabas")*(MOVIMIENTOS!$A$5:$A$400&lt;&gt;"")*(MOVIMIENTOS!$A$5:$A$400&lt;=$A58)*MOVIMIENTOS!$E$5:$E$400)-SUMPRODUCT((MOVIMIENTOS!$B$5:$B$400="TRASIEGO")*(MOVIMIENTOS!$C$5:$C$400="A")*(MOVIMIENTOS!$D$5:$D$400="jabas")*(MOVIMIENTOS!$A$5:$A$400&lt;&gt;"")*(MOVIMIENTOS!$A$5:$A$400&lt;=$A58)*MOVIMIENTOS!$E$5:$E$400)-SUMPRODUCT((MOVIMIENTOS!$B$5:$B$400="REGALO")*(MOVIMIENTOS!$C$5:$C$400="A")*(MOVIMIENTOS!$D$5:$D$400="jabas")*(MOVIMIENTOS!$A$5:$A$400&lt;&gt;"")*(MOVIMIENTOS!$A$5:$A$400&lt;=$A58)*MOVIMIENTOS!$E$5:$E$400)-SUMPRODUCT((MOVIMIENTOS!$B$5:$B$400="VENTA")*(MOVIMIENTOS!$C$5:$C$400="A")*(MOVIMIENTOS!$D$5:$D$400="jabas")*(MOVIMIENTOS!$A$5:$A$400&lt;&gt;"")*(MOVIMIENTOS!$A$5:$A$400&lt;=$A58)*MOVIMIENTOS!$E$5:$E$400)+SUMPRODUCT((MOVIMIENTOS!$B$5:$B$400="AJUSTE")*(MOVIMIENTOS!$C$5:$C$400="A")*(MOVIMIENTOS!$D$5:$D$400="jabas")*(MOVIMIENTOS!$A$5:$A$400&lt;&gt;"")*(MOVIMIENTOS!$A$5:$A$400&lt;=$A58)*MOVIMIENTOS!$E$5:$E$400))</f>
        <v/>
      </c>
      <c r="C58" s="52" t="str">
        <f aca="false">IF($A58="","",SUMPRODUCT((MOVIMIENTOS!$B$5:$B$400="SALDO INICIAL")*(MOVIMIENTOS!$C$5:$C$400="P")*(MOVIMIENTOS!$D$5:$D$400="jabas")*(MOVIMIENTOS!$A$5:$A$400&lt;&gt;"")*(MOVIMIENTOS!$A$5:$A$400&lt;=$A58)*MOVIMIENTOS!$E$5:$E$400)+SUMPRODUCT((MOVIMIENTOS!$B$5:$B$400="PROCESO")*(MOVIMIENTOS!$C$5:$C$400="P")*(MOVIMIENTOS!$D$5:$D$400="jabas")*(MOVIMIENTOS!$A$5:$A$400&lt;&gt;"")*(MOVIMIENTOS!$A$5:$A$400&lt;=$A58)*MOVIMIENTOS!$E$5:$E$400)-SUMPRODUCT((MOVIMIENTOS!$B$5:$B$400="ENVÍO A SUPESA")*(MOVIMIENTOS!$C$5:$C$400="P")*(MOVIMIENTOS!$D$5:$D$400="jabas")*(MOVIMIENTOS!$A$5:$A$400&lt;&gt;"")*(MOVIMIENTOS!$A$5:$A$400&lt;=$A58)*MOVIMIENTOS!$E$5:$E$400)+SUMPRODUCT((MOVIMIENTOS!$B$5:$B$400="DEVOLUCIÓN")*(MOVIMIENTOS!$C$5:$C$400="P")*(MOVIMIENTOS!$D$5:$D$400="jabas")*(MOVIMIENTOS!$A$5:$A$400&lt;&gt;"")*(MOVIMIENTOS!$A$5:$A$400&lt;=$A58)*MOVIMIENTOS!$E$5:$E$400)-SUMPRODUCT((MOVIMIENTOS!$B$5:$B$400="TRASIEGO")*(MOVIMIENTOS!$C$5:$C$400="P")*(MOVIMIENTOS!$D$5:$D$400="jabas")*(MOVIMIENTOS!$A$5:$A$400&lt;&gt;"")*(MOVIMIENTOS!$A$5:$A$400&lt;=$A58)*MOVIMIENTOS!$E$5:$E$400)-SUMPRODUCT((MOVIMIENTOS!$B$5:$B$400="REGALO")*(MOVIMIENTOS!$C$5:$C$400="P")*(MOVIMIENTOS!$D$5:$D$400="jabas")*(MOVIMIENTOS!$A$5:$A$400&lt;&gt;"")*(MOVIMIENTOS!$A$5:$A$400&lt;=$A58)*MOVIMIENTOS!$E$5:$E$400)-SUMPRODUCT((MOVIMIENTOS!$B$5:$B$400="VENTA")*(MOVIMIENTOS!$C$5:$C$400="P")*(MOVIMIENTOS!$D$5:$D$400="jabas")*(MOVIMIENTOS!$A$5:$A$400&lt;&gt;"")*(MOVIMIENTOS!$A$5:$A$400&lt;=$A58)*MOVIMIENTOS!$E$5:$E$400)+SUMPRODUCT((MOVIMIENTOS!$B$5:$B$400="AJUSTE")*(MOVIMIENTOS!$C$5:$C$400="P")*(MOVIMIENTOS!$D$5:$D$400="jabas")*(MOVIMIENTOS!$A$5:$A$400&lt;&gt;"")*(MOVIMIENTOS!$A$5:$A$400&lt;=$A58)*MOVIMIENTOS!$E$5:$E$400))</f>
        <v/>
      </c>
      <c r="D58" s="52" t="str">
        <f aca="false">IF($A58="","",SUMPRODUCT((MOVIMIENTOS!$B$5:$B$400="SALDO INICIAL")*(MOVIMIENTOS!$C$5:$C$400="C")*(MOVIMIENTOS!$D$5:$D$400="jabas")*(MOVIMIENTOS!$A$5:$A$400&lt;&gt;"")*(MOVIMIENTOS!$A$5:$A$400&lt;=$A58)*MOVIMIENTOS!$E$5:$E$400)+SUMPRODUCT((MOVIMIENTOS!$B$5:$B$400="PROCESO")*(MOVIMIENTOS!$C$5:$C$400="C")*(MOVIMIENTOS!$D$5:$D$400="jabas")*(MOVIMIENTOS!$A$5:$A$400&lt;&gt;"")*(MOVIMIENTOS!$A$5:$A$400&lt;=$A58)*MOVIMIENTOS!$E$5:$E$400)-SUMPRODUCT((MOVIMIENTOS!$B$5:$B$400="ENVÍO A SUPESA")*(MOVIMIENTOS!$C$5:$C$400="C")*(MOVIMIENTOS!$D$5:$D$400="jabas")*(MOVIMIENTOS!$A$5:$A$400&lt;&gt;"")*(MOVIMIENTOS!$A$5:$A$400&lt;=$A58)*MOVIMIENTOS!$E$5:$E$400)+SUMPRODUCT((MOVIMIENTOS!$B$5:$B$400="DEVOLUCIÓN")*(MOVIMIENTOS!$C$5:$C$400="C")*(MOVIMIENTOS!$D$5:$D$400="jabas")*(MOVIMIENTOS!$A$5:$A$400&lt;&gt;"")*(MOVIMIENTOS!$A$5:$A$400&lt;=$A58)*MOVIMIENTOS!$E$5:$E$400)-SUMPRODUCT((MOVIMIENTOS!$B$5:$B$400="TRASIEGO")*(MOVIMIENTOS!$C$5:$C$400="C")*(MOVIMIENTOS!$D$5:$D$400="jabas")*(MOVIMIENTOS!$A$5:$A$400&lt;&gt;"")*(MOVIMIENTOS!$A$5:$A$400&lt;=$A58)*MOVIMIENTOS!$E$5:$E$400)-SUMPRODUCT((MOVIMIENTOS!$B$5:$B$400="REGALO")*(MOVIMIENTOS!$C$5:$C$400="C")*(MOVIMIENTOS!$D$5:$D$400="jabas")*(MOVIMIENTOS!$A$5:$A$400&lt;&gt;"")*(MOVIMIENTOS!$A$5:$A$400&lt;=$A58)*MOVIMIENTOS!$E$5:$E$400)-SUMPRODUCT((MOVIMIENTOS!$B$5:$B$400="VENTA")*(MOVIMIENTOS!$C$5:$C$400="C")*(MOVIMIENTOS!$D$5:$D$400="jabas")*(MOVIMIENTOS!$A$5:$A$400&lt;&gt;"")*(MOVIMIENTOS!$A$5:$A$400&lt;=$A58)*MOVIMIENTOS!$E$5:$E$400)+SUMPRODUCT((MOVIMIENTOS!$B$5:$B$400="AJUSTE")*(MOVIMIENTOS!$C$5:$C$400="C")*(MOVIMIENTOS!$D$5:$D$400="jabas")*(MOVIMIENTOS!$A$5:$A$400&lt;&gt;"")*(MOVIMIENTOS!$A$5:$A$400&lt;=$A58)*MOVIMIENTOS!$E$5:$E$400))</f>
        <v/>
      </c>
      <c r="E58" s="52" t="str">
        <f aca="false">IF($A58="","",SUMPRODUCT((MOVIMIENTOS!$B$5:$B$400="SALDO INICIAL")*(MOVIMIENTOS!$C$5:$C$400="M")*(MOVIMIENTOS!$D$5:$D$400="jabas")*(MOVIMIENTOS!$A$5:$A$400&lt;&gt;"")*(MOVIMIENTOS!$A$5:$A$400&lt;=$A58)*MOVIMIENTOS!$E$5:$E$400)+SUMPRODUCT((MOVIMIENTOS!$B$5:$B$400="PROCESO")*(MOVIMIENTOS!$C$5:$C$400="M")*(MOVIMIENTOS!$D$5:$D$400="jabas")*(MOVIMIENTOS!$A$5:$A$400&lt;&gt;"")*(MOVIMIENTOS!$A$5:$A$400&lt;=$A58)*MOVIMIENTOS!$E$5:$E$400)-SUMPRODUCT((MOVIMIENTOS!$B$5:$B$400="ENVÍO A SUPESA")*(MOVIMIENTOS!$C$5:$C$400="M")*(MOVIMIENTOS!$D$5:$D$400="jabas")*(MOVIMIENTOS!$A$5:$A$400&lt;&gt;"")*(MOVIMIENTOS!$A$5:$A$400&lt;=$A58)*MOVIMIENTOS!$E$5:$E$400)+SUMPRODUCT((MOVIMIENTOS!$B$5:$B$400="DEVOLUCIÓN")*(MOVIMIENTOS!$C$5:$C$400="M")*(MOVIMIENTOS!$D$5:$D$400="jabas")*(MOVIMIENTOS!$A$5:$A$400&lt;&gt;"")*(MOVIMIENTOS!$A$5:$A$400&lt;=$A58)*MOVIMIENTOS!$E$5:$E$400)-SUMPRODUCT((MOVIMIENTOS!$B$5:$B$400="TRASIEGO")*(MOVIMIENTOS!$C$5:$C$400="M")*(MOVIMIENTOS!$D$5:$D$400="jabas")*(MOVIMIENTOS!$A$5:$A$400&lt;&gt;"")*(MOVIMIENTOS!$A$5:$A$400&lt;=$A58)*MOVIMIENTOS!$E$5:$E$400)-SUMPRODUCT((MOVIMIENTOS!$B$5:$B$400="REGALO")*(MOVIMIENTOS!$C$5:$C$400="M")*(MOVIMIENTOS!$D$5:$D$400="jabas")*(MOVIMIENTOS!$A$5:$A$400&lt;&gt;"")*(MOVIMIENTOS!$A$5:$A$400&lt;=$A58)*MOVIMIENTOS!$E$5:$E$400)-SUMPRODUCT((MOVIMIENTOS!$B$5:$B$400="VENTA")*(MOVIMIENTOS!$C$5:$C$400="M")*(MOVIMIENTOS!$D$5:$D$400="jabas")*(MOVIMIENTOS!$A$5:$A$400&lt;&gt;"")*(MOVIMIENTOS!$A$5:$A$400&lt;=$A58)*MOVIMIENTOS!$E$5:$E$400)+SUMPRODUCT((MOVIMIENTOS!$B$5:$B$400="AJUSTE")*(MOVIMIENTOS!$C$5:$C$400="M")*(MOVIMIENTOS!$D$5:$D$400="jabas")*(MOVIMIENTOS!$A$5:$A$400&lt;&gt;"")*(MOVIMIENTOS!$A$5:$A$400&lt;=$A58)*MOVIMIENTOS!$E$5:$E$400))</f>
        <v/>
      </c>
      <c r="F58" s="52" t="str">
        <f aca="false">IF($A58="","",SUMPRODUCT((MOVIMIENTOS!$B$5:$B$400="SALDO INICIAL")*(MOVIMIENTOS!$C$5:$C$400="Chancho")*(MOVIMIENTOS!$D$5:$D$400="sacos")*(MOVIMIENTOS!$A$5:$A$400&lt;&gt;"")*(MOVIMIENTOS!$A$5:$A$400&lt;=$A58)*MOVIMIENTOS!$E$5:$E$400)+SUMPRODUCT((MOVIMIENTOS!$B$5:$B$400="PROCESO")*(MOVIMIENTOS!$C$5:$C$400="Chancho")*(MOVIMIENTOS!$D$5:$D$400="sacos")*(MOVIMIENTOS!$A$5:$A$400&lt;&gt;"")*(MOVIMIENTOS!$A$5:$A$400&lt;=$A58)*MOVIMIENTOS!$E$5:$E$400)-SUMPRODUCT((MOVIMIENTOS!$B$5:$B$400="VENTA CHANCHO")*(MOVIMIENTOS!$C$5:$C$400="Chancho")*(MOVIMIENTOS!$D$5:$D$400="sacos")*(MOVIMIENTOS!$A$5:$A$400&lt;&gt;"")*(MOVIMIENTOS!$A$5:$A$400&lt;=$A58)*MOVIMIENTOS!$E$5:$E$400)-SUMPRODUCT((MOVIMIENTOS!$B$5:$B$400="REGALO")*(MOVIMIENTOS!$C$5:$C$400="Chancho")*(MOVIMIENTOS!$D$5:$D$400="sacos")*(MOVIMIENTOS!$A$5:$A$400&lt;&gt;"")*(MOVIMIENTOS!$A$5:$A$400&lt;=$A58)*MOVIMIENTOS!$E$5:$E$400)-SUMPRODUCT((MOVIMIENTOS!$B$5:$B$400="VENTA")*(MOVIMIENTOS!$C$5:$C$400="Chancho")*(MOVIMIENTOS!$D$5:$D$400="sacos")*(MOVIMIENTOS!$A$5:$A$400&lt;&gt;"")*(MOVIMIENTOS!$A$5:$A$400&lt;=$A58)*MOVIMIENTOS!$E$5:$E$400)+SUMPRODUCT((MOVIMIENTOS!$B$5:$B$400="AJUSTE")*(MOVIMIENTOS!$C$5:$C$400="Chancho")*(MOVIMIENTOS!$D$5:$D$400="sacos")*(MOVIMIENTOS!$A$5:$A$400&lt;&gt;"")*(MOVIMIENTOS!$A$5:$A$400&lt;=$A58)*MOVIMIENTOS!$E$5:$E$400))</f>
        <v/>
      </c>
      <c r="G58" s="52" t="str">
        <f aca="false">IF($A58="","",SUM(B58:E58))</f>
        <v/>
      </c>
      <c r="H58" s="52" t="str">
        <f aca="false">IF($A58="","",SUMPRODUCT((((MOVIMIENTOS!$B$5:$B$400="SALDO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58)*MOVIMIENTOS!$I$5:$I$400))</f>
        <v/>
      </c>
      <c r="I58" s="48"/>
      <c r="J58" s="48" t="str">
        <f aca="false">IF(AND(MOVIMIENTOS!$A58&lt;&gt;"",COUNTIF(MOVIMIENTOS!$A$5:$A57,MOVIMIENTOS!$A58)=0),COUNT(J$4:J57)+1,"")</f>
        <v/>
      </c>
      <c r="K58" s="53" t="n">
        <f aca="false">MOVIMIENTOS!$A58</f>
        <v>46219</v>
      </c>
      <c r="L58" s="48"/>
      <c r="M58" s="48"/>
      <c r="N58" s="48"/>
    </row>
    <row r="59" customFormat="false" ht="15" hidden="false" customHeight="true" outlineLevel="0" collapsed="false">
      <c r="A59" s="51" t="str">
        <f aca="false">IFERROR(INDEX(K$5:K$400,MATCH(ROW()-4,J$5:J$400,0)),"")</f>
        <v/>
      </c>
      <c r="B59" s="52" t="str">
        <f aca="false">IF($A59="","",SUMPRODUCT((MOVIMIENTOS!$B$5:$B$400="SALDO INICIAL")*(MOVIMIENTOS!$C$5:$C$400="A")*(MOVIMIENTOS!$D$5:$D$400="jabas")*(MOVIMIENTOS!$A$5:$A$400&lt;&gt;"")*(MOVIMIENTOS!$A$5:$A$400&lt;=$A59)*MOVIMIENTOS!$E$5:$E$400)+SUMPRODUCT((MOVIMIENTOS!$B$5:$B$400="PROCESO")*(MOVIMIENTOS!$C$5:$C$400="A")*(MOVIMIENTOS!$D$5:$D$400="jabas")*(MOVIMIENTOS!$A$5:$A$400&lt;&gt;"")*(MOVIMIENTOS!$A$5:$A$400&lt;=$A59)*MOVIMIENTOS!$E$5:$E$400)-SUMPRODUCT((MOVIMIENTOS!$B$5:$B$400="ENVÍO A SUPESA")*(MOVIMIENTOS!$C$5:$C$400="A")*(MOVIMIENTOS!$D$5:$D$400="jabas")*(MOVIMIENTOS!$A$5:$A$400&lt;&gt;"")*(MOVIMIENTOS!$A$5:$A$400&lt;=$A59)*MOVIMIENTOS!$E$5:$E$400)+SUMPRODUCT((MOVIMIENTOS!$B$5:$B$400="DEVOLUCIÓN")*(MOVIMIENTOS!$C$5:$C$400="A")*(MOVIMIENTOS!$D$5:$D$400="jabas")*(MOVIMIENTOS!$A$5:$A$400&lt;&gt;"")*(MOVIMIENTOS!$A$5:$A$400&lt;=$A59)*MOVIMIENTOS!$E$5:$E$400)-SUMPRODUCT((MOVIMIENTOS!$B$5:$B$400="TRASIEGO")*(MOVIMIENTOS!$C$5:$C$400="A")*(MOVIMIENTOS!$D$5:$D$400="jabas")*(MOVIMIENTOS!$A$5:$A$400&lt;&gt;"")*(MOVIMIENTOS!$A$5:$A$400&lt;=$A59)*MOVIMIENTOS!$E$5:$E$400)-SUMPRODUCT((MOVIMIENTOS!$B$5:$B$400="REGALO")*(MOVIMIENTOS!$C$5:$C$400="A")*(MOVIMIENTOS!$D$5:$D$400="jabas")*(MOVIMIENTOS!$A$5:$A$400&lt;&gt;"")*(MOVIMIENTOS!$A$5:$A$400&lt;=$A59)*MOVIMIENTOS!$E$5:$E$400)-SUMPRODUCT((MOVIMIENTOS!$B$5:$B$400="VENTA")*(MOVIMIENTOS!$C$5:$C$400="A")*(MOVIMIENTOS!$D$5:$D$400="jabas")*(MOVIMIENTOS!$A$5:$A$400&lt;&gt;"")*(MOVIMIENTOS!$A$5:$A$400&lt;=$A59)*MOVIMIENTOS!$E$5:$E$400)+SUMPRODUCT((MOVIMIENTOS!$B$5:$B$400="AJUSTE")*(MOVIMIENTOS!$C$5:$C$400="A")*(MOVIMIENTOS!$D$5:$D$400="jabas")*(MOVIMIENTOS!$A$5:$A$400&lt;&gt;"")*(MOVIMIENTOS!$A$5:$A$400&lt;=$A59)*MOVIMIENTOS!$E$5:$E$400))</f>
        <v/>
      </c>
      <c r="C59" s="52" t="str">
        <f aca="false">IF($A59="","",SUMPRODUCT((MOVIMIENTOS!$B$5:$B$400="SALDO INICIAL")*(MOVIMIENTOS!$C$5:$C$400="P")*(MOVIMIENTOS!$D$5:$D$400="jabas")*(MOVIMIENTOS!$A$5:$A$400&lt;&gt;"")*(MOVIMIENTOS!$A$5:$A$400&lt;=$A59)*MOVIMIENTOS!$E$5:$E$400)+SUMPRODUCT((MOVIMIENTOS!$B$5:$B$400="PROCESO")*(MOVIMIENTOS!$C$5:$C$400="P")*(MOVIMIENTOS!$D$5:$D$400="jabas")*(MOVIMIENTOS!$A$5:$A$400&lt;&gt;"")*(MOVIMIENTOS!$A$5:$A$400&lt;=$A59)*MOVIMIENTOS!$E$5:$E$400)-SUMPRODUCT((MOVIMIENTOS!$B$5:$B$400="ENVÍO A SUPESA")*(MOVIMIENTOS!$C$5:$C$400="P")*(MOVIMIENTOS!$D$5:$D$400="jabas")*(MOVIMIENTOS!$A$5:$A$400&lt;&gt;"")*(MOVIMIENTOS!$A$5:$A$400&lt;=$A59)*MOVIMIENTOS!$E$5:$E$400)+SUMPRODUCT((MOVIMIENTOS!$B$5:$B$400="DEVOLUCIÓN")*(MOVIMIENTOS!$C$5:$C$400="P")*(MOVIMIENTOS!$D$5:$D$400="jabas")*(MOVIMIENTOS!$A$5:$A$400&lt;&gt;"")*(MOVIMIENTOS!$A$5:$A$400&lt;=$A59)*MOVIMIENTOS!$E$5:$E$400)-SUMPRODUCT((MOVIMIENTOS!$B$5:$B$400="TRASIEGO")*(MOVIMIENTOS!$C$5:$C$400="P")*(MOVIMIENTOS!$D$5:$D$400="jabas")*(MOVIMIENTOS!$A$5:$A$400&lt;&gt;"")*(MOVIMIENTOS!$A$5:$A$400&lt;=$A59)*MOVIMIENTOS!$E$5:$E$400)-SUMPRODUCT((MOVIMIENTOS!$B$5:$B$400="REGALO")*(MOVIMIENTOS!$C$5:$C$400="P")*(MOVIMIENTOS!$D$5:$D$400="jabas")*(MOVIMIENTOS!$A$5:$A$400&lt;&gt;"")*(MOVIMIENTOS!$A$5:$A$400&lt;=$A59)*MOVIMIENTOS!$E$5:$E$400)-SUMPRODUCT((MOVIMIENTOS!$B$5:$B$400="VENTA")*(MOVIMIENTOS!$C$5:$C$400="P")*(MOVIMIENTOS!$D$5:$D$400="jabas")*(MOVIMIENTOS!$A$5:$A$400&lt;&gt;"")*(MOVIMIENTOS!$A$5:$A$400&lt;=$A59)*MOVIMIENTOS!$E$5:$E$400)+SUMPRODUCT((MOVIMIENTOS!$B$5:$B$400="AJUSTE")*(MOVIMIENTOS!$C$5:$C$400="P")*(MOVIMIENTOS!$D$5:$D$400="jabas")*(MOVIMIENTOS!$A$5:$A$400&lt;&gt;"")*(MOVIMIENTOS!$A$5:$A$400&lt;=$A59)*MOVIMIENTOS!$E$5:$E$400))</f>
        <v/>
      </c>
      <c r="D59" s="52" t="str">
        <f aca="false">IF($A59="","",SUMPRODUCT((MOVIMIENTOS!$B$5:$B$400="SALDO INICIAL")*(MOVIMIENTOS!$C$5:$C$400="C")*(MOVIMIENTOS!$D$5:$D$400="jabas")*(MOVIMIENTOS!$A$5:$A$400&lt;&gt;"")*(MOVIMIENTOS!$A$5:$A$400&lt;=$A59)*MOVIMIENTOS!$E$5:$E$400)+SUMPRODUCT((MOVIMIENTOS!$B$5:$B$400="PROCESO")*(MOVIMIENTOS!$C$5:$C$400="C")*(MOVIMIENTOS!$D$5:$D$400="jabas")*(MOVIMIENTOS!$A$5:$A$400&lt;&gt;"")*(MOVIMIENTOS!$A$5:$A$400&lt;=$A59)*MOVIMIENTOS!$E$5:$E$400)-SUMPRODUCT((MOVIMIENTOS!$B$5:$B$400="ENVÍO A SUPESA")*(MOVIMIENTOS!$C$5:$C$400="C")*(MOVIMIENTOS!$D$5:$D$400="jabas")*(MOVIMIENTOS!$A$5:$A$400&lt;&gt;"")*(MOVIMIENTOS!$A$5:$A$400&lt;=$A59)*MOVIMIENTOS!$E$5:$E$400)+SUMPRODUCT((MOVIMIENTOS!$B$5:$B$400="DEVOLUCIÓN")*(MOVIMIENTOS!$C$5:$C$400="C")*(MOVIMIENTOS!$D$5:$D$400="jabas")*(MOVIMIENTOS!$A$5:$A$400&lt;&gt;"")*(MOVIMIENTOS!$A$5:$A$400&lt;=$A59)*MOVIMIENTOS!$E$5:$E$400)-SUMPRODUCT((MOVIMIENTOS!$B$5:$B$400="TRASIEGO")*(MOVIMIENTOS!$C$5:$C$400="C")*(MOVIMIENTOS!$D$5:$D$400="jabas")*(MOVIMIENTOS!$A$5:$A$400&lt;&gt;"")*(MOVIMIENTOS!$A$5:$A$400&lt;=$A59)*MOVIMIENTOS!$E$5:$E$400)-SUMPRODUCT((MOVIMIENTOS!$B$5:$B$400="REGALO")*(MOVIMIENTOS!$C$5:$C$400="C")*(MOVIMIENTOS!$D$5:$D$400="jabas")*(MOVIMIENTOS!$A$5:$A$400&lt;&gt;"")*(MOVIMIENTOS!$A$5:$A$400&lt;=$A59)*MOVIMIENTOS!$E$5:$E$400)-SUMPRODUCT((MOVIMIENTOS!$B$5:$B$400="VENTA")*(MOVIMIENTOS!$C$5:$C$400="C")*(MOVIMIENTOS!$D$5:$D$400="jabas")*(MOVIMIENTOS!$A$5:$A$400&lt;&gt;"")*(MOVIMIENTOS!$A$5:$A$400&lt;=$A59)*MOVIMIENTOS!$E$5:$E$400)+SUMPRODUCT((MOVIMIENTOS!$B$5:$B$400="AJUSTE")*(MOVIMIENTOS!$C$5:$C$400="C")*(MOVIMIENTOS!$D$5:$D$400="jabas")*(MOVIMIENTOS!$A$5:$A$400&lt;&gt;"")*(MOVIMIENTOS!$A$5:$A$400&lt;=$A59)*MOVIMIENTOS!$E$5:$E$400))</f>
        <v/>
      </c>
      <c r="E59" s="52" t="str">
        <f aca="false">IF($A59="","",SUMPRODUCT((MOVIMIENTOS!$B$5:$B$400="SALDO INICIAL")*(MOVIMIENTOS!$C$5:$C$400="M")*(MOVIMIENTOS!$D$5:$D$400="jabas")*(MOVIMIENTOS!$A$5:$A$400&lt;&gt;"")*(MOVIMIENTOS!$A$5:$A$400&lt;=$A59)*MOVIMIENTOS!$E$5:$E$400)+SUMPRODUCT((MOVIMIENTOS!$B$5:$B$400="PROCESO")*(MOVIMIENTOS!$C$5:$C$400="M")*(MOVIMIENTOS!$D$5:$D$400="jabas")*(MOVIMIENTOS!$A$5:$A$400&lt;&gt;"")*(MOVIMIENTOS!$A$5:$A$400&lt;=$A59)*MOVIMIENTOS!$E$5:$E$400)-SUMPRODUCT((MOVIMIENTOS!$B$5:$B$400="ENVÍO A SUPESA")*(MOVIMIENTOS!$C$5:$C$400="M")*(MOVIMIENTOS!$D$5:$D$400="jabas")*(MOVIMIENTOS!$A$5:$A$400&lt;&gt;"")*(MOVIMIENTOS!$A$5:$A$400&lt;=$A59)*MOVIMIENTOS!$E$5:$E$400)+SUMPRODUCT((MOVIMIENTOS!$B$5:$B$400="DEVOLUCIÓN")*(MOVIMIENTOS!$C$5:$C$400="M")*(MOVIMIENTOS!$D$5:$D$400="jabas")*(MOVIMIENTOS!$A$5:$A$400&lt;&gt;"")*(MOVIMIENTOS!$A$5:$A$400&lt;=$A59)*MOVIMIENTOS!$E$5:$E$400)-SUMPRODUCT((MOVIMIENTOS!$B$5:$B$400="TRASIEGO")*(MOVIMIENTOS!$C$5:$C$400="M")*(MOVIMIENTOS!$D$5:$D$400="jabas")*(MOVIMIENTOS!$A$5:$A$400&lt;&gt;"")*(MOVIMIENTOS!$A$5:$A$400&lt;=$A59)*MOVIMIENTOS!$E$5:$E$400)-SUMPRODUCT((MOVIMIENTOS!$B$5:$B$400="REGALO")*(MOVIMIENTOS!$C$5:$C$400="M")*(MOVIMIENTOS!$D$5:$D$400="jabas")*(MOVIMIENTOS!$A$5:$A$400&lt;&gt;"")*(MOVIMIENTOS!$A$5:$A$400&lt;=$A59)*MOVIMIENTOS!$E$5:$E$400)-SUMPRODUCT((MOVIMIENTOS!$B$5:$B$400="VENTA")*(MOVIMIENTOS!$C$5:$C$400="M")*(MOVIMIENTOS!$D$5:$D$400="jabas")*(MOVIMIENTOS!$A$5:$A$400&lt;&gt;"")*(MOVIMIENTOS!$A$5:$A$400&lt;=$A59)*MOVIMIENTOS!$E$5:$E$400)+SUMPRODUCT((MOVIMIENTOS!$B$5:$B$400="AJUSTE")*(MOVIMIENTOS!$C$5:$C$400="M")*(MOVIMIENTOS!$D$5:$D$400="jabas")*(MOVIMIENTOS!$A$5:$A$400&lt;&gt;"")*(MOVIMIENTOS!$A$5:$A$400&lt;=$A59)*MOVIMIENTOS!$E$5:$E$400))</f>
        <v/>
      </c>
      <c r="F59" s="52" t="str">
        <f aca="false">IF($A59="","",SUMPRODUCT((MOVIMIENTOS!$B$5:$B$400="SALDO INICIAL")*(MOVIMIENTOS!$C$5:$C$400="Chancho")*(MOVIMIENTOS!$D$5:$D$400="sacos")*(MOVIMIENTOS!$A$5:$A$400&lt;&gt;"")*(MOVIMIENTOS!$A$5:$A$400&lt;=$A59)*MOVIMIENTOS!$E$5:$E$400)+SUMPRODUCT((MOVIMIENTOS!$B$5:$B$400="PROCESO")*(MOVIMIENTOS!$C$5:$C$400="Chancho")*(MOVIMIENTOS!$D$5:$D$400="sacos")*(MOVIMIENTOS!$A$5:$A$400&lt;&gt;"")*(MOVIMIENTOS!$A$5:$A$400&lt;=$A59)*MOVIMIENTOS!$E$5:$E$400)-SUMPRODUCT((MOVIMIENTOS!$B$5:$B$400="VENTA CHANCHO")*(MOVIMIENTOS!$C$5:$C$400="Chancho")*(MOVIMIENTOS!$D$5:$D$400="sacos")*(MOVIMIENTOS!$A$5:$A$400&lt;&gt;"")*(MOVIMIENTOS!$A$5:$A$400&lt;=$A59)*MOVIMIENTOS!$E$5:$E$400)-SUMPRODUCT((MOVIMIENTOS!$B$5:$B$400="REGALO")*(MOVIMIENTOS!$C$5:$C$400="Chancho")*(MOVIMIENTOS!$D$5:$D$400="sacos")*(MOVIMIENTOS!$A$5:$A$400&lt;&gt;"")*(MOVIMIENTOS!$A$5:$A$400&lt;=$A59)*MOVIMIENTOS!$E$5:$E$400)-SUMPRODUCT((MOVIMIENTOS!$B$5:$B$400="VENTA")*(MOVIMIENTOS!$C$5:$C$400="Chancho")*(MOVIMIENTOS!$D$5:$D$400="sacos")*(MOVIMIENTOS!$A$5:$A$400&lt;&gt;"")*(MOVIMIENTOS!$A$5:$A$400&lt;=$A59)*MOVIMIENTOS!$E$5:$E$400)+SUMPRODUCT((MOVIMIENTOS!$B$5:$B$400="AJUSTE")*(MOVIMIENTOS!$C$5:$C$400="Chancho")*(MOVIMIENTOS!$D$5:$D$400="sacos")*(MOVIMIENTOS!$A$5:$A$400&lt;&gt;"")*(MOVIMIENTOS!$A$5:$A$400&lt;=$A59)*MOVIMIENTOS!$E$5:$E$400))</f>
        <v/>
      </c>
      <c r="G59" s="52" t="str">
        <f aca="false">IF($A59="","",SUM(B59:E59))</f>
        <v/>
      </c>
      <c r="H59" s="52" t="str">
        <f aca="false">IF($A59="","",SUMPRODUCT((((MOVIMIENTOS!$B$5:$B$400="SALDO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59)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59)*MOVIMIENTOS!$I$5:$I$400))</f>
        <v/>
      </c>
      <c r="I59" s="48"/>
      <c r="J59" s="48" t="str">
        <f aca="false">IF(AND(MOVIMIENTOS!$A59&lt;&gt;"",COUNTIF(MOVIMIENTOS!$A$5:$A58,MOVIMIENTOS!$A59)=0),COUNT(J$4:J58)+1,"")</f>
        <v/>
      </c>
      <c r="K59" s="53" t="n">
        <f aca="false">MOVIMIENTOS!$A59</f>
        <v>46219</v>
      </c>
      <c r="L59" s="48"/>
      <c r="M59" s="48"/>
      <c r="N59" s="48"/>
    </row>
    <row r="60" customFormat="false" ht="15" hidden="false" customHeight="true" outlineLevel="0" collapsed="false">
      <c r="A60" s="51" t="str">
        <f aca="false">IFERROR(INDEX(K$5:K$400,MATCH(ROW()-4,J$5:J$400,0)),"")</f>
        <v/>
      </c>
      <c r="B60" s="52" t="str">
        <f aca="false">IF($A60="","",SUMPRODUCT((MOVIMIENTOS!$B$5:$B$400="SALDO INICIAL")*(MOVIMIENTOS!$C$5:$C$400="A")*(MOVIMIENTOS!$D$5:$D$400="jabas")*(MOVIMIENTOS!$A$5:$A$400&lt;&gt;"")*(MOVIMIENTOS!$A$5:$A$400&lt;=$A60)*MOVIMIENTOS!$E$5:$E$400)+SUMPRODUCT((MOVIMIENTOS!$B$5:$B$400="PROCESO")*(MOVIMIENTOS!$C$5:$C$400="A")*(MOVIMIENTOS!$D$5:$D$400="jabas")*(MOVIMIENTOS!$A$5:$A$400&lt;&gt;"")*(MOVIMIENTOS!$A$5:$A$400&lt;=$A60)*MOVIMIENTOS!$E$5:$E$400)-SUMPRODUCT((MOVIMIENTOS!$B$5:$B$400="ENVÍO A SUPESA")*(MOVIMIENTOS!$C$5:$C$400="A")*(MOVIMIENTOS!$D$5:$D$400="jabas")*(MOVIMIENTOS!$A$5:$A$400&lt;&gt;"")*(MOVIMIENTOS!$A$5:$A$400&lt;=$A60)*MOVIMIENTOS!$E$5:$E$400)+SUMPRODUCT((MOVIMIENTOS!$B$5:$B$400="DEVOLUCIÓN")*(MOVIMIENTOS!$C$5:$C$400="A")*(MOVIMIENTOS!$D$5:$D$400="jabas")*(MOVIMIENTOS!$A$5:$A$400&lt;&gt;"")*(MOVIMIENTOS!$A$5:$A$400&lt;=$A60)*MOVIMIENTOS!$E$5:$E$400)-SUMPRODUCT((MOVIMIENTOS!$B$5:$B$400="TRASIEGO")*(MOVIMIENTOS!$C$5:$C$400="A")*(MOVIMIENTOS!$D$5:$D$400="jabas")*(MOVIMIENTOS!$A$5:$A$400&lt;&gt;"")*(MOVIMIENTOS!$A$5:$A$400&lt;=$A60)*MOVIMIENTOS!$E$5:$E$400)-SUMPRODUCT((MOVIMIENTOS!$B$5:$B$400="REGALO")*(MOVIMIENTOS!$C$5:$C$400="A")*(MOVIMIENTOS!$D$5:$D$400="jabas")*(MOVIMIENTOS!$A$5:$A$400&lt;&gt;"")*(MOVIMIENTOS!$A$5:$A$400&lt;=$A60)*MOVIMIENTOS!$E$5:$E$400)-SUMPRODUCT((MOVIMIENTOS!$B$5:$B$400="VENTA")*(MOVIMIENTOS!$C$5:$C$400="A")*(MOVIMIENTOS!$D$5:$D$400="jabas")*(MOVIMIENTOS!$A$5:$A$400&lt;&gt;"")*(MOVIMIENTOS!$A$5:$A$400&lt;=$A60)*MOVIMIENTOS!$E$5:$E$400)+SUMPRODUCT((MOVIMIENTOS!$B$5:$B$400="AJUSTE")*(MOVIMIENTOS!$C$5:$C$400="A")*(MOVIMIENTOS!$D$5:$D$400="jabas")*(MOVIMIENTOS!$A$5:$A$400&lt;&gt;"")*(MOVIMIENTOS!$A$5:$A$400&lt;=$A60)*MOVIMIENTOS!$E$5:$E$400))</f>
        <v/>
      </c>
      <c r="C60" s="52" t="str">
        <f aca="false">IF($A60="","",SUMPRODUCT((MOVIMIENTOS!$B$5:$B$400="SALDO INICIAL")*(MOVIMIENTOS!$C$5:$C$400="P")*(MOVIMIENTOS!$D$5:$D$400="jabas")*(MOVIMIENTOS!$A$5:$A$400&lt;&gt;"")*(MOVIMIENTOS!$A$5:$A$400&lt;=$A60)*MOVIMIENTOS!$E$5:$E$400)+SUMPRODUCT((MOVIMIENTOS!$B$5:$B$400="PROCESO")*(MOVIMIENTOS!$C$5:$C$400="P")*(MOVIMIENTOS!$D$5:$D$400="jabas")*(MOVIMIENTOS!$A$5:$A$400&lt;&gt;"")*(MOVIMIENTOS!$A$5:$A$400&lt;=$A60)*MOVIMIENTOS!$E$5:$E$400)-SUMPRODUCT((MOVIMIENTOS!$B$5:$B$400="ENVÍO A SUPESA")*(MOVIMIENTOS!$C$5:$C$400="P")*(MOVIMIENTOS!$D$5:$D$400="jabas")*(MOVIMIENTOS!$A$5:$A$400&lt;&gt;"")*(MOVIMIENTOS!$A$5:$A$400&lt;=$A60)*MOVIMIENTOS!$E$5:$E$400)+SUMPRODUCT((MOVIMIENTOS!$B$5:$B$400="DEVOLUCIÓN")*(MOVIMIENTOS!$C$5:$C$400="P")*(MOVIMIENTOS!$D$5:$D$400="jabas")*(MOVIMIENTOS!$A$5:$A$400&lt;&gt;"")*(MOVIMIENTOS!$A$5:$A$400&lt;=$A60)*MOVIMIENTOS!$E$5:$E$400)-SUMPRODUCT((MOVIMIENTOS!$B$5:$B$400="TRASIEGO")*(MOVIMIENTOS!$C$5:$C$400="P")*(MOVIMIENTOS!$D$5:$D$400="jabas")*(MOVIMIENTOS!$A$5:$A$400&lt;&gt;"")*(MOVIMIENTOS!$A$5:$A$400&lt;=$A60)*MOVIMIENTOS!$E$5:$E$400)-SUMPRODUCT((MOVIMIENTOS!$B$5:$B$400="REGALO")*(MOVIMIENTOS!$C$5:$C$400="P")*(MOVIMIENTOS!$D$5:$D$400="jabas")*(MOVIMIENTOS!$A$5:$A$400&lt;&gt;"")*(MOVIMIENTOS!$A$5:$A$400&lt;=$A60)*MOVIMIENTOS!$E$5:$E$400)-SUMPRODUCT((MOVIMIENTOS!$B$5:$B$400="VENTA")*(MOVIMIENTOS!$C$5:$C$400="P")*(MOVIMIENTOS!$D$5:$D$400="jabas")*(MOVIMIENTOS!$A$5:$A$400&lt;&gt;"")*(MOVIMIENTOS!$A$5:$A$400&lt;=$A60)*MOVIMIENTOS!$E$5:$E$400)+SUMPRODUCT((MOVIMIENTOS!$B$5:$B$400="AJUSTE")*(MOVIMIENTOS!$C$5:$C$400="P")*(MOVIMIENTOS!$D$5:$D$400="jabas")*(MOVIMIENTOS!$A$5:$A$400&lt;&gt;"")*(MOVIMIENTOS!$A$5:$A$400&lt;=$A60)*MOVIMIENTOS!$E$5:$E$400))</f>
        <v/>
      </c>
      <c r="D60" s="52" t="str">
        <f aca="false">IF($A60="","",SUMPRODUCT((MOVIMIENTOS!$B$5:$B$400="SALDO INICIAL")*(MOVIMIENTOS!$C$5:$C$400="C")*(MOVIMIENTOS!$D$5:$D$400="jabas")*(MOVIMIENTOS!$A$5:$A$400&lt;&gt;"")*(MOVIMIENTOS!$A$5:$A$400&lt;=$A60)*MOVIMIENTOS!$E$5:$E$400)+SUMPRODUCT((MOVIMIENTOS!$B$5:$B$400="PROCESO")*(MOVIMIENTOS!$C$5:$C$400="C")*(MOVIMIENTOS!$D$5:$D$400="jabas")*(MOVIMIENTOS!$A$5:$A$400&lt;&gt;"")*(MOVIMIENTOS!$A$5:$A$400&lt;=$A60)*MOVIMIENTOS!$E$5:$E$400)-SUMPRODUCT((MOVIMIENTOS!$B$5:$B$400="ENVÍO A SUPESA")*(MOVIMIENTOS!$C$5:$C$400="C")*(MOVIMIENTOS!$D$5:$D$400="jabas")*(MOVIMIENTOS!$A$5:$A$400&lt;&gt;"")*(MOVIMIENTOS!$A$5:$A$400&lt;=$A60)*MOVIMIENTOS!$E$5:$E$400)+SUMPRODUCT((MOVIMIENTOS!$B$5:$B$400="DEVOLUCIÓN")*(MOVIMIENTOS!$C$5:$C$400="C")*(MOVIMIENTOS!$D$5:$D$400="jabas")*(MOVIMIENTOS!$A$5:$A$400&lt;&gt;"")*(MOVIMIENTOS!$A$5:$A$400&lt;=$A60)*MOVIMIENTOS!$E$5:$E$400)-SUMPRODUCT((MOVIMIENTOS!$B$5:$B$400="TRASIEGO")*(MOVIMIENTOS!$C$5:$C$400="C")*(MOVIMIENTOS!$D$5:$D$400="jabas")*(MOVIMIENTOS!$A$5:$A$400&lt;&gt;"")*(MOVIMIENTOS!$A$5:$A$400&lt;=$A60)*MOVIMIENTOS!$E$5:$E$400)-SUMPRODUCT((MOVIMIENTOS!$B$5:$B$400="REGALO")*(MOVIMIENTOS!$C$5:$C$400="C")*(MOVIMIENTOS!$D$5:$D$400="jabas")*(MOVIMIENTOS!$A$5:$A$400&lt;&gt;"")*(MOVIMIENTOS!$A$5:$A$400&lt;=$A60)*MOVIMIENTOS!$E$5:$E$400)-SUMPRODUCT((MOVIMIENTOS!$B$5:$B$400="VENTA")*(MOVIMIENTOS!$C$5:$C$400="C")*(MOVIMIENTOS!$D$5:$D$400="jabas")*(MOVIMIENTOS!$A$5:$A$400&lt;&gt;"")*(MOVIMIENTOS!$A$5:$A$400&lt;=$A60)*MOVIMIENTOS!$E$5:$E$400)+SUMPRODUCT((MOVIMIENTOS!$B$5:$B$400="AJUSTE")*(MOVIMIENTOS!$C$5:$C$400="C")*(MOVIMIENTOS!$D$5:$D$400="jabas")*(MOVIMIENTOS!$A$5:$A$400&lt;&gt;"")*(MOVIMIENTOS!$A$5:$A$400&lt;=$A60)*MOVIMIENTOS!$E$5:$E$400))</f>
        <v/>
      </c>
      <c r="E60" s="52" t="str">
        <f aca="false">IF($A60="","",SUMPRODUCT((MOVIMIENTOS!$B$5:$B$400="SALDO INICIAL")*(MOVIMIENTOS!$C$5:$C$400="M")*(MOVIMIENTOS!$D$5:$D$400="jabas")*(MOVIMIENTOS!$A$5:$A$400&lt;&gt;"")*(MOVIMIENTOS!$A$5:$A$400&lt;=$A60)*MOVIMIENTOS!$E$5:$E$400)+SUMPRODUCT((MOVIMIENTOS!$B$5:$B$400="PROCESO")*(MOVIMIENTOS!$C$5:$C$400="M")*(MOVIMIENTOS!$D$5:$D$400="jabas")*(MOVIMIENTOS!$A$5:$A$400&lt;&gt;"")*(MOVIMIENTOS!$A$5:$A$400&lt;=$A60)*MOVIMIENTOS!$E$5:$E$400)-SUMPRODUCT((MOVIMIENTOS!$B$5:$B$400="ENVÍO A SUPESA")*(MOVIMIENTOS!$C$5:$C$400="M")*(MOVIMIENTOS!$D$5:$D$400="jabas")*(MOVIMIENTOS!$A$5:$A$400&lt;&gt;"")*(MOVIMIENTOS!$A$5:$A$400&lt;=$A60)*MOVIMIENTOS!$E$5:$E$400)+SUMPRODUCT((MOVIMIENTOS!$B$5:$B$400="DEVOLUCIÓN")*(MOVIMIENTOS!$C$5:$C$400="M")*(MOVIMIENTOS!$D$5:$D$400="jabas")*(MOVIMIENTOS!$A$5:$A$400&lt;&gt;"")*(MOVIMIENTOS!$A$5:$A$400&lt;=$A60)*MOVIMIENTOS!$E$5:$E$400)-SUMPRODUCT((MOVIMIENTOS!$B$5:$B$400="TRASIEGO")*(MOVIMIENTOS!$C$5:$C$400="M")*(MOVIMIENTOS!$D$5:$D$400="jabas")*(MOVIMIENTOS!$A$5:$A$400&lt;&gt;"")*(MOVIMIENTOS!$A$5:$A$400&lt;=$A60)*MOVIMIENTOS!$E$5:$E$400)-SUMPRODUCT((MOVIMIENTOS!$B$5:$B$400="REGALO")*(MOVIMIENTOS!$C$5:$C$400="M")*(MOVIMIENTOS!$D$5:$D$400="jabas")*(MOVIMIENTOS!$A$5:$A$400&lt;&gt;"")*(MOVIMIENTOS!$A$5:$A$400&lt;=$A60)*MOVIMIENTOS!$E$5:$E$400)-SUMPRODUCT((MOVIMIENTOS!$B$5:$B$400="VENTA")*(MOVIMIENTOS!$C$5:$C$400="M")*(MOVIMIENTOS!$D$5:$D$400="jabas")*(MOVIMIENTOS!$A$5:$A$400&lt;&gt;"")*(MOVIMIENTOS!$A$5:$A$400&lt;=$A60)*MOVIMIENTOS!$E$5:$E$400)+SUMPRODUCT((MOVIMIENTOS!$B$5:$B$400="AJUSTE")*(MOVIMIENTOS!$C$5:$C$400="M")*(MOVIMIENTOS!$D$5:$D$400="jabas")*(MOVIMIENTOS!$A$5:$A$400&lt;&gt;"")*(MOVIMIENTOS!$A$5:$A$400&lt;=$A60)*MOVIMIENTOS!$E$5:$E$400))</f>
        <v/>
      </c>
      <c r="F60" s="52" t="str">
        <f aca="false">IF($A60="","",SUMPRODUCT((MOVIMIENTOS!$B$5:$B$400="SALDO INICIAL")*(MOVIMIENTOS!$C$5:$C$400="Chancho")*(MOVIMIENTOS!$D$5:$D$400="sacos")*(MOVIMIENTOS!$A$5:$A$400&lt;&gt;"")*(MOVIMIENTOS!$A$5:$A$400&lt;=$A60)*MOVIMIENTOS!$E$5:$E$400)+SUMPRODUCT((MOVIMIENTOS!$B$5:$B$400="PROCESO")*(MOVIMIENTOS!$C$5:$C$400="Chancho")*(MOVIMIENTOS!$D$5:$D$400="sacos")*(MOVIMIENTOS!$A$5:$A$400&lt;&gt;"")*(MOVIMIENTOS!$A$5:$A$400&lt;=$A60)*MOVIMIENTOS!$E$5:$E$400)-SUMPRODUCT((MOVIMIENTOS!$B$5:$B$400="VENTA CHANCHO")*(MOVIMIENTOS!$C$5:$C$400="Chancho")*(MOVIMIENTOS!$D$5:$D$400="sacos")*(MOVIMIENTOS!$A$5:$A$400&lt;&gt;"")*(MOVIMIENTOS!$A$5:$A$400&lt;=$A60)*MOVIMIENTOS!$E$5:$E$400)-SUMPRODUCT((MOVIMIENTOS!$B$5:$B$400="REGALO")*(MOVIMIENTOS!$C$5:$C$400="Chancho")*(MOVIMIENTOS!$D$5:$D$400="sacos")*(MOVIMIENTOS!$A$5:$A$400&lt;&gt;"")*(MOVIMIENTOS!$A$5:$A$400&lt;=$A60)*MOVIMIENTOS!$E$5:$E$400)-SUMPRODUCT((MOVIMIENTOS!$B$5:$B$400="VENTA")*(MOVIMIENTOS!$C$5:$C$400="Chancho")*(MOVIMIENTOS!$D$5:$D$400="sacos")*(MOVIMIENTOS!$A$5:$A$400&lt;&gt;"")*(MOVIMIENTOS!$A$5:$A$400&lt;=$A60)*MOVIMIENTOS!$E$5:$E$400)+SUMPRODUCT((MOVIMIENTOS!$B$5:$B$400="AJUSTE")*(MOVIMIENTOS!$C$5:$C$400="Chancho")*(MOVIMIENTOS!$D$5:$D$400="sacos")*(MOVIMIENTOS!$A$5:$A$400&lt;&gt;"")*(MOVIMIENTOS!$A$5:$A$400&lt;=$A60)*MOVIMIENTOS!$E$5:$E$400))</f>
        <v/>
      </c>
      <c r="G60" s="52" t="str">
        <f aca="false">IF($A60="","",SUM(B60:E60))</f>
        <v/>
      </c>
      <c r="H60" s="52" t="str">
        <f aca="false">IF($A60="","",SUMPRODUCT((((MOVIMIENTOS!$B$5:$B$400="SALDO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60)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60)*MOVIMIENTOS!$I$5:$I$400))</f>
        <v/>
      </c>
      <c r="I60" s="48"/>
      <c r="J60" s="48" t="n">
        <f aca="false">IF(AND(MOVIMIENTOS!$A60&lt;&gt;"",COUNTIF(MOVIMIENTOS!$A$5:$A59,MOVIMIENTOS!$A60)=0),COUNT(J$4:J59)+1,"")</f>
        <v>7</v>
      </c>
      <c r="K60" s="53" t="n">
        <f aca="false">MOVIMIENTOS!$A60</f>
        <v>46220</v>
      </c>
      <c r="L60" s="48"/>
      <c r="M60" s="48"/>
      <c r="N60" s="48"/>
    </row>
    <row r="61" customFormat="false" ht="15" hidden="false" customHeight="true" outlineLevel="0" collapsed="false">
      <c r="A61" s="51" t="str">
        <f aca="false">IFERROR(INDEX(K$5:K$400,MATCH(ROW()-4,J$5:J$400,0)),"")</f>
        <v/>
      </c>
      <c r="B61" s="52" t="str">
        <f aca="false">IF($A61="","",SUMPRODUCT((MOVIMIENTOS!$B$5:$B$400="SALDO INICIAL")*(MOVIMIENTOS!$C$5:$C$400="A")*(MOVIMIENTOS!$D$5:$D$400="jabas")*(MOVIMIENTOS!$A$5:$A$400&lt;&gt;"")*(MOVIMIENTOS!$A$5:$A$400&lt;=$A61)*MOVIMIENTOS!$E$5:$E$400)+SUMPRODUCT((MOVIMIENTOS!$B$5:$B$400="PROCESO")*(MOVIMIENTOS!$C$5:$C$400="A")*(MOVIMIENTOS!$D$5:$D$400="jabas")*(MOVIMIENTOS!$A$5:$A$400&lt;&gt;"")*(MOVIMIENTOS!$A$5:$A$400&lt;=$A61)*MOVIMIENTOS!$E$5:$E$400)-SUMPRODUCT((MOVIMIENTOS!$B$5:$B$400="ENVÍO A SUPESA")*(MOVIMIENTOS!$C$5:$C$400="A")*(MOVIMIENTOS!$D$5:$D$400="jabas")*(MOVIMIENTOS!$A$5:$A$400&lt;&gt;"")*(MOVIMIENTOS!$A$5:$A$400&lt;=$A61)*MOVIMIENTOS!$E$5:$E$400)+SUMPRODUCT((MOVIMIENTOS!$B$5:$B$400="DEVOLUCIÓN")*(MOVIMIENTOS!$C$5:$C$400="A")*(MOVIMIENTOS!$D$5:$D$400="jabas")*(MOVIMIENTOS!$A$5:$A$400&lt;&gt;"")*(MOVIMIENTOS!$A$5:$A$400&lt;=$A61)*MOVIMIENTOS!$E$5:$E$400)-SUMPRODUCT((MOVIMIENTOS!$B$5:$B$400="TRASIEGO")*(MOVIMIENTOS!$C$5:$C$400="A")*(MOVIMIENTOS!$D$5:$D$400="jabas")*(MOVIMIENTOS!$A$5:$A$400&lt;&gt;"")*(MOVIMIENTOS!$A$5:$A$400&lt;=$A61)*MOVIMIENTOS!$E$5:$E$400)-SUMPRODUCT((MOVIMIENTOS!$B$5:$B$400="REGALO")*(MOVIMIENTOS!$C$5:$C$400="A")*(MOVIMIENTOS!$D$5:$D$400="jabas")*(MOVIMIENTOS!$A$5:$A$400&lt;&gt;"")*(MOVIMIENTOS!$A$5:$A$400&lt;=$A61)*MOVIMIENTOS!$E$5:$E$400)-SUMPRODUCT((MOVIMIENTOS!$B$5:$B$400="VENTA")*(MOVIMIENTOS!$C$5:$C$400="A")*(MOVIMIENTOS!$D$5:$D$400="jabas")*(MOVIMIENTOS!$A$5:$A$400&lt;&gt;"")*(MOVIMIENTOS!$A$5:$A$400&lt;=$A61)*MOVIMIENTOS!$E$5:$E$400)+SUMPRODUCT((MOVIMIENTOS!$B$5:$B$400="AJUSTE")*(MOVIMIENTOS!$C$5:$C$400="A")*(MOVIMIENTOS!$D$5:$D$400="jabas")*(MOVIMIENTOS!$A$5:$A$400&lt;&gt;"")*(MOVIMIENTOS!$A$5:$A$400&lt;=$A61)*MOVIMIENTOS!$E$5:$E$400))</f>
        <v/>
      </c>
      <c r="C61" s="52" t="str">
        <f aca="false">IF($A61="","",SUMPRODUCT((MOVIMIENTOS!$B$5:$B$400="SALDO INICIAL")*(MOVIMIENTOS!$C$5:$C$400="P")*(MOVIMIENTOS!$D$5:$D$400="jabas")*(MOVIMIENTOS!$A$5:$A$400&lt;&gt;"")*(MOVIMIENTOS!$A$5:$A$400&lt;=$A61)*MOVIMIENTOS!$E$5:$E$400)+SUMPRODUCT((MOVIMIENTOS!$B$5:$B$400="PROCESO")*(MOVIMIENTOS!$C$5:$C$400="P")*(MOVIMIENTOS!$D$5:$D$400="jabas")*(MOVIMIENTOS!$A$5:$A$400&lt;&gt;"")*(MOVIMIENTOS!$A$5:$A$400&lt;=$A61)*MOVIMIENTOS!$E$5:$E$400)-SUMPRODUCT((MOVIMIENTOS!$B$5:$B$400="ENVÍO A SUPESA")*(MOVIMIENTOS!$C$5:$C$400="P")*(MOVIMIENTOS!$D$5:$D$400="jabas")*(MOVIMIENTOS!$A$5:$A$400&lt;&gt;"")*(MOVIMIENTOS!$A$5:$A$400&lt;=$A61)*MOVIMIENTOS!$E$5:$E$400)+SUMPRODUCT((MOVIMIENTOS!$B$5:$B$400="DEVOLUCIÓN")*(MOVIMIENTOS!$C$5:$C$400="P")*(MOVIMIENTOS!$D$5:$D$400="jabas")*(MOVIMIENTOS!$A$5:$A$400&lt;&gt;"")*(MOVIMIENTOS!$A$5:$A$400&lt;=$A61)*MOVIMIENTOS!$E$5:$E$400)-SUMPRODUCT((MOVIMIENTOS!$B$5:$B$400="TRASIEGO")*(MOVIMIENTOS!$C$5:$C$400="P")*(MOVIMIENTOS!$D$5:$D$400="jabas")*(MOVIMIENTOS!$A$5:$A$400&lt;&gt;"")*(MOVIMIENTOS!$A$5:$A$400&lt;=$A61)*MOVIMIENTOS!$E$5:$E$400)-SUMPRODUCT((MOVIMIENTOS!$B$5:$B$400="REGALO")*(MOVIMIENTOS!$C$5:$C$400="P")*(MOVIMIENTOS!$D$5:$D$400="jabas")*(MOVIMIENTOS!$A$5:$A$400&lt;&gt;"")*(MOVIMIENTOS!$A$5:$A$400&lt;=$A61)*MOVIMIENTOS!$E$5:$E$400)-SUMPRODUCT((MOVIMIENTOS!$B$5:$B$400="VENTA")*(MOVIMIENTOS!$C$5:$C$400="P")*(MOVIMIENTOS!$D$5:$D$400="jabas")*(MOVIMIENTOS!$A$5:$A$400&lt;&gt;"")*(MOVIMIENTOS!$A$5:$A$400&lt;=$A61)*MOVIMIENTOS!$E$5:$E$400)+SUMPRODUCT((MOVIMIENTOS!$B$5:$B$400="AJUSTE")*(MOVIMIENTOS!$C$5:$C$400="P")*(MOVIMIENTOS!$D$5:$D$400="jabas")*(MOVIMIENTOS!$A$5:$A$400&lt;&gt;"")*(MOVIMIENTOS!$A$5:$A$400&lt;=$A61)*MOVIMIENTOS!$E$5:$E$400))</f>
        <v/>
      </c>
      <c r="D61" s="52" t="str">
        <f aca="false">IF($A61="","",SUMPRODUCT((MOVIMIENTOS!$B$5:$B$400="SALDO INICIAL")*(MOVIMIENTOS!$C$5:$C$400="C")*(MOVIMIENTOS!$D$5:$D$400="jabas")*(MOVIMIENTOS!$A$5:$A$400&lt;&gt;"")*(MOVIMIENTOS!$A$5:$A$400&lt;=$A61)*MOVIMIENTOS!$E$5:$E$400)+SUMPRODUCT((MOVIMIENTOS!$B$5:$B$400="PROCESO")*(MOVIMIENTOS!$C$5:$C$400="C")*(MOVIMIENTOS!$D$5:$D$400="jabas")*(MOVIMIENTOS!$A$5:$A$400&lt;&gt;"")*(MOVIMIENTOS!$A$5:$A$400&lt;=$A61)*MOVIMIENTOS!$E$5:$E$400)-SUMPRODUCT((MOVIMIENTOS!$B$5:$B$400="ENVÍO A SUPESA")*(MOVIMIENTOS!$C$5:$C$400="C")*(MOVIMIENTOS!$D$5:$D$400="jabas")*(MOVIMIENTOS!$A$5:$A$400&lt;&gt;"")*(MOVIMIENTOS!$A$5:$A$400&lt;=$A61)*MOVIMIENTOS!$E$5:$E$400)+SUMPRODUCT((MOVIMIENTOS!$B$5:$B$400="DEVOLUCIÓN")*(MOVIMIENTOS!$C$5:$C$400="C")*(MOVIMIENTOS!$D$5:$D$400="jabas")*(MOVIMIENTOS!$A$5:$A$400&lt;&gt;"")*(MOVIMIENTOS!$A$5:$A$400&lt;=$A61)*MOVIMIENTOS!$E$5:$E$400)-SUMPRODUCT((MOVIMIENTOS!$B$5:$B$400="TRASIEGO")*(MOVIMIENTOS!$C$5:$C$400="C")*(MOVIMIENTOS!$D$5:$D$400="jabas")*(MOVIMIENTOS!$A$5:$A$400&lt;&gt;"")*(MOVIMIENTOS!$A$5:$A$400&lt;=$A61)*MOVIMIENTOS!$E$5:$E$400)-SUMPRODUCT((MOVIMIENTOS!$B$5:$B$400="REGALO")*(MOVIMIENTOS!$C$5:$C$400="C")*(MOVIMIENTOS!$D$5:$D$400="jabas")*(MOVIMIENTOS!$A$5:$A$400&lt;&gt;"")*(MOVIMIENTOS!$A$5:$A$400&lt;=$A61)*MOVIMIENTOS!$E$5:$E$400)-SUMPRODUCT((MOVIMIENTOS!$B$5:$B$400="VENTA")*(MOVIMIENTOS!$C$5:$C$400="C")*(MOVIMIENTOS!$D$5:$D$400="jabas")*(MOVIMIENTOS!$A$5:$A$400&lt;&gt;"")*(MOVIMIENTOS!$A$5:$A$400&lt;=$A61)*MOVIMIENTOS!$E$5:$E$400)+SUMPRODUCT((MOVIMIENTOS!$B$5:$B$400="AJUSTE")*(MOVIMIENTOS!$C$5:$C$400="C")*(MOVIMIENTOS!$D$5:$D$400="jabas")*(MOVIMIENTOS!$A$5:$A$400&lt;&gt;"")*(MOVIMIENTOS!$A$5:$A$400&lt;=$A61)*MOVIMIENTOS!$E$5:$E$400))</f>
        <v/>
      </c>
      <c r="E61" s="52" t="str">
        <f aca="false">IF($A61="","",SUMPRODUCT((MOVIMIENTOS!$B$5:$B$400="SALDO INICIAL")*(MOVIMIENTOS!$C$5:$C$400="M")*(MOVIMIENTOS!$D$5:$D$400="jabas")*(MOVIMIENTOS!$A$5:$A$400&lt;&gt;"")*(MOVIMIENTOS!$A$5:$A$400&lt;=$A61)*MOVIMIENTOS!$E$5:$E$400)+SUMPRODUCT((MOVIMIENTOS!$B$5:$B$400="PROCESO")*(MOVIMIENTOS!$C$5:$C$400="M")*(MOVIMIENTOS!$D$5:$D$400="jabas")*(MOVIMIENTOS!$A$5:$A$400&lt;&gt;"")*(MOVIMIENTOS!$A$5:$A$400&lt;=$A61)*MOVIMIENTOS!$E$5:$E$400)-SUMPRODUCT((MOVIMIENTOS!$B$5:$B$400="ENVÍO A SUPESA")*(MOVIMIENTOS!$C$5:$C$400="M")*(MOVIMIENTOS!$D$5:$D$400="jabas")*(MOVIMIENTOS!$A$5:$A$400&lt;&gt;"")*(MOVIMIENTOS!$A$5:$A$400&lt;=$A61)*MOVIMIENTOS!$E$5:$E$400)+SUMPRODUCT((MOVIMIENTOS!$B$5:$B$400="DEVOLUCIÓN")*(MOVIMIENTOS!$C$5:$C$400="M")*(MOVIMIENTOS!$D$5:$D$400="jabas")*(MOVIMIENTOS!$A$5:$A$400&lt;&gt;"")*(MOVIMIENTOS!$A$5:$A$400&lt;=$A61)*MOVIMIENTOS!$E$5:$E$400)-SUMPRODUCT((MOVIMIENTOS!$B$5:$B$400="TRASIEGO")*(MOVIMIENTOS!$C$5:$C$400="M")*(MOVIMIENTOS!$D$5:$D$400="jabas")*(MOVIMIENTOS!$A$5:$A$400&lt;&gt;"")*(MOVIMIENTOS!$A$5:$A$400&lt;=$A61)*MOVIMIENTOS!$E$5:$E$400)-SUMPRODUCT((MOVIMIENTOS!$B$5:$B$400="REGALO")*(MOVIMIENTOS!$C$5:$C$400="M")*(MOVIMIENTOS!$D$5:$D$400="jabas")*(MOVIMIENTOS!$A$5:$A$400&lt;&gt;"")*(MOVIMIENTOS!$A$5:$A$400&lt;=$A61)*MOVIMIENTOS!$E$5:$E$400)-SUMPRODUCT((MOVIMIENTOS!$B$5:$B$400="VENTA")*(MOVIMIENTOS!$C$5:$C$400="M")*(MOVIMIENTOS!$D$5:$D$400="jabas")*(MOVIMIENTOS!$A$5:$A$400&lt;&gt;"")*(MOVIMIENTOS!$A$5:$A$400&lt;=$A61)*MOVIMIENTOS!$E$5:$E$400)+SUMPRODUCT((MOVIMIENTOS!$B$5:$B$400="AJUSTE")*(MOVIMIENTOS!$C$5:$C$400="M")*(MOVIMIENTOS!$D$5:$D$400="jabas")*(MOVIMIENTOS!$A$5:$A$400&lt;&gt;"")*(MOVIMIENTOS!$A$5:$A$400&lt;=$A61)*MOVIMIENTOS!$E$5:$E$400))</f>
        <v/>
      </c>
      <c r="F61" s="52" t="str">
        <f aca="false">IF($A61="","",SUMPRODUCT((MOVIMIENTOS!$B$5:$B$400="SALDO INICIAL")*(MOVIMIENTOS!$C$5:$C$400="Chancho")*(MOVIMIENTOS!$D$5:$D$400="sacos")*(MOVIMIENTOS!$A$5:$A$400&lt;&gt;"")*(MOVIMIENTOS!$A$5:$A$400&lt;=$A61)*MOVIMIENTOS!$E$5:$E$400)+SUMPRODUCT((MOVIMIENTOS!$B$5:$B$400="PROCESO")*(MOVIMIENTOS!$C$5:$C$400="Chancho")*(MOVIMIENTOS!$D$5:$D$400="sacos")*(MOVIMIENTOS!$A$5:$A$400&lt;&gt;"")*(MOVIMIENTOS!$A$5:$A$400&lt;=$A61)*MOVIMIENTOS!$E$5:$E$400)-SUMPRODUCT((MOVIMIENTOS!$B$5:$B$400="VENTA CHANCHO")*(MOVIMIENTOS!$C$5:$C$400="Chancho")*(MOVIMIENTOS!$D$5:$D$400="sacos")*(MOVIMIENTOS!$A$5:$A$400&lt;&gt;"")*(MOVIMIENTOS!$A$5:$A$400&lt;=$A61)*MOVIMIENTOS!$E$5:$E$400)-SUMPRODUCT((MOVIMIENTOS!$B$5:$B$400="REGALO")*(MOVIMIENTOS!$C$5:$C$400="Chancho")*(MOVIMIENTOS!$D$5:$D$400="sacos")*(MOVIMIENTOS!$A$5:$A$400&lt;&gt;"")*(MOVIMIENTOS!$A$5:$A$400&lt;=$A61)*MOVIMIENTOS!$E$5:$E$400)-SUMPRODUCT((MOVIMIENTOS!$B$5:$B$400="VENTA")*(MOVIMIENTOS!$C$5:$C$400="Chancho")*(MOVIMIENTOS!$D$5:$D$400="sacos")*(MOVIMIENTOS!$A$5:$A$400&lt;&gt;"")*(MOVIMIENTOS!$A$5:$A$400&lt;=$A61)*MOVIMIENTOS!$E$5:$E$400)+SUMPRODUCT((MOVIMIENTOS!$B$5:$B$400="AJUSTE")*(MOVIMIENTOS!$C$5:$C$400="Chancho")*(MOVIMIENTOS!$D$5:$D$400="sacos")*(MOVIMIENTOS!$A$5:$A$400&lt;&gt;"")*(MOVIMIENTOS!$A$5:$A$400&lt;=$A61)*MOVIMIENTOS!$E$5:$E$400))</f>
        <v/>
      </c>
      <c r="G61" s="52" t="str">
        <f aca="false">IF($A61="","",SUM(B61:E61))</f>
        <v/>
      </c>
      <c r="H61" s="52" t="str">
        <f aca="false">IF($A61="","",SUMPRODUCT((((MOVIMIENTOS!$B$5:$B$400="SALDO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61)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61)*MOVIMIENTOS!$I$5:$I$400))</f>
        <v/>
      </c>
      <c r="I61" s="48"/>
      <c r="J61" s="48" t="str">
        <f aca="false">IF(AND(MOVIMIENTOS!$A61&lt;&gt;"",COUNTIF(MOVIMIENTOS!$A$5:$A60,MOVIMIENTOS!$A61)=0),COUNT(J$4:J60)+1,"")</f>
        <v/>
      </c>
      <c r="K61" s="53" t="n">
        <f aca="false">MOVIMIENTOS!$A61</f>
        <v>46220</v>
      </c>
      <c r="L61" s="48"/>
      <c r="M61" s="48"/>
      <c r="N61" s="48"/>
    </row>
    <row r="62" customFormat="false" ht="15" hidden="false" customHeight="true" outlineLevel="0" collapsed="false">
      <c r="A62" s="51" t="str">
        <f aca="false">IFERROR(INDEX(K$5:K$400,MATCH(ROW()-4,J$5:J$400,0)),"")</f>
        <v/>
      </c>
      <c r="B62" s="52" t="str">
        <f aca="false">IF($A62="","",SUMPRODUCT((MOVIMIENTOS!$B$5:$B$400="SALDO INICIAL")*(MOVIMIENTOS!$C$5:$C$400="A")*(MOVIMIENTOS!$D$5:$D$400="jabas")*(MOVIMIENTOS!$A$5:$A$400&lt;&gt;"")*(MOVIMIENTOS!$A$5:$A$400&lt;=$A62)*MOVIMIENTOS!$E$5:$E$400)+SUMPRODUCT((MOVIMIENTOS!$B$5:$B$400="PROCESO")*(MOVIMIENTOS!$C$5:$C$400="A")*(MOVIMIENTOS!$D$5:$D$400="jabas")*(MOVIMIENTOS!$A$5:$A$400&lt;&gt;"")*(MOVIMIENTOS!$A$5:$A$400&lt;=$A62)*MOVIMIENTOS!$E$5:$E$400)-SUMPRODUCT((MOVIMIENTOS!$B$5:$B$400="ENVÍO A SUPESA")*(MOVIMIENTOS!$C$5:$C$400="A")*(MOVIMIENTOS!$D$5:$D$400="jabas")*(MOVIMIENTOS!$A$5:$A$400&lt;&gt;"")*(MOVIMIENTOS!$A$5:$A$400&lt;=$A62)*MOVIMIENTOS!$E$5:$E$400)+SUMPRODUCT((MOVIMIENTOS!$B$5:$B$400="DEVOLUCIÓN")*(MOVIMIENTOS!$C$5:$C$400="A")*(MOVIMIENTOS!$D$5:$D$400="jabas")*(MOVIMIENTOS!$A$5:$A$400&lt;&gt;"")*(MOVIMIENTOS!$A$5:$A$400&lt;=$A62)*MOVIMIENTOS!$E$5:$E$400)-SUMPRODUCT((MOVIMIENTOS!$B$5:$B$400="TRASIEGO")*(MOVIMIENTOS!$C$5:$C$400="A")*(MOVIMIENTOS!$D$5:$D$400="jabas")*(MOVIMIENTOS!$A$5:$A$400&lt;&gt;"")*(MOVIMIENTOS!$A$5:$A$400&lt;=$A62)*MOVIMIENTOS!$E$5:$E$400)-SUMPRODUCT((MOVIMIENTOS!$B$5:$B$400="REGALO")*(MOVIMIENTOS!$C$5:$C$400="A")*(MOVIMIENTOS!$D$5:$D$400="jabas")*(MOVIMIENTOS!$A$5:$A$400&lt;&gt;"")*(MOVIMIENTOS!$A$5:$A$400&lt;=$A62)*MOVIMIENTOS!$E$5:$E$400)-SUMPRODUCT((MOVIMIENTOS!$B$5:$B$400="VENTA")*(MOVIMIENTOS!$C$5:$C$400="A")*(MOVIMIENTOS!$D$5:$D$400="jabas")*(MOVIMIENTOS!$A$5:$A$400&lt;&gt;"")*(MOVIMIENTOS!$A$5:$A$400&lt;=$A62)*MOVIMIENTOS!$E$5:$E$400)+SUMPRODUCT((MOVIMIENTOS!$B$5:$B$400="AJUSTE")*(MOVIMIENTOS!$C$5:$C$400="A")*(MOVIMIENTOS!$D$5:$D$400="jabas")*(MOVIMIENTOS!$A$5:$A$400&lt;&gt;"")*(MOVIMIENTOS!$A$5:$A$400&lt;=$A62)*MOVIMIENTOS!$E$5:$E$400))</f>
        <v/>
      </c>
      <c r="C62" s="52" t="str">
        <f aca="false">IF($A62="","",SUMPRODUCT((MOVIMIENTOS!$B$5:$B$400="SALDO INICIAL")*(MOVIMIENTOS!$C$5:$C$400="P")*(MOVIMIENTOS!$D$5:$D$400="jabas")*(MOVIMIENTOS!$A$5:$A$400&lt;&gt;"")*(MOVIMIENTOS!$A$5:$A$400&lt;=$A62)*MOVIMIENTOS!$E$5:$E$400)+SUMPRODUCT((MOVIMIENTOS!$B$5:$B$400="PROCESO")*(MOVIMIENTOS!$C$5:$C$400="P")*(MOVIMIENTOS!$D$5:$D$400="jabas")*(MOVIMIENTOS!$A$5:$A$400&lt;&gt;"")*(MOVIMIENTOS!$A$5:$A$400&lt;=$A62)*MOVIMIENTOS!$E$5:$E$400)-SUMPRODUCT((MOVIMIENTOS!$B$5:$B$400="ENVÍO A SUPESA")*(MOVIMIENTOS!$C$5:$C$400="P")*(MOVIMIENTOS!$D$5:$D$400="jabas")*(MOVIMIENTOS!$A$5:$A$400&lt;&gt;"")*(MOVIMIENTOS!$A$5:$A$400&lt;=$A62)*MOVIMIENTOS!$E$5:$E$400)+SUMPRODUCT((MOVIMIENTOS!$B$5:$B$400="DEVOLUCIÓN")*(MOVIMIENTOS!$C$5:$C$400="P")*(MOVIMIENTOS!$D$5:$D$400="jabas")*(MOVIMIENTOS!$A$5:$A$400&lt;&gt;"")*(MOVIMIENTOS!$A$5:$A$400&lt;=$A62)*MOVIMIENTOS!$E$5:$E$400)-SUMPRODUCT((MOVIMIENTOS!$B$5:$B$400="TRASIEGO")*(MOVIMIENTOS!$C$5:$C$400="P")*(MOVIMIENTOS!$D$5:$D$400="jabas")*(MOVIMIENTOS!$A$5:$A$400&lt;&gt;"")*(MOVIMIENTOS!$A$5:$A$400&lt;=$A62)*MOVIMIENTOS!$E$5:$E$400)-SUMPRODUCT((MOVIMIENTOS!$B$5:$B$400="REGALO")*(MOVIMIENTOS!$C$5:$C$400="P")*(MOVIMIENTOS!$D$5:$D$400="jabas")*(MOVIMIENTOS!$A$5:$A$400&lt;&gt;"")*(MOVIMIENTOS!$A$5:$A$400&lt;=$A62)*MOVIMIENTOS!$E$5:$E$400)-SUMPRODUCT((MOVIMIENTOS!$B$5:$B$400="VENTA")*(MOVIMIENTOS!$C$5:$C$400="P")*(MOVIMIENTOS!$D$5:$D$400="jabas")*(MOVIMIENTOS!$A$5:$A$400&lt;&gt;"")*(MOVIMIENTOS!$A$5:$A$400&lt;=$A62)*MOVIMIENTOS!$E$5:$E$400)+SUMPRODUCT((MOVIMIENTOS!$B$5:$B$400="AJUSTE")*(MOVIMIENTOS!$C$5:$C$400="P")*(MOVIMIENTOS!$D$5:$D$400="jabas")*(MOVIMIENTOS!$A$5:$A$400&lt;&gt;"")*(MOVIMIENTOS!$A$5:$A$400&lt;=$A62)*MOVIMIENTOS!$E$5:$E$400))</f>
        <v/>
      </c>
      <c r="D62" s="52" t="str">
        <f aca="false">IF($A62="","",SUMPRODUCT((MOVIMIENTOS!$B$5:$B$400="SALDO INICIAL")*(MOVIMIENTOS!$C$5:$C$400="C")*(MOVIMIENTOS!$D$5:$D$400="jabas")*(MOVIMIENTOS!$A$5:$A$400&lt;&gt;"")*(MOVIMIENTOS!$A$5:$A$400&lt;=$A62)*MOVIMIENTOS!$E$5:$E$400)+SUMPRODUCT((MOVIMIENTOS!$B$5:$B$400="PROCESO")*(MOVIMIENTOS!$C$5:$C$400="C")*(MOVIMIENTOS!$D$5:$D$400="jabas")*(MOVIMIENTOS!$A$5:$A$400&lt;&gt;"")*(MOVIMIENTOS!$A$5:$A$400&lt;=$A62)*MOVIMIENTOS!$E$5:$E$400)-SUMPRODUCT((MOVIMIENTOS!$B$5:$B$400="ENVÍO A SUPESA")*(MOVIMIENTOS!$C$5:$C$400="C")*(MOVIMIENTOS!$D$5:$D$400="jabas")*(MOVIMIENTOS!$A$5:$A$400&lt;&gt;"")*(MOVIMIENTOS!$A$5:$A$400&lt;=$A62)*MOVIMIENTOS!$E$5:$E$400)+SUMPRODUCT((MOVIMIENTOS!$B$5:$B$400="DEVOLUCIÓN")*(MOVIMIENTOS!$C$5:$C$400="C")*(MOVIMIENTOS!$D$5:$D$400="jabas")*(MOVIMIENTOS!$A$5:$A$400&lt;&gt;"")*(MOVIMIENTOS!$A$5:$A$400&lt;=$A62)*MOVIMIENTOS!$E$5:$E$400)-SUMPRODUCT((MOVIMIENTOS!$B$5:$B$400="TRASIEGO")*(MOVIMIENTOS!$C$5:$C$400="C")*(MOVIMIENTOS!$D$5:$D$400="jabas")*(MOVIMIENTOS!$A$5:$A$400&lt;&gt;"")*(MOVIMIENTOS!$A$5:$A$400&lt;=$A62)*MOVIMIENTOS!$E$5:$E$400)-SUMPRODUCT((MOVIMIENTOS!$B$5:$B$400="REGALO")*(MOVIMIENTOS!$C$5:$C$400="C")*(MOVIMIENTOS!$D$5:$D$400="jabas")*(MOVIMIENTOS!$A$5:$A$400&lt;&gt;"")*(MOVIMIENTOS!$A$5:$A$400&lt;=$A62)*MOVIMIENTOS!$E$5:$E$400)-SUMPRODUCT((MOVIMIENTOS!$B$5:$B$400="VENTA")*(MOVIMIENTOS!$C$5:$C$400="C")*(MOVIMIENTOS!$D$5:$D$400="jabas")*(MOVIMIENTOS!$A$5:$A$400&lt;&gt;"")*(MOVIMIENTOS!$A$5:$A$400&lt;=$A62)*MOVIMIENTOS!$E$5:$E$400)+SUMPRODUCT((MOVIMIENTOS!$B$5:$B$400="AJUSTE")*(MOVIMIENTOS!$C$5:$C$400="C")*(MOVIMIENTOS!$D$5:$D$400="jabas")*(MOVIMIENTOS!$A$5:$A$400&lt;&gt;"")*(MOVIMIENTOS!$A$5:$A$400&lt;=$A62)*MOVIMIENTOS!$E$5:$E$400))</f>
        <v/>
      </c>
      <c r="E62" s="52" t="str">
        <f aca="false">IF($A62="","",SUMPRODUCT((MOVIMIENTOS!$B$5:$B$400="SALDO INICIAL")*(MOVIMIENTOS!$C$5:$C$400="M")*(MOVIMIENTOS!$D$5:$D$400="jabas")*(MOVIMIENTOS!$A$5:$A$400&lt;&gt;"")*(MOVIMIENTOS!$A$5:$A$400&lt;=$A62)*MOVIMIENTOS!$E$5:$E$400)+SUMPRODUCT((MOVIMIENTOS!$B$5:$B$400="PROCESO")*(MOVIMIENTOS!$C$5:$C$400="M")*(MOVIMIENTOS!$D$5:$D$400="jabas")*(MOVIMIENTOS!$A$5:$A$400&lt;&gt;"")*(MOVIMIENTOS!$A$5:$A$400&lt;=$A62)*MOVIMIENTOS!$E$5:$E$400)-SUMPRODUCT((MOVIMIENTOS!$B$5:$B$400="ENVÍO A SUPESA")*(MOVIMIENTOS!$C$5:$C$400="M")*(MOVIMIENTOS!$D$5:$D$400="jabas")*(MOVIMIENTOS!$A$5:$A$400&lt;&gt;"")*(MOVIMIENTOS!$A$5:$A$400&lt;=$A62)*MOVIMIENTOS!$E$5:$E$400)+SUMPRODUCT((MOVIMIENTOS!$B$5:$B$400="DEVOLUCIÓN")*(MOVIMIENTOS!$C$5:$C$400="M")*(MOVIMIENTOS!$D$5:$D$400="jabas")*(MOVIMIENTOS!$A$5:$A$400&lt;&gt;"")*(MOVIMIENTOS!$A$5:$A$400&lt;=$A62)*MOVIMIENTOS!$E$5:$E$400)-SUMPRODUCT((MOVIMIENTOS!$B$5:$B$400="TRASIEGO")*(MOVIMIENTOS!$C$5:$C$400="M")*(MOVIMIENTOS!$D$5:$D$400="jabas")*(MOVIMIENTOS!$A$5:$A$400&lt;&gt;"")*(MOVIMIENTOS!$A$5:$A$400&lt;=$A62)*MOVIMIENTOS!$E$5:$E$400)-SUMPRODUCT((MOVIMIENTOS!$B$5:$B$400="REGALO")*(MOVIMIENTOS!$C$5:$C$400="M")*(MOVIMIENTOS!$D$5:$D$400="jabas")*(MOVIMIENTOS!$A$5:$A$400&lt;&gt;"")*(MOVIMIENTOS!$A$5:$A$400&lt;=$A62)*MOVIMIENTOS!$E$5:$E$400)-SUMPRODUCT((MOVIMIENTOS!$B$5:$B$400="VENTA")*(MOVIMIENTOS!$C$5:$C$400="M")*(MOVIMIENTOS!$D$5:$D$400="jabas")*(MOVIMIENTOS!$A$5:$A$400&lt;&gt;"")*(MOVIMIENTOS!$A$5:$A$400&lt;=$A62)*MOVIMIENTOS!$E$5:$E$400)+SUMPRODUCT((MOVIMIENTOS!$B$5:$B$400="AJUSTE")*(MOVIMIENTOS!$C$5:$C$400="M")*(MOVIMIENTOS!$D$5:$D$400="jabas")*(MOVIMIENTOS!$A$5:$A$400&lt;&gt;"")*(MOVIMIENTOS!$A$5:$A$400&lt;=$A62)*MOVIMIENTOS!$E$5:$E$400))</f>
        <v/>
      </c>
      <c r="F62" s="52" t="str">
        <f aca="false">IF($A62="","",SUMPRODUCT((MOVIMIENTOS!$B$5:$B$400="SALDO INICIAL")*(MOVIMIENTOS!$C$5:$C$400="Chancho")*(MOVIMIENTOS!$D$5:$D$400="sacos")*(MOVIMIENTOS!$A$5:$A$400&lt;&gt;"")*(MOVIMIENTOS!$A$5:$A$400&lt;=$A62)*MOVIMIENTOS!$E$5:$E$400)+SUMPRODUCT((MOVIMIENTOS!$B$5:$B$400="PROCESO")*(MOVIMIENTOS!$C$5:$C$400="Chancho")*(MOVIMIENTOS!$D$5:$D$400="sacos")*(MOVIMIENTOS!$A$5:$A$400&lt;&gt;"")*(MOVIMIENTOS!$A$5:$A$400&lt;=$A62)*MOVIMIENTOS!$E$5:$E$400)-SUMPRODUCT((MOVIMIENTOS!$B$5:$B$400="VENTA CHANCHO")*(MOVIMIENTOS!$C$5:$C$400="Chancho")*(MOVIMIENTOS!$D$5:$D$400="sacos")*(MOVIMIENTOS!$A$5:$A$400&lt;&gt;"")*(MOVIMIENTOS!$A$5:$A$400&lt;=$A62)*MOVIMIENTOS!$E$5:$E$400)-SUMPRODUCT((MOVIMIENTOS!$B$5:$B$400="REGALO")*(MOVIMIENTOS!$C$5:$C$400="Chancho")*(MOVIMIENTOS!$D$5:$D$400="sacos")*(MOVIMIENTOS!$A$5:$A$400&lt;&gt;"")*(MOVIMIENTOS!$A$5:$A$400&lt;=$A62)*MOVIMIENTOS!$E$5:$E$400)-SUMPRODUCT((MOVIMIENTOS!$B$5:$B$400="VENTA")*(MOVIMIENTOS!$C$5:$C$400="Chancho")*(MOVIMIENTOS!$D$5:$D$400="sacos")*(MOVIMIENTOS!$A$5:$A$400&lt;&gt;"")*(MOVIMIENTOS!$A$5:$A$400&lt;=$A62)*MOVIMIENTOS!$E$5:$E$400)+SUMPRODUCT((MOVIMIENTOS!$B$5:$B$400="AJUSTE")*(MOVIMIENTOS!$C$5:$C$400="Chancho")*(MOVIMIENTOS!$D$5:$D$400="sacos")*(MOVIMIENTOS!$A$5:$A$400&lt;&gt;"")*(MOVIMIENTOS!$A$5:$A$400&lt;=$A62)*MOVIMIENTOS!$E$5:$E$400))</f>
        <v/>
      </c>
      <c r="G62" s="52" t="str">
        <f aca="false">IF($A62="","",SUM(B62:E62))</f>
        <v/>
      </c>
      <c r="H62" s="52" t="str">
        <f aca="false">IF($A62="","",SUMPRODUCT((((MOVIMIENTOS!$B$5:$B$400="SALDO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62)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62)*MOVIMIENTOS!$I$5:$I$400))</f>
        <v/>
      </c>
      <c r="I62" s="48"/>
      <c r="J62" s="48" t="str">
        <f aca="false">IF(AND(MOVIMIENTOS!$A62&lt;&gt;"",COUNTIF(MOVIMIENTOS!$A$5:$A61,MOVIMIENTOS!$A62)=0),COUNT(J$4:J61)+1,"")</f>
        <v/>
      </c>
      <c r="K62" s="53" t="n">
        <f aca="false">MOVIMIENTOS!$A62</f>
        <v>46220</v>
      </c>
      <c r="L62" s="48"/>
      <c r="M62" s="48"/>
      <c r="N62" s="48"/>
    </row>
    <row r="63" customFormat="false" ht="15" hidden="false" customHeight="true" outlineLevel="0" collapsed="false">
      <c r="A63" s="51" t="str">
        <f aca="false">IFERROR(INDEX(K$5:K$400,MATCH(ROW()-4,J$5:J$400,0)),"")</f>
        <v/>
      </c>
      <c r="B63" s="52" t="str">
        <f aca="false">IF($A63="","",SUMPRODUCT((MOVIMIENTOS!$B$5:$B$400="SALDO INICIAL")*(MOVIMIENTOS!$C$5:$C$400="A")*(MOVIMIENTOS!$D$5:$D$400="jabas")*(MOVIMIENTOS!$A$5:$A$400&lt;&gt;"")*(MOVIMIENTOS!$A$5:$A$400&lt;=$A63)*MOVIMIENTOS!$E$5:$E$400)+SUMPRODUCT((MOVIMIENTOS!$B$5:$B$400="PROCESO")*(MOVIMIENTOS!$C$5:$C$400="A")*(MOVIMIENTOS!$D$5:$D$400="jabas")*(MOVIMIENTOS!$A$5:$A$400&lt;&gt;"")*(MOVIMIENTOS!$A$5:$A$400&lt;=$A63)*MOVIMIENTOS!$E$5:$E$400)-SUMPRODUCT((MOVIMIENTOS!$B$5:$B$400="ENVÍO A SUPESA")*(MOVIMIENTOS!$C$5:$C$400="A")*(MOVIMIENTOS!$D$5:$D$400="jabas")*(MOVIMIENTOS!$A$5:$A$400&lt;&gt;"")*(MOVIMIENTOS!$A$5:$A$400&lt;=$A63)*MOVIMIENTOS!$E$5:$E$400)+SUMPRODUCT((MOVIMIENTOS!$B$5:$B$400="DEVOLUCIÓN")*(MOVIMIENTOS!$C$5:$C$400="A")*(MOVIMIENTOS!$D$5:$D$400="jabas")*(MOVIMIENTOS!$A$5:$A$400&lt;&gt;"")*(MOVIMIENTOS!$A$5:$A$400&lt;=$A63)*MOVIMIENTOS!$E$5:$E$400)-SUMPRODUCT((MOVIMIENTOS!$B$5:$B$400="TRASIEGO")*(MOVIMIENTOS!$C$5:$C$400="A")*(MOVIMIENTOS!$D$5:$D$400="jabas")*(MOVIMIENTOS!$A$5:$A$400&lt;&gt;"")*(MOVIMIENTOS!$A$5:$A$400&lt;=$A63)*MOVIMIENTOS!$E$5:$E$400)-SUMPRODUCT((MOVIMIENTOS!$B$5:$B$400="REGALO")*(MOVIMIENTOS!$C$5:$C$400="A")*(MOVIMIENTOS!$D$5:$D$400="jabas")*(MOVIMIENTOS!$A$5:$A$400&lt;&gt;"")*(MOVIMIENTOS!$A$5:$A$400&lt;=$A63)*MOVIMIENTOS!$E$5:$E$400)-SUMPRODUCT((MOVIMIENTOS!$B$5:$B$400="VENTA")*(MOVIMIENTOS!$C$5:$C$400="A")*(MOVIMIENTOS!$D$5:$D$400="jabas")*(MOVIMIENTOS!$A$5:$A$400&lt;&gt;"")*(MOVIMIENTOS!$A$5:$A$400&lt;=$A63)*MOVIMIENTOS!$E$5:$E$400)+SUMPRODUCT((MOVIMIENTOS!$B$5:$B$400="AJUSTE")*(MOVIMIENTOS!$C$5:$C$400="A")*(MOVIMIENTOS!$D$5:$D$400="jabas")*(MOVIMIENTOS!$A$5:$A$400&lt;&gt;"")*(MOVIMIENTOS!$A$5:$A$400&lt;=$A63)*MOVIMIENTOS!$E$5:$E$400))</f>
        <v/>
      </c>
      <c r="C63" s="52" t="str">
        <f aca="false">IF($A63="","",SUMPRODUCT((MOVIMIENTOS!$B$5:$B$400="SALDO INICIAL")*(MOVIMIENTOS!$C$5:$C$400="P")*(MOVIMIENTOS!$D$5:$D$400="jabas")*(MOVIMIENTOS!$A$5:$A$400&lt;&gt;"")*(MOVIMIENTOS!$A$5:$A$400&lt;=$A63)*MOVIMIENTOS!$E$5:$E$400)+SUMPRODUCT((MOVIMIENTOS!$B$5:$B$400="PROCESO")*(MOVIMIENTOS!$C$5:$C$400="P")*(MOVIMIENTOS!$D$5:$D$400="jabas")*(MOVIMIENTOS!$A$5:$A$400&lt;&gt;"")*(MOVIMIENTOS!$A$5:$A$400&lt;=$A63)*MOVIMIENTOS!$E$5:$E$400)-SUMPRODUCT((MOVIMIENTOS!$B$5:$B$400="ENVÍO A SUPESA")*(MOVIMIENTOS!$C$5:$C$400="P")*(MOVIMIENTOS!$D$5:$D$400="jabas")*(MOVIMIENTOS!$A$5:$A$400&lt;&gt;"")*(MOVIMIENTOS!$A$5:$A$400&lt;=$A63)*MOVIMIENTOS!$E$5:$E$400)+SUMPRODUCT((MOVIMIENTOS!$B$5:$B$400="DEVOLUCIÓN")*(MOVIMIENTOS!$C$5:$C$400="P")*(MOVIMIENTOS!$D$5:$D$400="jabas")*(MOVIMIENTOS!$A$5:$A$400&lt;&gt;"")*(MOVIMIENTOS!$A$5:$A$400&lt;=$A63)*MOVIMIENTOS!$E$5:$E$400)-SUMPRODUCT((MOVIMIENTOS!$B$5:$B$400="TRASIEGO")*(MOVIMIENTOS!$C$5:$C$400="P")*(MOVIMIENTOS!$D$5:$D$400="jabas")*(MOVIMIENTOS!$A$5:$A$400&lt;&gt;"")*(MOVIMIENTOS!$A$5:$A$400&lt;=$A63)*MOVIMIENTOS!$E$5:$E$400)-SUMPRODUCT((MOVIMIENTOS!$B$5:$B$400="REGALO")*(MOVIMIENTOS!$C$5:$C$400="P")*(MOVIMIENTOS!$D$5:$D$400="jabas")*(MOVIMIENTOS!$A$5:$A$400&lt;&gt;"")*(MOVIMIENTOS!$A$5:$A$400&lt;=$A63)*MOVIMIENTOS!$E$5:$E$400)-SUMPRODUCT((MOVIMIENTOS!$B$5:$B$400="VENTA")*(MOVIMIENTOS!$C$5:$C$400="P")*(MOVIMIENTOS!$D$5:$D$400="jabas")*(MOVIMIENTOS!$A$5:$A$400&lt;&gt;"")*(MOVIMIENTOS!$A$5:$A$400&lt;=$A63)*MOVIMIENTOS!$E$5:$E$400)+SUMPRODUCT((MOVIMIENTOS!$B$5:$B$400="AJUSTE")*(MOVIMIENTOS!$C$5:$C$400="P")*(MOVIMIENTOS!$D$5:$D$400="jabas")*(MOVIMIENTOS!$A$5:$A$400&lt;&gt;"")*(MOVIMIENTOS!$A$5:$A$400&lt;=$A63)*MOVIMIENTOS!$E$5:$E$400))</f>
        <v/>
      </c>
      <c r="D63" s="52" t="str">
        <f aca="false">IF($A63="","",SUMPRODUCT((MOVIMIENTOS!$B$5:$B$400="SALDO INICIAL")*(MOVIMIENTOS!$C$5:$C$400="C")*(MOVIMIENTOS!$D$5:$D$400="jabas")*(MOVIMIENTOS!$A$5:$A$400&lt;&gt;"")*(MOVIMIENTOS!$A$5:$A$400&lt;=$A63)*MOVIMIENTOS!$E$5:$E$400)+SUMPRODUCT((MOVIMIENTOS!$B$5:$B$400="PROCESO")*(MOVIMIENTOS!$C$5:$C$400="C")*(MOVIMIENTOS!$D$5:$D$400="jabas")*(MOVIMIENTOS!$A$5:$A$400&lt;&gt;"")*(MOVIMIENTOS!$A$5:$A$400&lt;=$A63)*MOVIMIENTOS!$E$5:$E$400)-SUMPRODUCT((MOVIMIENTOS!$B$5:$B$400="ENVÍO A SUPESA")*(MOVIMIENTOS!$C$5:$C$400="C")*(MOVIMIENTOS!$D$5:$D$400="jabas")*(MOVIMIENTOS!$A$5:$A$400&lt;&gt;"")*(MOVIMIENTOS!$A$5:$A$400&lt;=$A63)*MOVIMIENTOS!$E$5:$E$400)+SUMPRODUCT((MOVIMIENTOS!$B$5:$B$400="DEVOLUCIÓN")*(MOVIMIENTOS!$C$5:$C$400="C")*(MOVIMIENTOS!$D$5:$D$400="jabas")*(MOVIMIENTOS!$A$5:$A$400&lt;&gt;"")*(MOVIMIENTOS!$A$5:$A$400&lt;=$A63)*MOVIMIENTOS!$E$5:$E$400)-SUMPRODUCT((MOVIMIENTOS!$B$5:$B$400="TRASIEGO")*(MOVIMIENTOS!$C$5:$C$400="C")*(MOVIMIENTOS!$D$5:$D$400="jabas")*(MOVIMIENTOS!$A$5:$A$400&lt;&gt;"")*(MOVIMIENTOS!$A$5:$A$400&lt;=$A63)*MOVIMIENTOS!$E$5:$E$400)-SUMPRODUCT((MOVIMIENTOS!$B$5:$B$400="REGALO")*(MOVIMIENTOS!$C$5:$C$400="C")*(MOVIMIENTOS!$D$5:$D$400="jabas")*(MOVIMIENTOS!$A$5:$A$400&lt;&gt;"")*(MOVIMIENTOS!$A$5:$A$400&lt;=$A63)*MOVIMIENTOS!$E$5:$E$400)-SUMPRODUCT((MOVIMIENTOS!$B$5:$B$400="VENTA")*(MOVIMIENTOS!$C$5:$C$400="C")*(MOVIMIENTOS!$D$5:$D$400="jabas")*(MOVIMIENTOS!$A$5:$A$400&lt;&gt;"")*(MOVIMIENTOS!$A$5:$A$400&lt;=$A63)*MOVIMIENTOS!$E$5:$E$400)+SUMPRODUCT((MOVIMIENTOS!$B$5:$B$400="AJUSTE")*(MOVIMIENTOS!$C$5:$C$400="C")*(MOVIMIENTOS!$D$5:$D$400="jabas")*(MOVIMIENTOS!$A$5:$A$400&lt;&gt;"")*(MOVIMIENTOS!$A$5:$A$400&lt;=$A63)*MOVIMIENTOS!$E$5:$E$400))</f>
        <v/>
      </c>
      <c r="E63" s="52" t="str">
        <f aca="false">IF($A63="","",SUMPRODUCT((MOVIMIENTOS!$B$5:$B$400="SALDO INICIAL")*(MOVIMIENTOS!$C$5:$C$400="M")*(MOVIMIENTOS!$D$5:$D$400="jabas")*(MOVIMIENTOS!$A$5:$A$400&lt;&gt;"")*(MOVIMIENTOS!$A$5:$A$400&lt;=$A63)*MOVIMIENTOS!$E$5:$E$400)+SUMPRODUCT((MOVIMIENTOS!$B$5:$B$400="PROCESO")*(MOVIMIENTOS!$C$5:$C$400="M")*(MOVIMIENTOS!$D$5:$D$400="jabas")*(MOVIMIENTOS!$A$5:$A$400&lt;&gt;"")*(MOVIMIENTOS!$A$5:$A$400&lt;=$A63)*MOVIMIENTOS!$E$5:$E$400)-SUMPRODUCT((MOVIMIENTOS!$B$5:$B$400="ENVÍO A SUPESA")*(MOVIMIENTOS!$C$5:$C$400="M")*(MOVIMIENTOS!$D$5:$D$400="jabas")*(MOVIMIENTOS!$A$5:$A$400&lt;&gt;"")*(MOVIMIENTOS!$A$5:$A$400&lt;=$A63)*MOVIMIENTOS!$E$5:$E$400)+SUMPRODUCT((MOVIMIENTOS!$B$5:$B$400="DEVOLUCIÓN")*(MOVIMIENTOS!$C$5:$C$400="M")*(MOVIMIENTOS!$D$5:$D$400="jabas")*(MOVIMIENTOS!$A$5:$A$400&lt;&gt;"")*(MOVIMIENTOS!$A$5:$A$400&lt;=$A63)*MOVIMIENTOS!$E$5:$E$400)-SUMPRODUCT((MOVIMIENTOS!$B$5:$B$400="TRASIEGO")*(MOVIMIENTOS!$C$5:$C$400="M")*(MOVIMIENTOS!$D$5:$D$400="jabas")*(MOVIMIENTOS!$A$5:$A$400&lt;&gt;"")*(MOVIMIENTOS!$A$5:$A$400&lt;=$A63)*MOVIMIENTOS!$E$5:$E$400)-SUMPRODUCT((MOVIMIENTOS!$B$5:$B$400="REGALO")*(MOVIMIENTOS!$C$5:$C$400="M")*(MOVIMIENTOS!$D$5:$D$400="jabas")*(MOVIMIENTOS!$A$5:$A$400&lt;&gt;"")*(MOVIMIENTOS!$A$5:$A$400&lt;=$A63)*MOVIMIENTOS!$E$5:$E$400)-SUMPRODUCT((MOVIMIENTOS!$B$5:$B$400="VENTA")*(MOVIMIENTOS!$C$5:$C$400="M")*(MOVIMIENTOS!$D$5:$D$400="jabas")*(MOVIMIENTOS!$A$5:$A$400&lt;&gt;"")*(MOVIMIENTOS!$A$5:$A$400&lt;=$A63)*MOVIMIENTOS!$E$5:$E$400)+SUMPRODUCT((MOVIMIENTOS!$B$5:$B$400="AJUSTE")*(MOVIMIENTOS!$C$5:$C$400="M")*(MOVIMIENTOS!$D$5:$D$400="jabas")*(MOVIMIENTOS!$A$5:$A$400&lt;&gt;"")*(MOVIMIENTOS!$A$5:$A$400&lt;=$A63)*MOVIMIENTOS!$E$5:$E$400))</f>
        <v/>
      </c>
      <c r="F63" s="52" t="str">
        <f aca="false">IF($A63="","",SUMPRODUCT((MOVIMIENTOS!$B$5:$B$400="SALDO INICIAL")*(MOVIMIENTOS!$C$5:$C$400="Chancho")*(MOVIMIENTOS!$D$5:$D$400="sacos")*(MOVIMIENTOS!$A$5:$A$400&lt;&gt;"")*(MOVIMIENTOS!$A$5:$A$400&lt;=$A63)*MOVIMIENTOS!$E$5:$E$400)+SUMPRODUCT((MOVIMIENTOS!$B$5:$B$400="PROCESO")*(MOVIMIENTOS!$C$5:$C$400="Chancho")*(MOVIMIENTOS!$D$5:$D$400="sacos")*(MOVIMIENTOS!$A$5:$A$400&lt;&gt;"")*(MOVIMIENTOS!$A$5:$A$400&lt;=$A63)*MOVIMIENTOS!$E$5:$E$400)-SUMPRODUCT((MOVIMIENTOS!$B$5:$B$400="VENTA CHANCHO")*(MOVIMIENTOS!$C$5:$C$400="Chancho")*(MOVIMIENTOS!$D$5:$D$400="sacos")*(MOVIMIENTOS!$A$5:$A$400&lt;&gt;"")*(MOVIMIENTOS!$A$5:$A$400&lt;=$A63)*MOVIMIENTOS!$E$5:$E$400)-SUMPRODUCT((MOVIMIENTOS!$B$5:$B$400="REGALO")*(MOVIMIENTOS!$C$5:$C$400="Chancho")*(MOVIMIENTOS!$D$5:$D$400="sacos")*(MOVIMIENTOS!$A$5:$A$400&lt;&gt;"")*(MOVIMIENTOS!$A$5:$A$400&lt;=$A63)*MOVIMIENTOS!$E$5:$E$400)-SUMPRODUCT((MOVIMIENTOS!$B$5:$B$400="VENTA")*(MOVIMIENTOS!$C$5:$C$400="Chancho")*(MOVIMIENTOS!$D$5:$D$400="sacos")*(MOVIMIENTOS!$A$5:$A$400&lt;&gt;"")*(MOVIMIENTOS!$A$5:$A$400&lt;=$A63)*MOVIMIENTOS!$E$5:$E$400)+SUMPRODUCT((MOVIMIENTOS!$B$5:$B$400="AJUSTE")*(MOVIMIENTOS!$C$5:$C$400="Chancho")*(MOVIMIENTOS!$D$5:$D$400="sacos")*(MOVIMIENTOS!$A$5:$A$400&lt;&gt;"")*(MOVIMIENTOS!$A$5:$A$400&lt;=$A63)*MOVIMIENTOS!$E$5:$E$400))</f>
        <v/>
      </c>
      <c r="G63" s="52" t="str">
        <f aca="false">IF($A63="","",SUM(B63:E63))</f>
        <v/>
      </c>
      <c r="H63" s="52" t="str">
        <f aca="false">IF($A63="","",SUMPRODUCT((((MOVIMIENTOS!$B$5:$B$400="SALDO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63)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63)*MOVIMIENTOS!$I$5:$I$400))</f>
        <v/>
      </c>
      <c r="I63" s="48"/>
      <c r="J63" s="48" t="str">
        <f aca="false">IF(AND(MOVIMIENTOS!$A63&lt;&gt;"",COUNTIF(MOVIMIENTOS!$A$5:$A62,MOVIMIENTOS!$A63)=0),COUNT(J$4:J62)+1,"")</f>
        <v/>
      </c>
      <c r="K63" s="53" t="n">
        <f aca="false">MOVIMIENTOS!$A63</f>
        <v>46220</v>
      </c>
      <c r="L63" s="48"/>
      <c r="M63" s="48"/>
      <c r="N63" s="48"/>
    </row>
    <row r="64" customFormat="false" ht="15" hidden="false" customHeight="true" outlineLevel="0" collapsed="false">
      <c r="A64" s="51" t="str">
        <f aca="false">IFERROR(INDEX(K$5:K$400,MATCH(ROW()-4,J$5:J$400,0)),"")</f>
        <v/>
      </c>
      <c r="B64" s="52" t="str">
        <f aca="false">IF($A64="","",SUMPRODUCT((MOVIMIENTOS!$B$5:$B$400="SALDO INICIAL")*(MOVIMIENTOS!$C$5:$C$400="A")*(MOVIMIENTOS!$D$5:$D$400="jabas")*(MOVIMIENTOS!$A$5:$A$400&lt;&gt;"")*(MOVIMIENTOS!$A$5:$A$400&lt;=$A64)*MOVIMIENTOS!$E$5:$E$400)+SUMPRODUCT((MOVIMIENTOS!$B$5:$B$400="PROCESO")*(MOVIMIENTOS!$C$5:$C$400="A")*(MOVIMIENTOS!$D$5:$D$400="jabas")*(MOVIMIENTOS!$A$5:$A$400&lt;&gt;"")*(MOVIMIENTOS!$A$5:$A$400&lt;=$A64)*MOVIMIENTOS!$E$5:$E$400)-SUMPRODUCT((MOVIMIENTOS!$B$5:$B$400="ENVÍO A SUPESA")*(MOVIMIENTOS!$C$5:$C$400="A")*(MOVIMIENTOS!$D$5:$D$400="jabas")*(MOVIMIENTOS!$A$5:$A$400&lt;&gt;"")*(MOVIMIENTOS!$A$5:$A$400&lt;=$A64)*MOVIMIENTOS!$E$5:$E$400)+SUMPRODUCT((MOVIMIENTOS!$B$5:$B$400="DEVOLUCIÓN")*(MOVIMIENTOS!$C$5:$C$400="A")*(MOVIMIENTOS!$D$5:$D$400="jabas")*(MOVIMIENTOS!$A$5:$A$400&lt;&gt;"")*(MOVIMIENTOS!$A$5:$A$400&lt;=$A64)*MOVIMIENTOS!$E$5:$E$400)-SUMPRODUCT((MOVIMIENTOS!$B$5:$B$400="TRASIEGO")*(MOVIMIENTOS!$C$5:$C$400="A")*(MOVIMIENTOS!$D$5:$D$400="jabas")*(MOVIMIENTOS!$A$5:$A$400&lt;&gt;"")*(MOVIMIENTOS!$A$5:$A$400&lt;=$A64)*MOVIMIENTOS!$E$5:$E$400)-SUMPRODUCT((MOVIMIENTOS!$B$5:$B$400="REGALO")*(MOVIMIENTOS!$C$5:$C$400="A")*(MOVIMIENTOS!$D$5:$D$400="jabas")*(MOVIMIENTOS!$A$5:$A$400&lt;&gt;"")*(MOVIMIENTOS!$A$5:$A$400&lt;=$A64)*MOVIMIENTOS!$E$5:$E$400)-SUMPRODUCT((MOVIMIENTOS!$B$5:$B$400="VENTA")*(MOVIMIENTOS!$C$5:$C$400="A")*(MOVIMIENTOS!$D$5:$D$400="jabas")*(MOVIMIENTOS!$A$5:$A$400&lt;&gt;"")*(MOVIMIENTOS!$A$5:$A$400&lt;=$A64)*MOVIMIENTOS!$E$5:$E$400)+SUMPRODUCT((MOVIMIENTOS!$B$5:$B$400="AJUSTE")*(MOVIMIENTOS!$C$5:$C$400="A")*(MOVIMIENTOS!$D$5:$D$400="jabas")*(MOVIMIENTOS!$A$5:$A$400&lt;&gt;"")*(MOVIMIENTOS!$A$5:$A$400&lt;=$A64)*MOVIMIENTOS!$E$5:$E$400))</f>
        <v/>
      </c>
      <c r="C64" s="52" t="str">
        <f aca="false">IF($A64="","",SUMPRODUCT((MOVIMIENTOS!$B$5:$B$400="SALDO INICIAL")*(MOVIMIENTOS!$C$5:$C$400="P")*(MOVIMIENTOS!$D$5:$D$400="jabas")*(MOVIMIENTOS!$A$5:$A$400&lt;&gt;"")*(MOVIMIENTOS!$A$5:$A$400&lt;=$A64)*MOVIMIENTOS!$E$5:$E$400)+SUMPRODUCT((MOVIMIENTOS!$B$5:$B$400="PROCESO")*(MOVIMIENTOS!$C$5:$C$400="P")*(MOVIMIENTOS!$D$5:$D$400="jabas")*(MOVIMIENTOS!$A$5:$A$400&lt;&gt;"")*(MOVIMIENTOS!$A$5:$A$400&lt;=$A64)*MOVIMIENTOS!$E$5:$E$400)-SUMPRODUCT((MOVIMIENTOS!$B$5:$B$400="ENVÍO A SUPESA")*(MOVIMIENTOS!$C$5:$C$400="P")*(MOVIMIENTOS!$D$5:$D$400="jabas")*(MOVIMIENTOS!$A$5:$A$400&lt;&gt;"")*(MOVIMIENTOS!$A$5:$A$400&lt;=$A64)*MOVIMIENTOS!$E$5:$E$400)+SUMPRODUCT((MOVIMIENTOS!$B$5:$B$400="DEVOLUCIÓN")*(MOVIMIENTOS!$C$5:$C$400="P")*(MOVIMIENTOS!$D$5:$D$400="jabas")*(MOVIMIENTOS!$A$5:$A$400&lt;&gt;"")*(MOVIMIENTOS!$A$5:$A$400&lt;=$A64)*MOVIMIENTOS!$E$5:$E$400)-SUMPRODUCT((MOVIMIENTOS!$B$5:$B$400="TRASIEGO")*(MOVIMIENTOS!$C$5:$C$400="P")*(MOVIMIENTOS!$D$5:$D$400="jabas")*(MOVIMIENTOS!$A$5:$A$400&lt;&gt;"")*(MOVIMIENTOS!$A$5:$A$400&lt;=$A64)*MOVIMIENTOS!$E$5:$E$400)-SUMPRODUCT((MOVIMIENTOS!$B$5:$B$400="REGALO")*(MOVIMIENTOS!$C$5:$C$400="P")*(MOVIMIENTOS!$D$5:$D$400="jabas")*(MOVIMIENTOS!$A$5:$A$400&lt;&gt;"")*(MOVIMIENTOS!$A$5:$A$400&lt;=$A64)*MOVIMIENTOS!$E$5:$E$400)-SUMPRODUCT((MOVIMIENTOS!$B$5:$B$400="VENTA")*(MOVIMIENTOS!$C$5:$C$400="P")*(MOVIMIENTOS!$D$5:$D$400="jabas")*(MOVIMIENTOS!$A$5:$A$400&lt;&gt;"")*(MOVIMIENTOS!$A$5:$A$400&lt;=$A64)*MOVIMIENTOS!$E$5:$E$400)+SUMPRODUCT((MOVIMIENTOS!$B$5:$B$400="AJUSTE")*(MOVIMIENTOS!$C$5:$C$400="P")*(MOVIMIENTOS!$D$5:$D$400="jabas")*(MOVIMIENTOS!$A$5:$A$400&lt;&gt;"")*(MOVIMIENTOS!$A$5:$A$400&lt;=$A64)*MOVIMIENTOS!$E$5:$E$400))</f>
        <v/>
      </c>
      <c r="D64" s="52" t="str">
        <f aca="false">IF($A64="","",SUMPRODUCT((MOVIMIENTOS!$B$5:$B$400="SALDO INICIAL")*(MOVIMIENTOS!$C$5:$C$400="C")*(MOVIMIENTOS!$D$5:$D$400="jabas")*(MOVIMIENTOS!$A$5:$A$400&lt;&gt;"")*(MOVIMIENTOS!$A$5:$A$400&lt;=$A64)*MOVIMIENTOS!$E$5:$E$400)+SUMPRODUCT((MOVIMIENTOS!$B$5:$B$400="PROCESO")*(MOVIMIENTOS!$C$5:$C$400="C")*(MOVIMIENTOS!$D$5:$D$400="jabas")*(MOVIMIENTOS!$A$5:$A$400&lt;&gt;"")*(MOVIMIENTOS!$A$5:$A$400&lt;=$A64)*MOVIMIENTOS!$E$5:$E$400)-SUMPRODUCT((MOVIMIENTOS!$B$5:$B$400="ENVÍO A SUPESA")*(MOVIMIENTOS!$C$5:$C$400="C")*(MOVIMIENTOS!$D$5:$D$400="jabas")*(MOVIMIENTOS!$A$5:$A$400&lt;&gt;"")*(MOVIMIENTOS!$A$5:$A$400&lt;=$A64)*MOVIMIENTOS!$E$5:$E$400)+SUMPRODUCT((MOVIMIENTOS!$B$5:$B$400="DEVOLUCIÓN")*(MOVIMIENTOS!$C$5:$C$400="C")*(MOVIMIENTOS!$D$5:$D$400="jabas")*(MOVIMIENTOS!$A$5:$A$400&lt;&gt;"")*(MOVIMIENTOS!$A$5:$A$400&lt;=$A64)*MOVIMIENTOS!$E$5:$E$400)-SUMPRODUCT((MOVIMIENTOS!$B$5:$B$400="TRASIEGO")*(MOVIMIENTOS!$C$5:$C$400="C")*(MOVIMIENTOS!$D$5:$D$400="jabas")*(MOVIMIENTOS!$A$5:$A$400&lt;&gt;"")*(MOVIMIENTOS!$A$5:$A$400&lt;=$A64)*MOVIMIENTOS!$E$5:$E$400)-SUMPRODUCT((MOVIMIENTOS!$B$5:$B$400="REGALO")*(MOVIMIENTOS!$C$5:$C$400="C")*(MOVIMIENTOS!$D$5:$D$400="jabas")*(MOVIMIENTOS!$A$5:$A$400&lt;&gt;"")*(MOVIMIENTOS!$A$5:$A$400&lt;=$A64)*MOVIMIENTOS!$E$5:$E$400)-SUMPRODUCT((MOVIMIENTOS!$B$5:$B$400="VENTA")*(MOVIMIENTOS!$C$5:$C$400="C")*(MOVIMIENTOS!$D$5:$D$400="jabas")*(MOVIMIENTOS!$A$5:$A$400&lt;&gt;"")*(MOVIMIENTOS!$A$5:$A$400&lt;=$A64)*MOVIMIENTOS!$E$5:$E$400)+SUMPRODUCT((MOVIMIENTOS!$B$5:$B$400="AJUSTE")*(MOVIMIENTOS!$C$5:$C$400="C")*(MOVIMIENTOS!$D$5:$D$400="jabas")*(MOVIMIENTOS!$A$5:$A$400&lt;&gt;"")*(MOVIMIENTOS!$A$5:$A$400&lt;=$A64)*MOVIMIENTOS!$E$5:$E$400))</f>
        <v/>
      </c>
      <c r="E64" s="52" t="str">
        <f aca="false">IF($A64="","",SUMPRODUCT((MOVIMIENTOS!$B$5:$B$400="SALDO INICIAL")*(MOVIMIENTOS!$C$5:$C$400="M")*(MOVIMIENTOS!$D$5:$D$400="jabas")*(MOVIMIENTOS!$A$5:$A$400&lt;&gt;"")*(MOVIMIENTOS!$A$5:$A$400&lt;=$A64)*MOVIMIENTOS!$E$5:$E$400)+SUMPRODUCT((MOVIMIENTOS!$B$5:$B$400="PROCESO")*(MOVIMIENTOS!$C$5:$C$400="M")*(MOVIMIENTOS!$D$5:$D$400="jabas")*(MOVIMIENTOS!$A$5:$A$400&lt;&gt;"")*(MOVIMIENTOS!$A$5:$A$400&lt;=$A64)*MOVIMIENTOS!$E$5:$E$400)-SUMPRODUCT((MOVIMIENTOS!$B$5:$B$400="ENVÍO A SUPESA")*(MOVIMIENTOS!$C$5:$C$400="M")*(MOVIMIENTOS!$D$5:$D$400="jabas")*(MOVIMIENTOS!$A$5:$A$400&lt;&gt;"")*(MOVIMIENTOS!$A$5:$A$400&lt;=$A64)*MOVIMIENTOS!$E$5:$E$400)+SUMPRODUCT((MOVIMIENTOS!$B$5:$B$400="DEVOLUCIÓN")*(MOVIMIENTOS!$C$5:$C$400="M")*(MOVIMIENTOS!$D$5:$D$400="jabas")*(MOVIMIENTOS!$A$5:$A$400&lt;&gt;"")*(MOVIMIENTOS!$A$5:$A$400&lt;=$A64)*MOVIMIENTOS!$E$5:$E$400)-SUMPRODUCT((MOVIMIENTOS!$B$5:$B$400="TRASIEGO")*(MOVIMIENTOS!$C$5:$C$400="M")*(MOVIMIENTOS!$D$5:$D$400="jabas")*(MOVIMIENTOS!$A$5:$A$400&lt;&gt;"")*(MOVIMIENTOS!$A$5:$A$400&lt;=$A64)*MOVIMIENTOS!$E$5:$E$400)-SUMPRODUCT((MOVIMIENTOS!$B$5:$B$400="REGALO")*(MOVIMIENTOS!$C$5:$C$400="M")*(MOVIMIENTOS!$D$5:$D$400="jabas")*(MOVIMIENTOS!$A$5:$A$400&lt;&gt;"")*(MOVIMIENTOS!$A$5:$A$400&lt;=$A64)*MOVIMIENTOS!$E$5:$E$400)-SUMPRODUCT((MOVIMIENTOS!$B$5:$B$400="VENTA")*(MOVIMIENTOS!$C$5:$C$400="M")*(MOVIMIENTOS!$D$5:$D$400="jabas")*(MOVIMIENTOS!$A$5:$A$400&lt;&gt;"")*(MOVIMIENTOS!$A$5:$A$400&lt;=$A64)*MOVIMIENTOS!$E$5:$E$400)+SUMPRODUCT((MOVIMIENTOS!$B$5:$B$400="AJUSTE")*(MOVIMIENTOS!$C$5:$C$400="M")*(MOVIMIENTOS!$D$5:$D$400="jabas")*(MOVIMIENTOS!$A$5:$A$400&lt;&gt;"")*(MOVIMIENTOS!$A$5:$A$400&lt;=$A64)*MOVIMIENTOS!$E$5:$E$400))</f>
        <v/>
      </c>
      <c r="F64" s="52" t="str">
        <f aca="false">IF($A64="","",SUMPRODUCT((MOVIMIENTOS!$B$5:$B$400="SALDO INICIAL")*(MOVIMIENTOS!$C$5:$C$400="Chancho")*(MOVIMIENTOS!$D$5:$D$400="sacos")*(MOVIMIENTOS!$A$5:$A$400&lt;&gt;"")*(MOVIMIENTOS!$A$5:$A$400&lt;=$A64)*MOVIMIENTOS!$E$5:$E$400)+SUMPRODUCT((MOVIMIENTOS!$B$5:$B$400="PROCESO")*(MOVIMIENTOS!$C$5:$C$400="Chancho")*(MOVIMIENTOS!$D$5:$D$400="sacos")*(MOVIMIENTOS!$A$5:$A$400&lt;&gt;"")*(MOVIMIENTOS!$A$5:$A$400&lt;=$A64)*MOVIMIENTOS!$E$5:$E$400)-SUMPRODUCT((MOVIMIENTOS!$B$5:$B$400="VENTA CHANCHO")*(MOVIMIENTOS!$C$5:$C$400="Chancho")*(MOVIMIENTOS!$D$5:$D$400="sacos")*(MOVIMIENTOS!$A$5:$A$400&lt;&gt;"")*(MOVIMIENTOS!$A$5:$A$400&lt;=$A64)*MOVIMIENTOS!$E$5:$E$400)-SUMPRODUCT((MOVIMIENTOS!$B$5:$B$400="REGALO")*(MOVIMIENTOS!$C$5:$C$400="Chancho")*(MOVIMIENTOS!$D$5:$D$400="sacos")*(MOVIMIENTOS!$A$5:$A$400&lt;&gt;"")*(MOVIMIENTOS!$A$5:$A$400&lt;=$A64)*MOVIMIENTOS!$E$5:$E$400)-SUMPRODUCT((MOVIMIENTOS!$B$5:$B$400="VENTA")*(MOVIMIENTOS!$C$5:$C$400="Chancho")*(MOVIMIENTOS!$D$5:$D$400="sacos")*(MOVIMIENTOS!$A$5:$A$400&lt;&gt;"")*(MOVIMIENTOS!$A$5:$A$400&lt;=$A64)*MOVIMIENTOS!$E$5:$E$400)+SUMPRODUCT((MOVIMIENTOS!$B$5:$B$400="AJUSTE")*(MOVIMIENTOS!$C$5:$C$400="Chancho")*(MOVIMIENTOS!$D$5:$D$400="sacos")*(MOVIMIENTOS!$A$5:$A$400&lt;&gt;"")*(MOVIMIENTOS!$A$5:$A$400&lt;=$A64)*MOVIMIENTOS!$E$5:$E$400))</f>
        <v/>
      </c>
      <c r="G64" s="52" t="str">
        <f aca="false">IF($A64="","",SUM(B64:E64))</f>
        <v/>
      </c>
      <c r="H64" s="52" t="str">
        <f aca="false">IF($A64="","",SUMPRODUCT((((MOVIMIENTOS!$B$5:$B$400="SALDO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64)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64)*MOVIMIENTOS!$I$5:$I$400))</f>
        <v/>
      </c>
      <c r="I64" s="48"/>
      <c r="J64" s="48" t="str">
        <f aca="false">IF(AND(MOVIMIENTOS!$A64&lt;&gt;"",COUNTIF(MOVIMIENTOS!$A$5:$A63,MOVIMIENTOS!$A64)=0),COUNT(J$4:J63)+1,"")</f>
        <v/>
      </c>
      <c r="K64" s="53" t="n">
        <f aca="false">MOVIMIENTOS!$A64</f>
        <v>46220</v>
      </c>
      <c r="L64" s="48"/>
      <c r="M64" s="48"/>
      <c r="N64" s="48"/>
    </row>
    <row r="65" customFormat="false" ht="15" hidden="false" customHeight="true" outlineLevel="0" collapsed="false">
      <c r="A65" s="51" t="str">
        <f aca="false">IFERROR(INDEX(K$5:K$400,MATCH(ROW()-4,J$5:J$400,0)),"")</f>
        <v/>
      </c>
      <c r="B65" s="52" t="str">
        <f aca="false">IF($A65="","",SUMPRODUCT((MOVIMIENTOS!$B$5:$B$400="SALDO INICIAL")*(MOVIMIENTOS!$C$5:$C$400="A")*(MOVIMIENTOS!$D$5:$D$400="jabas")*(MOVIMIENTOS!$A$5:$A$400&lt;&gt;"")*(MOVIMIENTOS!$A$5:$A$400&lt;=$A65)*MOVIMIENTOS!$E$5:$E$400)+SUMPRODUCT((MOVIMIENTOS!$B$5:$B$400="PROCESO")*(MOVIMIENTOS!$C$5:$C$400="A")*(MOVIMIENTOS!$D$5:$D$400="jabas")*(MOVIMIENTOS!$A$5:$A$400&lt;&gt;"")*(MOVIMIENTOS!$A$5:$A$400&lt;=$A65)*MOVIMIENTOS!$E$5:$E$400)-SUMPRODUCT((MOVIMIENTOS!$B$5:$B$400="ENVÍO A SUPESA")*(MOVIMIENTOS!$C$5:$C$400="A")*(MOVIMIENTOS!$D$5:$D$400="jabas")*(MOVIMIENTOS!$A$5:$A$400&lt;&gt;"")*(MOVIMIENTOS!$A$5:$A$400&lt;=$A65)*MOVIMIENTOS!$E$5:$E$400)+SUMPRODUCT((MOVIMIENTOS!$B$5:$B$400="DEVOLUCIÓN")*(MOVIMIENTOS!$C$5:$C$400="A")*(MOVIMIENTOS!$D$5:$D$400="jabas")*(MOVIMIENTOS!$A$5:$A$400&lt;&gt;"")*(MOVIMIENTOS!$A$5:$A$400&lt;=$A65)*MOVIMIENTOS!$E$5:$E$400)-SUMPRODUCT((MOVIMIENTOS!$B$5:$B$400="TRASIEGO")*(MOVIMIENTOS!$C$5:$C$400="A")*(MOVIMIENTOS!$D$5:$D$400="jabas")*(MOVIMIENTOS!$A$5:$A$400&lt;&gt;"")*(MOVIMIENTOS!$A$5:$A$400&lt;=$A65)*MOVIMIENTOS!$E$5:$E$400)-SUMPRODUCT((MOVIMIENTOS!$B$5:$B$400="REGALO")*(MOVIMIENTOS!$C$5:$C$400="A")*(MOVIMIENTOS!$D$5:$D$400="jabas")*(MOVIMIENTOS!$A$5:$A$400&lt;&gt;"")*(MOVIMIENTOS!$A$5:$A$400&lt;=$A65)*MOVIMIENTOS!$E$5:$E$400)-SUMPRODUCT((MOVIMIENTOS!$B$5:$B$400="VENTA")*(MOVIMIENTOS!$C$5:$C$400="A")*(MOVIMIENTOS!$D$5:$D$400="jabas")*(MOVIMIENTOS!$A$5:$A$400&lt;&gt;"")*(MOVIMIENTOS!$A$5:$A$400&lt;=$A65)*MOVIMIENTOS!$E$5:$E$400)+SUMPRODUCT((MOVIMIENTOS!$B$5:$B$400="AJUSTE")*(MOVIMIENTOS!$C$5:$C$400="A")*(MOVIMIENTOS!$D$5:$D$400="jabas")*(MOVIMIENTOS!$A$5:$A$400&lt;&gt;"")*(MOVIMIENTOS!$A$5:$A$400&lt;=$A65)*MOVIMIENTOS!$E$5:$E$400))</f>
        <v/>
      </c>
      <c r="C65" s="52" t="str">
        <f aca="false">IF($A65="","",SUMPRODUCT((MOVIMIENTOS!$B$5:$B$400="SALDO INICIAL")*(MOVIMIENTOS!$C$5:$C$400="P")*(MOVIMIENTOS!$D$5:$D$400="jabas")*(MOVIMIENTOS!$A$5:$A$400&lt;&gt;"")*(MOVIMIENTOS!$A$5:$A$400&lt;=$A65)*MOVIMIENTOS!$E$5:$E$400)+SUMPRODUCT((MOVIMIENTOS!$B$5:$B$400="PROCESO")*(MOVIMIENTOS!$C$5:$C$400="P")*(MOVIMIENTOS!$D$5:$D$400="jabas")*(MOVIMIENTOS!$A$5:$A$400&lt;&gt;"")*(MOVIMIENTOS!$A$5:$A$400&lt;=$A65)*MOVIMIENTOS!$E$5:$E$400)-SUMPRODUCT((MOVIMIENTOS!$B$5:$B$400="ENVÍO A SUPESA")*(MOVIMIENTOS!$C$5:$C$400="P")*(MOVIMIENTOS!$D$5:$D$400="jabas")*(MOVIMIENTOS!$A$5:$A$400&lt;&gt;"")*(MOVIMIENTOS!$A$5:$A$400&lt;=$A65)*MOVIMIENTOS!$E$5:$E$400)+SUMPRODUCT((MOVIMIENTOS!$B$5:$B$400="DEVOLUCIÓN")*(MOVIMIENTOS!$C$5:$C$400="P")*(MOVIMIENTOS!$D$5:$D$400="jabas")*(MOVIMIENTOS!$A$5:$A$400&lt;&gt;"")*(MOVIMIENTOS!$A$5:$A$400&lt;=$A65)*MOVIMIENTOS!$E$5:$E$400)-SUMPRODUCT((MOVIMIENTOS!$B$5:$B$400="TRASIEGO")*(MOVIMIENTOS!$C$5:$C$400="P")*(MOVIMIENTOS!$D$5:$D$400="jabas")*(MOVIMIENTOS!$A$5:$A$400&lt;&gt;"")*(MOVIMIENTOS!$A$5:$A$400&lt;=$A65)*MOVIMIENTOS!$E$5:$E$400)-SUMPRODUCT((MOVIMIENTOS!$B$5:$B$400="REGALO")*(MOVIMIENTOS!$C$5:$C$400="P")*(MOVIMIENTOS!$D$5:$D$400="jabas")*(MOVIMIENTOS!$A$5:$A$400&lt;&gt;"")*(MOVIMIENTOS!$A$5:$A$400&lt;=$A65)*MOVIMIENTOS!$E$5:$E$400)-SUMPRODUCT((MOVIMIENTOS!$B$5:$B$400="VENTA")*(MOVIMIENTOS!$C$5:$C$400="P")*(MOVIMIENTOS!$D$5:$D$400="jabas")*(MOVIMIENTOS!$A$5:$A$400&lt;&gt;"")*(MOVIMIENTOS!$A$5:$A$400&lt;=$A65)*MOVIMIENTOS!$E$5:$E$400)+SUMPRODUCT((MOVIMIENTOS!$B$5:$B$400="AJUSTE")*(MOVIMIENTOS!$C$5:$C$400="P")*(MOVIMIENTOS!$D$5:$D$400="jabas")*(MOVIMIENTOS!$A$5:$A$400&lt;&gt;"")*(MOVIMIENTOS!$A$5:$A$400&lt;=$A65)*MOVIMIENTOS!$E$5:$E$400))</f>
        <v/>
      </c>
      <c r="D65" s="52" t="str">
        <f aca="false">IF($A65="","",SUMPRODUCT((MOVIMIENTOS!$B$5:$B$400="SALDO INICIAL")*(MOVIMIENTOS!$C$5:$C$400="C")*(MOVIMIENTOS!$D$5:$D$400="jabas")*(MOVIMIENTOS!$A$5:$A$400&lt;&gt;"")*(MOVIMIENTOS!$A$5:$A$400&lt;=$A65)*MOVIMIENTOS!$E$5:$E$400)+SUMPRODUCT((MOVIMIENTOS!$B$5:$B$400="PROCESO")*(MOVIMIENTOS!$C$5:$C$400="C")*(MOVIMIENTOS!$D$5:$D$400="jabas")*(MOVIMIENTOS!$A$5:$A$400&lt;&gt;"")*(MOVIMIENTOS!$A$5:$A$400&lt;=$A65)*MOVIMIENTOS!$E$5:$E$400)-SUMPRODUCT((MOVIMIENTOS!$B$5:$B$400="ENVÍO A SUPESA")*(MOVIMIENTOS!$C$5:$C$400="C")*(MOVIMIENTOS!$D$5:$D$400="jabas")*(MOVIMIENTOS!$A$5:$A$400&lt;&gt;"")*(MOVIMIENTOS!$A$5:$A$400&lt;=$A65)*MOVIMIENTOS!$E$5:$E$400)+SUMPRODUCT((MOVIMIENTOS!$B$5:$B$400="DEVOLUCIÓN")*(MOVIMIENTOS!$C$5:$C$400="C")*(MOVIMIENTOS!$D$5:$D$400="jabas")*(MOVIMIENTOS!$A$5:$A$400&lt;&gt;"")*(MOVIMIENTOS!$A$5:$A$400&lt;=$A65)*MOVIMIENTOS!$E$5:$E$400)-SUMPRODUCT((MOVIMIENTOS!$B$5:$B$400="TRASIEGO")*(MOVIMIENTOS!$C$5:$C$400="C")*(MOVIMIENTOS!$D$5:$D$400="jabas")*(MOVIMIENTOS!$A$5:$A$400&lt;&gt;"")*(MOVIMIENTOS!$A$5:$A$400&lt;=$A65)*MOVIMIENTOS!$E$5:$E$400)-SUMPRODUCT((MOVIMIENTOS!$B$5:$B$400="REGALO")*(MOVIMIENTOS!$C$5:$C$400="C")*(MOVIMIENTOS!$D$5:$D$400="jabas")*(MOVIMIENTOS!$A$5:$A$400&lt;&gt;"")*(MOVIMIENTOS!$A$5:$A$400&lt;=$A65)*MOVIMIENTOS!$E$5:$E$400)-SUMPRODUCT((MOVIMIENTOS!$B$5:$B$400="VENTA")*(MOVIMIENTOS!$C$5:$C$400="C")*(MOVIMIENTOS!$D$5:$D$400="jabas")*(MOVIMIENTOS!$A$5:$A$400&lt;&gt;"")*(MOVIMIENTOS!$A$5:$A$400&lt;=$A65)*MOVIMIENTOS!$E$5:$E$400)+SUMPRODUCT((MOVIMIENTOS!$B$5:$B$400="AJUSTE")*(MOVIMIENTOS!$C$5:$C$400="C")*(MOVIMIENTOS!$D$5:$D$400="jabas")*(MOVIMIENTOS!$A$5:$A$400&lt;&gt;"")*(MOVIMIENTOS!$A$5:$A$400&lt;=$A65)*MOVIMIENTOS!$E$5:$E$400))</f>
        <v/>
      </c>
      <c r="E65" s="52" t="str">
        <f aca="false">IF($A65="","",SUMPRODUCT((MOVIMIENTOS!$B$5:$B$400="SALDO INICIAL")*(MOVIMIENTOS!$C$5:$C$400="M")*(MOVIMIENTOS!$D$5:$D$400="jabas")*(MOVIMIENTOS!$A$5:$A$400&lt;&gt;"")*(MOVIMIENTOS!$A$5:$A$400&lt;=$A65)*MOVIMIENTOS!$E$5:$E$400)+SUMPRODUCT((MOVIMIENTOS!$B$5:$B$400="PROCESO")*(MOVIMIENTOS!$C$5:$C$400="M")*(MOVIMIENTOS!$D$5:$D$400="jabas")*(MOVIMIENTOS!$A$5:$A$400&lt;&gt;"")*(MOVIMIENTOS!$A$5:$A$400&lt;=$A65)*MOVIMIENTOS!$E$5:$E$400)-SUMPRODUCT((MOVIMIENTOS!$B$5:$B$400="ENVÍO A SUPESA")*(MOVIMIENTOS!$C$5:$C$400="M")*(MOVIMIENTOS!$D$5:$D$400="jabas")*(MOVIMIENTOS!$A$5:$A$400&lt;&gt;"")*(MOVIMIENTOS!$A$5:$A$400&lt;=$A65)*MOVIMIENTOS!$E$5:$E$400)+SUMPRODUCT((MOVIMIENTOS!$B$5:$B$400="DEVOLUCIÓN")*(MOVIMIENTOS!$C$5:$C$400="M")*(MOVIMIENTOS!$D$5:$D$400="jabas")*(MOVIMIENTOS!$A$5:$A$400&lt;&gt;"")*(MOVIMIENTOS!$A$5:$A$400&lt;=$A65)*MOVIMIENTOS!$E$5:$E$400)-SUMPRODUCT((MOVIMIENTOS!$B$5:$B$400="TRASIEGO")*(MOVIMIENTOS!$C$5:$C$400="M")*(MOVIMIENTOS!$D$5:$D$400="jabas")*(MOVIMIENTOS!$A$5:$A$400&lt;&gt;"")*(MOVIMIENTOS!$A$5:$A$400&lt;=$A65)*MOVIMIENTOS!$E$5:$E$400)-SUMPRODUCT((MOVIMIENTOS!$B$5:$B$400="REGALO")*(MOVIMIENTOS!$C$5:$C$400="M")*(MOVIMIENTOS!$D$5:$D$400="jabas")*(MOVIMIENTOS!$A$5:$A$400&lt;&gt;"")*(MOVIMIENTOS!$A$5:$A$400&lt;=$A65)*MOVIMIENTOS!$E$5:$E$400)-SUMPRODUCT((MOVIMIENTOS!$B$5:$B$400="VENTA")*(MOVIMIENTOS!$C$5:$C$400="M")*(MOVIMIENTOS!$D$5:$D$400="jabas")*(MOVIMIENTOS!$A$5:$A$400&lt;&gt;"")*(MOVIMIENTOS!$A$5:$A$400&lt;=$A65)*MOVIMIENTOS!$E$5:$E$400)+SUMPRODUCT((MOVIMIENTOS!$B$5:$B$400="AJUSTE")*(MOVIMIENTOS!$C$5:$C$400="M")*(MOVIMIENTOS!$D$5:$D$400="jabas")*(MOVIMIENTOS!$A$5:$A$400&lt;&gt;"")*(MOVIMIENTOS!$A$5:$A$400&lt;=$A65)*MOVIMIENTOS!$E$5:$E$400))</f>
        <v/>
      </c>
      <c r="F65" s="52" t="str">
        <f aca="false">IF($A65="","",SUMPRODUCT((MOVIMIENTOS!$B$5:$B$400="SALDO INICIAL")*(MOVIMIENTOS!$C$5:$C$400="Chancho")*(MOVIMIENTOS!$D$5:$D$400="sacos")*(MOVIMIENTOS!$A$5:$A$400&lt;&gt;"")*(MOVIMIENTOS!$A$5:$A$400&lt;=$A65)*MOVIMIENTOS!$E$5:$E$400)+SUMPRODUCT((MOVIMIENTOS!$B$5:$B$400="PROCESO")*(MOVIMIENTOS!$C$5:$C$400="Chancho")*(MOVIMIENTOS!$D$5:$D$400="sacos")*(MOVIMIENTOS!$A$5:$A$400&lt;&gt;"")*(MOVIMIENTOS!$A$5:$A$400&lt;=$A65)*MOVIMIENTOS!$E$5:$E$400)-SUMPRODUCT((MOVIMIENTOS!$B$5:$B$400="VENTA CHANCHO")*(MOVIMIENTOS!$C$5:$C$400="Chancho")*(MOVIMIENTOS!$D$5:$D$400="sacos")*(MOVIMIENTOS!$A$5:$A$400&lt;&gt;"")*(MOVIMIENTOS!$A$5:$A$400&lt;=$A65)*MOVIMIENTOS!$E$5:$E$400)-SUMPRODUCT((MOVIMIENTOS!$B$5:$B$400="REGALO")*(MOVIMIENTOS!$C$5:$C$400="Chancho")*(MOVIMIENTOS!$D$5:$D$400="sacos")*(MOVIMIENTOS!$A$5:$A$400&lt;&gt;"")*(MOVIMIENTOS!$A$5:$A$400&lt;=$A65)*MOVIMIENTOS!$E$5:$E$400)-SUMPRODUCT((MOVIMIENTOS!$B$5:$B$400="VENTA")*(MOVIMIENTOS!$C$5:$C$400="Chancho")*(MOVIMIENTOS!$D$5:$D$400="sacos")*(MOVIMIENTOS!$A$5:$A$400&lt;&gt;"")*(MOVIMIENTOS!$A$5:$A$400&lt;=$A65)*MOVIMIENTOS!$E$5:$E$400)+SUMPRODUCT((MOVIMIENTOS!$B$5:$B$400="AJUSTE")*(MOVIMIENTOS!$C$5:$C$400="Chancho")*(MOVIMIENTOS!$D$5:$D$400="sacos")*(MOVIMIENTOS!$A$5:$A$400&lt;&gt;"")*(MOVIMIENTOS!$A$5:$A$400&lt;=$A65)*MOVIMIENTOS!$E$5:$E$400))</f>
        <v/>
      </c>
      <c r="G65" s="52" t="str">
        <f aca="false">IF($A65="","",SUM(B65:E65))</f>
        <v/>
      </c>
      <c r="H65" s="52" t="str">
        <f aca="false">IF($A65="","",SUMPRODUCT((((MOVIMIENTOS!$B$5:$B$400="SALDO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65)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65)*MOVIMIENTOS!$I$5:$I$400))</f>
        <v/>
      </c>
      <c r="I65" s="48"/>
      <c r="J65" s="48" t="str">
        <f aca="false">IF(AND(MOVIMIENTOS!$A65&lt;&gt;"",COUNTIF(MOVIMIENTOS!$A$5:$A64,MOVIMIENTOS!$A65)=0),COUNT(J$4:J64)+1,"")</f>
        <v/>
      </c>
      <c r="K65" s="53" t="n">
        <f aca="false">MOVIMIENTOS!$A65</f>
        <v>46220</v>
      </c>
      <c r="L65" s="48"/>
      <c r="M65" s="48"/>
      <c r="N65" s="48"/>
    </row>
    <row r="66" customFormat="false" ht="15" hidden="false" customHeight="true" outlineLevel="0" collapsed="false">
      <c r="A66" s="51" t="str">
        <f aca="false">IFERROR(INDEX(K$5:K$400,MATCH(ROW()-4,J$5:J$400,0)),"")</f>
        <v/>
      </c>
      <c r="B66" s="52" t="str">
        <f aca="false">IF($A66="","",SUMPRODUCT((MOVIMIENTOS!$B$5:$B$400="SALDO INICIAL")*(MOVIMIENTOS!$C$5:$C$400="A")*(MOVIMIENTOS!$D$5:$D$400="jabas")*(MOVIMIENTOS!$A$5:$A$400&lt;&gt;"")*(MOVIMIENTOS!$A$5:$A$400&lt;=$A66)*MOVIMIENTOS!$E$5:$E$400)+SUMPRODUCT((MOVIMIENTOS!$B$5:$B$400="PROCESO")*(MOVIMIENTOS!$C$5:$C$400="A")*(MOVIMIENTOS!$D$5:$D$400="jabas")*(MOVIMIENTOS!$A$5:$A$400&lt;&gt;"")*(MOVIMIENTOS!$A$5:$A$400&lt;=$A66)*MOVIMIENTOS!$E$5:$E$400)-SUMPRODUCT((MOVIMIENTOS!$B$5:$B$400="ENVÍO A SUPESA")*(MOVIMIENTOS!$C$5:$C$400="A")*(MOVIMIENTOS!$D$5:$D$400="jabas")*(MOVIMIENTOS!$A$5:$A$400&lt;&gt;"")*(MOVIMIENTOS!$A$5:$A$400&lt;=$A66)*MOVIMIENTOS!$E$5:$E$400)+SUMPRODUCT((MOVIMIENTOS!$B$5:$B$400="DEVOLUCIÓN")*(MOVIMIENTOS!$C$5:$C$400="A")*(MOVIMIENTOS!$D$5:$D$400="jabas")*(MOVIMIENTOS!$A$5:$A$400&lt;&gt;"")*(MOVIMIENTOS!$A$5:$A$400&lt;=$A66)*MOVIMIENTOS!$E$5:$E$400)-SUMPRODUCT((MOVIMIENTOS!$B$5:$B$400="TRASIEGO")*(MOVIMIENTOS!$C$5:$C$400="A")*(MOVIMIENTOS!$D$5:$D$400="jabas")*(MOVIMIENTOS!$A$5:$A$400&lt;&gt;"")*(MOVIMIENTOS!$A$5:$A$400&lt;=$A66)*MOVIMIENTOS!$E$5:$E$400)-SUMPRODUCT((MOVIMIENTOS!$B$5:$B$400="REGALO")*(MOVIMIENTOS!$C$5:$C$400="A")*(MOVIMIENTOS!$D$5:$D$400="jabas")*(MOVIMIENTOS!$A$5:$A$400&lt;&gt;"")*(MOVIMIENTOS!$A$5:$A$400&lt;=$A66)*MOVIMIENTOS!$E$5:$E$400)-SUMPRODUCT((MOVIMIENTOS!$B$5:$B$400="VENTA")*(MOVIMIENTOS!$C$5:$C$400="A")*(MOVIMIENTOS!$D$5:$D$400="jabas")*(MOVIMIENTOS!$A$5:$A$400&lt;&gt;"")*(MOVIMIENTOS!$A$5:$A$400&lt;=$A66)*MOVIMIENTOS!$E$5:$E$400)+SUMPRODUCT((MOVIMIENTOS!$B$5:$B$400="AJUSTE")*(MOVIMIENTOS!$C$5:$C$400="A")*(MOVIMIENTOS!$D$5:$D$400="jabas")*(MOVIMIENTOS!$A$5:$A$400&lt;&gt;"")*(MOVIMIENTOS!$A$5:$A$400&lt;=$A66)*MOVIMIENTOS!$E$5:$E$400))</f>
        <v/>
      </c>
      <c r="C66" s="52" t="str">
        <f aca="false">IF($A66="","",SUMPRODUCT((MOVIMIENTOS!$B$5:$B$400="SALDO INICIAL")*(MOVIMIENTOS!$C$5:$C$400="P")*(MOVIMIENTOS!$D$5:$D$400="jabas")*(MOVIMIENTOS!$A$5:$A$400&lt;&gt;"")*(MOVIMIENTOS!$A$5:$A$400&lt;=$A66)*MOVIMIENTOS!$E$5:$E$400)+SUMPRODUCT((MOVIMIENTOS!$B$5:$B$400="PROCESO")*(MOVIMIENTOS!$C$5:$C$400="P")*(MOVIMIENTOS!$D$5:$D$400="jabas")*(MOVIMIENTOS!$A$5:$A$400&lt;&gt;"")*(MOVIMIENTOS!$A$5:$A$400&lt;=$A66)*MOVIMIENTOS!$E$5:$E$400)-SUMPRODUCT((MOVIMIENTOS!$B$5:$B$400="ENVÍO A SUPESA")*(MOVIMIENTOS!$C$5:$C$400="P")*(MOVIMIENTOS!$D$5:$D$400="jabas")*(MOVIMIENTOS!$A$5:$A$400&lt;&gt;"")*(MOVIMIENTOS!$A$5:$A$400&lt;=$A66)*MOVIMIENTOS!$E$5:$E$400)+SUMPRODUCT((MOVIMIENTOS!$B$5:$B$400="DEVOLUCIÓN")*(MOVIMIENTOS!$C$5:$C$400="P")*(MOVIMIENTOS!$D$5:$D$400="jabas")*(MOVIMIENTOS!$A$5:$A$400&lt;&gt;"")*(MOVIMIENTOS!$A$5:$A$400&lt;=$A66)*MOVIMIENTOS!$E$5:$E$400)-SUMPRODUCT((MOVIMIENTOS!$B$5:$B$400="TRASIEGO")*(MOVIMIENTOS!$C$5:$C$400="P")*(MOVIMIENTOS!$D$5:$D$400="jabas")*(MOVIMIENTOS!$A$5:$A$400&lt;&gt;"")*(MOVIMIENTOS!$A$5:$A$400&lt;=$A66)*MOVIMIENTOS!$E$5:$E$400)-SUMPRODUCT((MOVIMIENTOS!$B$5:$B$400="REGALO")*(MOVIMIENTOS!$C$5:$C$400="P")*(MOVIMIENTOS!$D$5:$D$400="jabas")*(MOVIMIENTOS!$A$5:$A$400&lt;&gt;"")*(MOVIMIENTOS!$A$5:$A$400&lt;=$A66)*MOVIMIENTOS!$E$5:$E$400)-SUMPRODUCT((MOVIMIENTOS!$B$5:$B$400="VENTA")*(MOVIMIENTOS!$C$5:$C$400="P")*(MOVIMIENTOS!$D$5:$D$400="jabas")*(MOVIMIENTOS!$A$5:$A$400&lt;&gt;"")*(MOVIMIENTOS!$A$5:$A$400&lt;=$A66)*MOVIMIENTOS!$E$5:$E$400)+SUMPRODUCT((MOVIMIENTOS!$B$5:$B$400="AJUSTE")*(MOVIMIENTOS!$C$5:$C$400="P")*(MOVIMIENTOS!$D$5:$D$400="jabas")*(MOVIMIENTOS!$A$5:$A$400&lt;&gt;"")*(MOVIMIENTOS!$A$5:$A$400&lt;=$A66)*MOVIMIENTOS!$E$5:$E$400))</f>
        <v/>
      </c>
      <c r="D66" s="52" t="str">
        <f aca="false">IF($A66="","",SUMPRODUCT((MOVIMIENTOS!$B$5:$B$400="SALDO INICIAL")*(MOVIMIENTOS!$C$5:$C$400="C")*(MOVIMIENTOS!$D$5:$D$400="jabas")*(MOVIMIENTOS!$A$5:$A$400&lt;&gt;"")*(MOVIMIENTOS!$A$5:$A$400&lt;=$A66)*MOVIMIENTOS!$E$5:$E$400)+SUMPRODUCT((MOVIMIENTOS!$B$5:$B$400="PROCESO")*(MOVIMIENTOS!$C$5:$C$400="C")*(MOVIMIENTOS!$D$5:$D$400="jabas")*(MOVIMIENTOS!$A$5:$A$400&lt;&gt;"")*(MOVIMIENTOS!$A$5:$A$400&lt;=$A66)*MOVIMIENTOS!$E$5:$E$400)-SUMPRODUCT((MOVIMIENTOS!$B$5:$B$400="ENVÍO A SUPESA")*(MOVIMIENTOS!$C$5:$C$400="C")*(MOVIMIENTOS!$D$5:$D$400="jabas")*(MOVIMIENTOS!$A$5:$A$400&lt;&gt;"")*(MOVIMIENTOS!$A$5:$A$400&lt;=$A66)*MOVIMIENTOS!$E$5:$E$400)+SUMPRODUCT((MOVIMIENTOS!$B$5:$B$400="DEVOLUCIÓN")*(MOVIMIENTOS!$C$5:$C$400="C")*(MOVIMIENTOS!$D$5:$D$400="jabas")*(MOVIMIENTOS!$A$5:$A$400&lt;&gt;"")*(MOVIMIENTOS!$A$5:$A$400&lt;=$A66)*MOVIMIENTOS!$E$5:$E$400)-SUMPRODUCT((MOVIMIENTOS!$B$5:$B$400="TRASIEGO")*(MOVIMIENTOS!$C$5:$C$400="C")*(MOVIMIENTOS!$D$5:$D$400="jabas")*(MOVIMIENTOS!$A$5:$A$400&lt;&gt;"")*(MOVIMIENTOS!$A$5:$A$400&lt;=$A66)*MOVIMIENTOS!$E$5:$E$400)-SUMPRODUCT((MOVIMIENTOS!$B$5:$B$400="REGALO")*(MOVIMIENTOS!$C$5:$C$400="C")*(MOVIMIENTOS!$D$5:$D$400="jabas")*(MOVIMIENTOS!$A$5:$A$400&lt;&gt;"")*(MOVIMIENTOS!$A$5:$A$400&lt;=$A66)*MOVIMIENTOS!$E$5:$E$400)-SUMPRODUCT((MOVIMIENTOS!$B$5:$B$400="VENTA")*(MOVIMIENTOS!$C$5:$C$400="C")*(MOVIMIENTOS!$D$5:$D$400="jabas")*(MOVIMIENTOS!$A$5:$A$400&lt;&gt;"")*(MOVIMIENTOS!$A$5:$A$400&lt;=$A66)*MOVIMIENTOS!$E$5:$E$400)+SUMPRODUCT((MOVIMIENTOS!$B$5:$B$400="AJUSTE")*(MOVIMIENTOS!$C$5:$C$400="C")*(MOVIMIENTOS!$D$5:$D$400="jabas")*(MOVIMIENTOS!$A$5:$A$400&lt;&gt;"")*(MOVIMIENTOS!$A$5:$A$400&lt;=$A66)*MOVIMIENTOS!$E$5:$E$400))</f>
        <v/>
      </c>
      <c r="E66" s="52" t="str">
        <f aca="false">IF($A66="","",SUMPRODUCT((MOVIMIENTOS!$B$5:$B$400="SALDO INICIAL")*(MOVIMIENTOS!$C$5:$C$400="M")*(MOVIMIENTOS!$D$5:$D$400="jabas")*(MOVIMIENTOS!$A$5:$A$400&lt;&gt;"")*(MOVIMIENTOS!$A$5:$A$400&lt;=$A66)*MOVIMIENTOS!$E$5:$E$400)+SUMPRODUCT((MOVIMIENTOS!$B$5:$B$400="PROCESO")*(MOVIMIENTOS!$C$5:$C$400="M")*(MOVIMIENTOS!$D$5:$D$400="jabas")*(MOVIMIENTOS!$A$5:$A$400&lt;&gt;"")*(MOVIMIENTOS!$A$5:$A$400&lt;=$A66)*MOVIMIENTOS!$E$5:$E$400)-SUMPRODUCT((MOVIMIENTOS!$B$5:$B$400="ENVÍO A SUPESA")*(MOVIMIENTOS!$C$5:$C$400="M")*(MOVIMIENTOS!$D$5:$D$400="jabas")*(MOVIMIENTOS!$A$5:$A$400&lt;&gt;"")*(MOVIMIENTOS!$A$5:$A$400&lt;=$A66)*MOVIMIENTOS!$E$5:$E$400)+SUMPRODUCT((MOVIMIENTOS!$B$5:$B$400="DEVOLUCIÓN")*(MOVIMIENTOS!$C$5:$C$400="M")*(MOVIMIENTOS!$D$5:$D$400="jabas")*(MOVIMIENTOS!$A$5:$A$400&lt;&gt;"")*(MOVIMIENTOS!$A$5:$A$400&lt;=$A66)*MOVIMIENTOS!$E$5:$E$400)-SUMPRODUCT((MOVIMIENTOS!$B$5:$B$400="TRASIEGO")*(MOVIMIENTOS!$C$5:$C$400="M")*(MOVIMIENTOS!$D$5:$D$400="jabas")*(MOVIMIENTOS!$A$5:$A$400&lt;&gt;"")*(MOVIMIENTOS!$A$5:$A$400&lt;=$A66)*MOVIMIENTOS!$E$5:$E$400)-SUMPRODUCT((MOVIMIENTOS!$B$5:$B$400="REGALO")*(MOVIMIENTOS!$C$5:$C$400="M")*(MOVIMIENTOS!$D$5:$D$400="jabas")*(MOVIMIENTOS!$A$5:$A$400&lt;&gt;"")*(MOVIMIENTOS!$A$5:$A$400&lt;=$A66)*MOVIMIENTOS!$E$5:$E$400)-SUMPRODUCT((MOVIMIENTOS!$B$5:$B$400="VENTA")*(MOVIMIENTOS!$C$5:$C$400="M")*(MOVIMIENTOS!$D$5:$D$400="jabas")*(MOVIMIENTOS!$A$5:$A$400&lt;&gt;"")*(MOVIMIENTOS!$A$5:$A$400&lt;=$A66)*MOVIMIENTOS!$E$5:$E$400)+SUMPRODUCT((MOVIMIENTOS!$B$5:$B$400="AJUSTE")*(MOVIMIENTOS!$C$5:$C$400="M")*(MOVIMIENTOS!$D$5:$D$400="jabas")*(MOVIMIENTOS!$A$5:$A$400&lt;&gt;"")*(MOVIMIENTOS!$A$5:$A$400&lt;=$A66)*MOVIMIENTOS!$E$5:$E$400))</f>
        <v/>
      </c>
      <c r="F66" s="52" t="str">
        <f aca="false">IF($A66="","",SUMPRODUCT((MOVIMIENTOS!$B$5:$B$400="SALDO INICIAL")*(MOVIMIENTOS!$C$5:$C$400="Chancho")*(MOVIMIENTOS!$D$5:$D$400="sacos")*(MOVIMIENTOS!$A$5:$A$400&lt;&gt;"")*(MOVIMIENTOS!$A$5:$A$400&lt;=$A66)*MOVIMIENTOS!$E$5:$E$400)+SUMPRODUCT((MOVIMIENTOS!$B$5:$B$400="PROCESO")*(MOVIMIENTOS!$C$5:$C$400="Chancho")*(MOVIMIENTOS!$D$5:$D$400="sacos")*(MOVIMIENTOS!$A$5:$A$400&lt;&gt;"")*(MOVIMIENTOS!$A$5:$A$400&lt;=$A66)*MOVIMIENTOS!$E$5:$E$400)-SUMPRODUCT((MOVIMIENTOS!$B$5:$B$400="VENTA CHANCHO")*(MOVIMIENTOS!$C$5:$C$400="Chancho")*(MOVIMIENTOS!$D$5:$D$400="sacos")*(MOVIMIENTOS!$A$5:$A$400&lt;&gt;"")*(MOVIMIENTOS!$A$5:$A$400&lt;=$A66)*MOVIMIENTOS!$E$5:$E$400)-SUMPRODUCT((MOVIMIENTOS!$B$5:$B$400="REGALO")*(MOVIMIENTOS!$C$5:$C$400="Chancho")*(MOVIMIENTOS!$D$5:$D$400="sacos")*(MOVIMIENTOS!$A$5:$A$400&lt;&gt;"")*(MOVIMIENTOS!$A$5:$A$400&lt;=$A66)*MOVIMIENTOS!$E$5:$E$400)-SUMPRODUCT((MOVIMIENTOS!$B$5:$B$400="VENTA")*(MOVIMIENTOS!$C$5:$C$400="Chancho")*(MOVIMIENTOS!$D$5:$D$400="sacos")*(MOVIMIENTOS!$A$5:$A$400&lt;&gt;"")*(MOVIMIENTOS!$A$5:$A$400&lt;=$A66)*MOVIMIENTOS!$E$5:$E$400)+SUMPRODUCT((MOVIMIENTOS!$B$5:$B$400="AJUSTE")*(MOVIMIENTOS!$C$5:$C$400="Chancho")*(MOVIMIENTOS!$D$5:$D$400="sacos")*(MOVIMIENTOS!$A$5:$A$400&lt;&gt;"")*(MOVIMIENTOS!$A$5:$A$400&lt;=$A66)*MOVIMIENTOS!$E$5:$E$400))</f>
        <v/>
      </c>
      <c r="G66" s="52" t="str">
        <f aca="false">IF($A66="","",SUM(B66:E66))</f>
        <v/>
      </c>
      <c r="H66" s="52" t="str">
        <f aca="false">IF($A66="","",SUMPRODUCT((((MOVIMIENTOS!$B$5:$B$400="SALDO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66)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66)*MOVIMIENTOS!$I$5:$I$400))</f>
        <v/>
      </c>
      <c r="I66" s="48"/>
      <c r="J66" s="48" t="str">
        <f aca="false">IF(AND(MOVIMIENTOS!$A66&lt;&gt;"",COUNTIF(MOVIMIENTOS!$A$5:$A65,MOVIMIENTOS!$A66)=0),COUNT(J$4:J65)+1,"")</f>
        <v/>
      </c>
      <c r="K66" s="53" t="n">
        <f aca="false">MOVIMIENTOS!$A66</f>
        <v>46220</v>
      </c>
      <c r="L66" s="48"/>
      <c r="M66" s="48"/>
      <c r="N66" s="48"/>
    </row>
    <row r="67" customFormat="false" ht="15" hidden="false" customHeight="true" outlineLevel="0" collapsed="false">
      <c r="A67" s="51" t="str">
        <f aca="false">IFERROR(INDEX(K$5:K$400,MATCH(ROW()-4,J$5:J$400,0)),"")</f>
        <v/>
      </c>
      <c r="B67" s="52" t="str">
        <f aca="false">IF($A67="","",SUMPRODUCT((MOVIMIENTOS!$B$5:$B$400="SALDO INICIAL")*(MOVIMIENTOS!$C$5:$C$400="A")*(MOVIMIENTOS!$D$5:$D$400="jabas")*(MOVIMIENTOS!$A$5:$A$400&lt;&gt;"")*(MOVIMIENTOS!$A$5:$A$400&lt;=$A67)*MOVIMIENTOS!$E$5:$E$400)+SUMPRODUCT((MOVIMIENTOS!$B$5:$B$400="PROCESO")*(MOVIMIENTOS!$C$5:$C$400="A")*(MOVIMIENTOS!$D$5:$D$400="jabas")*(MOVIMIENTOS!$A$5:$A$400&lt;&gt;"")*(MOVIMIENTOS!$A$5:$A$400&lt;=$A67)*MOVIMIENTOS!$E$5:$E$400)-SUMPRODUCT((MOVIMIENTOS!$B$5:$B$400="ENVÍO A SUPESA")*(MOVIMIENTOS!$C$5:$C$400="A")*(MOVIMIENTOS!$D$5:$D$400="jabas")*(MOVIMIENTOS!$A$5:$A$400&lt;&gt;"")*(MOVIMIENTOS!$A$5:$A$400&lt;=$A67)*MOVIMIENTOS!$E$5:$E$400)+SUMPRODUCT((MOVIMIENTOS!$B$5:$B$400="DEVOLUCIÓN")*(MOVIMIENTOS!$C$5:$C$400="A")*(MOVIMIENTOS!$D$5:$D$400="jabas")*(MOVIMIENTOS!$A$5:$A$400&lt;&gt;"")*(MOVIMIENTOS!$A$5:$A$400&lt;=$A67)*MOVIMIENTOS!$E$5:$E$400)-SUMPRODUCT((MOVIMIENTOS!$B$5:$B$400="TRASIEGO")*(MOVIMIENTOS!$C$5:$C$400="A")*(MOVIMIENTOS!$D$5:$D$400="jabas")*(MOVIMIENTOS!$A$5:$A$400&lt;&gt;"")*(MOVIMIENTOS!$A$5:$A$400&lt;=$A67)*MOVIMIENTOS!$E$5:$E$400)-SUMPRODUCT((MOVIMIENTOS!$B$5:$B$400="REGALO")*(MOVIMIENTOS!$C$5:$C$400="A")*(MOVIMIENTOS!$D$5:$D$400="jabas")*(MOVIMIENTOS!$A$5:$A$400&lt;&gt;"")*(MOVIMIENTOS!$A$5:$A$400&lt;=$A67)*MOVIMIENTOS!$E$5:$E$400)-SUMPRODUCT((MOVIMIENTOS!$B$5:$B$400="VENTA")*(MOVIMIENTOS!$C$5:$C$400="A")*(MOVIMIENTOS!$D$5:$D$400="jabas")*(MOVIMIENTOS!$A$5:$A$400&lt;&gt;"")*(MOVIMIENTOS!$A$5:$A$400&lt;=$A67)*MOVIMIENTOS!$E$5:$E$400)+SUMPRODUCT((MOVIMIENTOS!$B$5:$B$400="AJUSTE")*(MOVIMIENTOS!$C$5:$C$400="A")*(MOVIMIENTOS!$D$5:$D$400="jabas")*(MOVIMIENTOS!$A$5:$A$400&lt;&gt;"")*(MOVIMIENTOS!$A$5:$A$400&lt;=$A67)*MOVIMIENTOS!$E$5:$E$400))</f>
        <v/>
      </c>
      <c r="C67" s="52" t="str">
        <f aca="false">IF($A67="","",SUMPRODUCT((MOVIMIENTOS!$B$5:$B$400="SALDO INICIAL")*(MOVIMIENTOS!$C$5:$C$400="P")*(MOVIMIENTOS!$D$5:$D$400="jabas")*(MOVIMIENTOS!$A$5:$A$400&lt;&gt;"")*(MOVIMIENTOS!$A$5:$A$400&lt;=$A67)*MOVIMIENTOS!$E$5:$E$400)+SUMPRODUCT((MOVIMIENTOS!$B$5:$B$400="PROCESO")*(MOVIMIENTOS!$C$5:$C$400="P")*(MOVIMIENTOS!$D$5:$D$400="jabas")*(MOVIMIENTOS!$A$5:$A$400&lt;&gt;"")*(MOVIMIENTOS!$A$5:$A$400&lt;=$A67)*MOVIMIENTOS!$E$5:$E$400)-SUMPRODUCT((MOVIMIENTOS!$B$5:$B$400="ENVÍO A SUPESA")*(MOVIMIENTOS!$C$5:$C$400="P")*(MOVIMIENTOS!$D$5:$D$400="jabas")*(MOVIMIENTOS!$A$5:$A$400&lt;&gt;"")*(MOVIMIENTOS!$A$5:$A$400&lt;=$A67)*MOVIMIENTOS!$E$5:$E$400)+SUMPRODUCT((MOVIMIENTOS!$B$5:$B$400="DEVOLUCIÓN")*(MOVIMIENTOS!$C$5:$C$400="P")*(MOVIMIENTOS!$D$5:$D$400="jabas")*(MOVIMIENTOS!$A$5:$A$400&lt;&gt;"")*(MOVIMIENTOS!$A$5:$A$400&lt;=$A67)*MOVIMIENTOS!$E$5:$E$400)-SUMPRODUCT((MOVIMIENTOS!$B$5:$B$400="TRASIEGO")*(MOVIMIENTOS!$C$5:$C$400="P")*(MOVIMIENTOS!$D$5:$D$400="jabas")*(MOVIMIENTOS!$A$5:$A$400&lt;&gt;"")*(MOVIMIENTOS!$A$5:$A$400&lt;=$A67)*MOVIMIENTOS!$E$5:$E$400)-SUMPRODUCT((MOVIMIENTOS!$B$5:$B$400="REGALO")*(MOVIMIENTOS!$C$5:$C$400="P")*(MOVIMIENTOS!$D$5:$D$400="jabas")*(MOVIMIENTOS!$A$5:$A$400&lt;&gt;"")*(MOVIMIENTOS!$A$5:$A$400&lt;=$A67)*MOVIMIENTOS!$E$5:$E$400)-SUMPRODUCT((MOVIMIENTOS!$B$5:$B$400="VENTA")*(MOVIMIENTOS!$C$5:$C$400="P")*(MOVIMIENTOS!$D$5:$D$400="jabas")*(MOVIMIENTOS!$A$5:$A$400&lt;&gt;"")*(MOVIMIENTOS!$A$5:$A$400&lt;=$A67)*MOVIMIENTOS!$E$5:$E$400)+SUMPRODUCT((MOVIMIENTOS!$B$5:$B$400="AJUSTE")*(MOVIMIENTOS!$C$5:$C$400="P")*(MOVIMIENTOS!$D$5:$D$400="jabas")*(MOVIMIENTOS!$A$5:$A$400&lt;&gt;"")*(MOVIMIENTOS!$A$5:$A$400&lt;=$A67)*MOVIMIENTOS!$E$5:$E$400))</f>
        <v/>
      </c>
      <c r="D67" s="52" t="str">
        <f aca="false">IF($A67="","",SUMPRODUCT((MOVIMIENTOS!$B$5:$B$400="SALDO INICIAL")*(MOVIMIENTOS!$C$5:$C$400="C")*(MOVIMIENTOS!$D$5:$D$400="jabas")*(MOVIMIENTOS!$A$5:$A$400&lt;&gt;"")*(MOVIMIENTOS!$A$5:$A$400&lt;=$A67)*MOVIMIENTOS!$E$5:$E$400)+SUMPRODUCT((MOVIMIENTOS!$B$5:$B$400="PROCESO")*(MOVIMIENTOS!$C$5:$C$400="C")*(MOVIMIENTOS!$D$5:$D$400="jabas")*(MOVIMIENTOS!$A$5:$A$400&lt;&gt;"")*(MOVIMIENTOS!$A$5:$A$400&lt;=$A67)*MOVIMIENTOS!$E$5:$E$400)-SUMPRODUCT((MOVIMIENTOS!$B$5:$B$400="ENVÍO A SUPESA")*(MOVIMIENTOS!$C$5:$C$400="C")*(MOVIMIENTOS!$D$5:$D$400="jabas")*(MOVIMIENTOS!$A$5:$A$400&lt;&gt;"")*(MOVIMIENTOS!$A$5:$A$400&lt;=$A67)*MOVIMIENTOS!$E$5:$E$400)+SUMPRODUCT((MOVIMIENTOS!$B$5:$B$400="DEVOLUCIÓN")*(MOVIMIENTOS!$C$5:$C$400="C")*(MOVIMIENTOS!$D$5:$D$400="jabas")*(MOVIMIENTOS!$A$5:$A$400&lt;&gt;"")*(MOVIMIENTOS!$A$5:$A$400&lt;=$A67)*MOVIMIENTOS!$E$5:$E$400)-SUMPRODUCT((MOVIMIENTOS!$B$5:$B$400="TRASIEGO")*(MOVIMIENTOS!$C$5:$C$400="C")*(MOVIMIENTOS!$D$5:$D$400="jabas")*(MOVIMIENTOS!$A$5:$A$400&lt;&gt;"")*(MOVIMIENTOS!$A$5:$A$400&lt;=$A67)*MOVIMIENTOS!$E$5:$E$400)-SUMPRODUCT((MOVIMIENTOS!$B$5:$B$400="REGALO")*(MOVIMIENTOS!$C$5:$C$400="C")*(MOVIMIENTOS!$D$5:$D$400="jabas")*(MOVIMIENTOS!$A$5:$A$400&lt;&gt;"")*(MOVIMIENTOS!$A$5:$A$400&lt;=$A67)*MOVIMIENTOS!$E$5:$E$400)-SUMPRODUCT((MOVIMIENTOS!$B$5:$B$400="VENTA")*(MOVIMIENTOS!$C$5:$C$400="C")*(MOVIMIENTOS!$D$5:$D$400="jabas")*(MOVIMIENTOS!$A$5:$A$400&lt;&gt;"")*(MOVIMIENTOS!$A$5:$A$400&lt;=$A67)*MOVIMIENTOS!$E$5:$E$400)+SUMPRODUCT((MOVIMIENTOS!$B$5:$B$400="AJUSTE")*(MOVIMIENTOS!$C$5:$C$400="C")*(MOVIMIENTOS!$D$5:$D$400="jabas")*(MOVIMIENTOS!$A$5:$A$400&lt;&gt;"")*(MOVIMIENTOS!$A$5:$A$400&lt;=$A67)*MOVIMIENTOS!$E$5:$E$400))</f>
        <v/>
      </c>
      <c r="E67" s="52" t="str">
        <f aca="false">IF($A67="","",SUMPRODUCT((MOVIMIENTOS!$B$5:$B$400="SALDO INICIAL")*(MOVIMIENTOS!$C$5:$C$400="M")*(MOVIMIENTOS!$D$5:$D$400="jabas")*(MOVIMIENTOS!$A$5:$A$400&lt;&gt;"")*(MOVIMIENTOS!$A$5:$A$400&lt;=$A67)*MOVIMIENTOS!$E$5:$E$400)+SUMPRODUCT((MOVIMIENTOS!$B$5:$B$400="PROCESO")*(MOVIMIENTOS!$C$5:$C$400="M")*(MOVIMIENTOS!$D$5:$D$400="jabas")*(MOVIMIENTOS!$A$5:$A$400&lt;&gt;"")*(MOVIMIENTOS!$A$5:$A$400&lt;=$A67)*MOVIMIENTOS!$E$5:$E$400)-SUMPRODUCT((MOVIMIENTOS!$B$5:$B$400="ENVÍO A SUPESA")*(MOVIMIENTOS!$C$5:$C$400="M")*(MOVIMIENTOS!$D$5:$D$400="jabas")*(MOVIMIENTOS!$A$5:$A$400&lt;&gt;"")*(MOVIMIENTOS!$A$5:$A$400&lt;=$A67)*MOVIMIENTOS!$E$5:$E$400)+SUMPRODUCT((MOVIMIENTOS!$B$5:$B$400="DEVOLUCIÓN")*(MOVIMIENTOS!$C$5:$C$400="M")*(MOVIMIENTOS!$D$5:$D$400="jabas")*(MOVIMIENTOS!$A$5:$A$400&lt;&gt;"")*(MOVIMIENTOS!$A$5:$A$400&lt;=$A67)*MOVIMIENTOS!$E$5:$E$400)-SUMPRODUCT((MOVIMIENTOS!$B$5:$B$400="TRASIEGO")*(MOVIMIENTOS!$C$5:$C$400="M")*(MOVIMIENTOS!$D$5:$D$400="jabas")*(MOVIMIENTOS!$A$5:$A$400&lt;&gt;"")*(MOVIMIENTOS!$A$5:$A$400&lt;=$A67)*MOVIMIENTOS!$E$5:$E$400)-SUMPRODUCT((MOVIMIENTOS!$B$5:$B$400="REGALO")*(MOVIMIENTOS!$C$5:$C$400="M")*(MOVIMIENTOS!$D$5:$D$400="jabas")*(MOVIMIENTOS!$A$5:$A$400&lt;&gt;"")*(MOVIMIENTOS!$A$5:$A$400&lt;=$A67)*MOVIMIENTOS!$E$5:$E$400)-SUMPRODUCT((MOVIMIENTOS!$B$5:$B$400="VENTA")*(MOVIMIENTOS!$C$5:$C$400="M")*(MOVIMIENTOS!$D$5:$D$400="jabas")*(MOVIMIENTOS!$A$5:$A$400&lt;&gt;"")*(MOVIMIENTOS!$A$5:$A$400&lt;=$A67)*MOVIMIENTOS!$E$5:$E$400)+SUMPRODUCT((MOVIMIENTOS!$B$5:$B$400="AJUSTE")*(MOVIMIENTOS!$C$5:$C$400="M")*(MOVIMIENTOS!$D$5:$D$400="jabas")*(MOVIMIENTOS!$A$5:$A$400&lt;&gt;"")*(MOVIMIENTOS!$A$5:$A$400&lt;=$A67)*MOVIMIENTOS!$E$5:$E$400))</f>
        <v/>
      </c>
      <c r="F67" s="52" t="str">
        <f aca="false">IF($A67="","",SUMPRODUCT((MOVIMIENTOS!$B$5:$B$400="SALDO INICIAL")*(MOVIMIENTOS!$C$5:$C$400="Chancho")*(MOVIMIENTOS!$D$5:$D$400="sacos")*(MOVIMIENTOS!$A$5:$A$400&lt;&gt;"")*(MOVIMIENTOS!$A$5:$A$400&lt;=$A67)*MOVIMIENTOS!$E$5:$E$400)+SUMPRODUCT((MOVIMIENTOS!$B$5:$B$400="PROCESO")*(MOVIMIENTOS!$C$5:$C$400="Chancho")*(MOVIMIENTOS!$D$5:$D$400="sacos")*(MOVIMIENTOS!$A$5:$A$400&lt;&gt;"")*(MOVIMIENTOS!$A$5:$A$400&lt;=$A67)*MOVIMIENTOS!$E$5:$E$400)-SUMPRODUCT((MOVIMIENTOS!$B$5:$B$400="VENTA CHANCHO")*(MOVIMIENTOS!$C$5:$C$400="Chancho")*(MOVIMIENTOS!$D$5:$D$400="sacos")*(MOVIMIENTOS!$A$5:$A$400&lt;&gt;"")*(MOVIMIENTOS!$A$5:$A$400&lt;=$A67)*MOVIMIENTOS!$E$5:$E$400)-SUMPRODUCT((MOVIMIENTOS!$B$5:$B$400="REGALO")*(MOVIMIENTOS!$C$5:$C$400="Chancho")*(MOVIMIENTOS!$D$5:$D$400="sacos")*(MOVIMIENTOS!$A$5:$A$400&lt;&gt;"")*(MOVIMIENTOS!$A$5:$A$400&lt;=$A67)*MOVIMIENTOS!$E$5:$E$400)-SUMPRODUCT((MOVIMIENTOS!$B$5:$B$400="VENTA")*(MOVIMIENTOS!$C$5:$C$400="Chancho")*(MOVIMIENTOS!$D$5:$D$400="sacos")*(MOVIMIENTOS!$A$5:$A$400&lt;&gt;"")*(MOVIMIENTOS!$A$5:$A$400&lt;=$A67)*MOVIMIENTOS!$E$5:$E$400)+SUMPRODUCT((MOVIMIENTOS!$B$5:$B$400="AJUSTE")*(MOVIMIENTOS!$C$5:$C$400="Chancho")*(MOVIMIENTOS!$D$5:$D$400="sacos")*(MOVIMIENTOS!$A$5:$A$400&lt;&gt;"")*(MOVIMIENTOS!$A$5:$A$400&lt;=$A67)*MOVIMIENTOS!$E$5:$E$400))</f>
        <v/>
      </c>
      <c r="G67" s="52" t="str">
        <f aca="false">IF($A67="","",SUM(B67:E67))</f>
        <v/>
      </c>
      <c r="H67" s="52" t="str">
        <f aca="false">IF($A67="","",SUMPRODUCT((((MOVIMIENTOS!$B$5:$B$400="SALDO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67)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67)*MOVIMIENTOS!$I$5:$I$400))</f>
        <v/>
      </c>
      <c r="I67" s="48"/>
      <c r="J67" s="48" t="str">
        <f aca="false">IF(AND(MOVIMIENTOS!$A67&lt;&gt;"",COUNTIF(MOVIMIENTOS!$A$5:$A66,MOVIMIENTOS!$A67)=0),COUNT(J$4:J66)+1,"")</f>
        <v/>
      </c>
      <c r="K67" s="53" t="n">
        <f aca="false">MOVIMIENTOS!$A67</f>
        <v>46220</v>
      </c>
      <c r="L67" s="48"/>
      <c r="M67" s="48"/>
      <c r="N67" s="48"/>
    </row>
    <row r="68" customFormat="false" ht="15" hidden="false" customHeight="true" outlineLevel="0" collapsed="false">
      <c r="A68" s="51" t="str">
        <f aca="false">IFERROR(INDEX(K$5:K$400,MATCH(ROW()-4,J$5:J$400,0)),"")</f>
        <v/>
      </c>
      <c r="B68" s="52" t="str">
        <f aca="false">IF($A68="","",SUMPRODUCT((MOVIMIENTOS!$B$5:$B$400="SALDO INICIAL")*(MOVIMIENTOS!$C$5:$C$400="A")*(MOVIMIENTOS!$D$5:$D$400="jabas")*(MOVIMIENTOS!$A$5:$A$400&lt;&gt;"")*(MOVIMIENTOS!$A$5:$A$400&lt;=$A68)*MOVIMIENTOS!$E$5:$E$400)+SUMPRODUCT((MOVIMIENTOS!$B$5:$B$400="PROCESO")*(MOVIMIENTOS!$C$5:$C$400="A")*(MOVIMIENTOS!$D$5:$D$400="jabas")*(MOVIMIENTOS!$A$5:$A$400&lt;&gt;"")*(MOVIMIENTOS!$A$5:$A$400&lt;=$A68)*MOVIMIENTOS!$E$5:$E$400)-SUMPRODUCT((MOVIMIENTOS!$B$5:$B$400="ENVÍO A SUPESA")*(MOVIMIENTOS!$C$5:$C$400="A")*(MOVIMIENTOS!$D$5:$D$400="jabas")*(MOVIMIENTOS!$A$5:$A$400&lt;&gt;"")*(MOVIMIENTOS!$A$5:$A$400&lt;=$A68)*MOVIMIENTOS!$E$5:$E$400)+SUMPRODUCT((MOVIMIENTOS!$B$5:$B$400="DEVOLUCIÓN")*(MOVIMIENTOS!$C$5:$C$400="A")*(MOVIMIENTOS!$D$5:$D$400="jabas")*(MOVIMIENTOS!$A$5:$A$400&lt;&gt;"")*(MOVIMIENTOS!$A$5:$A$400&lt;=$A68)*MOVIMIENTOS!$E$5:$E$400)-SUMPRODUCT((MOVIMIENTOS!$B$5:$B$400="TRASIEGO")*(MOVIMIENTOS!$C$5:$C$400="A")*(MOVIMIENTOS!$D$5:$D$400="jabas")*(MOVIMIENTOS!$A$5:$A$400&lt;&gt;"")*(MOVIMIENTOS!$A$5:$A$400&lt;=$A68)*MOVIMIENTOS!$E$5:$E$400)-SUMPRODUCT((MOVIMIENTOS!$B$5:$B$400="REGALO")*(MOVIMIENTOS!$C$5:$C$400="A")*(MOVIMIENTOS!$D$5:$D$400="jabas")*(MOVIMIENTOS!$A$5:$A$400&lt;&gt;"")*(MOVIMIENTOS!$A$5:$A$400&lt;=$A68)*MOVIMIENTOS!$E$5:$E$400)-SUMPRODUCT((MOVIMIENTOS!$B$5:$B$400="VENTA")*(MOVIMIENTOS!$C$5:$C$400="A")*(MOVIMIENTOS!$D$5:$D$400="jabas")*(MOVIMIENTOS!$A$5:$A$400&lt;&gt;"")*(MOVIMIENTOS!$A$5:$A$400&lt;=$A68)*MOVIMIENTOS!$E$5:$E$400)+SUMPRODUCT((MOVIMIENTOS!$B$5:$B$400="AJUSTE")*(MOVIMIENTOS!$C$5:$C$400="A")*(MOVIMIENTOS!$D$5:$D$400="jabas")*(MOVIMIENTOS!$A$5:$A$400&lt;&gt;"")*(MOVIMIENTOS!$A$5:$A$400&lt;=$A68)*MOVIMIENTOS!$E$5:$E$400))</f>
        <v/>
      </c>
      <c r="C68" s="52" t="str">
        <f aca="false">IF($A68="","",SUMPRODUCT((MOVIMIENTOS!$B$5:$B$400="SALDO INICIAL")*(MOVIMIENTOS!$C$5:$C$400="P")*(MOVIMIENTOS!$D$5:$D$400="jabas")*(MOVIMIENTOS!$A$5:$A$400&lt;&gt;"")*(MOVIMIENTOS!$A$5:$A$400&lt;=$A68)*MOVIMIENTOS!$E$5:$E$400)+SUMPRODUCT((MOVIMIENTOS!$B$5:$B$400="PROCESO")*(MOVIMIENTOS!$C$5:$C$400="P")*(MOVIMIENTOS!$D$5:$D$400="jabas")*(MOVIMIENTOS!$A$5:$A$400&lt;&gt;"")*(MOVIMIENTOS!$A$5:$A$400&lt;=$A68)*MOVIMIENTOS!$E$5:$E$400)-SUMPRODUCT((MOVIMIENTOS!$B$5:$B$400="ENVÍO A SUPESA")*(MOVIMIENTOS!$C$5:$C$400="P")*(MOVIMIENTOS!$D$5:$D$400="jabas")*(MOVIMIENTOS!$A$5:$A$400&lt;&gt;"")*(MOVIMIENTOS!$A$5:$A$400&lt;=$A68)*MOVIMIENTOS!$E$5:$E$400)+SUMPRODUCT((MOVIMIENTOS!$B$5:$B$400="DEVOLUCIÓN")*(MOVIMIENTOS!$C$5:$C$400="P")*(MOVIMIENTOS!$D$5:$D$400="jabas")*(MOVIMIENTOS!$A$5:$A$400&lt;&gt;"")*(MOVIMIENTOS!$A$5:$A$400&lt;=$A68)*MOVIMIENTOS!$E$5:$E$400)-SUMPRODUCT((MOVIMIENTOS!$B$5:$B$400="TRASIEGO")*(MOVIMIENTOS!$C$5:$C$400="P")*(MOVIMIENTOS!$D$5:$D$400="jabas")*(MOVIMIENTOS!$A$5:$A$400&lt;&gt;"")*(MOVIMIENTOS!$A$5:$A$400&lt;=$A68)*MOVIMIENTOS!$E$5:$E$400)-SUMPRODUCT((MOVIMIENTOS!$B$5:$B$400="REGALO")*(MOVIMIENTOS!$C$5:$C$400="P")*(MOVIMIENTOS!$D$5:$D$400="jabas")*(MOVIMIENTOS!$A$5:$A$400&lt;&gt;"")*(MOVIMIENTOS!$A$5:$A$400&lt;=$A68)*MOVIMIENTOS!$E$5:$E$400)-SUMPRODUCT((MOVIMIENTOS!$B$5:$B$400="VENTA")*(MOVIMIENTOS!$C$5:$C$400="P")*(MOVIMIENTOS!$D$5:$D$400="jabas")*(MOVIMIENTOS!$A$5:$A$400&lt;&gt;"")*(MOVIMIENTOS!$A$5:$A$400&lt;=$A68)*MOVIMIENTOS!$E$5:$E$400)+SUMPRODUCT((MOVIMIENTOS!$B$5:$B$400="AJUSTE")*(MOVIMIENTOS!$C$5:$C$400="P")*(MOVIMIENTOS!$D$5:$D$400="jabas")*(MOVIMIENTOS!$A$5:$A$400&lt;&gt;"")*(MOVIMIENTOS!$A$5:$A$400&lt;=$A68)*MOVIMIENTOS!$E$5:$E$400))</f>
        <v/>
      </c>
      <c r="D68" s="52" t="str">
        <f aca="false">IF($A68="","",SUMPRODUCT((MOVIMIENTOS!$B$5:$B$400="SALDO INICIAL")*(MOVIMIENTOS!$C$5:$C$400="C")*(MOVIMIENTOS!$D$5:$D$400="jabas")*(MOVIMIENTOS!$A$5:$A$400&lt;&gt;"")*(MOVIMIENTOS!$A$5:$A$400&lt;=$A68)*MOVIMIENTOS!$E$5:$E$400)+SUMPRODUCT((MOVIMIENTOS!$B$5:$B$400="PROCESO")*(MOVIMIENTOS!$C$5:$C$400="C")*(MOVIMIENTOS!$D$5:$D$400="jabas")*(MOVIMIENTOS!$A$5:$A$400&lt;&gt;"")*(MOVIMIENTOS!$A$5:$A$400&lt;=$A68)*MOVIMIENTOS!$E$5:$E$400)-SUMPRODUCT((MOVIMIENTOS!$B$5:$B$400="ENVÍO A SUPESA")*(MOVIMIENTOS!$C$5:$C$400="C")*(MOVIMIENTOS!$D$5:$D$400="jabas")*(MOVIMIENTOS!$A$5:$A$400&lt;&gt;"")*(MOVIMIENTOS!$A$5:$A$400&lt;=$A68)*MOVIMIENTOS!$E$5:$E$400)+SUMPRODUCT((MOVIMIENTOS!$B$5:$B$400="DEVOLUCIÓN")*(MOVIMIENTOS!$C$5:$C$400="C")*(MOVIMIENTOS!$D$5:$D$400="jabas")*(MOVIMIENTOS!$A$5:$A$400&lt;&gt;"")*(MOVIMIENTOS!$A$5:$A$400&lt;=$A68)*MOVIMIENTOS!$E$5:$E$400)-SUMPRODUCT((MOVIMIENTOS!$B$5:$B$400="TRASIEGO")*(MOVIMIENTOS!$C$5:$C$400="C")*(MOVIMIENTOS!$D$5:$D$400="jabas")*(MOVIMIENTOS!$A$5:$A$400&lt;&gt;"")*(MOVIMIENTOS!$A$5:$A$400&lt;=$A68)*MOVIMIENTOS!$E$5:$E$400)-SUMPRODUCT((MOVIMIENTOS!$B$5:$B$400="REGALO")*(MOVIMIENTOS!$C$5:$C$400="C")*(MOVIMIENTOS!$D$5:$D$400="jabas")*(MOVIMIENTOS!$A$5:$A$400&lt;&gt;"")*(MOVIMIENTOS!$A$5:$A$400&lt;=$A68)*MOVIMIENTOS!$E$5:$E$400)-SUMPRODUCT((MOVIMIENTOS!$B$5:$B$400="VENTA")*(MOVIMIENTOS!$C$5:$C$400="C")*(MOVIMIENTOS!$D$5:$D$400="jabas")*(MOVIMIENTOS!$A$5:$A$400&lt;&gt;"")*(MOVIMIENTOS!$A$5:$A$400&lt;=$A68)*MOVIMIENTOS!$E$5:$E$400)+SUMPRODUCT((MOVIMIENTOS!$B$5:$B$400="AJUSTE")*(MOVIMIENTOS!$C$5:$C$400="C")*(MOVIMIENTOS!$D$5:$D$400="jabas")*(MOVIMIENTOS!$A$5:$A$400&lt;&gt;"")*(MOVIMIENTOS!$A$5:$A$400&lt;=$A68)*MOVIMIENTOS!$E$5:$E$400))</f>
        <v/>
      </c>
      <c r="E68" s="52" t="str">
        <f aca="false">IF($A68="","",SUMPRODUCT((MOVIMIENTOS!$B$5:$B$400="SALDO INICIAL")*(MOVIMIENTOS!$C$5:$C$400="M")*(MOVIMIENTOS!$D$5:$D$400="jabas")*(MOVIMIENTOS!$A$5:$A$400&lt;&gt;"")*(MOVIMIENTOS!$A$5:$A$400&lt;=$A68)*MOVIMIENTOS!$E$5:$E$400)+SUMPRODUCT((MOVIMIENTOS!$B$5:$B$400="PROCESO")*(MOVIMIENTOS!$C$5:$C$400="M")*(MOVIMIENTOS!$D$5:$D$400="jabas")*(MOVIMIENTOS!$A$5:$A$400&lt;&gt;"")*(MOVIMIENTOS!$A$5:$A$400&lt;=$A68)*MOVIMIENTOS!$E$5:$E$400)-SUMPRODUCT((MOVIMIENTOS!$B$5:$B$400="ENVÍO A SUPESA")*(MOVIMIENTOS!$C$5:$C$400="M")*(MOVIMIENTOS!$D$5:$D$400="jabas")*(MOVIMIENTOS!$A$5:$A$400&lt;&gt;"")*(MOVIMIENTOS!$A$5:$A$400&lt;=$A68)*MOVIMIENTOS!$E$5:$E$400)+SUMPRODUCT((MOVIMIENTOS!$B$5:$B$400="DEVOLUCIÓN")*(MOVIMIENTOS!$C$5:$C$400="M")*(MOVIMIENTOS!$D$5:$D$400="jabas")*(MOVIMIENTOS!$A$5:$A$400&lt;&gt;"")*(MOVIMIENTOS!$A$5:$A$400&lt;=$A68)*MOVIMIENTOS!$E$5:$E$400)-SUMPRODUCT((MOVIMIENTOS!$B$5:$B$400="TRASIEGO")*(MOVIMIENTOS!$C$5:$C$400="M")*(MOVIMIENTOS!$D$5:$D$400="jabas")*(MOVIMIENTOS!$A$5:$A$400&lt;&gt;"")*(MOVIMIENTOS!$A$5:$A$400&lt;=$A68)*MOVIMIENTOS!$E$5:$E$400)-SUMPRODUCT((MOVIMIENTOS!$B$5:$B$400="REGALO")*(MOVIMIENTOS!$C$5:$C$400="M")*(MOVIMIENTOS!$D$5:$D$400="jabas")*(MOVIMIENTOS!$A$5:$A$400&lt;&gt;"")*(MOVIMIENTOS!$A$5:$A$400&lt;=$A68)*MOVIMIENTOS!$E$5:$E$400)-SUMPRODUCT((MOVIMIENTOS!$B$5:$B$400="VENTA")*(MOVIMIENTOS!$C$5:$C$400="M")*(MOVIMIENTOS!$D$5:$D$400="jabas")*(MOVIMIENTOS!$A$5:$A$400&lt;&gt;"")*(MOVIMIENTOS!$A$5:$A$400&lt;=$A68)*MOVIMIENTOS!$E$5:$E$400)+SUMPRODUCT((MOVIMIENTOS!$B$5:$B$400="AJUSTE")*(MOVIMIENTOS!$C$5:$C$400="M")*(MOVIMIENTOS!$D$5:$D$400="jabas")*(MOVIMIENTOS!$A$5:$A$400&lt;&gt;"")*(MOVIMIENTOS!$A$5:$A$400&lt;=$A68)*MOVIMIENTOS!$E$5:$E$400))</f>
        <v/>
      </c>
      <c r="F68" s="52" t="str">
        <f aca="false">IF($A68="","",SUMPRODUCT((MOVIMIENTOS!$B$5:$B$400="SALDO INICIAL")*(MOVIMIENTOS!$C$5:$C$400="Chancho")*(MOVIMIENTOS!$D$5:$D$400="sacos")*(MOVIMIENTOS!$A$5:$A$400&lt;&gt;"")*(MOVIMIENTOS!$A$5:$A$400&lt;=$A68)*MOVIMIENTOS!$E$5:$E$400)+SUMPRODUCT((MOVIMIENTOS!$B$5:$B$400="PROCESO")*(MOVIMIENTOS!$C$5:$C$400="Chancho")*(MOVIMIENTOS!$D$5:$D$400="sacos")*(MOVIMIENTOS!$A$5:$A$400&lt;&gt;"")*(MOVIMIENTOS!$A$5:$A$400&lt;=$A68)*MOVIMIENTOS!$E$5:$E$400)-SUMPRODUCT((MOVIMIENTOS!$B$5:$B$400="VENTA CHANCHO")*(MOVIMIENTOS!$C$5:$C$400="Chancho")*(MOVIMIENTOS!$D$5:$D$400="sacos")*(MOVIMIENTOS!$A$5:$A$400&lt;&gt;"")*(MOVIMIENTOS!$A$5:$A$400&lt;=$A68)*MOVIMIENTOS!$E$5:$E$400)-SUMPRODUCT((MOVIMIENTOS!$B$5:$B$400="REGALO")*(MOVIMIENTOS!$C$5:$C$400="Chancho")*(MOVIMIENTOS!$D$5:$D$400="sacos")*(MOVIMIENTOS!$A$5:$A$400&lt;&gt;"")*(MOVIMIENTOS!$A$5:$A$400&lt;=$A68)*MOVIMIENTOS!$E$5:$E$400)-SUMPRODUCT((MOVIMIENTOS!$B$5:$B$400="VENTA")*(MOVIMIENTOS!$C$5:$C$400="Chancho")*(MOVIMIENTOS!$D$5:$D$400="sacos")*(MOVIMIENTOS!$A$5:$A$400&lt;&gt;"")*(MOVIMIENTOS!$A$5:$A$400&lt;=$A68)*MOVIMIENTOS!$E$5:$E$400)+SUMPRODUCT((MOVIMIENTOS!$B$5:$B$400="AJUSTE")*(MOVIMIENTOS!$C$5:$C$400="Chancho")*(MOVIMIENTOS!$D$5:$D$400="sacos")*(MOVIMIENTOS!$A$5:$A$400&lt;&gt;"")*(MOVIMIENTOS!$A$5:$A$400&lt;=$A68)*MOVIMIENTOS!$E$5:$E$400))</f>
        <v/>
      </c>
      <c r="G68" s="52" t="str">
        <f aca="false">IF($A68="","",SUM(B68:E68))</f>
        <v/>
      </c>
      <c r="H68" s="52" t="str">
        <f aca="false">IF($A68="","",SUMPRODUCT((((MOVIMIENTOS!$B$5:$B$400="SALDO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68)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68)*MOVIMIENTOS!$I$5:$I$400))</f>
        <v/>
      </c>
      <c r="I68" s="48"/>
      <c r="J68" s="48" t="str">
        <f aca="false">IF(AND(MOVIMIENTOS!$A68&lt;&gt;"",COUNTIF(MOVIMIENTOS!$A$5:$A67,MOVIMIENTOS!$A68)=0),COUNT(J$4:J67)+1,"")</f>
        <v/>
      </c>
      <c r="K68" s="53" t="n">
        <f aca="false">MOVIMIENTOS!$A68</f>
        <v>46220</v>
      </c>
      <c r="L68" s="48"/>
      <c r="M68" s="48"/>
      <c r="N68" s="48"/>
    </row>
    <row r="69" customFormat="false" ht="15" hidden="false" customHeight="true" outlineLevel="0" collapsed="false">
      <c r="A69" s="51" t="str">
        <f aca="false">IFERROR(INDEX(K$5:K$400,MATCH(ROW()-4,J$5:J$400,0)),"")</f>
        <v/>
      </c>
      <c r="B69" s="52" t="str">
        <f aca="false">IF($A69="","",SUMPRODUCT((MOVIMIENTOS!$B$5:$B$400="SALDO INICIAL")*(MOVIMIENTOS!$C$5:$C$400="A")*(MOVIMIENTOS!$D$5:$D$400="jabas")*(MOVIMIENTOS!$A$5:$A$400&lt;&gt;"")*(MOVIMIENTOS!$A$5:$A$400&lt;=$A69)*MOVIMIENTOS!$E$5:$E$400)+SUMPRODUCT((MOVIMIENTOS!$B$5:$B$400="PROCESO")*(MOVIMIENTOS!$C$5:$C$400="A")*(MOVIMIENTOS!$D$5:$D$400="jabas")*(MOVIMIENTOS!$A$5:$A$400&lt;&gt;"")*(MOVIMIENTOS!$A$5:$A$400&lt;=$A69)*MOVIMIENTOS!$E$5:$E$400)-SUMPRODUCT((MOVIMIENTOS!$B$5:$B$400="ENVÍO A SUPESA")*(MOVIMIENTOS!$C$5:$C$400="A")*(MOVIMIENTOS!$D$5:$D$400="jabas")*(MOVIMIENTOS!$A$5:$A$400&lt;&gt;"")*(MOVIMIENTOS!$A$5:$A$400&lt;=$A69)*MOVIMIENTOS!$E$5:$E$400)+SUMPRODUCT((MOVIMIENTOS!$B$5:$B$400="DEVOLUCIÓN")*(MOVIMIENTOS!$C$5:$C$400="A")*(MOVIMIENTOS!$D$5:$D$400="jabas")*(MOVIMIENTOS!$A$5:$A$400&lt;&gt;"")*(MOVIMIENTOS!$A$5:$A$400&lt;=$A69)*MOVIMIENTOS!$E$5:$E$400)-SUMPRODUCT((MOVIMIENTOS!$B$5:$B$400="TRASIEGO")*(MOVIMIENTOS!$C$5:$C$400="A")*(MOVIMIENTOS!$D$5:$D$400="jabas")*(MOVIMIENTOS!$A$5:$A$400&lt;&gt;"")*(MOVIMIENTOS!$A$5:$A$400&lt;=$A69)*MOVIMIENTOS!$E$5:$E$400)-SUMPRODUCT((MOVIMIENTOS!$B$5:$B$400="REGALO")*(MOVIMIENTOS!$C$5:$C$400="A")*(MOVIMIENTOS!$D$5:$D$400="jabas")*(MOVIMIENTOS!$A$5:$A$400&lt;&gt;"")*(MOVIMIENTOS!$A$5:$A$400&lt;=$A69)*MOVIMIENTOS!$E$5:$E$400)-SUMPRODUCT((MOVIMIENTOS!$B$5:$B$400="VENTA")*(MOVIMIENTOS!$C$5:$C$400="A")*(MOVIMIENTOS!$D$5:$D$400="jabas")*(MOVIMIENTOS!$A$5:$A$400&lt;&gt;"")*(MOVIMIENTOS!$A$5:$A$400&lt;=$A69)*MOVIMIENTOS!$E$5:$E$400)+SUMPRODUCT((MOVIMIENTOS!$B$5:$B$400="AJUSTE")*(MOVIMIENTOS!$C$5:$C$400="A")*(MOVIMIENTOS!$D$5:$D$400="jabas")*(MOVIMIENTOS!$A$5:$A$400&lt;&gt;"")*(MOVIMIENTOS!$A$5:$A$400&lt;=$A69)*MOVIMIENTOS!$E$5:$E$400))</f>
        <v/>
      </c>
      <c r="C69" s="52" t="str">
        <f aca="false">IF($A69="","",SUMPRODUCT((MOVIMIENTOS!$B$5:$B$400="SALDO INICIAL")*(MOVIMIENTOS!$C$5:$C$400="P")*(MOVIMIENTOS!$D$5:$D$400="jabas")*(MOVIMIENTOS!$A$5:$A$400&lt;&gt;"")*(MOVIMIENTOS!$A$5:$A$400&lt;=$A69)*MOVIMIENTOS!$E$5:$E$400)+SUMPRODUCT((MOVIMIENTOS!$B$5:$B$400="PROCESO")*(MOVIMIENTOS!$C$5:$C$400="P")*(MOVIMIENTOS!$D$5:$D$400="jabas")*(MOVIMIENTOS!$A$5:$A$400&lt;&gt;"")*(MOVIMIENTOS!$A$5:$A$400&lt;=$A69)*MOVIMIENTOS!$E$5:$E$400)-SUMPRODUCT((MOVIMIENTOS!$B$5:$B$400="ENVÍO A SUPESA")*(MOVIMIENTOS!$C$5:$C$400="P")*(MOVIMIENTOS!$D$5:$D$400="jabas")*(MOVIMIENTOS!$A$5:$A$400&lt;&gt;"")*(MOVIMIENTOS!$A$5:$A$400&lt;=$A69)*MOVIMIENTOS!$E$5:$E$400)+SUMPRODUCT((MOVIMIENTOS!$B$5:$B$400="DEVOLUCIÓN")*(MOVIMIENTOS!$C$5:$C$400="P")*(MOVIMIENTOS!$D$5:$D$400="jabas")*(MOVIMIENTOS!$A$5:$A$400&lt;&gt;"")*(MOVIMIENTOS!$A$5:$A$400&lt;=$A69)*MOVIMIENTOS!$E$5:$E$400)-SUMPRODUCT((MOVIMIENTOS!$B$5:$B$400="TRASIEGO")*(MOVIMIENTOS!$C$5:$C$400="P")*(MOVIMIENTOS!$D$5:$D$400="jabas")*(MOVIMIENTOS!$A$5:$A$400&lt;&gt;"")*(MOVIMIENTOS!$A$5:$A$400&lt;=$A69)*MOVIMIENTOS!$E$5:$E$400)-SUMPRODUCT((MOVIMIENTOS!$B$5:$B$400="REGALO")*(MOVIMIENTOS!$C$5:$C$400="P")*(MOVIMIENTOS!$D$5:$D$400="jabas")*(MOVIMIENTOS!$A$5:$A$400&lt;&gt;"")*(MOVIMIENTOS!$A$5:$A$400&lt;=$A69)*MOVIMIENTOS!$E$5:$E$400)-SUMPRODUCT((MOVIMIENTOS!$B$5:$B$400="VENTA")*(MOVIMIENTOS!$C$5:$C$400="P")*(MOVIMIENTOS!$D$5:$D$400="jabas")*(MOVIMIENTOS!$A$5:$A$400&lt;&gt;"")*(MOVIMIENTOS!$A$5:$A$400&lt;=$A69)*MOVIMIENTOS!$E$5:$E$400)+SUMPRODUCT((MOVIMIENTOS!$B$5:$B$400="AJUSTE")*(MOVIMIENTOS!$C$5:$C$400="P")*(MOVIMIENTOS!$D$5:$D$400="jabas")*(MOVIMIENTOS!$A$5:$A$400&lt;&gt;"")*(MOVIMIENTOS!$A$5:$A$400&lt;=$A69)*MOVIMIENTOS!$E$5:$E$400))</f>
        <v/>
      </c>
      <c r="D69" s="52" t="str">
        <f aca="false">IF($A69="","",SUMPRODUCT((MOVIMIENTOS!$B$5:$B$400="SALDO INICIAL")*(MOVIMIENTOS!$C$5:$C$400="C")*(MOVIMIENTOS!$D$5:$D$400="jabas")*(MOVIMIENTOS!$A$5:$A$400&lt;&gt;"")*(MOVIMIENTOS!$A$5:$A$400&lt;=$A69)*MOVIMIENTOS!$E$5:$E$400)+SUMPRODUCT((MOVIMIENTOS!$B$5:$B$400="PROCESO")*(MOVIMIENTOS!$C$5:$C$400="C")*(MOVIMIENTOS!$D$5:$D$400="jabas")*(MOVIMIENTOS!$A$5:$A$400&lt;&gt;"")*(MOVIMIENTOS!$A$5:$A$400&lt;=$A69)*MOVIMIENTOS!$E$5:$E$400)-SUMPRODUCT((MOVIMIENTOS!$B$5:$B$400="ENVÍO A SUPESA")*(MOVIMIENTOS!$C$5:$C$400="C")*(MOVIMIENTOS!$D$5:$D$400="jabas")*(MOVIMIENTOS!$A$5:$A$400&lt;&gt;"")*(MOVIMIENTOS!$A$5:$A$400&lt;=$A69)*MOVIMIENTOS!$E$5:$E$400)+SUMPRODUCT((MOVIMIENTOS!$B$5:$B$400="DEVOLUCIÓN")*(MOVIMIENTOS!$C$5:$C$400="C")*(MOVIMIENTOS!$D$5:$D$400="jabas")*(MOVIMIENTOS!$A$5:$A$400&lt;&gt;"")*(MOVIMIENTOS!$A$5:$A$400&lt;=$A69)*MOVIMIENTOS!$E$5:$E$400)-SUMPRODUCT((MOVIMIENTOS!$B$5:$B$400="TRASIEGO")*(MOVIMIENTOS!$C$5:$C$400="C")*(MOVIMIENTOS!$D$5:$D$400="jabas")*(MOVIMIENTOS!$A$5:$A$400&lt;&gt;"")*(MOVIMIENTOS!$A$5:$A$400&lt;=$A69)*MOVIMIENTOS!$E$5:$E$400)-SUMPRODUCT((MOVIMIENTOS!$B$5:$B$400="REGALO")*(MOVIMIENTOS!$C$5:$C$400="C")*(MOVIMIENTOS!$D$5:$D$400="jabas")*(MOVIMIENTOS!$A$5:$A$400&lt;&gt;"")*(MOVIMIENTOS!$A$5:$A$400&lt;=$A69)*MOVIMIENTOS!$E$5:$E$400)-SUMPRODUCT((MOVIMIENTOS!$B$5:$B$400="VENTA")*(MOVIMIENTOS!$C$5:$C$400="C")*(MOVIMIENTOS!$D$5:$D$400="jabas")*(MOVIMIENTOS!$A$5:$A$400&lt;&gt;"")*(MOVIMIENTOS!$A$5:$A$400&lt;=$A69)*MOVIMIENTOS!$E$5:$E$400)+SUMPRODUCT((MOVIMIENTOS!$B$5:$B$400="AJUSTE")*(MOVIMIENTOS!$C$5:$C$400="C")*(MOVIMIENTOS!$D$5:$D$400="jabas")*(MOVIMIENTOS!$A$5:$A$400&lt;&gt;"")*(MOVIMIENTOS!$A$5:$A$400&lt;=$A69)*MOVIMIENTOS!$E$5:$E$400))</f>
        <v/>
      </c>
      <c r="E69" s="52" t="str">
        <f aca="false">IF($A69="","",SUMPRODUCT((MOVIMIENTOS!$B$5:$B$400="SALDO INICIAL")*(MOVIMIENTOS!$C$5:$C$400="M")*(MOVIMIENTOS!$D$5:$D$400="jabas")*(MOVIMIENTOS!$A$5:$A$400&lt;&gt;"")*(MOVIMIENTOS!$A$5:$A$400&lt;=$A69)*MOVIMIENTOS!$E$5:$E$400)+SUMPRODUCT((MOVIMIENTOS!$B$5:$B$400="PROCESO")*(MOVIMIENTOS!$C$5:$C$400="M")*(MOVIMIENTOS!$D$5:$D$400="jabas")*(MOVIMIENTOS!$A$5:$A$400&lt;&gt;"")*(MOVIMIENTOS!$A$5:$A$400&lt;=$A69)*MOVIMIENTOS!$E$5:$E$400)-SUMPRODUCT((MOVIMIENTOS!$B$5:$B$400="ENVÍO A SUPESA")*(MOVIMIENTOS!$C$5:$C$400="M")*(MOVIMIENTOS!$D$5:$D$400="jabas")*(MOVIMIENTOS!$A$5:$A$400&lt;&gt;"")*(MOVIMIENTOS!$A$5:$A$400&lt;=$A69)*MOVIMIENTOS!$E$5:$E$400)+SUMPRODUCT((MOVIMIENTOS!$B$5:$B$400="DEVOLUCIÓN")*(MOVIMIENTOS!$C$5:$C$400="M")*(MOVIMIENTOS!$D$5:$D$400="jabas")*(MOVIMIENTOS!$A$5:$A$400&lt;&gt;"")*(MOVIMIENTOS!$A$5:$A$400&lt;=$A69)*MOVIMIENTOS!$E$5:$E$400)-SUMPRODUCT((MOVIMIENTOS!$B$5:$B$400="TRASIEGO")*(MOVIMIENTOS!$C$5:$C$400="M")*(MOVIMIENTOS!$D$5:$D$400="jabas")*(MOVIMIENTOS!$A$5:$A$400&lt;&gt;"")*(MOVIMIENTOS!$A$5:$A$400&lt;=$A69)*MOVIMIENTOS!$E$5:$E$400)-SUMPRODUCT((MOVIMIENTOS!$B$5:$B$400="REGALO")*(MOVIMIENTOS!$C$5:$C$400="M")*(MOVIMIENTOS!$D$5:$D$400="jabas")*(MOVIMIENTOS!$A$5:$A$400&lt;&gt;"")*(MOVIMIENTOS!$A$5:$A$400&lt;=$A69)*MOVIMIENTOS!$E$5:$E$400)-SUMPRODUCT((MOVIMIENTOS!$B$5:$B$400="VENTA")*(MOVIMIENTOS!$C$5:$C$400="M")*(MOVIMIENTOS!$D$5:$D$400="jabas")*(MOVIMIENTOS!$A$5:$A$400&lt;&gt;"")*(MOVIMIENTOS!$A$5:$A$400&lt;=$A69)*MOVIMIENTOS!$E$5:$E$400)+SUMPRODUCT((MOVIMIENTOS!$B$5:$B$400="AJUSTE")*(MOVIMIENTOS!$C$5:$C$400="M")*(MOVIMIENTOS!$D$5:$D$400="jabas")*(MOVIMIENTOS!$A$5:$A$400&lt;&gt;"")*(MOVIMIENTOS!$A$5:$A$400&lt;=$A69)*MOVIMIENTOS!$E$5:$E$400))</f>
        <v/>
      </c>
      <c r="F69" s="52" t="str">
        <f aca="false">IF($A69="","",SUMPRODUCT((MOVIMIENTOS!$B$5:$B$400="SALDO INICIAL")*(MOVIMIENTOS!$C$5:$C$400="Chancho")*(MOVIMIENTOS!$D$5:$D$400="sacos")*(MOVIMIENTOS!$A$5:$A$400&lt;&gt;"")*(MOVIMIENTOS!$A$5:$A$400&lt;=$A69)*MOVIMIENTOS!$E$5:$E$400)+SUMPRODUCT((MOVIMIENTOS!$B$5:$B$400="PROCESO")*(MOVIMIENTOS!$C$5:$C$400="Chancho")*(MOVIMIENTOS!$D$5:$D$400="sacos")*(MOVIMIENTOS!$A$5:$A$400&lt;&gt;"")*(MOVIMIENTOS!$A$5:$A$400&lt;=$A69)*MOVIMIENTOS!$E$5:$E$400)-SUMPRODUCT((MOVIMIENTOS!$B$5:$B$400="VENTA CHANCHO")*(MOVIMIENTOS!$C$5:$C$400="Chancho")*(MOVIMIENTOS!$D$5:$D$400="sacos")*(MOVIMIENTOS!$A$5:$A$400&lt;&gt;"")*(MOVIMIENTOS!$A$5:$A$400&lt;=$A69)*MOVIMIENTOS!$E$5:$E$400)-SUMPRODUCT((MOVIMIENTOS!$B$5:$B$400="REGALO")*(MOVIMIENTOS!$C$5:$C$400="Chancho")*(MOVIMIENTOS!$D$5:$D$400="sacos")*(MOVIMIENTOS!$A$5:$A$400&lt;&gt;"")*(MOVIMIENTOS!$A$5:$A$400&lt;=$A69)*MOVIMIENTOS!$E$5:$E$400)-SUMPRODUCT((MOVIMIENTOS!$B$5:$B$400="VENTA")*(MOVIMIENTOS!$C$5:$C$400="Chancho")*(MOVIMIENTOS!$D$5:$D$400="sacos")*(MOVIMIENTOS!$A$5:$A$400&lt;&gt;"")*(MOVIMIENTOS!$A$5:$A$400&lt;=$A69)*MOVIMIENTOS!$E$5:$E$400)+SUMPRODUCT((MOVIMIENTOS!$B$5:$B$400="AJUSTE")*(MOVIMIENTOS!$C$5:$C$400="Chancho")*(MOVIMIENTOS!$D$5:$D$400="sacos")*(MOVIMIENTOS!$A$5:$A$400&lt;&gt;"")*(MOVIMIENTOS!$A$5:$A$400&lt;=$A69)*MOVIMIENTOS!$E$5:$E$400))</f>
        <v/>
      </c>
      <c r="G69" s="52" t="str">
        <f aca="false">IF($A69="","",SUM(B69:E69))</f>
        <v/>
      </c>
      <c r="H69" s="52" t="str">
        <f aca="false">IF($A69="","",SUMPRODUCT((((MOVIMIENTOS!$B$5:$B$400="SALDO INICIAL")*(MOVIMIENTOS!$C$5:$C$400&lt;&gt;"Chancho"))+(MOVIMIENTOS!$B$5:$B$400="COMPRA")+(MOVIMIENTOS!$B$5:$B$400="REPROCESO")+(MOVIMIENTOS!$B$5:$B$400="DEVOLUCIÓN")+((MOVIMIENTOS!$B$5:$B$400="AJUSTE")*(MOVIMIENTOS!$C$5:$C$400&lt;&gt;"Chancho")))*(MOVIMIENTOS!$A$5:$A$400&lt;&gt;"")*(MOVIMIENTOS!$A$5:$A$400&lt;=$A69)*MOVIMIENTOS!$I$5:$I$400)-SUMPRODUCT(((MOVIMIENTOS!$B$5:$B$400="ENVÍO A SUPESA")+(MOVIMIENTOS!$B$5:$B$400="MALOGRADO")+(MOVIMIENTOS!$B$5:$B$400="OTRA SALIDA")+(MOVIMIENTOS!$B$5:$B$400="TRASIEGO")+((MOVIMIENTOS!$B$5:$B$400="PROCESO")*(MOVIMIENTOS!$C$5:$C$400="Chancho"))+((MOVIMIENTOS!$B$5:$B$400="REGALO")*(MOVIMIENTOS!$C$5:$C$400&lt;&gt;"Chancho"))+((MOVIMIENTOS!$B$5:$B$400="VENTA")*(MOVIMIENTOS!$C$5:$C$400&lt;&gt;"Chancho")))*(MOVIMIENTOS!$A$5:$A$400&lt;&gt;"")*(MOVIMIENTOS!$A$5:$A$400&lt;=$A69)*MOVIMIENTOS!$I$5:$I$400))</f>
        <v/>
      </c>
      <c r="I69" s="48"/>
      <c r="J69" s="48" t="str">
        <f aca="false">IF(AND(MOVIMIENTOS!$A69&lt;&gt;"",COUNTIF(MOVIMIENTOS!$A$5:$A68,MOVIMIENTOS!$A69)=0),COUNT(J$4:J68)+1,"")</f>
        <v/>
      </c>
      <c r="K69" s="53" t="n">
        <f aca="false">MOVIMIENTOS!$A69</f>
        <v>46220</v>
      </c>
      <c r="L69" s="48"/>
      <c r="M69" s="48"/>
      <c r="N69" s="48"/>
    </row>
    <row r="70" customFormat="false" ht="15" hidden="false" customHeight="true" outlineLevel="0" collapsed="false">
      <c r="A70" s="48"/>
      <c r="B70" s="48"/>
      <c r="C70" s="48"/>
      <c r="D70" s="48"/>
      <c r="E70" s="48"/>
      <c r="F70" s="48"/>
      <c r="G70" s="48"/>
      <c r="H70" s="48"/>
      <c r="I70" s="48"/>
      <c r="J70" s="48" t="str">
        <f aca="false">IF(AND(MOVIMIENTOS!$A70&lt;&gt;"",COUNTIF(MOVIMIENTOS!$A$5:$A69,MOVIMIENTOS!$A70)=0),COUNT(J$4:J69)+1,"")</f>
        <v/>
      </c>
      <c r="K70" s="53" t="n">
        <f aca="false">MOVIMIENTOS!$A70</f>
        <v>46220</v>
      </c>
      <c r="L70" s="48"/>
      <c r="M70" s="48"/>
      <c r="N70" s="48"/>
    </row>
    <row r="71" customFormat="false" ht="15" hidden="false" customHeight="true" outlineLevel="0" collapsed="false">
      <c r="A71" s="48"/>
      <c r="B71" s="48"/>
      <c r="C71" s="48"/>
      <c r="D71" s="48"/>
      <c r="E71" s="48"/>
      <c r="F71" s="48"/>
      <c r="G71" s="48"/>
      <c r="H71" s="48"/>
      <c r="I71" s="48"/>
      <c r="J71" s="48" t="str">
        <f aca="false">IF(AND(MOVIMIENTOS!$A71&lt;&gt;"",COUNTIF(MOVIMIENTOS!$A$5:$A70,MOVIMIENTOS!$A71)=0),COUNT(J$4:J70)+1,"")</f>
        <v/>
      </c>
      <c r="K71" s="53" t="n">
        <f aca="false">MOVIMIENTOS!$A71</f>
        <v>46220</v>
      </c>
      <c r="L71" s="48"/>
      <c r="M71" s="48"/>
      <c r="N71" s="48"/>
    </row>
    <row r="72" customFormat="false" ht="15" hidden="false" customHeight="true" outlineLevel="0" collapsed="false">
      <c r="A72" s="48"/>
      <c r="B72" s="48"/>
      <c r="C72" s="48"/>
      <c r="D72" s="48"/>
      <c r="E72" s="48"/>
      <c r="F72" s="48"/>
      <c r="G72" s="48"/>
      <c r="H72" s="48"/>
      <c r="I72" s="48"/>
      <c r="J72" s="48" t="str">
        <f aca="false">IF(AND(MOVIMIENTOS!$A72&lt;&gt;"",COUNTIF(MOVIMIENTOS!$A$5:$A71,MOVIMIENTOS!$A72)=0),COUNT(J$4:J71)+1,"")</f>
        <v/>
      </c>
      <c r="K72" s="53" t="n">
        <f aca="false">MOVIMIENTOS!$A72</f>
        <v>46220</v>
      </c>
      <c r="L72" s="48"/>
      <c r="M72" s="48"/>
      <c r="N72" s="48"/>
    </row>
    <row r="73" customFormat="false" ht="15" hidden="false" customHeight="true" outlineLevel="0" collapsed="false">
      <c r="A73" s="48"/>
      <c r="B73" s="48"/>
      <c r="C73" s="48"/>
      <c r="D73" s="48"/>
      <c r="E73" s="48"/>
      <c r="F73" s="48"/>
      <c r="G73" s="48"/>
      <c r="H73" s="48"/>
      <c r="I73" s="48"/>
      <c r="J73" s="48" t="str">
        <f aca="false">IF(AND(MOVIMIENTOS!$A73&lt;&gt;"",COUNTIF(MOVIMIENTOS!$A$5:$A72,MOVIMIENTOS!$A73)=0),COUNT(J$4:J72)+1,"")</f>
        <v/>
      </c>
      <c r="K73" s="53" t="n">
        <f aca="false">MOVIMIENTOS!$A73</f>
        <v>46220</v>
      </c>
      <c r="L73" s="48"/>
      <c r="M73" s="48"/>
      <c r="N73" s="48"/>
    </row>
    <row r="74" customFormat="false" ht="15" hidden="false" customHeight="true" outlineLevel="0" collapsed="false">
      <c r="A74" s="48"/>
      <c r="B74" s="48"/>
      <c r="C74" s="48"/>
      <c r="D74" s="48"/>
      <c r="E74" s="48"/>
      <c r="F74" s="48"/>
      <c r="G74" s="48"/>
      <c r="H74" s="48"/>
      <c r="I74" s="48"/>
      <c r="J74" s="48" t="str">
        <f aca="false">IF(AND(MOVIMIENTOS!$A74&lt;&gt;"",COUNTIF(MOVIMIENTOS!$A$5:$A73,MOVIMIENTOS!$A74)=0),COUNT(J$4:J73)+1,"")</f>
        <v/>
      </c>
      <c r="K74" s="53" t="n">
        <f aca="false">MOVIMIENTOS!$A74</f>
        <v>46220</v>
      </c>
      <c r="L74" s="48"/>
      <c r="M74" s="48"/>
      <c r="N74" s="48"/>
    </row>
    <row r="75" customFormat="false" ht="15" hidden="false" customHeight="true" outlineLevel="0" collapsed="false">
      <c r="A75" s="48"/>
      <c r="B75" s="48"/>
      <c r="C75" s="48"/>
      <c r="D75" s="48"/>
      <c r="E75" s="48"/>
      <c r="F75" s="48"/>
      <c r="G75" s="48"/>
      <c r="H75" s="48"/>
      <c r="I75" s="48"/>
      <c r="J75" s="48" t="n">
        <f aca="false">IF(AND(MOVIMIENTOS!$A75&lt;&gt;"",COUNTIF(MOVIMIENTOS!$A$5:$A74,MOVIMIENTOS!$A75)=0),COUNT(J$4:J74)+1,"")</f>
        <v>8</v>
      </c>
      <c r="K75" s="53" t="n">
        <f aca="false">MOVIMIENTOS!$A75</f>
        <v>46221</v>
      </c>
      <c r="L75" s="48"/>
      <c r="M75" s="48"/>
      <c r="N75" s="48"/>
    </row>
    <row r="76" customFormat="false" ht="15" hidden="false" customHeight="true" outlineLevel="0" collapsed="false">
      <c r="A76" s="48"/>
      <c r="B76" s="48"/>
      <c r="C76" s="48"/>
      <c r="D76" s="48"/>
      <c r="E76" s="48"/>
      <c r="F76" s="48"/>
      <c r="G76" s="48"/>
      <c r="H76" s="48"/>
      <c r="I76" s="48"/>
      <c r="J76" s="48" t="str">
        <f aca="false">IF(AND(MOVIMIENTOS!$A76&lt;&gt;"",COUNTIF(MOVIMIENTOS!$A$5:$A75,MOVIMIENTOS!$A76)=0),COUNT(J$4:J75)+1,"")</f>
        <v/>
      </c>
      <c r="K76" s="53" t="n">
        <f aca="false">MOVIMIENTOS!$A76</f>
        <v>46221</v>
      </c>
      <c r="L76" s="48"/>
      <c r="M76" s="48"/>
      <c r="N76" s="48"/>
    </row>
    <row r="77" customFormat="false" ht="15" hidden="false" customHeight="true" outlineLevel="0" collapsed="false">
      <c r="A77" s="48"/>
      <c r="B77" s="48"/>
      <c r="C77" s="48"/>
      <c r="D77" s="48"/>
      <c r="E77" s="48"/>
      <c r="F77" s="48"/>
      <c r="G77" s="48"/>
      <c r="H77" s="48"/>
      <c r="I77" s="48"/>
      <c r="J77" s="48" t="str">
        <f aca="false">IF(AND(MOVIMIENTOS!$A77&lt;&gt;"",COUNTIF(MOVIMIENTOS!$A$5:$A76,MOVIMIENTOS!$A77)=0),COUNT(J$4:J76)+1,"")</f>
        <v/>
      </c>
      <c r="K77" s="53" t="n">
        <f aca="false">MOVIMIENTOS!$A77</f>
        <v>46221</v>
      </c>
      <c r="L77" s="48"/>
      <c r="M77" s="48"/>
      <c r="N77" s="48"/>
    </row>
    <row r="78" customFormat="false" ht="15" hidden="false" customHeight="true" outlineLevel="0" collapsed="false">
      <c r="A78" s="48"/>
      <c r="B78" s="48"/>
      <c r="C78" s="48"/>
      <c r="D78" s="48"/>
      <c r="E78" s="48"/>
      <c r="F78" s="48"/>
      <c r="G78" s="48"/>
      <c r="H78" s="48"/>
      <c r="I78" s="48"/>
      <c r="J78" s="48" t="str">
        <f aca="false">IF(AND(MOVIMIENTOS!$A78&lt;&gt;"",COUNTIF(MOVIMIENTOS!$A$5:$A77,MOVIMIENTOS!$A78)=0),COUNT(J$4:J77)+1,"")</f>
        <v/>
      </c>
      <c r="K78" s="53" t="n">
        <f aca="false">MOVIMIENTOS!$A78</f>
        <v>46221</v>
      </c>
      <c r="L78" s="48"/>
      <c r="M78" s="48"/>
      <c r="N78" s="48"/>
    </row>
    <row r="79" customFormat="false" ht="15" hidden="false" customHeight="true" outlineLevel="0" collapsed="false">
      <c r="A79" s="48"/>
      <c r="B79" s="48"/>
      <c r="C79" s="48"/>
      <c r="D79" s="48"/>
      <c r="E79" s="48"/>
      <c r="F79" s="48"/>
      <c r="G79" s="48"/>
      <c r="H79" s="48"/>
      <c r="I79" s="48"/>
      <c r="J79" s="48" t="str">
        <f aca="false">IF(AND(MOVIMIENTOS!$A79&lt;&gt;"",COUNTIF(MOVIMIENTOS!$A$5:$A78,MOVIMIENTOS!$A79)=0),COUNT(J$4:J78)+1,"")</f>
        <v/>
      </c>
      <c r="K79" s="53" t="n">
        <f aca="false">MOVIMIENTOS!$A79</f>
        <v>46221</v>
      </c>
      <c r="L79" s="48"/>
      <c r="M79" s="48"/>
      <c r="N79" s="48"/>
    </row>
    <row r="80" customFormat="false" ht="15" hidden="false" customHeight="true" outlineLevel="0" collapsed="false">
      <c r="A80" s="48"/>
      <c r="B80" s="48"/>
      <c r="C80" s="48"/>
      <c r="D80" s="48"/>
      <c r="E80" s="48"/>
      <c r="F80" s="48"/>
      <c r="G80" s="48"/>
      <c r="H80" s="48"/>
      <c r="I80" s="48"/>
      <c r="J80" s="48" t="str">
        <f aca="false">IF(AND(MOVIMIENTOS!$A80&lt;&gt;"",COUNTIF(MOVIMIENTOS!$A$5:$A79,MOVIMIENTOS!$A80)=0),COUNT(J$4:J79)+1,"")</f>
        <v/>
      </c>
      <c r="K80" s="53" t="n">
        <f aca="false">MOVIMIENTOS!$A80</f>
        <v>46221</v>
      </c>
      <c r="L80" s="48"/>
      <c r="M80" s="48"/>
      <c r="N80" s="48"/>
    </row>
    <row r="81" customFormat="false" ht="15" hidden="false" customHeight="true" outlineLevel="0" collapsed="false">
      <c r="A81" s="48"/>
      <c r="B81" s="48"/>
      <c r="C81" s="48"/>
      <c r="D81" s="48"/>
      <c r="E81" s="48"/>
      <c r="F81" s="48"/>
      <c r="G81" s="48"/>
      <c r="H81" s="48"/>
      <c r="I81" s="48"/>
      <c r="J81" s="48" t="str">
        <f aca="false">IF(AND(MOVIMIENTOS!$A81&lt;&gt;"",COUNTIF(MOVIMIENTOS!$A$5:$A80,MOVIMIENTOS!$A81)=0),COUNT(J$4:J80)+1,"")</f>
        <v/>
      </c>
      <c r="K81" s="53" t="n">
        <f aca="false">MOVIMIENTOS!$A81</f>
        <v>46221</v>
      </c>
      <c r="L81" s="48"/>
      <c r="M81" s="48"/>
      <c r="N81" s="48"/>
    </row>
    <row r="82" customFormat="false" ht="15" hidden="false" customHeight="true" outlineLevel="0" collapsed="false">
      <c r="A82" s="48"/>
      <c r="B82" s="48"/>
      <c r="C82" s="48"/>
      <c r="D82" s="48"/>
      <c r="E82" s="48"/>
      <c r="F82" s="48"/>
      <c r="G82" s="48"/>
      <c r="H82" s="48"/>
      <c r="I82" s="48"/>
      <c r="J82" s="48" t="str">
        <f aca="false">IF(AND(MOVIMIENTOS!$A82&lt;&gt;"",COUNTIF(MOVIMIENTOS!$A$5:$A81,MOVIMIENTOS!$A82)=0),COUNT(J$4:J81)+1,"")</f>
        <v/>
      </c>
      <c r="K82" s="53" t="n">
        <f aca="false">MOVIMIENTOS!$A82</f>
        <v>46221</v>
      </c>
      <c r="L82" s="48"/>
      <c r="M82" s="48"/>
      <c r="N82" s="48"/>
    </row>
    <row r="83" customFormat="false" ht="15" hidden="false" customHeight="true" outlineLevel="0" collapsed="false">
      <c r="A83" s="48"/>
      <c r="B83" s="48"/>
      <c r="C83" s="48"/>
      <c r="D83" s="48"/>
      <c r="E83" s="48"/>
      <c r="F83" s="48"/>
      <c r="G83" s="48"/>
      <c r="H83" s="48"/>
      <c r="I83" s="48"/>
      <c r="J83" s="48" t="str">
        <f aca="false">IF(AND(MOVIMIENTOS!$A83&lt;&gt;"",COUNTIF(MOVIMIENTOS!$A$5:$A82,MOVIMIENTOS!$A83)=0),COUNT(J$4:J82)+1,"")</f>
        <v/>
      </c>
      <c r="K83" s="53" t="n">
        <f aca="false">MOVIMIENTOS!$A83</f>
        <v>46221</v>
      </c>
      <c r="L83" s="48"/>
      <c r="M83" s="48"/>
      <c r="N83" s="48"/>
    </row>
    <row r="84" customFormat="false" ht="15" hidden="false" customHeight="true" outlineLevel="0" collapsed="false">
      <c r="A84" s="48"/>
      <c r="B84" s="48"/>
      <c r="C84" s="48"/>
      <c r="D84" s="48"/>
      <c r="E84" s="48"/>
      <c r="F84" s="48"/>
      <c r="G84" s="48"/>
      <c r="H84" s="48"/>
      <c r="I84" s="48"/>
      <c r="J84" s="48" t="str">
        <f aca="false">IF(AND(MOVIMIENTOS!$A84&lt;&gt;"",COUNTIF(MOVIMIENTOS!$A$5:$A83,MOVIMIENTOS!$A84)=0),COUNT(J$4:J83)+1,"")</f>
        <v/>
      </c>
      <c r="K84" s="53" t="n">
        <f aca="false">MOVIMIENTOS!$A84</f>
        <v>46221</v>
      </c>
      <c r="L84" s="48"/>
      <c r="M84" s="48"/>
      <c r="N84" s="48"/>
    </row>
    <row r="85" customFormat="false" ht="15" hidden="false" customHeight="true" outlineLevel="0" collapsed="false">
      <c r="A85" s="48"/>
      <c r="B85" s="48"/>
      <c r="C85" s="48"/>
      <c r="D85" s="48"/>
      <c r="E85" s="48"/>
      <c r="F85" s="48"/>
      <c r="G85" s="48"/>
      <c r="H85" s="48"/>
      <c r="I85" s="48"/>
      <c r="J85" s="48" t="str">
        <f aca="false">IF(AND(MOVIMIENTOS!$A85&lt;&gt;"",COUNTIF(MOVIMIENTOS!$A$5:$A84,MOVIMIENTOS!$A85)=0),COUNT(J$4:J84)+1,"")</f>
        <v/>
      </c>
      <c r="K85" s="53" t="n">
        <f aca="false">MOVIMIENTOS!$A85</f>
        <v>46221</v>
      </c>
      <c r="L85" s="48"/>
      <c r="M85" s="48"/>
      <c r="N85" s="48"/>
    </row>
    <row r="86" customFormat="false" ht="15" hidden="false" customHeight="true" outlineLevel="0" collapsed="false">
      <c r="A86" s="48"/>
      <c r="B86" s="48"/>
      <c r="C86" s="48"/>
      <c r="D86" s="48"/>
      <c r="E86" s="48"/>
      <c r="F86" s="48"/>
      <c r="G86" s="48"/>
      <c r="H86" s="48"/>
      <c r="I86" s="48"/>
      <c r="J86" s="48" t="n">
        <f aca="false">IF(AND(MOVIMIENTOS!$A86&lt;&gt;"",COUNTIF(MOVIMIENTOS!$A$5:$A85,MOVIMIENTOS!$A86)=0),COUNT(J$4:J85)+1,"")</f>
        <v>9</v>
      </c>
      <c r="K86" s="53" t="n">
        <f aca="false">MOVIMIENTOS!$A86</f>
        <v>46222</v>
      </c>
      <c r="L86" s="48"/>
      <c r="M86" s="48"/>
      <c r="N86" s="48"/>
    </row>
    <row r="87" customFormat="false" ht="15" hidden="false" customHeight="true" outlineLevel="0" collapsed="false">
      <c r="A87" s="48"/>
      <c r="B87" s="48"/>
      <c r="C87" s="48"/>
      <c r="D87" s="48"/>
      <c r="E87" s="48"/>
      <c r="F87" s="48"/>
      <c r="G87" s="48"/>
      <c r="H87" s="48"/>
      <c r="I87" s="48"/>
      <c r="J87" s="48" t="str">
        <f aca="false">IF(AND(MOVIMIENTOS!$A87&lt;&gt;"",COUNTIF(MOVIMIENTOS!$A$5:$A86,MOVIMIENTOS!$A87)=0),COUNT(J$4:J86)+1,"")</f>
        <v/>
      </c>
      <c r="K87" s="53" t="n">
        <f aca="false">MOVIMIENTOS!$A87</f>
        <v>46222</v>
      </c>
      <c r="L87" s="48"/>
      <c r="M87" s="48"/>
      <c r="N87" s="48"/>
    </row>
    <row r="88" customFormat="false" ht="15" hidden="false" customHeight="true" outlineLevel="0" collapsed="false">
      <c r="A88" s="48"/>
      <c r="B88" s="48"/>
      <c r="C88" s="48"/>
      <c r="D88" s="48"/>
      <c r="E88" s="48"/>
      <c r="F88" s="48"/>
      <c r="G88" s="48"/>
      <c r="H88" s="48"/>
      <c r="I88" s="48"/>
      <c r="J88" s="48" t="str">
        <f aca="false">IF(AND(MOVIMIENTOS!$A88&lt;&gt;"",COUNTIF(MOVIMIENTOS!$A$5:$A87,MOVIMIENTOS!$A88)=0),COUNT(J$4:J87)+1,"")</f>
        <v/>
      </c>
      <c r="K88" s="53" t="n">
        <f aca="false">MOVIMIENTOS!$A88</f>
        <v>46222</v>
      </c>
      <c r="L88" s="48"/>
      <c r="M88" s="48"/>
      <c r="N88" s="48"/>
    </row>
    <row r="89" customFormat="false" ht="15" hidden="false" customHeight="true" outlineLevel="0" collapsed="false">
      <c r="A89" s="48"/>
      <c r="B89" s="48"/>
      <c r="C89" s="48"/>
      <c r="D89" s="48"/>
      <c r="E89" s="48"/>
      <c r="F89" s="48"/>
      <c r="G89" s="48"/>
      <c r="H89" s="48"/>
      <c r="I89" s="48"/>
      <c r="J89" s="48" t="str">
        <f aca="false">IF(AND(MOVIMIENTOS!$A89&lt;&gt;"",COUNTIF(MOVIMIENTOS!$A$5:$A88,MOVIMIENTOS!$A89)=0),COUNT(J$4:J88)+1,"")</f>
        <v/>
      </c>
      <c r="K89" s="53" t="n">
        <f aca="false">MOVIMIENTOS!$A89</f>
        <v>46222</v>
      </c>
      <c r="L89" s="48"/>
      <c r="M89" s="48"/>
      <c r="N89" s="48"/>
    </row>
    <row r="90" customFormat="false" ht="15" hidden="false" customHeight="true" outlineLevel="0" collapsed="false">
      <c r="A90" s="48"/>
      <c r="B90" s="48"/>
      <c r="C90" s="48"/>
      <c r="D90" s="48"/>
      <c r="E90" s="48"/>
      <c r="F90" s="48"/>
      <c r="G90" s="48"/>
      <c r="H90" s="48"/>
      <c r="I90" s="48"/>
      <c r="J90" s="48" t="str">
        <f aca="false">IF(AND(MOVIMIENTOS!$A90&lt;&gt;"",COUNTIF(MOVIMIENTOS!$A$5:$A89,MOVIMIENTOS!$A90)=0),COUNT(J$4:J89)+1,"")</f>
        <v/>
      </c>
      <c r="K90" s="53" t="n">
        <f aca="false">MOVIMIENTOS!$A90</f>
        <v>46222</v>
      </c>
      <c r="L90" s="48"/>
      <c r="M90" s="48"/>
      <c r="N90" s="48"/>
    </row>
    <row r="91" customFormat="false" ht="15" hidden="false" customHeight="true" outlineLevel="0" collapsed="false">
      <c r="A91" s="48"/>
      <c r="B91" s="48"/>
      <c r="C91" s="48"/>
      <c r="D91" s="48"/>
      <c r="E91" s="48"/>
      <c r="F91" s="48"/>
      <c r="G91" s="48"/>
      <c r="H91" s="48"/>
      <c r="I91" s="48"/>
      <c r="J91" s="48" t="str">
        <f aca="false">IF(AND(MOVIMIENTOS!$A91&lt;&gt;"",COUNTIF(MOVIMIENTOS!$A$5:$A90,MOVIMIENTOS!$A91)=0),COUNT(J$4:J90)+1,"")</f>
        <v/>
      </c>
      <c r="K91" s="53" t="n">
        <f aca="false">MOVIMIENTOS!$A91</f>
        <v>46222</v>
      </c>
      <c r="L91" s="48"/>
      <c r="M91" s="48"/>
      <c r="N91" s="48"/>
    </row>
    <row r="92" customFormat="false" ht="15" hidden="false" customHeight="true" outlineLevel="0" collapsed="false">
      <c r="A92" s="48"/>
      <c r="B92" s="48"/>
      <c r="C92" s="48"/>
      <c r="D92" s="48"/>
      <c r="E92" s="48"/>
      <c r="F92" s="48"/>
      <c r="G92" s="48"/>
      <c r="H92" s="48"/>
      <c r="I92" s="48"/>
      <c r="J92" s="48" t="str">
        <f aca="false">IF(AND(MOVIMIENTOS!$A92&lt;&gt;"",COUNTIF(MOVIMIENTOS!$A$5:$A91,MOVIMIENTOS!$A92)=0),COUNT(J$4:J91)+1,"")</f>
        <v/>
      </c>
      <c r="K92" s="53" t="n">
        <f aca="false">MOVIMIENTOS!$A92</f>
        <v>46222</v>
      </c>
      <c r="L92" s="48"/>
      <c r="M92" s="48"/>
      <c r="N92" s="48"/>
    </row>
    <row r="93" customFormat="false" ht="15" hidden="false" customHeight="true" outlineLevel="0" collapsed="false">
      <c r="A93" s="48"/>
      <c r="B93" s="48"/>
      <c r="C93" s="48"/>
      <c r="D93" s="48"/>
      <c r="E93" s="48"/>
      <c r="F93" s="48"/>
      <c r="G93" s="48"/>
      <c r="H93" s="48"/>
      <c r="I93" s="48"/>
      <c r="J93" s="48" t="str">
        <f aca="false">IF(AND(MOVIMIENTOS!$A93&lt;&gt;"",COUNTIF(MOVIMIENTOS!$A$5:$A92,MOVIMIENTOS!$A93)=0),COUNT(J$4:J92)+1,"")</f>
        <v/>
      </c>
      <c r="K93" s="53" t="n">
        <f aca="false">MOVIMIENTOS!$A93</f>
        <v>46222</v>
      </c>
      <c r="L93" s="48"/>
      <c r="M93" s="48"/>
      <c r="N93" s="48"/>
    </row>
    <row r="94" customFormat="false" ht="15" hidden="false" customHeight="true" outlineLevel="0" collapsed="false">
      <c r="A94" s="48"/>
      <c r="B94" s="48"/>
      <c r="C94" s="48"/>
      <c r="D94" s="48"/>
      <c r="E94" s="48"/>
      <c r="F94" s="48"/>
      <c r="G94" s="48"/>
      <c r="H94" s="48"/>
      <c r="I94" s="48"/>
      <c r="J94" s="48" t="str">
        <f aca="false">IF(AND(MOVIMIENTOS!$A94&lt;&gt;"",COUNTIF(MOVIMIENTOS!$A$5:$A93,MOVIMIENTOS!$A94)=0),COUNT(J$4:J93)+1,"")</f>
        <v/>
      </c>
      <c r="K94" s="53" t="n">
        <f aca="false">MOVIMIENTOS!$A94</f>
        <v>46222</v>
      </c>
      <c r="L94" s="48"/>
      <c r="M94" s="48"/>
      <c r="N94" s="48"/>
    </row>
    <row r="95" customFormat="false" ht="15" hidden="false" customHeight="true" outlineLevel="0" collapsed="false">
      <c r="A95" s="48"/>
      <c r="B95" s="48"/>
      <c r="C95" s="48"/>
      <c r="D95" s="48"/>
      <c r="E95" s="48"/>
      <c r="F95" s="48"/>
      <c r="G95" s="48"/>
      <c r="H95" s="48"/>
      <c r="I95" s="48"/>
      <c r="J95" s="48" t="str">
        <f aca="false">IF(AND(MOVIMIENTOS!$A95&lt;&gt;"",COUNTIF(MOVIMIENTOS!$A$5:$A94,MOVIMIENTOS!$A95)=0),COUNT(J$4:J94)+1,"")</f>
        <v/>
      </c>
      <c r="K95" s="53" t="n">
        <f aca="false">MOVIMIENTOS!$A95</f>
        <v>46222</v>
      </c>
      <c r="L95" s="48"/>
      <c r="M95" s="48"/>
      <c r="N95" s="48"/>
    </row>
    <row r="96" customFormat="false" ht="15" hidden="false" customHeight="true" outlineLevel="0" collapsed="false">
      <c r="A96" s="48"/>
      <c r="B96" s="48"/>
      <c r="C96" s="48"/>
      <c r="D96" s="48"/>
      <c r="E96" s="48"/>
      <c r="F96" s="48"/>
      <c r="G96" s="48"/>
      <c r="H96" s="48"/>
      <c r="I96" s="48"/>
      <c r="J96" s="48" t="n">
        <f aca="false">IF(AND(MOVIMIENTOS!$A96&lt;&gt;"",COUNTIF(MOVIMIENTOS!$A$5:$A95,MOVIMIENTOS!$A96)=0),COUNT(J$4:J95)+1,"")</f>
        <v>10</v>
      </c>
      <c r="K96" s="53" t="n">
        <f aca="false">MOVIMIENTOS!$A96</f>
        <v>46223</v>
      </c>
      <c r="L96" s="48"/>
      <c r="M96" s="48"/>
      <c r="N96" s="48"/>
    </row>
    <row r="97" customFormat="false" ht="15" hidden="false" customHeight="true" outlineLevel="0" collapsed="false">
      <c r="A97" s="48"/>
      <c r="B97" s="48"/>
      <c r="C97" s="48"/>
      <c r="D97" s="48"/>
      <c r="E97" s="48"/>
      <c r="F97" s="48"/>
      <c r="G97" s="48"/>
      <c r="H97" s="48"/>
      <c r="I97" s="48"/>
      <c r="J97" s="48" t="str">
        <f aca="false">IF(AND(MOVIMIENTOS!$A97&lt;&gt;"",COUNTIF(MOVIMIENTOS!$A$5:$A96,MOVIMIENTOS!$A97)=0),COUNT(J$4:J96)+1,"")</f>
        <v/>
      </c>
      <c r="K97" s="53" t="n">
        <f aca="false">MOVIMIENTOS!$A97</f>
        <v>46223</v>
      </c>
      <c r="L97" s="48"/>
      <c r="M97" s="48"/>
      <c r="N97" s="48"/>
    </row>
    <row r="98" customFormat="false" ht="15" hidden="false" customHeight="true" outlineLevel="0" collapsed="false">
      <c r="A98" s="48"/>
      <c r="B98" s="48"/>
      <c r="C98" s="48"/>
      <c r="D98" s="48"/>
      <c r="E98" s="48"/>
      <c r="F98" s="48"/>
      <c r="G98" s="48"/>
      <c r="H98" s="48"/>
      <c r="I98" s="48"/>
      <c r="J98" s="48" t="str">
        <f aca="false">IF(AND(MOVIMIENTOS!$A98&lt;&gt;"",COUNTIF(MOVIMIENTOS!$A$5:$A97,MOVIMIENTOS!$A98)=0),COUNT(J$4:J97)+1,"")</f>
        <v/>
      </c>
      <c r="K98" s="53" t="n">
        <f aca="false">MOVIMIENTOS!$A98</f>
        <v>46223</v>
      </c>
      <c r="L98" s="48"/>
      <c r="M98" s="48"/>
      <c r="N98" s="48"/>
    </row>
    <row r="99" customFormat="false" ht="15" hidden="false" customHeight="true" outlineLevel="0" collapsed="false">
      <c r="A99" s="48"/>
      <c r="B99" s="48"/>
      <c r="C99" s="48"/>
      <c r="D99" s="48"/>
      <c r="E99" s="48"/>
      <c r="F99" s="48"/>
      <c r="G99" s="48"/>
      <c r="H99" s="48"/>
      <c r="I99" s="48"/>
      <c r="J99" s="48" t="str">
        <f aca="false">IF(AND(MOVIMIENTOS!$A99&lt;&gt;"",COUNTIF(MOVIMIENTOS!$A$5:$A98,MOVIMIENTOS!$A99)=0),COUNT(J$4:J98)+1,"")</f>
        <v/>
      </c>
      <c r="K99" s="53" t="n">
        <f aca="false">MOVIMIENTOS!$A99</f>
        <v>46223</v>
      </c>
      <c r="L99" s="48"/>
      <c r="M99" s="48"/>
      <c r="N99" s="48"/>
    </row>
    <row r="100" customFormat="false" ht="15" hidden="false" customHeight="true" outlineLevel="0" collapsed="false">
      <c r="A100" s="48"/>
      <c r="B100" s="48"/>
      <c r="C100" s="48"/>
      <c r="D100" s="48"/>
      <c r="E100" s="48"/>
      <c r="F100" s="48"/>
      <c r="G100" s="48"/>
      <c r="H100" s="48"/>
      <c r="I100" s="48"/>
      <c r="J100" s="48" t="str">
        <f aca="false">IF(AND(MOVIMIENTOS!$A100&lt;&gt;"",COUNTIF(MOVIMIENTOS!$A$5:$A99,MOVIMIENTOS!$A100)=0),COUNT(J$4:J99)+1,"")</f>
        <v/>
      </c>
      <c r="K100" s="53" t="n">
        <f aca="false">MOVIMIENTOS!$A100</f>
        <v>46223</v>
      </c>
      <c r="L100" s="48"/>
      <c r="M100" s="48"/>
      <c r="N100" s="48"/>
    </row>
    <row r="101" customFormat="false" ht="15" hidden="false" customHeight="true" outlineLevel="0" collapsed="false">
      <c r="A101" s="48"/>
      <c r="B101" s="48"/>
      <c r="C101" s="48"/>
      <c r="D101" s="48"/>
      <c r="E101" s="48"/>
      <c r="F101" s="48"/>
      <c r="G101" s="48"/>
      <c r="H101" s="48"/>
      <c r="I101" s="48"/>
      <c r="J101" s="48" t="str">
        <f aca="false">IF(AND(MOVIMIENTOS!$A101&lt;&gt;"",COUNTIF(MOVIMIENTOS!$A$5:$A100,MOVIMIENTOS!$A101)=0),COUNT(J$4:J100)+1,"")</f>
        <v/>
      </c>
      <c r="K101" s="53" t="n">
        <f aca="false">MOVIMIENTOS!$A101</f>
        <v>46223</v>
      </c>
      <c r="L101" s="48"/>
      <c r="M101" s="48"/>
      <c r="N101" s="48"/>
    </row>
    <row r="102" customFormat="false" ht="15" hidden="false" customHeight="true" outlineLevel="0" collapsed="false">
      <c r="A102" s="48"/>
      <c r="B102" s="48"/>
      <c r="C102" s="48"/>
      <c r="D102" s="48"/>
      <c r="E102" s="48"/>
      <c r="F102" s="48"/>
      <c r="G102" s="48"/>
      <c r="H102" s="48"/>
      <c r="I102" s="48"/>
      <c r="J102" s="48" t="str">
        <f aca="false">IF(AND(MOVIMIENTOS!$A102&lt;&gt;"",COUNTIF(MOVIMIENTOS!$A$5:$A101,MOVIMIENTOS!$A102)=0),COUNT(J$4:J101)+1,"")</f>
        <v/>
      </c>
      <c r="K102" s="53" t="n">
        <f aca="false">MOVIMIENTOS!$A102</f>
        <v>46223</v>
      </c>
      <c r="L102" s="48"/>
      <c r="M102" s="48"/>
      <c r="N102" s="48"/>
    </row>
    <row r="103" customFormat="false" ht="15" hidden="false" customHeight="true" outlineLevel="0" collapsed="false">
      <c r="A103" s="48"/>
      <c r="B103" s="48"/>
      <c r="C103" s="48"/>
      <c r="D103" s="48"/>
      <c r="E103" s="48"/>
      <c r="F103" s="48"/>
      <c r="G103" s="48"/>
      <c r="H103" s="48"/>
      <c r="I103" s="48"/>
      <c r="J103" s="48" t="str">
        <f aca="false">IF(AND(MOVIMIENTOS!$A103&lt;&gt;"",COUNTIF(MOVIMIENTOS!$A$5:$A102,MOVIMIENTOS!$A103)=0),COUNT(J$4:J102)+1,"")</f>
        <v/>
      </c>
      <c r="K103" s="53" t="n">
        <f aca="false">MOVIMIENTOS!$A103</f>
        <v>46223</v>
      </c>
      <c r="L103" s="48"/>
      <c r="M103" s="48"/>
      <c r="N103" s="48"/>
    </row>
    <row r="104" customFormat="false" ht="15" hidden="false" customHeight="true" outlineLevel="0" collapsed="false">
      <c r="A104" s="48"/>
      <c r="B104" s="48"/>
      <c r="C104" s="48"/>
      <c r="D104" s="48"/>
      <c r="E104" s="48"/>
      <c r="F104" s="48"/>
      <c r="G104" s="48"/>
      <c r="H104" s="48"/>
      <c r="I104" s="48"/>
      <c r="J104" s="48" t="str">
        <f aca="false">IF(AND(MOVIMIENTOS!$A104&lt;&gt;"",COUNTIF(MOVIMIENTOS!$A$5:$A103,MOVIMIENTOS!$A104)=0),COUNT(J$4:J103)+1,"")</f>
        <v/>
      </c>
      <c r="K104" s="53" t="n">
        <f aca="false">MOVIMIENTOS!$A104</f>
        <v>46223</v>
      </c>
      <c r="L104" s="48"/>
      <c r="M104" s="48"/>
      <c r="N104" s="48"/>
    </row>
    <row r="105" customFormat="false" ht="15" hidden="false" customHeight="true" outlineLevel="0" collapsed="false">
      <c r="A105" s="48"/>
      <c r="B105" s="48"/>
      <c r="C105" s="48"/>
      <c r="D105" s="48"/>
      <c r="E105" s="48"/>
      <c r="F105" s="48"/>
      <c r="G105" s="48"/>
      <c r="H105" s="48"/>
      <c r="I105" s="48"/>
      <c r="J105" s="48" t="str">
        <f aca="false">IF(AND(MOVIMIENTOS!$A105&lt;&gt;"",COUNTIF(MOVIMIENTOS!$A$5:$A104,MOVIMIENTOS!$A105)=0),COUNT(J$4:J104)+1,"")</f>
        <v/>
      </c>
      <c r="K105" s="53" t="n">
        <f aca="false">MOVIMIENTOS!$A105</f>
        <v>46223</v>
      </c>
      <c r="L105" s="48"/>
      <c r="M105" s="48"/>
      <c r="N105" s="48"/>
    </row>
    <row r="106" customFormat="false" ht="15" hidden="false" customHeight="true" outlineLevel="0" collapsed="false">
      <c r="A106" s="48"/>
      <c r="B106" s="48"/>
      <c r="C106" s="48"/>
      <c r="D106" s="48"/>
      <c r="E106" s="48"/>
      <c r="F106" s="48"/>
      <c r="G106" s="48"/>
      <c r="H106" s="48"/>
      <c r="I106" s="48"/>
      <c r="J106" s="48" t="str">
        <f aca="false">IF(AND(MOVIMIENTOS!$A106&lt;&gt;"",COUNTIF(MOVIMIENTOS!$A$5:$A105,MOVIMIENTOS!$A106)=0),COUNT(J$4:J105)+1,"")</f>
        <v/>
      </c>
      <c r="K106" s="53" t="n">
        <f aca="false">MOVIMIENTOS!$A106</f>
        <v>46223</v>
      </c>
      <c r="L106" s="48"/>
      <c r="M106" s="48"/>
      <c r="N106" s="48"/>
    </row>
    <row r="107" customFormat="false" ht="15" hidden="false" customHeight="true" outlineLevel="0" collapsed="false">
      <c r="A107" s="48"/>
      <c r="B107" s="48"/>
      <c r="C107" s="48"/>
      <c r="D107" s="48"/>
      <c r="E107" s="48"/>
      <c r="F107" s="48"/>
      <c r="G107" s="48"/>
      <c r="H107" s="48"/>
      <c r="I107" s="48"/>
      <c r="J107" s="48" t="str">
        <f aca="false">IF(AND(MOVIMIENTOS!$A107&lt;&gt;"",COUNTIF(MOVIMIENTOS!$A$5:$A106,MOVIMIENTOS!$A107)=0),COUNT(J$4:J106)+1,"")</f>
        <v/>
      </c>
      <c r="K107" s="53" t="n">
        <f aca="false">MOVIMIENTOS!$A107</f>
        <v>46223</v>
      </c>
      <c r="L107" s="48"/>
      <c r="M107" s="48"/>
      <c r="N107" s="48"/>
    </row>
    <row r="108" customFormat="false" ht="15" hidden="false" customHeight="true" outlineLevel="0" collapsed="false">
      <c r="A108" s="48"/>
      <c r="B108" s="48"/>
      <c r="C108" s="48"/>
      <c r="D108" s="48"/>
      <c r="E108" s="48"/>
      <c r="F108" s="48"/>
      <c r="G108" s="48"/>
      <c r="H108" s="48"/>
      <c r="I108" s="48"/>
      <c r="J108" s="48" t="str">
        <f aca="false">IF(AND(MOVIMIENTOS!$A108&lt;&gt;"",COUNTIF(MOVIMIENTOS!$A$5:$A107,MOVIMIENTOS!$A108)=0),COUNT(J$4:J107)+1,"")</f>
        <v/>
      </c>
      <c r="K108" s="53" t="n">
        <f aca="false">MOVIMIENTOS!$A108</f>
        <v>46223</v>
      </c>
      <c r="L108" s="48"/>
      <c r="M108" s="48"/>
      <c r="N108" s="48"/>
    </row>
    <row r="109" customFormat="false" ht="15" hidden="false" customHeight="true" outlineLevel="0" collapsed="false">
      <c r="A109" s="48"/>
      <c r="B109" s="48"/>
      <c r="C109" s="48"/>
      <c r="D109" s="48"/>
      <c r="E109" s="48"/>
      <c r="F109" s="48"/>
      <c r="G109" s="48"/>
      <c r="H109" s="48"/>
      <c r="I109" s="48"/>
      <c r="J109" s="48" t="str">
        <f aca="false">IF(AND(MOVIMIENTOS!$A109&lt;&gt;"",COUNTIF(MOVIMIENTOS!$A$5:$A108,MOVIMIENTOS!$A109)=0),COUNT(J$4:J108)+1,"")</f>
        <v/>
      </c>
      <c r="K109" s="53" t="n">
        <f aca="false">MOVIMIENTOS!$A109</f>
        <v>46223</v>
      </c>
      <c r="L109" s="48"/>
      <c r="M109" s="48"/>
      <c r="N109" s="48"/>
    </row>
    <row r="110" customFormat="false" ht="15" hidden="false" customHeight="true" outlineLevel="0" collapsed="false">
      <c r="A110" s="48"/>
      <c r="B110" s="48"/>
      <c r="C110" s="48"/>
      <c r="D110" s="48"/>
      <c r="E110" s="48"/>
      <c r="F110" s="48"/>
      <c r="G110" s="48"/>
      <c r="H110" s="48"/>
      <c r="I110" s="48"/>
      <c r="J110" s="48" t="n">
        <f aca="false">IF(AND(MOVIMIENTOS!$A110&lt;&gt;"",COUNTIF(MOVIMIENTOS!$A$5:$A109,MOVIMIENTOS!$A110)=0),COUNT(J$4:J109)+1,"")</f>
        <v>11</v>
      </c>
      <c r="K110" s="53" t="n">
        <f aca="false">MOVIMIENTOS!$A110</f>
        <v>46224</v>
      </c>
      <c r="L110" s="48"/>
      <c r="M110" s="48"/>
      <c r="N110" s="48"/>
    </row>
    <row r="111" customFormat="false" ht="15" hidden="false" customHeight="true" outlineLevel="0" collapsed="false">
      <c r="A111" s="48"/>
      <c r="B111" s="48"/>
      <c r="C111" s="48"/>
      <c r="D111" s="48"/>
      <c r="E111" s="48"/>
      <c r="F111" s="48"/>
      <c r="G111" s="48"/>
      <c r="H111" s="48"/>
      <c r="I111" s="48"/>
      <c r="J111" s="48" t="str">
        <f aca="false">IF(AND(MOVIMIENTOS!$A111&lt;&gt;"",COUNTIF(MOVIMIENTOS!$A$5:$A110,MOVIMIENTOS!$A111)=0),COUNT(J$4:J110)+1,"")</f>
        <v/>
      </c>
      <c r="K111" s="53" t="n">
        <f aca="false">MOVIMIENTOS!$A111</f>
        <v>46224</v>
      </c>
      <c r="L111" s="48"/>
      <c r="M111" s="48"/>
      <c r="N111" s="48"/>
    </row>
    <row r="112" customFormat="false" ht="15" hidden="false" customHeight="true" outlineLevel="0" collapsed="false">
      <c r="A112" s="48"/>
      <c r="B112" s="48"/>
      <c r="C112" s="48"/>
      <c r="D112" s="48"/>
      <c r="E112" s="48"/>
      <c r="F112" s="48"/>
      <c r="G112" s="48"/>
      <c r="H112" s="48"/>
      <c r="I112" s="48"/>
      <c r="J112" s="48" t="str">
        <f aca="false">IF(AND(MOVIMIENTOS!$A112&lt;&gt;"",COUNTIF(MOVIMIENTOS!$A$5:$A111,MOVIMIENTOS!$A112)=0),COUNT(J$4:J111)+1,"")</f>
        <v/>
      </c>
      <c r="K112" s="53" t="n">
        <f aca="false">MOVIMIENTOS!$A112</f>
        <v>46224</v>
      </c>
      <c r="L112" s="48"/>
      <c r="M112" s="48"/>
      <c r="N112" s="48"/>
    </row>
    <row r="113" customFormat="false" ht="15" hidden="false" customHeight="true" outlineLevel="0" collapsed="false">
      <c r="A113" s="48"/>
      <c r="B113" s="48"/>
      <c r="C113" s="48"/>
      <c r="D113" s="48"/>
      <c r="E113" s="48"/>
      <c r="F113" s="48"/>
      <c r="G113" s="48"/>
      <c r="H113" s="48"/>
      <c r="I113" s="48"/>
      <c r="J113" s="48" t="str">
        <f aca="false">IF(AND(MOVIMIENTOS!$A113&lt;&gt;"",COUNTIF(MOVIMIENTOS!$A$5:$A112,MOVIMIENTOS!$A113)=0),COUNT(J$4:J112)+1,"")</f>
        <v/>
      </c>
      <c r="K113" s="53" t="n">
        <f aca="false">MOVIMIENTOS!$A113</f>
        <v>46224</v>
      </c>
      <c r="L113" s="48"/>
      <c r="M113" s="48"/>
      <c r="N113" s="48"/>
    </row>
    <row r="114" customFormat="false" ht="15" hidden="false" customHeight="true" outlineLevel="0" collapsed="false">
      <c r="A114" s="48"/>
      <c r="B114" s="48"/>
      <c r="C114" s="48"/>
      <c r="D114" s="48"/>
      <c r="E114" s="48"/>
      <c r="F114" s="48"/>
      <c r="G114" s="48"/>
      <c r="H114" s="48"/>
      <c r="I114" s="48"/>
      <c r="J114" s="48" t="str">
        <f aca="false">IF(AND(MOVIMIENTOS!$A114&lt;&gt;"",COUNTIF(MOVIMIENTOS!$A$5:$A113,MOVIMIENTOS!$A114)=0),COUNT(J$4:J113)+1,"")</f>
        <v/>
      </c>
      <c r="K114" s="53" t="n">
        <f aca="false">MOVIMIENTOS!$A114</f>
        <v>46224</v>
      </c>
      <c r="L114" s="48"/>
      <c r="M114" s="48"/>
      <c r="N114" s="48"/>
    </row>
    <row r="115" customFormat="false" ht="15" hidden="false" customHeight="true" outlineLevel="0" collapsed="false">
      <c r="A115" s="48"/>
      <c r="B115" s="48"/>
      <c r="C115" s="48"/>
      <c r="D115" s="48"/>
      <c r="E115" s="48"/>
      <c r="F115" s="48"/>
      <c r="G115" s="48"/>
      <c r="H115" s="48"/>
      <c r="I115" s="48"/>
      <c r="J115" s="48" t="str">
        <f aca="false">IF(AND(MOVIMIENTOS!$A115&lt;&gt;"",COUNTIF(MOVIMIENTOS!$A$5:$A114,MOVIMIENTOS!$A115)=0),COUNT(J$4:J114)+1,"")</f>
        <v/>
      </c>
      <c r="K115" s="53" t="n">
        <f aca="false">MOVIMIENTOS!$A115</f>
        <v>46224</v>
      </c>
      <c r="L115" s="48"/>
      <c r="M115" s="48"/>
      <c r="N115" s="48"/>
    </row>
    <row r="116" customFormat="false" ht="15" hidden="false" customHeight="true" outlineLevel="0" collapsed="false">
      <c r="A116" s="48"/>
      <c r="B116" s="48"/>
      <c r="C116" s="48"/>
      <c r="D116" s="48"/>
      <c r="E116" s="48"/>
      <c r="F116" s="48"/>
      <c r="G116" s="48"/>
      <c r="H116" s="48"/>
      <c r="I116" s="48"/>
      <c r="J116" s="48" t="str">
        <f aca="false">IF(AND(MOVIMIENTOS!$A116&lt;&gt;"",COUNTIF(MOVIMIENTOS!$A$5:$A115,MOVIMIENTOS!$A116)=0),COUNT(J$4:J115)+1,"")</f>
        <v/>
      </c>
      <c r="K116" s="53" t="n">
        <f aca="false">MOVIMIENTOS!$A116</f>
        <v>46224</v>
      </c>
      <c r="L116" s="48"/>
      <c r="M116" s="48"/>
      <c r="N116" s="48"/>
    </row>
    <row r="117" customFormat="false" ht="15" hidden="false" customHeight="true" outlineLevel="0" collapsed="false">
      <c r="A117" s="48"/>
      <c r="B117" s="48"/>
      <c r="C117" s="48"/>
      <c r="D117" s="48"/>
      <c r="E117" s="48"/>
      <c r="F117" s="48"/>
      <c r="G117" s="48"/>
      <c r="H117" s="48"/>
      <c r="I117" s="48"/>
      <c r="J117" s="48" t="str">
        <f aca="false">IF(AND(MOVIMIENTOS!$A117&lt;&gt;"",COUNTIF(MOVIMIENTOS!$A$5:$A116,MOVIMIENTOS!$A117)=0),COUNT(J$4:J116)+1,"")</f>
        <v/>
      </c>
      <c r="K117" s="53" t="n">
        <f aca="false">MOVIMIENTOS!$A117</f>
        <v>46224</v>
      </c>
      <c r="L117" s="48"/>
      <c r="M117" s="48"/>
      <c r="N117" s="48"/>
    </row>
    <row r="118" customFormat="false" ht="15" hidden="false" customHeight="true" outlineLevel="0" collapsed="false">
      <c r="A118" s="48"/>
      <c r="B118" s="48"/>
      <c r="C118" s="48"/>
      <c r="D118" s="48"/>
      <c r="E118" s="48"/>
      <c r="F118" s="48"/>
      <c r="G118" s="48"/>
      <c r="H118" s="48"/>
      <c r="I118" s="48"/>
      <c r="J118" s="48" t="str">
        <f aca="false">IF(AND(MOVIMIENTOS!$A118&lt;&gt;"",COUNTIF(MOVIMIENTOS!$A$5:$A117,MOVIMIENTOS!$A118)=0),COUNT(J$4:J117)+1,"")</f>
        <v/>
      </c>
      <c r="K118" s="53" t="n">
        <f aca="false">MOVIMIENTOS!$A118</f>
        <v>46224</v>
      </c>
      <c r="L118" s="48"/>
      <c r="M118" s="48"/>
      <c r="N118" s="48"/>
    </row>
    <row r="119" customFormat="false" ht="15" hidden="false" customHeight="true" outlineLevel="0" collapsed="false">
      <c r="A119" s="48"/>
      <c r="B119" s="48"/>
      <c r="C119" s="48"/>
      <c r="D119" s="48"/>
      <c r="E119" s="48"/>
      <c r="F119" s="48"/>
      <c r="G119" s="48"/>
      <c r="H119" s="48"/>
      <c r="I119" s="48"/>
      <c r="J119" s="48" t="str">
        <f aca="false">IF(AND(MOVIMIENTOS!$A119&lt;&gt;"",COUNTIF(MOVIMIENTOS!$A$5:$A118,MOVIMIENTOS!$A119)=0),COUNT(J$4:J118)+1,"")</f>
        <v/>
      </c>
      <c r="K119" s="53" t="n">
        <f aca="false">MOVIMIENTOS!$A119</f>
        <v>46224</v>
      </c>
      <c r="L119" s="48"/>
      <c r="M119" s="48"/>
      <c r="N119" s="48"/>
    </row>
    <row r="120" customFormat="false" ht="15" hidden="false" customHeight="true" outlineLevel="0" collapsed="false">
      <c r="A120" s="48"/>
      <c r="B120" s="48"/>
      <c r="C120" s="48"/>
      <c r="D120" s="48"/>
      <c r="E120" s="48"/>
      <c r="F120" s="48"/>
      <c r="G120" s="48"/>
      <c r="H120" s="48"/>
      <c r="I120" s="48"/>
      <c r="J120" s="48" t="str">
        <f aca="false">IF(AND(MOVIMIENTOS!$A120&lt;&gt;"",COUNTIF(MOVIMIENTOS!$A$5:$A119,MOVIMIENTOS!$A120)=0),COUNT(J$4:J119)+1,"")</f>
        <v/>
      </c>
      <c r="K120" s="53" t="n">
        <f aca="false">MOVIMIENTOS!$A120</f>
        <v>46224</v>
      </c>
      <c r="L120" s="48"/>
      <c r="M120" s="48"/>
      <c r="N120" s="48"/>
    </row>
    <row r="121" customFormat="false" ht="15" hidden="false" customHeight="true" outlineLevel="0" collapsed="false">
      <c r="A121" s="48"/>
      <c r="B121" s="48"/>
      <c r="C121" s="48"/>
      <c r="D121" s="48"/>
      <c r="E121" s="48"/>
      <c r="F121" s="48"/>
      <c r="G121" s="48"/>
      <c r="H121" s="48"/>
      <c r="I121" s="48"/>
      <c r="J121" s="48" t="str">
        <f aca="false">IF(AND(MOVIMIENTOS!$A121&lt;&gt;"",COUNTIF(MOVIMIENTOS!$A$5:$A120,MOVIMIENTOS!$A121)=0),COUNT(J$4:J120)+1,"")</f>
        <v/>
      </c>
      <c r="K121" s="53" t="n">
        <f aca="false">MOVIMIENTOS!$A121</f>
        <v>46224</v>
      </c>
      <c r="L121" s="48"/>
      <c r="M121" s="48"/>
      <c r="N121" s="48"/>
    </row>
    <row r="122" customFormat="false" ht="15" hidden="false" customHeight="true" outlineLevel="0" collapsed="false">
      <c r="A122" s="48"/>
      <c r="B122" s="48"/>
      <c r="C122" s="48"/>
      <c r="D122" s="48"/>
      <c r="E122" s="48"/>
      <c r="F122" s="48"/>
      <c r="G122" s="48"/>
      <c r="H122" s="48"/>
      <c r="I122" s="48"/>
      <c r="J122" s="48" t="str">
        <f aca="false">IF(AND(MOVIMIENTOS!$A122&lt;&gt;"",COUNTIF(MOVIMIENTOS!$A$5:$A121,MOVIMIENTOS!$A122)=0),COUNT(J$4:J121)+1,"")</f>
        <v/>
      </c>
      <c r="K122" s="53" t="n">
        <f aca="false">MOVIMIENTOS!$A122</f>
        <v>46224</v>
      </c>
      <c r="L122" s="48"/>
      <c r="M122" s="48"/>
      <c r="N122" s="48"/>
    </row>
    <row r="123" customFormat="false" ht="15" hidden="false" customHeight="true" outlineLevel="0" collapsed="false">
      <c r="A123" s="48"/>
      <c r="B123" s="48"/>
      <c r="C123" s="48"/>
      <c r="D123" s="48"/>
      <c r="E123" s="48"/>
      <c r="F123" s="48"/>
      <c r="G123" s="48"/>
      <c r="H123" s="48"/>
      <c r="I123" s="48"/>
      <c r="J123" s="48" t="str">
        <f aca="false">IF(AND(MOVIMIENTOS!$A123&lt;&gt;"",COUNTIF(MOVIMIENTOS!$A$5:$A122,MOVIMIENTOS!$A123)=0),COUNT(J$4:J122)+1,"")</f>
        <v/>
      </c>
      <c r="K123" s="53" t="n">
        <f aca="false">MOVIMIENTOS!$A123</f>
        <v>46224</v>
      </c>
      <c r="L123" s="48"/>
      <c r="M123" s="48"/>
      <c r="N123" s="48"/>
    </row>
    <row r="124" customFormat="false" ht="15" hidden="false" customHeight="true" outlineLevel="0" collapsed="false">
      <c r="A124" s="48"/>
      <c r="B124" s="48"/>
      <c r="C124" s="48"/>
      <c r="D124" s="48"/>
      <c r="E124" s="48"/>
      <c r="F124" s="48"/>
      <c r="G124" s="48"/>
      <c r="H124" s="48"/>
      <c r="I124" s="48"/>
      <c r="J124" s="48" t="str">
        <f aca="false">IF(AND(MOVIMIENTOS!$A124&lt;&gt;"",COUNTIF(MOVIMIENTOS!$A$5:$A123,MOVIMIENTOS!$A124)=0),COUNT(J$4:J123)+1,"")</f>
        <v/>
      </c>
      <c r="K124" s="53" t="n">
        <f aca="false">MOVIMIENTOS!$A124</f>
        <v>46224</v>
      </c>
      <c r="L124" s="48"/>
      <c r="M124" s="48"/>
      <c r="N124" s="48"/>
    </row>
    <row r="125" customFormat="false" ht="15" hidden="false" customHeight="true" outlineLevel="0" collapsed="false">
      <c r="A125" s="48"/>
      <c r="B125" s="48"/>
      <c r="C125" s="48"/>
      <c r="D125" s="48"/>
      <c r="E125" s="48"/>
      <c r="F125" s="48"/>
      <c r="G125" s="48"/>
      <c r="H125" s="48"/>
      <c r="I125" s="48"/>
      <c r="J125" s="48" t="str">
        <f aca="false">IF(AND(MOVIMIENTOS!$A125&lt;&gt;"",COUNTIF(MOVIMIENTOS!$A$5:$A124,MOVIMIENTOS!$A125)=0),COUNT(J$4:J124)+1,"")</f>
        <v/>
      </c>
      <c r="K125" s="53" t="n">
        <f aca="false">MOVIMIENTOS!$A125</f>
        <v>46224</v>
      </c>
      <c r="L125" s="48"/>
      <c r="M125" s="48"/>
      <c r="N125" s="48"/>
    </row>
    <row r="126" customFormat="false" ht="15" hidden="false" customHeight="true" outlineLevel="0" collapsed="false">
      <c r="A126" s="48"/>
      <c r="B126" s="48"/>
      <c r="C126" s="48"/>
      <c r="D126" s="48"/>
      <c r="E126" s="48"/>
      <c r="F126" s="48"/>
      <c r="G126" s="48"/>
      <c r="H126" s="48"/>
      <c r="I126" s="48"/>
      <c r="J126" s="48" t="str">
        <f aca="false">IF(AND(MOVIMIENTOS!$A126&lt;&gt;"",COUNTIF(MOVIMIENTOS!$A$5:$A125,MOVIMIENTOS!$A126)=0),COUNT(J$4:J125)+1,"")</f>
        <v/>
      </c>
      <c r="K126" s="53" t="n">
        <f aca="false">MOVIMIENTOS!$A126</f>
        <v>46224</v>
      </c>
      <c r="L126" s="48"/>
      <c r="M126" s="48"/>
      <c r="N126" s="48"/>
    </row>
    <row r="127" customFormat="false" ht="15" hidden="false" customHeight="true" outlineLevel="0" collapsed="false">
      <c r="A127" s="48"/>
      <c r="B127" s="48"/>
      <c r="C127" s="48"/>
      <c r="D127" s="48"/>
      <c r="E127" s="48"/>
      <c r="F127" s="48"/>
      <c r="G127" s="48"/>
      <c r="H127" s="48"/>
      <c r="I127" s="48"/>
      <c r="J127" s="48" t="str">
        <f aca="false">IF(AND(MOVIMIENTOS!$A127&lt;&gt;"",COUNTIF(MOVIMIENTOS!$A$5:$A126,MOVIMIENTOS!$A127)=0),COUNT(J$4:J126)+1,"")</f>
        <v/>
      </c>
      <c r="K127" s="53" t="n">
        <f aca="false">MOVIMIENTOS!$A127</f>
        <v>46224</v>
      </c>
      <c r="L127" s="48"/>
      <c r="M127" s="48"/>
      <c r="N127" s="48"/>
    </row>
    <row r="128" customFormat="false" ht="15" hidden="false" customHeight="true" outlineLevel="0" collapsed="false">
      <c r="A128" s="48"/>
      <c r="B128" s="48"/>
      <c r="C128" s="48"/>
      <c r="D128" s="48"/>
      <c r="E128" s="48"/>
      <c r="F128" s="48"/>
      <c r="G128" s="48"/>
      <c r="H128" s="48"/>
      <c r="I128" s="48"/>
      <c r="J128" s="48" t="n">
        <f aca="false">IF(AND(MOVIMIENTOS!$A128&lt;&gt;"",COUNTIF(MOVIMIENTOS!$A$5:$A127,MOVIMIENTOS!$A128)=0),COUNT(J$4:J127)+1,"")</f>
        <v>12</v>
      </c>
      <c r="K128" s="53" t="n">
        <f aca="false">MOVIMIENTOS!$A128</f>
        <v>46225</v>
      </c>
      <c r="L128" s="48"/>
      <c r="M128" s="48"/>
      <c r="N128" s="48"/>
    </row>
    <row r="129" customFormat="false" ht="15" hidden="false" customHeight="true" outlineLevel="0" collapsed="false">
      <c r="A129" s="48"/>
      <c r="B129" s="48"/>
      <c r="C129" s="48"/>
      <c r="D129" s="48"/>
      <c r="E129" s="48"/>
      <c r="F129" s="48"/>
      <c r="G129" s="48"/>
      <c r="H129" s="48"/>
      <c r="I129" s="48"/>
      <c r="J129" s="48" t="str">
        <f aca="false">IF(AND(MOVIMIENTOS!$A129&lt;&gt;"",COUNTIF(MOVIMIENTOS!$A$5:$A128,MOVIMIENTOS!$A129)=0),COUNT(J$4:J128)+1,"")</f>
        <v/>
      </c>
      <c r="K129" s="53" t="n">
        <f aca="false">MOVIMIENTOS!$A129</f>
        <v>46225</v>
      </c>
      <c r="L129" s="48"/>
      <c r="M129" s="48"/>
      <c r="N129" s="48"/>
    </row>
    <row r="130" customFormat="false" ht="15" hidden="false" customHeight="true" outlineLevel="0" collapsed="false">
      <c r="A130" s="48"/>
      <c r="B130" s="48"/>
      <c r="C130" s="48"/>
      <c r="D130" s="48"/>
      <c r="E130" s="48"/>
      <c r="F130" s="48"/>
      <c r="G130" s="48"/>
      <c r="H130" s="48"/>
      <c r="I130" s="48"/>
      <c r="J130" s="48" t="str">
        <f aca="false">IF(AND(MOVIMIENTOS!$A130&lt;&gt;"",COUNTIF(MOVIMIENTOS!$A$5:$A129,MOVIMIENTOS!$A130)=0),COUNT(J$4:J129)+1,"")</f>
        <v/>
      </c>
      <c r="K130" s="53" t="n">
        <f aca="false">MOVIMIENTOS!$A130</f>
        <v>46225</v>
      </c>
      <c r="L130" s="48"/>
      <c r="M130" s="48"/>
      <c r="N130" s="48"/>
    </row>
    <row r="131" customFormat="false" ht="15" hidden="false" customHeight="true" outlineLevel="0" collapsed="false">
      <c r="A131" s="48"/>
      <c r="B131" s="48"/>
      <c r="C131" s="48"/>
      <c r="D131" s="48"/>
      <c r="E131" s="48"/>
      <c r="F131" s="48"/>
      <c r="G131" s="48"/>
      <c r="H131" s="48"/>
      <c r="I131" s="48"/>
      <c r="J131" s="48" t="str">
        <f aca="false">IF(AND(MOVIMIENTOS!$A131&lt;&gt;"",COUNTIF(MOVIMIENTOS!$A$5:$A130,MOVIMIENTOS!$A131)=0),COUNT(J$4:J130)+1,"")</f>
        <v/>
      </c>
      <c r="K131" s="53" t="n">
        <f aca="false">MOVIMIENTOS!$A131</f>
        <v>46225</v>
      </c>
      <c r="L131" s="48"/>
      <c r="M131" s="48"/>
      <c r="N131" s="48"/>
    </row>
    <row r="132" customFormat="false" ht="15" hidden="false" customHeight="true" outlineLevel="0" collapsed="false">
      <c r="A132" s="48"/>
      <c r="B132" s="48"/>
      <c r="C132" s="48"/>
      <c r="D132" s="48"/>
      <c r="E132" s="48"/>
      <c r="F132" s="48"/>
      <c r="G132" s="48"/>
      <c r="H132" s="48"/>
      <c r="I132" s="48"/>
      <c r="J132" s="48" t="str">
        <f aca="false">IF(AND(MOVIMIENTOS!$A132&lt;&gt;"",COUNTIF(MOVIMIENTOS!$A$5:$A131,MOVIMIENTOS!$A132)=0),COUNT(J$4:J131)+1,"")</f>
        <v/>
      </c>
      <c r="K132" s="53" t="n">
        <f aca="false">MOVIMIENTOS!$A132</f>
        <v>46225</v>
      </c>
      <c r="L132" s="48"/>
      <c r="M132" s="48"/>
      <c r="N132" s="48"/>
    </row>
    <row r="133" customFormat="false" ht="15" hidden="false" customHeight="true" outlineLevel="0" collapsed="false">
      <c r="A133" s="48"/>
      <c r="B133" s="48"/>
      <c r="C133" s="48"/>
      <c r="D133" s="48"/>
      <c r="E133" s="48"/>
      <c r="F133" s="48"/>
      <c r="G133" s="48"/>
      <c r="H133" s="48"/>
      <c r="I133" s="48"/>
      <c r="J133" s="48" t="str">
        <f aca="false">IF(AND(MOVIMIENTOS!$A133&lt;&gt;"",COUNTIF(MOVIMIENTOS!$A$5:$A132,MOVIMIENTOS!$A133)=0),COUNT(J$4:J132)+1,"")</f>
        <v/>
      </c>
      <c r="K133" s="53" t="n">
        <f aca="false">MOVIMIENTOS!$A133</f>
        <v>46225</v>
      </c>
      <c r="L133" s="48"/>
      <c r="M133" s="48"/>
      <c r="N133" s="48"/>
    </row>
    <row r="134" customFormat="false" ht="15" hidden="false" customHeight="true" outlineLevel="0" collapsed="false">
      <c r="A134" s="48"/>
      <c r="B134" s="48"/>
      <c r="C134" s="48"/>
      <c r="D134" s="48"/>
      <c r="E134" s="48"/>
      <c r="F134" s="48"/>
      <c r="G134" s="48"/>
      <c r="H134" s="48"/>
      <c r="I134" s="48"/>
      <c r="J134" s="48" t="str">
        <f aca="false">IF(AND(MOVIMIENTOS!$A134&lt;&gt;"",COUNTIF(MOVIMIENTOS!$A$5:$A133,MOVIMIENTOS!$A134)=0),COUNT(J$4:J133)+1,"")</f>
        <v/>
      </c>
      <c r="K134" s="53" t="n">
        <f aca="false">MOVIMIENTOS!$A134</f>
        <v>46225</v>
      </c>
      <c r="L134" s="48"/>
      <c r="M134" s="48"/>
      <c r="N134" s="48"/>
    </row>
    <row r="135" customFormat="false" ht="15" hidden="false" customHeight="true" outlineLevel="0" collapsed="false">
      <c r="A135" s="48"/>
      <c r="B135" s="48"/>
      <c r="C135" s="48"/>
      <c r="D135" s="48"/>
      <c r="E135" s="48"/>
      <c r="F135" s="48"/>
      <c r="G135" s="48"/>
      <c r="H135" s="48"/>
      <c r="I135" s="48"/>
      <c r="J135" s="48" t="str">
        <f aca="false">IF(AND(MOVIMIENTOS!$A135&lt;&gt;"",COUNTIF(MOVIMIENTOS!$A$5:$A134,MOVIMIENTOS!$A135)=0),COUNT(J$4:J134)+1,"")</f>
        <v/>
      </c>
      <c r="K135" s="53" t="n">
        <f aca="false">MOVIMIENTOS!$A135</f>
        <v>46225</v>
      </c>
      <c r="L135" s="48"/>
      <c r="M135" s="48"/>
      <c r="N135" s="48"/>
    </row>
    <row r="136" customFormat="false" ht="15" hidden="false" customHeight="true" outlineLevel="0" collapsed="false">
      <c r="A136" s="48"/>
      <c r="B136" s="48"/>
      <c r="C136" s="48"/>
      <c r="D136" s="48"/>
      <c r="E136" s="48"/>
      <c r="F136" s="48"/>
      <c r="G136" s="48"/>
      <c r="H136" s="48"/>
      <c r="I136" s="48"/>
      <c r="J136" s="48" t="str">
        <f aca="false">IF(AND(MOVIMIENTOS!$A136&lt;&gt;"",COUNTIF(MOVIMIENTOS!$A$5:$A135,MOVIMIENTOS!$A136)=0),COUNT(J$4:J135)+1,"")</f>
        <v/>
      </c>
      <c r="K136" s="53" t="n">
        <f aca="false">MOVIMIENTOS!$A136</f>
        <v>46225</v>
      </c>
      <c r="L136" s="48"/>
      <c r="M136" s="48"/>
      <c r="N136" s="48"/>
    </row>
    <row r="137" customFormat="false" ht="15" hidden="false" customHeight="true" outlineLevel="0" collapsed="false">
      <c r="A137" s="48"/>
      <c r="B137" s="48"/>
      <c r="C137" s="48"/>
      <c r="D137" s="48"/>
      <c r="E137" s="48"/>
      <c r="F137" s="48"/>
      <c r="G137" s="48"/>
      <c r="H137" s="48"/>
      <c r="I137" s="48"/>
      <c r="J137" s="48" t="str">
        <f aca="false">IF(AND(MOVIMIENTOS!$A137&lt;&gt;"",COUNTIF(MOVIMIENTOS!$A$5:$A136,MOVIMIENTOS!$A137)=0),COUNT(J$4:J136)+1,"")</f>
        <v/>
      </c>
      <c r="K137" s="53" t="n">
        <f aca="false">MOVIMIENTOS!$A137</f>
        <v>46225</v>
      </c>
      <c r="L137" s="48"/>
      <c r="M137" s="48"/>
      <c r="N137" s="48"/>
    </row>
    <row r="138" customFormat="false" ht="15" hidden="false" customHeight="true" outlineLevel="0" collapsed="false">
      <c r="A138" s="48"/>
      <c r="B138" s="48"/>
      <c r="C138" s="48"/>
      <c r="D138" s="48"/>
      <c r="E138" s="48"/>
      <c r="F138" s="48"/>
      <c r="G138" s="48"/>
      <c r="H138" s="48"/>
      <c r="I138" s="48"/>
      <c r="J138" s="48" t="str">
        <f aca="false">IF(AND(MOVIMIENTOS!$A138&lt;&gt;"",COUNTIF(MOVIMIENTOS!$A$5:$A137,MOVIMIENTOS!$A138)=0),COUNT(J$4:J137)+1,"")</f>
        <v/>
      </c>
      <c r="K138" s="53" t="n">
        <f aca="false">MOVIMIENTOS!$A138</f>
        <v>46225</v>
      </c>
      <c r="L138" s="48"/>
      <c r="M138" s="48"/>
      <c r="N138" s="48"/>
    </row>
    <row r="139" customFormat="false" ht="15" hidden="false" customHeight="true" outlineLevel="0" collapsed="false">
      <c r="A139" s="48"/>
      <c r="B139" s="48"/>
      <c r="C139" s="48"/>
      <c r="D139" s="48"/>
      <c r="E139" s="48"/>
      <c r="F139" s="48"/>
      <c r="G139" s="48"/>
      <c r="H139" s="48"/>
      <c r="I139" s="48"/>
      <c r="J139" s="48" t="str">
        <f aca="false">IF(AND(MOVIMIENTOS!$A139&lt;&gt;"",COUNTIF(MOVIMIENTOS!$A$5:$A138,MOVIMIENTOS!$A139)=0),COUNT(J$4:J138)+1,"")</f>
        <v/>
      </c>
      <c r="K139" s="53" t="n">
        <f aca="false">MOVIMIENTOS!$A139</f>
        <v>46225</v>
      </c>
      <c r="L139" s="48"/>
      <c r="M139" s="48"/>
      <c r="N139" s="48"/>
    </row>
    <row r="140" customFormat="false" ht="15" hidden="false" customHeight="true" outlineLevel="0" collapsed="false">
      <c r="A140" s="48"/>
      <c r="B140" s="48"/>
      <c r="C140" s="48"/>
      <c r="D140" s="48"/>
      <c r="E140" s="48"/>
      <c r="F140" s="48"/>
      <c r="G140" s="48"/>
      <c r="H140" s="48"/>
      <c r="I140" s="48"/>
      <c r="J140" s="48" t="str">
        <f aca="false">IF(AND(MOVIMIENTOS!$A140&lt;&gt;"",COUNTIF(MOVIMIENTOS!$A$5:$A139,MOVIMIENTOS!$A140)=0),COUNT(J$4:J139)+1,"")</f>
        <v/>
      </c>
      <c r="K140" s="53" t="n">
        <f aca="false">MOVIMIENTOS!$A140</f>
        <v>46225</v>
      </c>
      <c r="L140" s="48"/>
      <c r="M140" s="48"/>
      <c r="N140" s="48"/>
    </row>
    <row r="141" customFormat="false" ht="15" hidden="false" customHeight="true" outlineLevel="0" collapsed="false">
      <c r="A141" s="48"/>
      <c r="B141" s="48"/>
      <c r="C141" s="48"/>
      <c r="D141" s="48"/>
      <c r="E141" s="48"/>
      <c r="F141" s="48"/>
      <c r="G141" s="48"/>
      <c r="H141" s="48"/>
      <c r="I141" s="48"/>
      <c r="J141" s="48" t="str">
        <f aca="false">IF(AND(MOVIMIENTOS!$A141&lt;&gt;"",COUNTIF(MOVIMIENTOS!$A$5:$A140,MOVIMIENTOS!$A141)=0),COUNT(J$4:J140)+1,"")</f>
        <v/>
      </c>
      <c r="K141" s="53" t="n">
        <f aca="false">MOVIMIENTOS!$A141</f>
        <v>46225</v>
      </c>
      <c r="L141" s="48"/>
      <c r="M141" s="48"/>
      <c r="N141" s="48"/>
    </row>
    <row r="142" customFormat="false" ht="15" hidden="false" customHeight="true" outlineLevel="0" collapsed="false">
      <c r="A142" s="48"/>
      <c r="B142" s="48"/>
      <c r="C142" s="48"/>
      <c r="D142" s="48"/>
      <c r="E142" s="48"/>
      <c r="F142" s="48"/>
      <c r="G142" s="48"/>
      <c r="H142" s="48"/>
      <c r="I142" s="48"/>
      <c r="J142" s="48" t="str">
        <f aca="false">IF(AND(MOVIMIENTOS!$A142&lt;&gt;"",COUNTIF(MOVIMIENTOS!$A$5:$A141,MOVIMIENTOS!$A142)=0),COUNT(J$4:J141)+1,"")</f>
        <v/>
      </c>
      <c r="K142" s="53" t="n">
        <f aca="false">MOVIMIENTOS!$A142</f>
        <v>46225</v>
      </c>
      <c r="L142" s="48"/>
      <c r="M142" s="48"/>
      <c r="N142" s="48"/>
    </row>
    <row r="143" customFormat="false" ht="15" hidden="false" customHeight="true" outlineLevel="0" collapsed="false">
      <c r="A143" s="48"/>
      <c r="B143" s="48"/>
      <c r="C143" s="48"/>
      <c r="D143" s="48"/>
      <c r="E143" s="48"/>
      <c r="F143" s="48"/>
      <c r="G143" s="48"/>
      <c r="H143" s="48"/>
      <c r="I143" s="48"/>
      <c r="J143" s="48" t="str">
        <f aca="false">IF(AND(MOVIMIENTOS!$A143&lt;&gt;"",COUNTIF(MOVIMIENTOS!$A$5:$A142,MOVIMIENTOS!$A143)=0),COUNT(J$4:J142)+1,"")</f>
        <v/>
      </c>
      <c r="K143" s="53" t="n">
        <f aca="false">MOVIMIENTOS!$A143</f>
        <v>46225</v>
      </c>
      <c r="L143" s="48"/>
      <c r="M143" s="48"/>
      <c r="N143" s="48"/>
    </row>
    <row r="144" customFormat="false" ht="15" hidden="false" customHeight="true" outlineLevel="0" collapsed="false">
      <c r="A144" s="48"/>
      <c r="B144" s="48"/>
      <c r="C144" s="48"/>
      <c r="D144" s="48"/>
      <c r="E144" s="48"/>
      <c r="F144" s="48"/>
      <c r="G144" s="48"/>
      <c r="H144" s="48"/>
      <c r="I144" s="48"/>
      <c r="J144" s="48" t="n">
        <f aca="false">IF(AND(MOVIMIENTOS!$A144&lt;&gt;"",COUNTIF(MOVIMIENTOS!$A$5:$A143,MOVIMIENTOS!$A144)=0),COUNT(J$4:J143)+1,"")</f>
        <v>13</v>
      </c>
      <c r="K144" s="53" t="n">
        <f aca="false">MOVIMIENTOS!$A144</f>
        <v>46226</v>
      </c>
      <c r="L144" s="48"/>
      <c r="M144" s="48"/>
      <c r="N144" s="48"/>
    </row>
    <row r="145" customFormat="false" ht="15" hidden="false" customHeight="true" outlineLevel="0" collapsed="false">
      <c r="A145" s="48"/>
      <c r="B145" s="48"/>
      <c r="C145" s="48"/>
      <c r="D145" s="48"/>
      <c r="E145" s="48"/>
      <c r="F145" s="48"/>
      <c r="G145" s="48"/>
      <c r="H145" s="48"/>
      <c r="I145" s="48"/>
      <c r="J145" s="48" t="str">
        <f aca="false">IF(AND(MOVIMIENTOS!$A145&lt;&gt;"",COUNTIF(MOVIMIENTOS!$A$5:$A144,MOVIMIENTOS!$A145)=0),COUNT(J$4:J144)+1,"")</f>
        <v/>
      </c>
      <c r="K145" s="53" t="n">
        <f aca="false">MOVIMIENTOS!$A145</f>
        <v>46226</v>
      </c>
      <c r="L145" s="48"/>
      <c r="M145" s="48"/>
      <c r="N145" s="48"/>
    </row>
    <row r="146" customFormat="false" ht="15" hidden="false" customHeight="true" outlineLevel="0" collapsed="false">
      <c r="A146" s="48"/>
      <c r="B146" s="48"/>
      <c r="C146" s="48"/>
      <c r="D146" s="48"/>
      <c r="E146" s="48"/>
      <c r="F146" s="48"/>
      <c r="G146" s="48"/>
      <c r="H146" s="48"/>
      <c r="I146" s="48"/>
      <c r="J146" s="48" t="str">
        <f aca="false">IF(AND(MOVIMIENTOS!$A146&lt;&gt;"",COUNTIF(MOVIMIENTOS!$A$5:$A145,MOVIMIENTOS!$A146)=0),COUNT(J$4:J145)+1,"")</f>
        <v/>
      </c>
      <c r="K146" s="53" t="n">
        <f aca="false">MOVIMIENTOS!$A146</f>
        <v>46226</v>
      </c>
      <c r="L146" s="48"/>
      <c r="M146" s="48"/>
      <c r="N146" s="48"/>
    </row>
    <row r="147" customFormat="false" ht="15" hidden="false" customHeight="true" outlineLevel="0" collapsed="false">
      <c r="A147" s="48"/>
      <c r="B147" s="48"/>
      <c r="C147" s="48"/>
      <c r="D147" s="48"/>
      <c r="E147" s="48"/>
      <c r="F147" s="48"/>
      <c r="G147" s="48"/>
      <c r="H147" s="48"/>
      <c r="I147" s="48"/>
      <c r="J147" s="48" t="str">
        <f aca="false">IF(AND(MOVIMIENTOS!$A147&lt;&gt;"",COUNTIF(MOVIMIENTOS!$A$5:$A146,MOVIMIENTOS!$A147)=0),COUNT(J$4:J146)+1,"")</f>
        <v/>
      </c>
      <c r="K147" s="53" t="n">
        <f aca="false">MOVIMIENTOS!$A147</f>
        <v>46226</v>
      </c>
      <c r="L147" s="48"/>
      <c r="M147" s="48"/>
      <c r="N147" s="48"/>
    </row>
    <row r="148" customFormat="false" ht="15" hidden="false" customHeight="true" outlineLevel="0" collapsed="false">
      <c r="A148" s="48"/>
      <c r="B148" s="48"/>
      <c r="C148" s="48"/>
      <c r="D148" s="48"/>
      <c r="E148" s="48"/>
      <c r="F148" s="48"/>
      <c r="G148" s="48"/>
      <c r="H148" s="48"/>
      <c r="I148" s="48"/>
      <c r="J148" s="48" t="str">
        <f aca="false">IF(AND(MOVIMIENTOS!$A148&lt;&gt;"",COUNTIF(MOVIMIENTOS!$A$5:$A147,MOVIMIENTOS!$A148)=0),COUNT(J$4:J147)+1,"")</f>
        <v/>
      </c>
      <c r="K148" s="53" t="n">
        <f aca="false">MOVIMIENTOS!$A148</f>
        <v>46226</v>
      </c>
      <c r="L148" s="48"/>
      <c r="M148" s="48"/>
      <c r="N148" s="48"/>
    </row>
    <row r="149" customFormat="false" ht="15" hidden="false" customHeight="true" outlineLevel="0" collapsed="false">
      <c r="A149" s="48"/>
      <c r="B149" s="48"/>
      <c r="C149" s="48"/>
      <c r="D149" s="48"/>
      <c r="E149" s="48"/>
      <c r="F149" s="48"/>
      <c r="G149" s="48"/>
      <c r="H149" s="48"/>
      <c r="I149" s="48"/>
      <c r="J149" s="48" t="str">
        <f aca="false">IF(AND(MOVIMIENTOS!$A149&lt;&gt;"",COUNTIF(MOVIMIENTOS!$A$5:$A148,MOVIMIENTOS!$A149)=0),COUNT(J$4:J148)+1,"")</f>
        <v/>
      </c>
      <c r="K149" s="53" t="n">
        <f aca="false">MOVIMIENTOS!$A149</f>
        <v>46226</v>
      </c>
      <c r="L149" s="48"/>
      <c r="M149" s="48"/>
      <c r="N149" s="48"/>
    </row>
    <row r="150" customFormat="false" ht="15" hidden="false" customHeight="true" outlineLevel="0" collapsed="false">
      <c r="A150" s="48"/>
      <c r="B150" s="48"/>
      <c r="C150" s="48"/>
      <c r="D150" s="48"/>
      <c r="E150" s="48"/>
      <c r="F150" s="48"/>
      <c r="G150" s="48"/>
      <c r="H150" s="48"/>
      <c r="I150" s="48"/>
      <c r="J150" s="48" t="str">
        <f aca="false">IF(AND(MOVIMIENTOS!$A150&lt;&gt;"",COUNTIF(MOVIMIENTOS!$A$5:$A149,MOVIMIENTOS!$A150)=0),COUNT(J$4:J149)+1,"")</f>
        <v/>
      </c>
      <c r="K150" s="53" t="n">
        <f aca="false">MOVIMIENTOS!$A150</f>
        <v>46226</v>
      </c>
      <c r="L150" s="48"/>
      <c r="M150" s="48"/>
      <c r="N150" s="48"/>
    </row>
    <row r="151" customFormat="false" ht="15" hidden="false" customHeight="true" outlineLevel="0" collapsed="false">
      <c r="A151" s="48"/>
      <c r="B151" s="48"/>
      <c r="C151" s="48"/>
      <c r="D151" s="48"/>
      <c r="E151" s="48"/>
      <c r="F151" s="48"/>
      <c r="G151" s="48"/>
      <c r="H151" s="48"/>
      <c r="I151" s="48"/>
      <c r="J151" s="48" t="str">
        <f aca="false">IF(AND(MOVIMIENTOS!$A151&lt;&gt;"",COUNTIF(MOVIMIENTOS!$A$5:$A150,MOVIMIENTOS!$A151)=0),COUNT(J$4:J150)+1,"")</f>
        <v/>
      </c>
      <c r="K151" s="53" t="n">
        <f aca="false">MOVIMIENTOS!$A151</f>
        <v>46226</v>
      </c>
      <c r="L151" s="48"/>
      <c r="M151" s="48"/>
      <c r="N151" s="48"/>
    </row>
    <row r="152" customFormat="false" ht="15" hidden="false" customHeight="true" outlineLevel="0" collapsed="false">
      <c r="A152" s="48"/>
      <c r="B152" s="48"/>
      <c r="C152" s="48"/>
      <c r="D152" s="48"/>
      <c r="E152" s="48"/>
      <c r="F152" s="48"/>
      <c r="G152" s="48"/>
      <c r="H152" s="48"/>
      <c r="I152" s="48"/>
      <c r="J152" s="48" t="str">
        <f aca="false">IF(AND(MOVIMIENTOS!$A152&lt;&gt;"",COUNTIF(MOVIMIENTOS!$A$5:$A151,MOVIMIENTOS!$A152)=0),COUNT(J$4:J151)+1,"")</f>
        <v/>
      </c>
      <c r="K152" s="53" t="n">
        <f aca="false">MOVIMIENTOS!$A152</f>
        <v>46226</v>
      </c>
      <c r="L152" s="48"/>
      <c r="M152" s="48"/>
      <c r="N152" s="48"/>
    </row>
    <row r="153" customFormat="false" ht="15" hidden="false" customHeight="true" outlineLevel="0" collapsed="false">
      <c r="A153" s="48"/>
      <c r="B153" s="48"/>
      <c r="C153" s="48"/>
      <c r="D153" s="48"/>
      <c r="E153" s="48"/>
      <c r="F153" s="48"/>
      <c r="G153" s="48"/>
      <c r="H153" s="48"/>
      <c r="I153" s="48"/>
      <c r="J153" s="48" t="str">
        <f aca="false">IF(AND(MOVIMIENTOS!$A153&lt;&gt;"",COUNTIF(MOVIMIENTOS!$A$5:$A152,MOVIMIENTOS!$A153)=0),COUNT(J$4:J152)+1,"")</f>
        <v/>
      </c>
      <c r="K153" s="53" t="n">
        <f aca="false">MOVIMIENTOS!$A153</f>
        <v>46226</v>
      </c>
      <c r="L153" s="48"/>
      <c r="M153" s="48"/>
      <c r="N153" s="48"/>
    </row>
    <row r="154" customFormat="false" ht="15" hidden="false" customHeight="true" outlineLevel="0" collapsed="false">
      <c r="A154" s="48"/>
      <c r="B154" s="48"/>
      <c r="C154" s="48"/>
      <c r="D154" s="48"/>
      <c r="E154" s="48"/>
      <c r="F154" s="48"/>
      <c r="G154" s="48"/>
      <c r="H154" s="48"/>
      <c r="I154" s="48"/>
      <c r="J154" s="48" t="str">
        <f aca="false">IF(AND(MOVIMIENTOS!$A154&lt;&gt;"",COUNTIF(MOVIMIENTOS!$A$5:$A153,MOVIMIENTOS!$A154)=0),COUNT(J$4:J153)+1,"")</f>
        <v/>
      </c>
      <c r="K154" s="53" t="n">
        <f aca="false">MOVIMIENTOS!$A154</f>
        <v>46226</v>
      </c>
      <c r="L154" s="48"/>
      <c r="M154" s="48"/>
      <c r="N154" s="48"/>
    </row>
    <row r="155" customFormat="false" ht="15" hidden="false" customHeight="true" outlineLevel="0" collapsed="false">
      <c r="A155" s="48"/>
      <c r="B155" s="48"/>
      <c r="C155" s="48"/>
      <c r="D155" s="48"/>
      <c r="E155" s="48"/>
      <c r="F155" s="48"/>
      <c r="G155" s="48"/>
      <c r="H155" s="48"/>
      <c r="I155" s="48"/>
      <c r="J155" s="48" t="str">
        <f aca="false">IF(AND(MOVIMIENTOS!$A155&lt;&gt;"",COUNTIF(MOVIMIENTOS!$A$5:$A154,MOVIMIENTOS!$A155)=0),COUNT(J$4:J154)+1,"")</f>
        <v/>
      </c>
      <c r="K155" s="53" t="n">
        <f aca="false">MOVIMIENTOS!$A155</f>
        <v>46226</v>
      </c>
      <c r="L155" s="48"/>
      <c r="M155" s="48"/>
      <c r="N155" s="48"/>
    </row>
    <row r="156" customFormat="false" ht="15" hidden="false" customHeight="true" outlineLevel="0" collapsed="false">
      <c r="A156" s="48"/>
      <c r="B156" s="48"/>
      <c r="C156" s="48"/>
      <c r="D156" s="48"/>
      <c r="E156" s="48"/>
      <c r="F156" s="48"/>
      <c r="G156" s="48"/>
      <c r="H156" s="48"/>
      <c r="I156" s="48"/>
      <c r="J156" s="48" t="n">
        <f aca="false">IF(AND(MOVIMIENTOS!$A156&lt;&gt;"",COUNTIF(MOVIMIENTOS!$A$5:$A155,MOVIMIENTOS!$A156)=0),COUNT(J$4:J155)+1,"")</f>
        <v>14</v>
      </c>
      <c r="K156" s="53" t="n">
        <f aca="false">MOVIMIENTOS!$A156</f>
        <v>46227</v>
      </c>
      <c r="L156" s="48"/>
      <c r="M156" s="48"/>
      <c r="N156" s="48"/>
    </row>
    <row r="157" customFormat="false" ht="15" hidden="false" customHeight="true" outlineLevel="0" collapsed="false">
      <c r="A157" s="48"/>
      <c r="B157" s="48"/>
      <c r="C157" s="48"/>
      <c r="D157" s="48"/>
      <c r="E157" s="48"/>
      <c r="F157" s="48"/>
      <c r="G157" s="48"/>
      <c r="H157" s="48"/>
      <c r="I157" s="48"/>
      <c r="J157" s="48" t="str">
        <f aca="false">IF(AND(MOVIMIENTOS!$A157&lt;&gt;"",COUNTIF(MOVIMIENTOS!$A$5:$A156,MOVIMIENTOS!$A157)=0),COUNT(J$4:J156)+1,"")</f>
        <v/>
      </c>
      <c r="K157" s="53" t="n">
        <f aca="false">MOVIMIENTOS!$A157</f>
        <v>46227</v>
      </c>
      <c r="L157" s="48"/>
      <c r="M157" s="48"/>
      <c r="N157" s="48"/>
    </row>
    <row r="158" customFormat="false" ht="15" hidden="false" customHeight="true" outlineLevel="0" collapsed="false">
      <c r="A158" s="48"/>
      <c r="B158" s="48"/>
      <c r="C158" s="48"/>
      <c r="D158" s="48"/>
      <c r="E158" s="48"/>
      <c r="F158" s="48"/>
      <c r="G158" s="48"/>
      <c r="H158" s="48"/>
      <c r="I158" s="48"/>
      <c r="J158" s="48" t="str">
        <f aca="false">IF(AND(MOVIMIENTOS!$A158&lt;&gt;"",COUNTIF(MOVIMIENTOS!$A$5:$A157,MOVIMIENTOS!$A158)=0),COUNT(J$4:J157)+1,"")</f>
        <v/>
      </c>
      <c r="K158" s="53" t="n">
        <f aca="false">MOVIMIENTOS!$A158</f>
        <v>46227</v>
      </c>
      <c r="L158" s="48"/>
      <c r="M158" s="48"/>
      <c r="N158" s="48"/>
    </row>
    <row r="159" customFormat="false" ht="15" hidden="false" customHeight="true" outlineLevel="0" collapsed="false">
      <c r="A159" s="48"/>
      <c r="B159" s="48"/>
      <c r="C159" s="48"/>
      <c r="D159" s="48"/>
      <c r="E159" s="48"/>
      <c r="F159" s="48"/>
      <c r="G159" s="48"/>
      <c r="H159" s="48"/>
      <c r="I159" s="48"/>
      <c r="J159" s="48" t="str">
        <f aca="false">IF(AND(MOVIMIENTOS!$A159&lt;&gt;"",COUNTIF(MOVIMIENTOS!$A$5:$A158,MOVIMIENTOS!$A159)=0),COUNT(J$4:J158)+1,"")</f>
        <v/>
      </c>
      <c r="K159" s="53" t="n">
        <f aca="false">MOVIMIENTOS!$A159</f>
        <v>46227</v>
      </c>
      <c r="L159" s="48"/>
      <c r="M159" s="48"/>
      <c r="N159" s="48"/>
    </row>
    <row r="160" customFormat="false" ht="15" hidden="false" customHeight="true" outlineLevel="0" collapsed="false">
      <c r="A160" s="48"/>
      <c r="B160" s="48"/>
      <c r="C160" s="48"/>
      <c r="D160" s="48"/>
      <c r="E160" s="48"/>
      <c r="F160" s="48"/>
      <c r="G160" s="48"/>
      <c r="H160" s="48"/>
      <c r="I160" s="48"/>
      <c r="J160" s="48" t="str">
        <f aca="false">IF(AND(MOVIMIENTOS!$A160&lt;&gt;"",COUNTIF(MOVIMIENTOS!$A$5:$A159,MOVIMIENTOS!$A160)=0),COUNT(J$4:J159)+1,"")</f>
        <v/>
      </c>
      <c r="K160" s="53" t="n">
        <f aca="false">MOVIMIENTOS!$A160</f>
        <v>46227</v>
      </c>
      <c r="L160" s="48"/>
      <c r="M160" s="48"/>
      <c r="N160" s="48"/>
    </row>
    <row r="161" customFormat="false" ht="15" hidden="false" customHeight="true" outlineLevel="0" collapsed="false">
      <c r="A161" s="48"/>
      <c r="B161" s="48"/>
      <c r="C161" s="48"/>
      <c r="D161" s="48"/>
      <c r="E161" s="48"/>
      <c r="F161" s="48"/>
      <c r="G161" s="48"/>
      <c r="H161" s="48"/>
      <c r="I161" s="48"/>
      <c r="J161" s="48" t="str">
        <f aca="false">IF(AND(MOVIMIENTOS!$A161&lt;&gt;"",COUNTIF(MOVIMIENTOS!$A$5:$A160,MOVIMIENTOS!$A161)=0),COUNT(J$4:J160)+1,"")</f>
        <v/>
      </c>
      <c r="K161" s="53" t="n">
        <f aca="false">MOVIMIENTOS!$A161</f>
        <v>46227</v>
      </c>
      <c r="L161" s="48"/>
      <c r="M161" s="48"/>
      <c r="N161" s="48"/>
    </row>
    <row r="162" customFormat="false" ht="15" hidden="false" customHeight="true" outlineLevel="0" collapsed="false">
      <c r="A162" s="48"/>
      <c r="B162" s="48"/>
      <c r="C162" s="48"/>
      <c r="D162" s="48"/>
      <c r="E162" s="48"/>
      <c r="F162" s="48"/>
      <c r="G162" s="48"/>
      <c r="H162" s="48"/>
      <c r="I162" s="48"/>
      <c r="J162" s="48" t="str">
        <f aca="false">IF(AND(MOVIMIENTOS!$A162&lt;&gt;"",COUNTIF(MOVIMIENTOS!$A$5:$A161,MOVIMIENTOS!$A162)=0),COUNT(J$4:J161)+1,"")</f>
        <v/>
      </c>
      <c r="K162" s="53" t="n">
        <f aca="false">MOVIMIENTOS!$A162</f>
        <v>46227</v>
      </c>
      <c r="L162" s="48"/>
      <c r="M162" s="48"/>
      <c r="N162" s="48"/>
    </row>
    <row r="163" customFormat="false" ht="15" hidden="false" customHeight="true" outlineLevel="0" collapsed="false">
      <c r="A163" s="48"/>
      <c r="B163" s="48"/>
      <c r="C163" s="48"/>
      <c r="D163" s="48"/>
      <c r="E163" s="48"/>
      <c r="F163" s="48"/>
      <c r="G163" s="48"/>
      <c r="H163" s="48"/>
      <c r="I163" s="48"/>
      <c r="J163" s="48" t="str">
        <f aca="false">IF(AND(MOVIMIENTOS!$A163&lt;&gt;"",COUNTIF(MOVIMIENTOS!$A$5:$A162,MOVIMIENTOS!$A163)=0),COUNT(J$4:J162)+1,"")</f>
        <v/>
      </c>
      <c r="K163" s="53" t="n">
        <f aca="false">MOVIMIENTOS!$A163</f>
        <v>46227</v>
      </c>
      <c r="L163" s="48"/>
      <c r="M163" s="48"/>
      <c r="N163" s="48"/>
    </row>
    <row r="164" customFormat="false" ht="15" hidden="false" customHeight="true" outlineLevel="0" collapsed="false">
      <c r="A164" s="48"/>
      <c r="B164" s="48"/>
      <c r="C164" s="48"/>
      <c r="D164" s="48"/>
      <c r="E164" s="48"/>
      <c r="F164" s="48"/>
      <c r="G164" s="48"/>
      <c r="H164" s="48"/>
      <c r="I164" s="48"/>
      <c r="J164" s="48" t="str">
        <f aca="false">IF(AND(MOVIMIENTOS!$A164&lt;&gt;"",COUNTIF(MOVIMIENTOS!$A$5:$A163,MOVIMIENTOS!$A164)=0),COUNT(J$4:J163)+1,"")</f>
        <v/>
      </c>
      <c r="K164" s="53" t="n">
        <f aca="false">MOVIMIENTOS!$A164</f>
        <v>46227</v>
      </c>
      <c r="L164" s="48"/>
      <c r="M164" s="48"/>
      <c r="N164" s="48"/>
    </row>
    <row r="165" customFormat="false" ht="15" hidden="false" customHeight="true" outlineLevel="0" collapsed="false">
      <c r="A165" s="48"/>
      <c r="B165" s="48"/>
      <c r="C165" s="48"/>
      <c r="D165" s="48"/>
      <c r="E165" s="48"/>
      <c r="F165" s="48"/>
      <c r="G165" s="48"/>
      <c r="H165" s="48"/>
      <c r="I165" s="48"/>
      <c r="J165" s="48" t="str">
        <f aca="false">IF(AND(MOVIMIENTOS!$A165&lt;&gt;"",COUNTIF(MOVIMIENTOS!$A$5:$A164,MOVIMIENTOS!$A165)=0),COUNT(J$4:J164)+1,"")</f>
        <v/>
      </c>
      <c r="K165" s="53" t="n">
        <f aca="false">MOVIMIENTOS!$A165</f>
        <v>46227</v>
      </c>
      <c r="L165" s="48"/>
      <c r="M165" s="48"/>
      <c r="N165" s="48"/>
    </row>
    <row r="166" customFormat="false" ht="15" hidden="false" customHeight="true" outlineLevel="0" collapsed="false">
      <c r="A166" s="48"/>
      <c r="B166" s="48"/>
      <c r="C166" s="48"/>
      <c r="D166" s="48"/>
      <c r="E166" s="48"/>
      <c r="F166" s="48"/>
      <c r="G166" s="48"/>
      <c r="H166" s="48"/>
      <c r="I166" s="48"/>
      <c r="J166" s="48" t="str">
        <f aca="false">IF(AND(MOVIMIENTOS!$A166&lt;&gt;"",COUNTIF(MOVIMIENTOS!$A$5:$A165,MOVIMIENTOS!$A166)=0),COUNT(J$4:J165)+1,"")</f>
        <v/>
      </c>
      <c r="K166" s="53" t="n">
        <f aca="false">MOVIMIENTOS!$A166</f>
        <v>46227</v>
      </c>
      <c r="L166" s="48"/>
      <c r="M166" s="48"/>
      <c r="N166" s="48"/>
    </row>
    <row r="167" customFormat="false" ht="15" hidden="false" customHeight="true" outlineLevel="0" collapsed="false">
      <c r="A167" s="48"/>
      <c r="B167" s="48"/>
      <c r="C167" s="48"/>
      <c r="D167" s="48"/>
      <c r="E167" s="48"/>
      <c r="F167" s="48"/>
      <c r="G167" s="48"/>
      <c r="H167" s="48"/>
      <c r="I167" s="48"/>
      <c r="J167" s="48" t="str">
        <f aca="false">IF(AND(MOVIMIENTOS!$A167&lt;&gt;"",COUNTIF(MOVIMIENTOS!$A$5:$A166,MOVIMIENTOS!$A167)=0),COUNT(J$4:J166)+1,"")</f>
        <v/>
      </c>
      <c r="K167" s="53" t="n">
        <f aca="false">MOVIMIENTOS!$A167</f>
        <v>46227</v>
      </c>
      <c r="L167" s="48"/>
      <c r="M167" s="48"/>
      <c r="N167" s="48"/>
    </row>
    <row r="168" customFormat="false" ht="15" hidden="false" customHeight="true" outlineLevel="0" collapsed="false">
      <c r="A168" s="48"/>
      <c r="B168" s="48"/>
      <c r="C168" s="48"/>
      <c r="D168" s="48"/>
      <c r="E168" s="48"/>
      <c r="F168" s="48"/>
      <c r="G168" s="48"/>
      <c r="H168" s="48"/>
      <c r="I168" s="48"/>
      <c r="J168" s="48" t="str">
        <f aca="false">IF(AND(MOVIMIENTOS!$A168&lt;&gt;"",COUNTIF(MOVIMIENTOS!$A$5:$A167,MOVIMIENTOS!$A168)=0),COUNT(J$4:J167)+1,"")</f>
        <v/>
      </c>
      <c r="K168" s="53" t="n">
        <f aca="false">MOVIMIENTOS!$A168</f>
        <v>46227</v>
      </c>
      <c r="L168" s="48"/>
      <c r="M168" s="48"/>
      <c r="N168" s="48"/>
    </row>
    <row r="169" customFormat="false" ht="15" hidden="false" customHeight="true" outlineLevel="0" collapsed="false">
      <c r="A169" s="48"/>
      <c r="B169" s="48"/>
      <c r="C169" s="48"/>
      <c r="D169" s="48"/>
      <c r="E169" s="48"/>
      <c r="F169" s="48"/>
      <c r="G169" s="48"/>
      <c r="H169" s="48"/>
      <c r="I169" s="48"/>
      <c r="J169" s="48" t="str">
        <f aca="false">IF(AND(MOVIMIENTOS!$A169&lt;&gt;"",COUNTIF(MOVIMIENTOS!$A$5:$A168,MOVIMIENTOS!$A169)=0),COUNT(J$4:J168)+1,"")</f>
        <v/>
      </c>
      <c r="K169" s="53" t="n">
        <f aca="false">MOVIMIENTOS!$A169</f>
        <v>46227</v>
      </c>
      <c r="L169" s="48"/>
      <c r="M169" s="48"/>
      <c r="N169" s="48"/>
    </row>
    <row r="170" customFormat="false" ht="15" hidden="false" customHeight="true" outlineLevel="0" collapsed="false">
      <c r="A170" s="48"/>
      <c r="B170" s="48"/>
      <c r="C170" s="48"/>
      <c r="D170" s="48"/>
      <c r="E170" s="48"/>
      <c r="F170" s="48"/>
      <c r="G170" s="48"/>
      <c r="H170" s="48"/>
      <c r="I170" s="48"/>
      <c r="J170" s="48" t="str">
        <f aca="false">IF(AND(MOVIMIENTOS!$A170&lt;&gt;"",COUNTIF(MOVIMIENTOS!$A$5:$A169,MOVIMIENTOS!$A170)=0),COUNT(J$4:J169)+1,"")</f>
        <v/>
      </c>
      <c r="K170" s="53" t="n">
        <f aca="false">MOVIMIENTOS!$A170</f>
        <v>46227</v>
      </c>
      <c r="L170" s="48"/>
      <c r="M170" s="48"/>
      <c r="N170" s="48"/>
    </row>
    <row r="171" customFormat="false" ht="15" hidden="false" customHeight="true" outlineLevel="0" collapsed="false">
      <c r="A171" s="48"/>
      <c r="B171" s="48"/>
      <c r="C171" s="48"/>
      <c r="D171" s="48"/>
      <c r="E171" s="48"/>
      <c r="F171" s="48"/>
      <c r="G171" s="48"/>
      <c r="H171" s="48"/>
      <c r="I171" s="48"/>
      <c r="J171" s="48" t="str">
        <f aca="false">IF(AND(MOVIMIENTOS!$A171&lt;&gt;"",COUNTIF(MOVIMIENTOS!$A$5:$A170,MOVIMIENTOS!$A171)=0),COUNT(J$4:J170)+1,"")</f>
        <v/>
      </c>
      <c r="K171" s="53" t="n">
        <f aca="false">MOVIMIENTOS!$A171</f>
        <v>46227</v>
      </c>
      <c r="L171" s="48"/>
      <c r="M171" s="48"/>
      <c r="N171" s="48"/>
    </row>
    <row r="172" customFormat="false" ht="15" hidden="false" customHeight="true" outlineLevel="0" collapsed="false">
      <c r="A172" s="48"/>
      <c r="B172" s="48"/>
      <c r="C172" s="48"/>
      <c r="D172" s="48"/>
      <c r="E172" s="48"/>
      <c r="F172" s="48"/>
      <c r="G172" s="48"/>
      <c r="H172" s="48"/>
      <c r="I172" s="48"/>
      <c r="J172" s="48" t="n">
        <f aca="false">IF(AND(MOVIMIENTOS!$A172&lt;&gt;"",COUNTIF(MOVIMIENTOS!$A$5:$A171,MOVIMIENTOS!$A172)=0),COUNT(J$4:J171)+1,"")</f>
        <v>15</v>
      </c>
      <c r="K172" s="53" t="n">
        <f aca="false">MOVIMIENTOS!$A172</f>
        <v>46228</v>
      </c>
      <c r="L172" s="48"/>
      <c r="M172" s="48"/>
      <c r="N172" s="48"/>
    </row>
    <row r="173" customFormat="false" ht="15" hidden="false" customHeight="true" outlineLevel="0" collapsed="false">
      <c r="A173" s="48"/>
      <c r="B173" s="48"/>
      <c r="C173" s="48"/>
      <c r="D173" s="48"/>
      <c r="E173" s="48"/>
      <c r="F173" s="48"/>
      <c r="G173" s="48"/>
      <c r="H173" s="48"/>
      <c r="I173" s="48"/>
      <c r="J173" s="48" t="str">
        <f aca="false">IF(AND(MOVIMIENTOS!$A173&lt;&gt;"",COUNTIF(MOVIMIENTOS!$A$5:$A172,MOVIMIENTOS!$A173)=0),COUNT(J$4:J172)+1,"")</f>
        <v/>
      </c>
      <c r="K173" s="53" t="n">
        <f aca="false">MOVIMIENTOS!$A173</f>
        <v>46228</v>
      </c>
      <c r="L173" s="48"/>
      <c r="M173" s="48"/>
      <c r="N173" s="48"/>
    </row>
    <row r="174" customFormat="false" ht="15" hidden="false" customHeight="true" outlineLevel="0" collapsed="false">
      <c r="A174" s="48"/>
      <c r="B174" s="48"/>
      <c r="C174" s="48"/>
      <c r="D174" s="48"/>
      <c r="E174" s="48"/>
      <c r="F174" s="48"/>
      <c r="G174" s="48"/>
      <c r="H174" s="48"/>
      <c r="I174" s="48"/>
      <c r="J174" s="48" t="str">
        <f aca="false">IF(AND(MOVIMIENTOS!$A174&lt;&gt;"",COUNTIF(MOVIMIENTOS!$A$5:$A173,MOVIMIENTOS!$A174)=0),COUNT(J$4:J173)+1,"")</f>
        <v/>
      </c>
      <c r="K174" s="53" t="n">
        <f aca="false">MOVIMIENTOS!$A174</f>
        <v>46228</v>
      </c>
      <c r="L174" s="48"/>
      <c r="M174" s="48"/>
      <c r="N174" s="48"/>
    </row>
    <row r="175" customFormat="false" ht="15" hidden="false" customHeight="true" outlineLevel="0" collapsed="false">
      <c r="A175" s="48"/>
      <c r="B175" s="48"/>
      <c r="C175" s="48"/>
      <c r="D175" s="48"/>
      <c r="E175" s="48"/>
      <c r="F175" s="48"/>
      <c r="G175" s="48"/>
      <c r="H175" s="48"/>
      <c r="I175" s="48"/>
      <c r="J175" s="48" t="str">
        <f aca="false">IF(AND(MOVIMIENTOS!$A175&lt;&gt;"",COUNTIF(MOVIMIENTOS!$A$5:$A174,MOVIMIENTOS!$A175)=0),COUNT(J$4:J174)+1,"")</f>
        <v/>
      </c>
      <c r="K175" s="53" t="n">
        <f aca="false">MOVIMIENTOS!$A175</f>
        <v>46228</v>
      </c>
      <c r="L175" s="48"/>
      <c r="M175" s="48"/>
      <c r="N175" s="48"/>
    </row>
    <row r="176" customFormat="false" ht="15" hidden="false" customHeight="true" outlineLevel="0" collapsed="false">
      <c r="A176" s="48"/>
      <c r="B176" s="48"/>
      <c r="C176" s="48"/>
      <c r="D176" s="48"/>
      <c r="E176" s="48"/>
      <c r="F176" s="48"/>
      <c r="G176" s="48"/>
      <c r="H176" s="48"/>
      <c r="I176" s="48"/>
      <c r="J176" s="48" t="str">
        <f aca="false">IF(AND(MOVIMIENTOS!$A176&lt;&gt;"",COUNTIF(MOVIMIENTOS!$A$5:$A175,MOVIMIENTOS!$A176)=0),COUNT(J$4:J175)+1,"")</f>
        <v/>
      </c>
      <c r="K176" s="53" t="n">
        <f aca="false">MOVIMIENTOS!$A176</f>
        <v>46228</v>
      </c>
      <c r="L176" s="48"/>
      <c r="M176" s="48"/>
      <c r="N176" s="48"/>
    </row>
    <row r="177" customFormat="false" ht="15" hidden="false" customHeight="true" outlineLevel="0" collapsed="false">
      <c r="A177" s="48"/>
      <c r="B177" s="48"/>
      <c r="C177" s="48"/>
      <c r="D177" s="48"/>
      <c r="E177" s="48"/>
      <c r="F177" s="48"/>
      <c r="G177" s="48"/>
      <c r="H177" s="48"/>
      <c r="I177" s="48"/>
      <c r="J177" s="48" t="str">
        <f aca="false">IF(AND(MOVIMIENTOS!$A177&lt;&gt;"",COUNTIF(MOVIMIENTOS!$A$5:$A176,MOVIMIENTOS!$A177)=0),COUNT(J$4:J176)+1,"")</f>
        <v/>
      </c>
      <c r="K177" s="53" t="n">
        <f aca="false">MOVIMIENTOS!$A177</f>
        <v>46228</v>
      </c>
      <c r="L177" s="48"/>
      <c r="M177" s="48"/>
      <c r="N177" s="48"/>
    </row>
    <row r="178" customFormat="false" ht="15" hidden="false" customHeight="true" outlineLevel="0" collapsed="false">
      <c r="A178" s="48"/>
      <c r="B178" s="48"/>
      <c r="C178" s="48"/>
      <c r="D178" s="48"/>
      <c r="E178" s="48"/>
      <c r="F178" s="48"/>
      <c r="G178" s="48"/>
      <c r="H178" s="48"/>
      <c r="I178" s="48"/>
      <c r="J178" s="48" t="str">
        <f aca="false">IF(AND(MOVIMIENTOS!$A178&lt;&gt;"",COUNTIF(MOVIMIENTOS!$A$5:$A177,MOVIMIENTOS!$A178)=0),COUNT(J$4:J177)+1,"")</f>
        <v/>
      </c>
      <c r="K178" s="53" t="n">
        <f aca="false">MOVIMIENTOS!$A178</f>
        <v>46228</v>
      </c>
      <c r="L178" s="48"/>
      <c r="M178" s="48"/>
      <c r="N178" s="48"/>
    </row>
    <row r="179" customFormat="false" ht="15" hidden="false" customHeight="true" outlineLevel="0" collapsed="false">
      <c r="A179" s="48"/>
      <c r="B179" s="48"/>
      <c r="C179" s="48"/>
      <c r="D179" s="48"/>
      <c r="E179" s="48"/>
      <c r="F179" s="48"/>
      <c r="G179" s="48"/>
      <c r="H179" s="48"/>
      <c r="I179" s="48"/>
      <c r="J179" s="48" t="str">
        <f aca="false">IF(AND(MOVIMIENTOS!$A179&lt;&gt;"",COUNTIF(MOVIMIENTOS!$A$5:$A178,MOVIMIENTOS!$A179)=0),COUNT(J$4:J178)+1,"")</f>
        <v/>
      </c>
      <c r="K179" s="53" t="n">
        <f aca="false">MOVIMIENTOS!$A179</f>
        <v>46228</v>
      </c>
      <c r="L179" s="48"/>
      <c r="M179" s="48"/>
      <c r="N179" s="48"/>
    </row>
    <row r="180" customFormat="false" ht="15" hidden="false" customHeight="true" outlineLevel="0" collapsed="false">
      <c r="A180" s="48"/>
      <c r="B180" s="48"/>
      <c r="C180" s="48"/>
      <c r="D180" s="48"/>
      <c r="E180" s="48"/>
      <c r="F180" s="48"/>
      <c r="G180" s="48"/>
      <c r="H180" s="48"/>
      <c r="I180" s="48"/>
      <c r="J180" s="48" t="str">
        <f aca="false">IF(AND(MOVIMIENTOS!$A180&lt;&gt;"",COUNTIF(MOVIMIENTOS!$A$5:$A179,MOVIMIENTOS!$A180)=0),COUNT(J$4:J179)+1,"")</f>
        <v/>
      </c>
      <c r="K180" s="53" t="n">
        <f aca="false">MOVIMIENTOS!$A180</f>
        <v>46228</v>
      </c>
      <c r="L180" s="48"/>
      <c r="M180" s="48"/>
      <c r="N180" s="48"/>
    </row>
    <row r="181" customFormat="false" ht="15" hidden="false" customHeight="true" outlineLevel="0" collapsed="false">
      <c r="A181" s="48"/>
      <c r="B181" s="48"/>
      <c r="C181" s="48"/>
      <c r="D181" s="48"/>
      <c r="E181" s="48"/>
      <c r="F181" s="48"/>
      <c r="G181" s="48"/>
      <c r="H181" s="48"/>
      <c r="I181" s="48"/>
      <c r="J181" s="48" t="n">
        <f aca="false">IF(AND(MOVIMIENTOS!$A181&lt;&gt;"",COUNTIF(MOVIMIENTOS!$A$5:$A180,MOVIMIENTOS!$A181)=0),COUNT(J$4:J180)+1,"")</f>
        <v>16</v>
      </c>
      <c r="K181" s="53" t="n">
        <f aca="false">MOVIMIENTOS!$A181</f>
        <v>46229</v>
      </c>
      <c r="L181" s="48"/>
      <c r="M181" s="48"/>
      <c r="N181" s="48"/>
    </row>
    <row r="182" customFormat="false" ht="15" hidden="false" customHeight="true" outlineLevel="0" collapsed="false">
      <c r="A182" s="48"/>
      <c r="B182" s="48"/>
      <c r="C182" s="48"/>
      <c r="D182" s="48"/>
      <c r="E182" s="48"/>
      <c r="F182" s="48"/>
      <c r="G182" s="48"/>
      <c r="H182" s="48"/>
      <c r="I182" s="48"/>
      <c r="J182" s="48" t="str">
        <f aca="false">IF(AND(MOVIMIENTOS!$A182&lt;&gt;"",COUNTIF(MOVIMIENTOS!$A$5:$A181,MOVIMIENTOS!$A182)=0),COUNT(J$4:J181)+1,"")</f>
        <v/>
      </c>
      <c r="K182" s="53" t="n">
        <f aca="false">MOVIMIENTOS!$A182</f>
        <v>46229</v>
      </c>
      <c r="L182" s="48"/>
      <c r="M182" s="48"/>
      <c r="N182" s="48"/>
    </row>
    <row r="183" customFormat="false" ht="15" hidden="false" customHeight="true" outlineLevel="0" collapsed="false">
      <c r="A183" s="48"/>
      <c r="B183" s="48"/>
      <c r="C183" s="48"/>
      <c r="D183" s="48"/>
      <c r="E183" s="48"/>
      <c r="F183" s="48"/>
      <c r="G183" s="48"/>
      <c r="H183" s="48"/>
      <c r="I183" s="48"/>
      <c r="J183" s="48" t="str">
        <f aca="false">IF(AND(MOVIMIENTOS!$A183&lt;&gt;"",COUNTIF(MOVIMIENTOS!$A$5:$A182,MOVIMIENTOS!$A183)=0),COUNT(J$4:J182)+1,"")</f>
        <v/>
      </c>
      <c r="K183" s="53" t="n">
        <f aca="false">MOVIMIENTOS!$A183</f>
        <v>46229</v>
      </c>
      <c r="L183" s="48"/>
      <c r="M183" s="48"/>
      <c r="N183" s="48"/>
    </row>
    <row r="184" customFormat="false" ht="15" hidden="false" customHeight="true" outlineLevel="0" collapsed="false">
      <c r="A184" s="48"/>
      <c r="B184" s="48"/>
      <c r="C184" s="48"/>
      <c r="D184" s="48"/>
      <c r="E184" s="48"/>
      <c r="F184" s="48"/>
      <c r="G184" s="48"/>
      <c r="H184" s="48"/>
      <c r="I184" s="48"/>
      <c r="J184" s="48" t="n">
        <f aca="false">IF(AND(MOVIMIENTOS!$A184&lt;&gt;"",COUNTIF(MOVIMIENTOS!$A$5:$A183,MOVIMIENTOS!$A184)=0),COUNT(J$4:J183)+1,"")</f>
        <v>17</v>
      </c>
      <c r="K184" s="53" t="n">
        <f aca="false">MOVIMIENTOS!$A184</f>
        <v>46230</v>
      </c>
      <c r="L184" s="48"/>
      <c r="M184" s="48"/>
      <c r="N184" s="48"/>
    </row>
    <row r="185" customFormat="false" ht="15" hidden="false" customHeight="true" outlineLevel="0" collapsed="false">
      <c r="A185" s="48"/>
      <c r="B185" s="48"/>
      <c r="C185" s="48"/>
      <c r="D185" s="48"/>
      <c r="E185" s="48"/>
      <c r="F185" s="48"/>
      <c r="G185" s="48"/>
      <c r="H185" s="48"/>
      <c r="I185" s="48"/>
      <c r="J185" s="48" t="str">
        <f aca="false">IF(AND(MOVIMIENTOS!$A185&lt;&gt;"",COUNTIF(MOVIMIENTOS!$A$5:$A184,MOVIMIENTOS!$A185)=0),COUNT(J$4:J184)+1,"")</f>
        <v/>
      </c>
      <c r="K185" s="53" t="n">
        <f aca="false">MOVIMIENTOS!$A185</f>
        <v>46230</v>
      </c>
      <c r="L185" s="48"/>
      <c r="M185" s="48"/>
      <c r="N185" s="48"/>
    </row>
    <row r="186" customFormat="false" ht="15" hidden="false" customHeight="true" outlineLevel="0" collapsed="false">
      <c r="A186" s="48"/>
      <c r="B186" s="48"/>
      <c r="C186" s="48"/>
      <c r="D186" s="48"/>
      <c r="E186" s="48"/>
      <c r="F186" s="48"/>
      <c r="G186" s="48"/>
      <c r="H186" s="48"/>
      <c r="I186" s="48"/>
      <c r="J186" s="48" t="str">
        <f aca="false">IF(AND(MOVIMIENTOS!$A186&lt;&gt;"",COUNTIF(MOVIMIENTOS!$A$5:$A185,MOVIMIENTOS!$A186)=0),COUNT(J$4:J185)+1,"")</f>
        <v/>
      </c>
      <c r="K186" s="53" t="n">
        <f aca="false">MOVIMIENTOS!$A186</f>
        <v>46230</v>
      </c>
      <c r="L186" s="48"/>
      <c r="M186" s="48"/>
      <c r="N186" s="48"/>
    </row>
    <row r="187" customFormat="false" ht="15" hidden="false" customHeight="true" outlineLevel="0" collapsed="false">
      <c r="A187" s="48"/>
      <c r="B187" s="48"/>
      <c r="C187" s="48"/>
      <c r="D187" s="48"/>
      <c r="E187" s="48"/>
      <c r="F187" s="48"/>
      <c r="G187" s="48"/>
      <c r="H187" s="48"/>
      <c r="I187" s="48"/>
      <c r="J187" s="48" t="str">
        <f aca="false">IF(AND(MOVIMIENTOS!$A187&lt;&gt;"",COUNTIF(MOVIMIENTOS!$A$5:$A186,MOVIMIENTOS!$A187)=0),COUNT(J$4:J186)+1,"")</f>
        <v/>
      </c>
      <c r="K187" s="53" t="n">
        <f aca="false">MOVIMIENTOS!$A187</f>
        <v>46230</v>
      </c>
      <c r="L187" s="48"/>
      <c r="M187" s="48"/>
      <c r="N187" s="48"/>
    </row>
    <row r="188" customFormat="false" ht="15" hidden="false" customHeight="true" outlineLevel="0" collapsed="false">
      <c r="A188" s="48"/>
      <c r="B188" s="48"/>
      <c r="C188" s="48"/>
      <c r="D188" s="48"/>
      <c r="E188" s="48"/>
      <c r="F188" s="48"/>
      <c r="G188" s="48"/>
      <c r="H188" s="48"/>
      <c r="I188" s="48"/>
      <c r="J188" s="48" t="str">
        <f aca="false">IF(AND(MOVIMIENTOS!$A188&lt;&gt;"",COUNTIF(MOVIMIENTOS!$A$5:$A187,MOVIMIENTOS!$A188)=0),COUNT(J$4:J187)+1,"")</f>
        <v/>
      </c>
      <c r="K188" s="53" t="n">
        <f aca="false">MOVIMIENTOS!$A188</f>
        <v>46230</v>
      </c>
      <c r="L188" s="48"/>
      <c r="M188" s="48"/>
      <c r="N188" s="48"/>
    </row>
    <row r="189" customFormat="false" ht="15" hidden="false" customHeight="true" outlineLevel="0" collapsed="false">
      <c r="A189" s="48"/>
      <c r="B189" s="48"/>
      <c r="C189" s="48"/>
      <c r="D189" s="48"/>
      <c r="E189" s="48"/>
      <c r="F189" s="48"/>
      <c r="G189" s="48"/>
      <c r="H189" s="48"/>
      <c r="I189" s="48"/>
      <c r="J189" s="48" t="str">
        <f aca="false">IF(AND(MOVIMIENTOS!$A189&lt;&gt;"",COUNTIF(MOVIMIENTOS!$A$5:$A188,MOVIMIENTOS!$A189)=0),COUNT(J$4:J188)+1,"")</f>
        <v/>
      </c>
      <c r="K189" s="53" t="n">
        <f aca="false">MOVIMIENTOS!$A189</f>
        <v>46230</v>
      </c>
      <c r="L189" s="48"/>
      <c r="M189" s="48"/>
      <c r="N189" s="48"/>
    </row>
    <row r="190" customFormat="false" ht="15" hidden="false" customHeight="true" outlineLevel="0" collapsed="false">
      <c r="A190" s="48"/>
      <c r="B190" s="48"/>
      <c r="C190" s="48"/>
      <c r="D190" s="48"/>
      <c r="E190" s="48"/>
      <c r="F190" s="48"/>
      <c r="G190" s="48"/>
      <c r="H190" s="48"/>
      <c r="I190" s="48"/>
      <c r="J190" s="48" t="str">
        <f aca="false">IF(AND(MOVIMIENTOS!$A190&lt;&gt;"",COUNTIF(MOVIMIENTOS!$A$5:$A189,MOVIMIENTOS!$A190)=0),COUNT(J$4:J189)+1,"")</f>
        <v/>
      </c>
      <c r="K190" s="53" t="n">
        <f aca="false">MOVIMIENTOS!$A190</f>
        <v>46230</v>
      </c>
      <c r="L190" s="48"/>
      <c r="M190" s="48"/>
      <c r="N190" s="48"/>
    </row>
    <row r="191" customFormat="false" ht="15" hidden="false" customHeight="true" outlineLevel="0" collapsed="false">
      <c r="A191" s="48"/>
      <c r="B191" s="48"/>
      <c r="C191" s="48"/>
      <c r="D191" s="48"/>
      <c r="E191" s="48"/>
      <c r="F191" s="48"/>
      <c r="G191" s="48"/>
      <c r="H191" s="48"/>
      <c r="I191" s="48"/>
      <c r="J191" s="48" t="str">
        <f aca="false">IF(AND(MOVIMIENTOS!$A191&lt;&gt;"",COUNTIF(MOVIMIENTOS!$A$5:$A190,MOVIMIENTOS!$A191)=0),COUNT(J$4:J190)+1,"")</f>
        <v/>
      </c>
      <c r="K191" s="53" t="n">
        <f aca="false">MOVIMIENTOS!$A191</f>
        <v>46230</v>
      </c>
      <c r="L191" s="48"/>
      <c r="M191" s="48"/>
      <c r="N191" s="48"/>
    </row>
    <row r="192" customFormat="false" ht="15" hidden="false" customHeight="true" outlineLevel="0" collapsed="false">
      <c r="A192" s="48"/>
      <c r="B192" s="48"/>
      <c r="C192" s="48"/>
      <c r="D192" s="48"/>
      <c r="E192" s="48"/>
      <c r="F192" s="48"/>
      <c r="G192" s="48"/>
      <c r="H192" s="48"/>
      <c r="I192" s="48"/>
      <c r="J192" s="48" t="str">
        <f aca="false">IF(AND(MOVIMIENTOS!$A192&lt;&gt;"",COUNTIF(MOVIMIENTOS!$A$5:$A191,MOVIMIENTOS!$A192)=0),COUNT(J$4:J191)+1,"")</f>
        <v/>
      </c>
      <c r="K192" s="53" t="n">
        <f aca="false">MOVIMIENTOS!$A192</f>
        <v>46230</v>
      </c>
      <c r="L192" s="48"/>
      <c r="M192" s="48"/>
      <c r="N192" s="48"/>
    </row>
    <row r="193" customFormat="false" ht="15" hidden="false" customHeight="true" outlineLevel="0" collapsed="false">
      <c r="A193" s="48"/>
      <c r="B193" s="48"/>
      <c r="C193" s="48"/>
      <c r="D193" s="48"/>
      <c r="E193" s="48"/>
      <c r="F193" s="48"/>
      <c r="G193" s="48"/>
      <c r="H193" s="48"/>
      <c r="I193" s="48"/>
      <c r="J193" s="48" t="str">
        <f aca="false">IF(AND(MOVIMIENTOS!$A193&lt;&gt;"",COUNTIF(MOVIMIENTOS!$A$5:$A192,MOVIMIENTOS!$A193)=0),COUNT(J$4:J192)+1,"")</f>
        <v/>
      </c>
      <c r="K193" s="53" t="n">
        <f aca="false">MOVIMIENTOS!$A193</f>
        <v>46230</v>
      </c>
      <c r="L193" s="48"/>
      <c r="M193" s="48"/>
      <c r="N193" s="48"/>
    </row>
    <row r="194" customFormat="false" ht="15" hidden="false" customHeight="true" outlineLevel="0" collapsed="false">
      <c r="A194" s="48"/>
      <c r="B194" s="48"/>
      <c r="C194" s="48"/>
      <c r="D194" s="48"/>
      <c r="E194" s="48"/>
      <c r="F194" s="48"/>
      <c r="G194" s="48"/>
      <c r="H194" s="48"/>
      <c r="I194" s="48"/>
      <c r="J194" s="48" t="str">
        <f aca="false">IF(AND(MOVIMIENTOS!$A194&lt;&gt;"",COUNTIF(MOVIMIENTOS!$A$5:$A193,MOVIMIENTOS!$A194)=0),COUNT(J$4:J193)+1,"")</f>
        <v/>
      </c>
      <c r="K194" s="53" t="n">
        <f aca="false">MOVIMIENTOS!$A194</f>
        <v>46230</v>
      </c>
      <c r="L194" s="48"/>
      <c r="M194" s="48"/>
      <c r="N194" s="48"/>
    </row>
    <row r="195" customFormat="false" ht="15" hidden="false" customHeight="true" outlineLevel="0" collapsed="false">
      <c r="A195" s="48"/>
      <c r="B195" s="48"/>
      <c r="C195" s="48"/>
      <c r="D195" s="48"/>
      <c r="E195" s="48"/>
      <c r="F195" s="48"/>
      <c r="G195" s="48"/>
      <c r="H195" s="48"/>
      <c r="I195" s="48"/>
      <c r="J195" s="48" t="str">
        <f aca="false">IF(AND(MOVIMIENTOS!$A195&lt;&gt;"",COUNTIF(MOVIMIENTOS!$A$5:$A194,MOVIMIENTOS!$A195)=0),COUNT(J$4:J194)+1,"")</f>
        <v/>
      </c>
      <c r="K195" s="53" t="n">
        <f aca="false">MOVIMIENTOS!$A195</f>
        <v>46230</v>
      </c>
      <c r="L195" s="48"/>
      <c r="M195" s="48"/>
      <c r="N195" s="48"/>
    </row>
    <row r="196" customFormat="false" ht="15" hidden="false" customHeight="true" outlineLevel="0" collapsed="false">
      <c r="A196" s="48"/>
      <c r="B196" s="48"/>
      <c r="C196" s="48"/>
      <c r="D196" s="48"/>
      <c r="E196" s="48"/>
      <c r="F196" s="48"/>
      <c r="G196" s="48"/>
      <c r="H196" s="48"/>
      <c r="I196" s="48"/>
      <c r="J196" s="48" t="str">
        <f aca="false">IF(AND(MOVIMIENTOS!$A196&lt;&gt;"",COUNTIF(MOVIMIENTOS!$A$5:$A195,MOVIMIENTOS!$A196)=0),COUNT(J$4:J195)+1,"")</f>
        <v/>
      </c>
      <c r="K196" s="53" t="n">
        <f aca="false">MOVIMIENTOS!$A196</f>
        <v>46230</v>
      </c>
      <c r="L196" s="48"/>
      <c r="M196" s="48"/>
      <c r="N196" s="48"/>
    </row>
    <row r="197" customFormat="false" ht="15" hidden="false" customHeight="true" outlineLevel="0" collapsed="false">
      <c r="A197" s="48"/>
      <c r="B197" s="48"/>
      <c r="C197" s="48"/>
      <c r="D197" s="48"/>
      <c r="E197" s="48"/>
      <c r="F197" s="48"/>
      <c r="G197" s="48"/>
      <c r="H197" s="48"/>
      <c r="I197" s="48"/>
      <c r="J197" s="48" t="n">
        <f aca="false">IF(AND(MOVIMIENTOS!$A197&lt;&gt;"",COUNTIF(MOVIMIENTOS!$A$5:$A196,MOVIMIENTOS!$A197)=0),COUNT(J$4:J196)+1,"")</f>
        <v>18</v>
      </c>
      <c r="K197" s="53" t="n">
        <f aca="false">MOVIMIENTOS!$A197</f>
        <v>46231</v>
      </c>
      <c r="L197" s="48"/>
      <c r="M197" s="48"/>
      <c r="N197" s="48"/>
    </row>
    <row r="198" customFormat="false" ht="15" hidden="false" customHeight="true" outlineLevel="0" collapsed="false">
      <c r="A198" s="48"/>
      <c r="B198" s="48"/>
      <c r="C198" s="48"/>
      <c r="D198" s="48"/>
      <c r="E198" s="48"/>
      <c r="F198" s="48"/>
      <c r="G198" s="48"/>
      <c r="H198" s="48"/>
      <c r="I198" s="48"/>
      <c r="J198" s="48" t="str">
        <f aca="false">IF(AND(MOVIMIENTOS!$A198&lt;&gt;"",COUNTIF(MOVIMIENTOS!$A$5:$A197,MOVIMIENTOS!$A198)=0),COUNT(J$4:J197)+1,"")</f>
        <v/>
      </c>
      <c r="K198" s="53" t="n">
        <f aca="false">MOVIMIENTOS!$A198</f>
        <v>46231</v>
      </c>
      <c r="L198" s="48"/>
      <c r="M198" s="48"/>
      <c r="N198" s="48"/>
    </row>
    <row r="199" customFormat="false" ht="15" hidden="false" customHeight="true" outlineLevel="0" collapsed="false">
      <c r="A199" s="48"/>
      <c r="B199" s="48"/>
      <c r="C199" s="48"/>
      <c r="D199" s="48"/>
      <c r="E199" s="48"/>
      <c r="F199" s="48"/>
      <c r="G199" s="48"/>
      <c r="H199" s="48"/>
      <c r="I199" s="48"/>
      <c r="J199" s="48" t="str">
        <f aca="false">IF(AND(MOVIMIENTOS!$A199&lt;&gt;"",COUNTIF(MOVIMIENTOS!$A$5:$A198,MOVIMIENTOS!$A199)=0),COUNT(J$4:J198)+1,"")</f>
        <v/>
      </c>
      <c r="K199" s="53" t="n">
        <f aca="false">MOVIMIENTOS!$A199</f>
        <v>46231</v>
      </c>
      <c r="L199" s="48"/>
      <c r="M199" s="48"/>
      <c r="N199" s="48"/>
    </row>
    <row r="200" customFormat="false" ht="15" hidden="false" customHeight="true" outlineLevel="0" collapsed="false">
      <c r="A200" s="48"/>
      <c r="B200" s="48"/>
      <c r="C200" s="48"/>
      <c r="D200" s="48"/>
      <c r="E200" s="48"/>
      <c r="F200" s="48"/>
      <c r="G200" s="48"/>
      <c r="H200" s="48"/>
      <c r="I200" s="48"/>
      <c r="J200" s="48" t="str">
        <f aca="false">IF(AND(MOVIMIENTOS!$A200&lt;&gt;"",COUNTIF(MOVIMIENTOS!$A$5:$A199,MOVIMIENTOS!$A200)=0),COUNT(J$4:J199)+1,"")</f>
        <v/>
      </c>
      <c r="K200" s="53" t="n">
        <f aca="false">MOVIMIENTOS!$A200</f>
        <v>46231</v>
      </c>
      <c r="L200" s="48"/>
      <c r="M200" s="48"/>
      <c r="N200" s="48"/>
    </row>
    <row r="201" customFormat="false" ht="15" hidden="false" customHeight="true" outlineLevel="0" collapsed="false">
      <c r="A201" s="48"/>
      <c r="B201" s="48"/>
      <c r="C201" s="48"/>
      <c r="D201" s="48"/>
      <c r="E201" s="48"/>
      <c r="F201" s="48"/>
      <c r="G201" s="48"/>
      <c r="H201" s="48"/>
      <c r="I201" s="48"/>
      <c r="J201" s="48" t="str">
        <f aca="false">IF(AND(MOVIMIENTOS!$A201&lt;&gt;"",COUNTIF(MOVIMIENTOS!$A$5:$A200,MOVIMIENTOS!$A201)=0),COUNT(J$4:J200)+1,"")</f>
        <v/>
      </c>
      <c r="K201" s="53" t="n">
        <f aca="false">MOVIMIENTOS!$A201</f>
        <v>46231</v>
      </c>
      <c r="L201" s="48"/>
      <c r="M201" s="48"/>
      <c r="N201" s="48"/>
    </row>
    <row r="202" customFormat="false" ht="15" hidden="false" customHeight="true" outlineLevel="0" collapsed="false">
      <c r="A202" s="48"/>
      <c r="B202" s="48"/>
      <c r="C202" s="48"/>
      <c r="D202" s="48"/>
      <c r="E202" s="48"/>
      <c r="F202" s="48"/>
      <c r="G202" s="48"/>
      <c r="H202" s="48"/>
      <c r="I202" s="48"/>
      <c r="J202" s="48" t="str">
        <f aca="false">IF(AND(MOVIMIENTOS!$A202&lt;&gt;"",COUNTIF(MOVIMIENTOS!$A$5:$A201,MOVIMIENTOS!$A202)=0),COUNT(J$4:J201)+1,"")</f>
        <v/>
      </c>
      <c r="K202" s="53" t="n">
        <f aca="false">MOVIMIENTOS!$A202</f>
        <v>46231</v>
      </c>
      <c r="L202" s="48"/>
      <c r="M202" s="48"/>
      <c r="N202" s="48"/>
    </row>
    <row r="203" customFormat="false" ht="15" hidden="false" customHeight="true" outlineLevel="0" collapsed="false">
      <c r="A203" s="48"/>
      <c r="B203" s="48"/>
      <c r="C203" s="48"/>
      <c r="D203" s="48"/>
      <c r="E203" s="48"/>
      <c r="F203" s="48"/>
      <c r="G203" s="48"/>
      <c r="H203" s="48"/>
      <c r="I203" s="48"/>
      <c r="J203" s="48" t="str">
        <f aca="false">IF(AND(MOVIMIENTOS!$A203&lt;&gt;"",COUNTIF(MOVIMIENTOS!$A$5:$A202,MOVIMIENTOS!$A203)=0),COUNT(J$4:J202)+1,"")</f>
        <v/>
      </c>
      <c r="K203" s="53" t="n">
        <f aca="false">MOVIMIENTOS!$A203</f>
        <v>46231</v>
      </c>
      <c r="L203" s="48"/>
      <c r="M203" s="48"/>
      <c r="N203" s="48"/>
    </row>
    <row r="204" customFormat="false" ht="15" hidden="false" customHeight="true" outlineLevel="0" collapsed="false">
      <c r="A204" s="48"/>
      <c r="B204" s="48"/>
      <c r="C204" s="48"/>
      <c r="D204" s="48"/>
      <c r="E204" s="48"/>
      <c r="F204" s="48"/>
      <c r="G204" s="48"/>
      <c r="H204" s="48"/>
      <c r="I204" s="48"/>
      <c r="J204" s="48" t="str">
        <f aca="false">IF(AND(MOVIMIENTOS!$A204&lt;&gt;"",COUNTIF(MOVIMIENTOS!$A$5:$A203,MOVIMIENTOS!$A204)=0),COUNT(J$4:J203)+1,"")</f>
        <v/>
      </c>
      <c r="K204" s="53" t="n">
        <f aca="false">MOVIMIENTOS!$A204</f>
        <v>46231</v>
      </c>
      <c r="L204" s="48"/>
      <c r="M204" s="48"/>
      <c r="N204" s="48"/>
    </row>
    <row r="205" customFormat="false" ht="15" hidden="false" customHeight="true" outlineLevel="0" collapsed="false">
      <c r="A205" s="48"/>
      <c r="B205" s="48"/>
      <c r="C205" s="48"/>
      <c r="D205" s="48"/>
      <c r="E205" s="48"/>
      <c r="F205" s="48"/>
      <c r="G205" s="48"/>
      <c r="H205" s="48"/>
      <c r="I205" s="48"/>
      <c r="J205" s="48" t="str">
        <f aca="false">IF(AND(MOVIMIENTOS!$A205&lt;&gt;"",COUNTIF(MOVIMIENTOS!$A$5:$A204,MOVIMIENTOS!$A205)=0),COUNT(J$4:J204)+1,"")</f>
        <v/>
      </c>
      <c r="K205" s="53" t="n">
        <f aca="false">MOVIMIENTOS!$A205</f>
        <v>46231</v>
      </c>
      <c r="L205" s="48"/>
      <c r="M205" s="48"/>
      <c r="N205" s="48"/>
    </row>
    <row r="206" customFormat="false" ht="15" hidden="false" customHeight="true" outlineLevel="0" collapsed="false">
      <c r="A206" s="48"/>
      <c r="B206" s="48"/>
      <c r="C206" s="48"/>
      <c r="D206" s="48"/>
      <c r="E206" s="48"/>
      <c r="F206" s="48"/>
      <c r="G206" s="48"/>
      <c r="H206" s="48"/>
      <c r="I206" s="48"/>
      <c r="J206" s="48" t="str">
        <f aca="false">IF(AND(MOVIMIENTOS!$A206&lt;&gt;"",COUNTIF(MOVIMIENTOS!$A$5:$A205,MOVIMIENTOS!$A206)=0),COUNT(J$4:J205)+1,"")</f>
        <v/>
      </c>
      <c r="K206" s="53" t="n">
        <f aca="false">MOVIMIENTOS!$A206</f>
        <v>46231</v>
      </c>
      <c r="L206" s="48"/>
      <c r="M206" s="48"/>
      <c r="N206" s="48"/>
    </row>
    <row r="207" customFormat="false" ht="15" hidden="false" customHeight="true" outlineLevel="0" collapsed="false">
      <c r="A207" s="48"/>
      <c r="B207" s="48"/>
      <c r="C207" s="48"/>
      <c r="D207" s="48"/>
      <c r="E207" s="48"/>
      <c r="F207" s="48"/>
      <c r="G207" s="48"/>
      <c r="H207" s="48"/>
      <c r="I207" s="48"/>
      <c r="J207" s="48" t="n">
        <f aca="false">IF(AND(MOVIMIENTOS!$A207&lt;&gt;"",COUNTIF(MOVIMIENTOS!$A$5:$A206,MOVIMIENTOS!$A207)=0),COUNT(J$4:J206)+1,"")</f>
        <v>19</v>
      </c>
      <c r="K207" s="53" t="n">
        <f aca="false">MOVIMIENTOS!$A207</f>
        <v>46232</v>
      </c>
      <c r="L207" s="48"/>
      <c r="M207" s="48"/>
      <c r="N207" s="48"/>
    </row>
    <row r="208" customFormat="false" ht="15" hidden="false" customHeight="true" outlineLevel="0" collapsed="false">
      <c r="A208" s="48"/>
      <c r="B208" s="48"/>
      <c r="C208" s="48"/>
      <c r="D208" s="48"/>
      <c r="E208" s="48"/>
      <c r="F208" s="48"/>
      <c r="G208" s="48"/>
      <c r="H208" s="48"/>
      <c r="I208" s="48"/>
      <c r="J208" s="48" t="str">
        <f aca="false">IF(AND(MOVIMIENTOS!$A208&lt;&gt;"",COUNTIF(MOVIMIENTOS!$A$5:$A207,MOVIMIENTOS!$A208)=0),COUNT(J$4:J207)+1,"")</f>
        <v/>
      </c>
      <c r="K208" s="53" t="n">
        <f aca="false">MOVIMIENTOS!$A208</f>
        <v>46232</v>
      </c>
      <c r="L208" s="48"/>
      <c r="M208" s="48"/>
      <c r="N208" s="48"/>
    </row>
    <row r="209" customFormat="false" ht="15" hidden="false" customHeight="true" outlineLevel="0" collapsed="false">
      <c r="A209" s="48"/>
      <c r="B209" s="48"/>
      <c r="C209" s="48"/>
      <c r="D209" s="48"/>
      <c r="E209" s="48"/>
      <c r="F209" s="48"/>
      <c r="G209" s="48"/>
      <c r="H209" s="48"/>
      <c r="I209" s="48"/>
      <c r="J209" s="48" t="str">
        <f aca="false">IF(AND(MOVIMIENTOS!$A209&lt;&gt;"",COUNTIF(MOVIMIENTOS!$A$5:$A208,MOVIMIENTOS!$A209)=0),COUNT(J$4:J208)+1,"")</f>
        <v/>
      </c>
      <c r="K209" s="53" t="n">
        <f aca="false">MOVIMIENTOS!$A209</f>
        <v>46232</v>
      </c>
      <c r="L209" s="48"/>
      <c r="M209" s="48"/>
      <c r="N209" s="48"/>
    </row>
    <row r="210" customFormat="false" ht="15" hidden="false" customHeight="true" outlineLevel="0" collapsed="false">
      <c r="A210" s="48"/>
      <c r="B210" s="48"/>
      <c r="C210" s="48"/>
      <c r="D210" s="48"/>
      <c r="E210" s="48"/>
      <c r="F210" s="48"/>
      <c r="G210" s="48"/>
      <c r="H210" s="48"/>
      <c r="I210" s="48"/>
      <c r="J210" s="48" t="str">
        <f aca="false">IF(AND(MOVIMIENTOS!$A210&lt;&gt;"",COUNTIF(MOVIMIENTOS!$A$5:$A209,MOVIMIENTOS!$A210)=0),COUNT(J$4:J209)+1,"")</f>
        <v/>
      </c>
      <c r="K210" s="53" t="n">
        <f aca="false">MOVIMIENTOS!$A210</f>
        <v>46232</v>
      </c>
      <c r="L210" s="48"/>
      <c r="M210" s="48"/>
      <c r="N210" s="48"/>
    </row>
    <row r="211" customFormat="false" ht="15" hidden="false" customHeight="true" outlineLevel="0" collapsed="false">
      <c r="A211" s="48"/>
      <c r="B211" s="48"/>
      <c r="C211" s="48"/>
      <c r="D211" s="48"/>
      <c r="E211" s="48"/>
      <c r="F211" s="48"/>
      <c r="G211" s="48"/>
      <c r="H211" s="48"/>
      <c r="I211" s="48"/>
      <c r="J211" s="48" t="str">
        <f aca="false">IF(AND(MOVIMIENTOS!$A211&lt;&gt;"",COUNTIF(MOVIMIENTOS!$A$5:$A210,MOVIMIENTOS!$A211)=0),COUNT(J$4:J210)+1,"")</f>
        <v/>
      </c>
      <c r="K211" s="53" t="n">
        <f aca="false">MOVIMIENTOS!$A211</f>
        <v>46232</v>
      </c>
      <c r="L211" s="48"/>
      <c r="M211" s="48"/>
      <c r="N211" s="48"/>
    </row>
    <row r="212" customFormat="false" ht="15" hidden="false" customHeight="true" outlineLevel="0" collapsed="false">
      <c r="A212" s="48"/>
      <c r="B212" s="48"/>
      <c r="C212" s="48"/>
      <c r="D212" s="48"/>
      <c r="E212" s="48"/>
      <c r="F212" s="48"/>
      <c r="G212" s="48"/>
      <c r="H212" s="48"/>
      <c r="I212" s="48"/>
      <c r="J212" s="48" t="str">
        <f aca="false">IF(AND(MOVIMIENTOS!$A212&lt;&gt;"",COUNTIF(MOVIMIENTOS!$A$5:$A211,MOVIMIENTOS!$A212)=0),COUNT(J$4:J211)+1,"")</f>
        <v/>
      </c>
      <c r="K212" s="53" t="n">
        <f aca="false">MOVIMIENTOS!$A212</f>
        <v>0</v>
      </c>
      <c r="L212" s="48"/>
      <c r="M212" s="48"/>
      <c r="N212" s="48"/>
    </row>
    <row r="213" customFormat="false" ht="15" hidden="false" customHeight="true" outlineLevel="0" collapsed="false">
      <c r="A213" s="48"/>
      <c r="B213" s="48"/>
      <c r="C213" s="48"/>
      <c r="D213" s="48"/>
      <c r="E213" s="48"/>
      <c r="F213" s="48"/>
      <c r="G213" s="48"/>
      <c r="H213" s="48"/>
      <c r="I213" s="48"/>
      <c r="J213" s="48" t="str">
        <f aca="false">IF(AND(MOVIMIENTOS!$A213&lt;&gt;"",COUNTIF(MOVIMIENTOS!$A$5:$A212,MOVIMIENTOS!$A213)=0),COUNT(J$4:J212)+1,"")</f>
        <v/>
      </c>
      <c r="K213" s="53" t="n">
        <f aca="false">MOVIMIENTOS!$A213</f>
        <v>0</v>
      </c>
      <c r="L213" s="48"/>
      <c r="M213" s="48"/>
      <c r="N213" s="48"/>
    </row>
    <row r="214" customFormat="false" ht="15" hidden="false" customHeight="true" outlineLevel="0" collapsed="false">
      <c r="A214" s="48"/>
      <c r="B214" s="48"/>
      <c r="C214" s="48"/>
      <c r="D214" s="48"/>
      <c r="E214" s="48"/>
      <c r="F214" s="48"/>
      <c r="G214" s="48"/>
      <c r="H214" s="48"/>
      <c r="I214" s="48"/>
      <c r="J214" s="48" t="str">
        <f aca="false">IF(AND(MOVIMIENTOS!$A214&lt;&gt;"",COUNTIF(MOVIMIENTOS!$A$5:$A213,MOVIMIENTOS!$A214)=0),COUNT(J$4:J213)+1,"")</f>
        <v/>
      </c>
      <c r="K214" s="53" t="n">
        <f aca="false">MOVIMIENTOS!$A214</f>
        <v>0</v>
      </c>
      <c r="L214" s="48"/>
      <c r="M214" s="48"/>
      <c r="N214" s="48"/>
    </row>
    <row r="215" customFormat="false" ht="15" hidden="false" customHeight="true" outlineLevel="0" collapsed="false">
      <c r="A215" s="48"/>
      <c r="B215" s="48"/>
      <c r="C215" s="48"/>
      <c r="D215" s="48"/>
      <c r="E215" s="48"/>
      <c r="F215" s="48"/>
      <c r="G215" s="48"/>
      <c r="H215" s="48"/>
      <c r="I215" s="48"/>
      <c r="J215" s="48" t="str">
        <f aca="false">IF(AND(MOVIMIENTOS!$A215&lt;&gt;"",COUNTIF(MOVIMIENTOS!$A$5:$A214,MOVIMIENTOS!$A215)=0),COUNT(J$4:J214)+1,"")</f>
        <v/>
      </c>
      <c r="K215" s="53" t="n">
        <f aca="false">MOVIMIENTOS!$A215</f>
        <v>0</v>
      </c>
      <c r="L215" s="48"/>
      <c r="M215" s="48"/>
      <c r="N215" s="48"/>
    </row>
    <row r="216" customFormat="false" ht="15" hidden="false" customHeight="true" outlineLevel="0" collapsed="false">
      <c r="A216" s="48"/>
      <c r="B216" s="48"/>
      <c r="C216" s="48"/>
      <c r="D216" s="48"/>
      <c r="E216" s="48"/>
      <c r="F216" s="48"/>
      <c r="G216" s="48"/>
      <c r="H216" s="48"/>
      <c r="I216" s="48"/>
      <c r="J216" s="48" t="str">
        <f aca="false">IF(AND(MOVIMIENTOS!$A216&lt;&gt;"",COUNTIF(MOVIMIENTOS!$A$5:$A215,MOVIMIENTOS!$A216)=0),COUNT(J$4:J215)+1,"")</f>
        <v/>
      </c>
      <c r="K216" s="53" t="n">
        <f aca="false">MOVIMIENTOS!$A216</f>
        <v>0</v>
      </c>
      <c r="L216" s="48"/>
      <c r="M216" s="48"/>
      <c r="N216" s="48"/>
    </row>
    <row r="217" customFormat="false" ht="15" hidden="false" customHeight="true" outlineLevel="0" collapsed="false">
      <c r="A217" s="48"/>
      <c r="B217" s="48"/>
      <c r="C217" s="48"/>
      <c r="D217" s="48"/>
      <c r="E217" s="48"/>
      <c r="F217" s="48"/>
      <c r="G217" s="48"/>
      <c r="H217" s="48"/>
      <c r="I217" s="48"/>
      <c r="J217" s="48" t="str">
        <f aca="false">IF(AND(MOVIMIENTOS!$A217&lt;&gt;"",COUNTIF(MOVIMIENTOS!$A$5:$A216,MOVIMIENTOS!$A217)=0),COUNT(J$4:J216)+1,"")</f>
        <v/>
      </c>
      <c r="K217" s="53" t="n">
        <f aca="false">MOVIMIENTOS!$A217</f>
        <v>0</v>
      </c>
      <c r="L217" s="48"/>
      <c r="M217" s="48"/>
      <c r="N217" s="48"/>
    </row>
    <row r="218" customFormat="false" ht="15" hidden="false" customHeight="true" outlineLevel="0" collapsed="false">
      <c r="A218" s="48"/>
      <c r="B218" s="48"/>
      <c r="C218" s="48"/>
      <c r="D218" s="48"/>
      <c r="E218" s="48"/>
      <c r="F218" s="48"/>
      <c r="G218" s="48"/>
      <c r="H218" s="48"/>
      <c r="I218" s="48"/>
      <c r="J218" s="48" t="str">
        <f aca="false">IF(AND(MOVIMIENTOS!$A218&lt;&gt;"",COUNTIF(MOVIMIENTOS!$A$5:$A217,MOVIMIENTOS!$A218)=0),COUNT(J$4:J217)+1,"")</f>
        <v/>
      </c>
      <c r="K218" s="53" t="n">
        <f aca="false">MOVIMIENTOS!$A218</f>
        <v>0</v>
      </c>
      <c r="L218" s="48"/>
      <c r="M218" s="48"/>
      <c r="N218" s="48"/>
    </row>
    <row r="219" customFormat="false" ht="15" hidden="false" customHeight="true" outlineLevel="0" collapsed="false">
      <c r="A219" s="48"/>
      <c r="B219" s="48"/>
      <c r="C219" s="48"/>
      <c r="D219" s="48"/>
      <c r="E219" s="48"/>
      <c r="F219" s="48"/>
      <c r="G219" s="48"/>
      <c r="H219" s="48"/>
      <c r="I219" s="48"/>
      <c r="J219" s="48" t="str">
        <f aca="false">IF(AND(MOVIMIENTOS!$A219&lt;&gt;"",COUNTIF(MOVIMIENTOS!$A$5:$A218,MOVIMIENTOS!$A219)=0),COUNT(J$4:J218)+1,"")</f>
        <v/>
      </c>
      <c r="K219" s="53" t="n">
        <f aca="false">MOVIMIENTOS!$A219</f>
        <v>0</v>
      </c>
      <c r="L219" s="48"/>
      <c r="M219" s="48"/>
      <c r="N219" s="48"/>
    </row>
    <row r="220" customFormat="false" ht="15" hidden="false" customHeight="true" outlineLevel="0" collapsed="false">
      <c r="A220" s="48"/>
      <c r="B220" s="48"/>
      <c r="C220" s="48"/>
      <c r="D220" s="48"/>
      <c r="E220" s="48"/>
      <c r="F220" s="48"/>
      <c r="G220" s="48"/>
      <c r="H220" s="48"/>
      <c r="I220" s="48"/>
      <c r="J220" s="48" t="str">
        <f aca="false">IF(AND(MOVIMIENTOS!$A220&lt;&gt;"",COUNTIF(MOVIMIENTOS!$A$5:$A219,MOVIMIENTOS!$A220)=0),COUNT(J$4:J219)+1,"")</f>
        <v/>
      </c>
      <c r="K220" s="53" t="n">
        <f aca="false">MOVIMIENTOS!$A220</f>
        <v>0</v>
      </c>
      <c r="L220" s="48"/>
      <c r="M220" s="48"/>
      <c r="N220" s="48"/>
    </row>
    <row r="221" customFormat="false" ht="15" hidden="false" customHeight="true" outlineLevel="0" collapsed="false">
      <c r="A221" s="48"/>
      <c r="B221" s="48"/>
      <c r="C221" s="48"/>
      <c r="D221" s="48"/>
      <c r="E221" s="48"/>
      <c r="F221" s="48"/>
      <c r="G221" s="48"/>
      <c r="H221" s="48"/>
      <c r="I221" s="48"/>
      <c r="J221" s="48" t="str">
        <f aca="false">IF(AND(MOVIMIENTOS!$A221&lt;&gt;"",COUNTIF(MOVIMIENTOS!$A$5:$A220,MOVIMIENTOS!$A221)=0),COUNT(J$4:J220)+1,"")</f>
        <v/>
      </c>
      <c r="K221" s="53" t="n">
        <f aca="false">MOVIMIENTOS!$A221</f>
        <v>0</v>
      </c>
      <c r="L221" s="48"/>
      <c r="M221" s="48"/>
      <c r="N221" s="48"/>
    </row>
    <row r="222" customFormat="false" ht="15" hidden="false" customHeight="true" outlineLevel="0" collapsed="false">
      <c r="A222" s="48"/>
      <c r="B222" s="48"/>
      <c r="C222" s="48"/>
      <c r="D222" s="48"/>
      <c r="E222" s="48"/>
      <c r="F222" s="48"/>
      <c r="G222" s="48"/>
      <c r="H222" s="48"/>
      <c r="I222" s="48"/>
      <c r="J222" s="48" t="str">
        <f aca="false">IF(AND(MOVIMIENTOS!$A222&lt;&gt;"",COUNTIF(MOVIMIENTOS!$A$5:$A221,MOVIMIENTOS!$A222)=0),COUNT(J$4:J221)+1,"")</f>
        <v/>
      </c>
      <c r="K222" s="53" t="n">
        <f aca="false">MOVIMIENTOS!$A222</f>
        <v>0</v>
      </c>
      <c r="L222" s="48"/>
      <c r="M222" s="48"/>
      <c r="N222" s="48"/>
    </row>
    <row r="223" customFormat="false" ht="15" hidden="false" customHeight="true" outlineLevel="0" collapsed="false">
      <c r="A223" s="48"/>
      <c r="B223" s="48"/>
      <c r="C223" s="48"/>
      <c r="D223" s="48"/>
      <c r="E223" s="48"/>
      <c r="F223" s="48"/>
      <c r="G223" s="48"/>
      <c r="H223" s="48"/>
      <c r="I223" s="48"/>
      <c r="J223" s="48" t="str">
        <f aca="false">IF(AND(MOVIMIENTOS!$A223&lt;&gt;"",COUNTIF(MOVIMIENTOS!$A$5:$A222,MOVIMIENTOS!$A223)=0),COUNT(J$4:J222)+1,"")</f>
        <v/>
      </c>
      <c r="K223" s="53" t="n">
        <f aca="false">MOVIMIENTOS!$A223</f>
        <v>0</v>
      </c>
      <c r="L223" s="48"/>
      <c r="M223" s="48"/>
      <c r="N223" s="48"/>
    </row>
    <row r="224" customFormat="false" ht="15" hidden="false" customHeight="true" outlineLevel="0" collapsed="false">
      <c r="A224" s="48"/>
      <c r="B224" s="48"/>
      <c r="C224" s="48"/>
      <c r="D224" s="48"/>
      <c r="E224" s="48"/>
      <c r="F224" s="48"/>
      <c r="G224" s="48"/>
      <c r="H224" s="48"/>
      <c r="I224" s="48"/>
      <c r="J224" s="48" t="str">
        <f aca="false">IF(AND(MOVIMIENTOS!$A224&lt;&gt;"",COUNTIF(MOVIMIENTOS!$A$5:$A223,MOVIMIENTOS!$A224)=0),COUNT(J$4:J223)+1,"")</f>
        <v/>
      </c>
      <c r="K224" s="53" t="n">
        <f aca="false">MOVIMIENTOS!$A224</f>
        <v>0</v>
      </c>
      <c r="L224" s="48"/>
      <c r="M224" s="48"/>
      <c r="N224" s="48"/>
    </row>
    <row r="225" customFormat="false" ht="15" hidden="false" customHeight="true" outlineLevel="0" collapsed="false">
      <c r="A225" s="48"/>
      <c r="B225" s="48"/>
      <c r="C225" s="48"/>
      <c r="D225" s="48"/>
      <c r="E225" s="48"/>
      <c r="F225" s="48"/>
      <c r="G225" s="48"/>
      <c r="H225" s="48"/>
      <c r="I225" s="48"/>
      <c r="J225" s="48" t="str">
        <f aca="false">IF(AND(MOVIMIENTOS!$A225&lt;&gt;"",COUNTIF(MOVIMIENTOS!$A$5:$A224,MOVIMIENTOS!$A225)=0),COUNT(J$4:J224)+1,"")</f>
        <v/>
      </c>
      <c r="K225" s="53" t="n">
        <f aca="false">MOVIMIENTOS!$A225</f>
        <v>0</v>
      </c>
      <c r="L225" s="48"/>
      <c r="M225" s="48"/>
      <c r="N225" s="48"/>
    </row>
    <row r="226" customFormat="false" ht="15" hidden="false" customHeight="true" outlineLevel="0" collapsed="false">
      <c r="A226" s="48"/>
      <c r="B226" s="48"/>
      <c r="C226" s="48"/>
      <c r="D226" s="48"/>
      <c r="E226" s="48"/>
      <c r="F226" s="48"/>
      <c r="G226" s="48"/>
      <c r="H226" s="48"/>
      <c r="I226" s="48"/>
      <c r="J226" s="48" t="str">
        <f aca="false">IF(AND(MOVIMIENTOS!$A226&lt;&gt;"",COUNTIF(MOVIMIENTOS!$A$5:$A225,MOVIMIENTOS!$A226)=0),COUNT(J$4:J225)+1,"")</f>
        <v/>
      </c>
      <c r="K226" s="53" t="n">
        <f aca="false">MOVIMIENTOS!$A226</f>
        <v>0</v>
      </c>
      <c r="L226" s="48"/>
      <c r="M226" s="48"/>
      <c r="N226" s="48"/>
    </row>
    <row r="227" customFormat="false" ht="15" hidden="false" customHeight="true" outlineLevel="0" collapsed="false">
      <c r="A227" s="48"/>
      <c r="B227" s="48"/>
      <c r="C227" s="48"/>
      <c r="D227" s="48"/>
      <c r="E227" s="48"/>
      <c r="F227" s="48"/>
      <c r="G227" s="48"/>
      <c r="H227" s="48"/>
      <c r="I227" s="48"/>
      <c r="J227" s="48" t="str">
        <f aca="false">IF(AND(MOVIMIENTOS!$A227&lt;&gt;"",COUNTIF(MOVIMIENTOS!$A$5:$A226,MOVIMIENTOS!$A227)=0),COUNT(J$4:J226)+1,"")</f>
        <v/>
      </c>
      <c r="K227" s="53" t="n">
        <f aca="false">MOVIMIENTOS!$A227</f>
        <v>0</v>
      </c>
      <c r="L227" s="48"/>
      <c r="M227" s="48"/>
      <c r="N227" s="48"/>
    </row>
    <row r="228" customFormat="false" ht="15" hidden="false" customHeight="true" outlineLevel="0" collapsed="false">
      <c r="A228" s="48"/>
      <c r="B228" s="48"/>
      <c r="C228" s="48"/>
      <c r="D228" s="48"/>
      <c r="E228" s="48"/>
      <c r="F228" s="48"/>
      <c r="G228" s="48"/>
      <c r="H228" s="48"/>
      <c r="I228" s="48"/>
      <c r="J228" s="48" t="str">
        <f aca="false">IF(AND(MOVIMIENTOS!$A228&lt;&gt;"",COUNTIF(MOVIMIENTOS!$A$5:$A227,MOVIMIENTOS!$A228)=0),COUNT(J$4:J227)+1,"")</f>
        <v/>
      </c>
      <c r="K228" s="53" t="n">
        <f aca="false">MOVIMIENTOS!$A228</f>
        <v>0</v>
      </c>
      <c r="L228" s="48"/>
      <c r="M228" s="48"/>
      <c r="N228" s="48"/>
    </row>
    <row r="229" customFormat="false" ht="15" hidden="false" customHeight="true" outlineLevel="0" collapsed="false">
      <c r="A229" s="48"/>
      <c r="B229" s="48"/>
      <c r="C229" s="48"/>
      <c r="D229" s="48"/>
      <c r="E229" s="48"/>
      <c r="F229" s="48"/>
      <c r="G229" s="48"/>
      <c r="H229" s="48"/>
      <c r="I229" s="48"/>
      <c r="J229" s="48" t="str">
        <f aca="false">IF(AND(MOVIMIENTOS!$A229&lt;&gt;"",COUNTIF(MOVIMIENTOS!$A$5:$A228,MOVIMIENTOS!$A229)=0),COUNT(J$4:J228)+1,"")</f>
        <v/>
      </c>
      <c r="K229" s="53" t="n">
        <f aca="false">MOVIMIENTOS!$A229</f>
        <v>0</v>
      </c>
      <c r="L229" s="48"/>
      <c r="M229" s="48"/>
      <c r="N229" s="48"/>
    </row>
    <row r="230" customFormat="false" ht="15" hidden="false" customHeight="true" outlineLevel="0" collapsed="false">
      <c r="A230" s="48"/>
      <c r="B230" s="48"/>
      <c r="C230" s="48"/>
      <c r="D230" s="48"/>
      <c r="E230" s="48"/>
      <c r="F230" s="48"/>
      <c r="G230" s="48"/>
      <c r="H230" s="48"/>
      <c r="I230" s="48"/>
      <c r="J230" s="48" t="str">
        <f aca="false">IF(AND(MOVIMIENTOS!$A230&lt;&gt;"",COUNTIF(MOVIMIENTOS!$A$5:$A229,MOVIMIENTOS!$A230)=0),COUNT(J$4:J229)+1,"")</f>
        <v/>
      </c>
      <c r="K230" s="53" t="n">
        <f aca="false">MOVIMIENTOS!$A230</f>
        <v>0</v>
      </c>
      <c r="L230" s="48"/>
      <c r="M230" s="48"/>
      <c r="N230" s="48"/>
    </row>
    <row r="231" customFormat="false" ht="15" hidden="false" customHeight="true" outlineLevel="0" collapsed="false">
      <c r="A231" s="48"/>
      <c r="B231" s="48"/>
      <c r="C231" s="48"/>
      <c r="D231" s="48"/>
      <c r="E231" s="48"/>
      <c r="F231" s="48"/>
      <c r="G231" s="48"/>
      <c r="H231" s="48"/>
      <c r="I231" s="48"/>
      <c r="J231" s="48" t="str">
        <f aca="false">IF(AND(MOVIMIENTOS!$A231&lt;&gt;"",COUNTIF(MOVIMIENTOS!$A$5:$A230,MOVIMIENTOS!$A231)=0),COUNT(J$4:J230)+1,"")</f>
        <v/>
      </c>
      <c r="K231" s="53" t="n">
        <f aca="false">MOVIMIENTOS!$A231</f>
        <v>0</v>
      </c>
      <c r="L231" s="48"/>
      <c r="M231" s="48"/>
      <c r="N231" s="48"/>
    </row>
    <row r="232" customFormat="false" ht="15" hidden="false" customHeight="true" outlineLevel="0" collapsed="false">
      <c r="A232" s="48"/>
      <c r="B232" s="48"/>
      <c r="C232" s="48"/>
      <c r="D232" s="48"/>
      <c r="E232" s="48"/>
      <c r="F232" s="48"/>
      <c r="G232" s="48"/>
      <c r="H232" s="48"/>
      <c r="I232" s="48"/>
      <c r="J232" s="48" t="str">
        <f aca="false">IF(AND(MOVIMIENTOS!$A232&lt;&gt;"",COUNTIF(MOVIMIENTOS!$A$5:$A231,MOVIMIENTOS!$A232)=0),COUNT(J$4:J231)+1,"")</f>
        <v/>
      </c>
      <c r="K232" s="53" t="n">
        <f aca="false">MOVIMIENTOS!$A232</f>
        <v>0</v>
      </c>
      <c r="L232" s="48"/>
      <c r="M232" s="48"/>
      <c r="N232" s="48"/>
    </row>
    <row r="233" customFormat="false" ht="15" hidden="false" customHeight="true" outlineLevel="0" collapsed="false">
      <c r="A233" s="48"/>
      <c r="B233" s="48"/>
      <c r="C233" s="48"/>
      <c r="D233" s="48"/>
      <c r="E233" s="48"/>
      <c r="F233" s="48"/>
      <c r="G233" s="48"/>
      <c r="H233" s="48"/>
      <c r="I233" s="48"/>
      <c r="J233" s="48" t="str">
        <f aca="false">IF(AND(MOVIMIENTOS!$A233&lt;&gt;"",COUNTIF(MOVIMIENTOS!$A$5:$A232,MOVIMIENTOS!$A233)=0),COUNT(J$4:J232)+1,"")</f>
        <v/>
      </c>
      <c r="K233" s="53" t="n">
        <f aca="false">MOVIMIENTOS!$A233</f>
        <v>0</v>
      </c>
      <c r="L233" s="48"/>
      <c r="M233" s="48"/>
      <c r="N233" s="48"/>
    </row>
    <row r="234" customFormat="false" ht="15" hidden="false" customHeight="true" outlineLevel="0" collapsed="false">
      <c r="A234" s="48"/>
      <c r="B234" s="48"/>
      <c r="C234" s="48"/>
      <c r="D234" s="48"/>
      <c r="E234" s="48"/>
      <c r="F234" s="48"/>
      <c r="G234" s="48"/>
      <c r="H234" s="48"/>
      <c r="I234" s="48"/>
      <c r="J234" s="48" t="str">
        <f aca="false">IF(AND(MOVIMIENTOS!$A234&lt;&gt;"",COUNTIF(MOVIMIENTOS!$A$5:$A233,MOVIMIENTOS!$A234)=0),COUNT(J$4:J233)+1,"")</f>
        <v/>
      </c>
      <c r="K234" s="53" t="n">
        <f aca="false">MOVIMIENTOS!$A234</f>
        <v>0</v>
      </c>
      <c r="L234" s="48"/>
      <c r="M234" s="48"/>
      <c r="N234" s="48"/>
    </row>
    <row r="235" customFormat="false" ht="15" hidden="false" customHeight="true" outlineLevel="0" collapsed="false">
      <c r="A235" s="48"/>
      <c r="B235" s="48"/>
      <c r="C235" s="48"/>
      <c r="D235" s="48"/>
      <c r="E235" s="48"/>
      <c r="F235" s="48"/>
      <c r="G235" s="48"/>
      <c r="H235" s="48"/>
      <c r="I235" s="48"/>
      <c r="J235" s="48" t="str">
        <f aca="false">IF(AND(MOVIMIENTOS!$A235&lt;&gt;"",COUNTIF(MOVIMIENTOS!$A$5:$A234,MOVIMIENTOS!$A235)=0),COUNT(J$4:J234)+1,"")</f>
        <v/>
      </c>
      <c r="K235" s="53" t="n">
        <f aca="false">MOVIMIENTOS!$A235</f>
        <v>0</v>
      </c>
      <c r="L235" s="48"/>
      <c r="M235" s="48"/>
      <c r="N235" s="48"/>
    </row>
    <row r="236" customFormat="false" ht="15" hidden="false" customHeight="true" outlineLevel="0" collapsed="false">
      <c r="A236" s="48"/>
      <c r="B236" s="48"/>
      <c r="C236" s="48"/>
      <c r="D236" s="48"/>
      <c r="E236" s="48"/>
      <c r="F236" s="48"/>
      <c r="G236" s="48"/>
      <c r="H236" s="48"/>
      <c r="I236" s="48"/>
      <c r="J236" s="48" t="str">
        <f aca="false">IF(AND(MOVIMIENTOS!$A236&lt;&gt;"",COUNTIF(MOVIMIENTOS!$A$5:$A235,MOVIMIENTOS!$A236)=0),COUNT(J$4:J235)+1,"")</f>
        <v/>
      </c>
      <c r="K236" s="53" t="n">
        <f aca="false">MOVIMIENTOS!$A236</f>
        <v>0</v>
      </c>
      <c r="L236" s="48"/>
      <c r="M236" s="48"/>
      <c r="N236" s="48"/>
    </row>
    <row r="237" customFormat="false" ht="15" hidden="false" customHeight="true" outlineLevel="0" collapsed="false">
      <c r="A237" s="48"/>
      <c r="B237" s="48"/>
      <c r="C237" s="48"/>
      <c r="D237" s="48"/>
      <c r="E237" s="48"/>
      <c r="F237" s="48"/>
      <c r="G237" s="48"/>
      <c r="H237" s="48"/>
      <c r="I237" s="48"/>
      <c r="J237" s="48" t="str">
        <f aca="false">IF(AND(MOVIMIENTOS!$A237&lt;&gt;"",COUNTIF(MOVIMIENTOS!$A$5:$A236,MOVIMIENTOS!$A237)=0),COUNT(J$4:J236)+1,"")</f>
        <v/>
      </c>
      <c r="K237" s="53" t="n">
        <f aca="false">MOVIMIENTOS!$A237</f>
        <v>0</v>
      </c>
      <c r="L237" s="48"/>
      <c r="M237" s="48"/>
      <c r="N237" s="48"/>
    </row>
    <row r="238" customFormat="false" ht="15" hidden="false" customHeight="true" outlineLevel="0" collapsed="false">
      <c r="A238" s="48"/>
      <c r="B238" s="48"/>
      <c r="C238" s="48"/>
      <c r="D238" s="48"/>
      <c r="E238" s="48"/>
      <c r="F238" s="48"/>
      <c r="G238" s="48"/>
      <c r="H238" s="48"/>
      <c r="I238" s="48"/>
      <c r="J238" s="48" t="str">
        <f aca="false">IF(AND(MOVIMIENTOS!$A238&lt;&gt;"",COUNTIF(MOVIMIENTOS!$A$5:$A237,MOVIMIENTOS!$A238)=0),COUNT(J$4:J237)+1,"")</f>
        <v/>
      </c>
      <c r="K238" s="53" t="n">
        <f aca="false">MOVIMIENTOS!$A238</f>
        <v>0</v>
      </c>
      <c r="L238" s="48"/>
      <c r="M238" s="48"/>
      <c r="N238" s="48"/>
    </row>
    <row r="239" customFormat="false" ht="15" hidden="false" customHeight="true" outlineLevel="0" collapsed="false">
      <c r="A239" s="48"/>
      <c r="B239" s="48"/>
      <c r="C239" s="48"/>
      <c r="D239" s="48"/>
      <c r="E239" s="48"/>
      <c r="F239" s="48"/>
      <c r="G239" s="48"/>
      <c r="H239" s="48"/>
      <c r="I239" s="48"/>
      <c r="J239" s="48" t="str">
        <f aca="false">IF(AND(MOVIMIENTOS!$A239&lt;&gt;"",COUNTIF(MOVIMIENTOS!$A$5:$A238,MOVIMIENTOS!$A239)=0),COUNT(J$4:J238)+1,"")</f>
        <v/>
      </c>
      <c r="K239" s="53" t="n">
        <f aca="false">MOVIMIENTOS!$A239</f>
        <v>0</v>
      </c>
      <c r="L239" s="48"/>
      <c r="M239" s="48"/>
      <c r="N239" s="48"/>
    </row>
    <row r="240" customFormat="false" ht="15" hidden="false" customHeight="true" outlineLevel="0" collapsed="false">
      <c r="A240" s="48"/>
      <c r="B240" s="48"/>
      <c r="C240" s="48"/>
      <c r="D240" s="48"/>
      <c r="E240" s="48"/>
      <c r="F240" s="48"/>
      <c r="G240" s="48"/>
      <c r="H240" s="48"/>
      <c r="I240" s="48"/>
      <c r="J240" s="48" t="str">
        <f aca="false">IF(AND(MOVIMIENTOS!$A240&lt;&gt;"",COUNTIF(MOVIMIENTOS!$A$5:$A239,MOVIMIENTOS!$A240)=0),COUNT(J$4:J239)+1,"")</f>
        <v/>
      </c>
      <c r="K240" s="53" t="n">
        <f aca="false">MOVIMIENTOS!$A240</f>
        <v>0</v>
      </c>
      <c r="L240" s="48"/>
      <c r="M240" s="48"/>
      <c r="N240" s="48"/>
    </row>
    <row r="241" customFormat="false" ht="15" hidden="false" customHeight="true" outlineLevel="0" collapsed="false">
      <c r="A241" s="48"/>
      <c r="B241" s="48"/>
      <c r="C241" s="48"/>
      <c r="D241" s="48"/>
      <c r="E241" s="48"/>
      <c r="F241" s="48"/>
      <c r="G241" s="48"/>
      <c r="H241" s="48"/>
      <c r="I241" s="48"/>
      <c r="J241" s="48" t="str">
        <f aca="false">IF(AND(MOVIMIENTOS!$A241&lt;&gt;"",COUNTIF(MOVIMIENTOS!$A$5:$A240,MOVIMIENTOS!$A241)=0),COUNT(J$4:J240)+1,"")</f>
        <v/>
      </c>
      <c r="K241" s="53" t="n">
        <f aca="false">MOVIMIENTOS!$A241</f>
        <v>0</v>
      </c>
      <c r="L241" s="48"/>
      <c r="M241" s="48"/>
      <c r="N241" s="48"/>
    </row>
    <row r="242" customFormat="false" ht="15" hidden="false" customHeight="true" outlineLevel="0" collapsed="false">
      <c r="A242" s="48"/>
      <c r="B242" s="48"/>
      <c r="C242" s="48"/>
      <c r="D242" s="48"/>
      <c r="E242" s="48"/>
      <c r="F242" s="48"/>
      <c r="G242" s="48"/>
      <c r="H242" s="48"/>
      <c r="I242" s="48"/>
      <c r="J242" s="48" t="str">
        <f aca="false">IF(AND(MOVIMIENTOS!$A242&lt;&gt;"",COUNTIF(MOVIMIENTOS!$A$5:$A241,MOVIMIENTOS!$A242)=0),COUNT(J$4:J241)+1,"")</f>
        <v/>
      </c>
      <c r="K242" s="53" t="n">
        <f aca="false">MOVIMIENTOS!$A242</f>
        <v>0</v>
      </c>
      <c r="L242" s="48"/>
      <c r="M242" s="48"/>
      <c r="N242" s="48"/>
    </row>
    <row r="243" customFormat="false" ht="15" hidden="false" customHeight="true" outlineLevel="0" collapsed="false">
      <c r="A243" s="48"/>
      <c r="B243" s="48"/>
      <c r="C243" s="48"/>
      <c r="D243" s="48"/>
      <c r="E243" s="48"/>
      <c r="F243" s="48"/>
      <c r="G243" s="48"/>
      <c r="H243" s="48"/>
      <c r="I243" s="48"/>
      <c r="J243" s="48" t="str">
        <f aca="false">IF(AND(MOVIMIENTOS!$A243&lt;&gt;"",COUNTIF(MOVIMIENTOS!$A$5:$A242,MOVIMIENTOS!$A243)=0),COUNT(J$4:J242)+1,"")</f>
        <v/>
      </c>
      <c r="K243" s="53" t="n">
        <f aca="false">MOVIMIENTOS!$A243</f>
        <v>0</v>
      </c>
      <c r="L243" s="48"/>
      <c r="M243" s="48"/>
      <c r="N243" s="48"/>
    </row>
    <row r="244" customFormat="false" ht="15" hidden="false" customHeight="true" outlineLevel="0" collapsed="false">
      <c r="A244" s="48"/>
      <c r="B244" s="48"/>
      <c r="C244" s="48"/>
      <c r="D244" s="48"/>
      <c r="E244" s="48"/>
      <c r="F244" s="48"/>
      <c r="G244" s="48"/>
      <c r="H244" s="48"/>
      <c r="I244" s="48"/>
      <c r="J244" s="48" t="str">
        <f aca="false">IF(AND(MOVIMIENTOS!$A244&lt;&gt;"",COUNTIF(MOVIMIENTOS!$A$5:$A243,MOVIMIENTOS!$A244)=0),COUNT(J$4:J243)+1,"")</f>
        <v/>
      </c>
      <c r="K244" s="53" t="n">
        <f aca="false">MOVIMIENTOS!$A244</f>
        <v>0</v>
      </c>
      <c r="L244" s="48"/>
      <c r="M244" s="48"/>
      <c r="N244" s="48"/>
    </row>
    <row r="245" customFormat="false" ht="15" hidden="false" customHeight="true" outlineLevel="0" collapsed="false">
      <c r="A245" s="48"/>
      <c r="B245" s="48"/>
      <c r="C245" s="48"/>
      <c r="D245" s="48"/>
      <c r="E245" s="48"/>
      <c r="F245" s="48"/>
      <c r="G245" s="48"/>
      <c r="H245" s="48"/>
      <c r="I245" s="48"/>
      <c r="J245" s="48" t="str">
        <f aca="false">IF(AND(MOVIMIENTOS!$A245&lt;&gt;"",COUNTIF(MOVIMIENTOS!$A$5:$A244,MOVIMIENTOS!$A245)=0),COUNT(J$4:J244)+1,"")</f>
        <v/>
      </c>
      <c r="K245" s="53" t="n">
        <f aca="false">MOVIMIENTOS!$A245</f>
        <v>0</v>
      </c>
      <c r="L245" s="48"/>
      <c r="M245" s="48"/>
      <c r="N245" s="48"/>
    </row>
    <row r="246" customFormat="false" ht="15" hidden="false" customHeight="true" outlineLevel="0" collapsed="false">
      <c r="A246" s="48"/>
      <c r="B246" s="48"/>
      <c r="C246" s="48"/>
      <c r="D246" s="48"/>
      <c r="E246" s="48"/>
      <c r="F246" s="48"/>
      <c r="G246" s="48"/>
      <c r="H246" s="48"/>
      <c r="I246" s="48"/>
      <c r="J246" s="48" t="str">
        <f aca="false">IF(AND(MOVIMIENTOS!$A246&lt;&gt;"",COUNTIF(MOVIMIENTOS!$A$5:$A245,MOVIMIENTOS!$A246)=0),COUNT(J$4:J245)+1,"")</f>
        <v/>
      </c>
      <c r="K246" s="53" t="n">
        <f aca="false">MOVIMIENTOS!$A246</f>
        <v>0</v>
      </c>
      <c r="L246" s="48"/>
      <c r="M246" s="48"/>
      <c r="N246" s="48"/>
    </row>
    <row r="247" customFormat="false" ht="15" hidden="false" customHeight="true" outlineLevel="0" collapsed="false">
      <c r="A247" s="48"/>
      <c r="B247" s="48"/>
      <c r="C247" s="48"/>
      <c r="D247" s="48"/>
      <c r="E247" s="48"/>
      <c r="F247" s="48"/>
      <c r="G247" s="48"/>
      <c r="H247" s="48"/>
      <c r="I247" s="48"/>
      <c r="J247" s="48" t="str">
        <f aca="false">IF(AND(MOVIMIENTOS!$A247&lt;&gt;"",COUNTIF(MOVIMIENTOS!$A$5:$A246,MOVIMIENTOS!$A247)=0),COUNT(J$4:J246)+1,"")</f>
        <v/>
      </c>
      <c r="K247" s="53" t="n">
        <f aca="false">MOVIMIENTOS!$A247</f>
        <v>0</v>
      </c>
      <c r="L247" s="48"/>
      <c r="M247" s="48"/>
      <c r="N247" s="48"/>
    </row>
    <row r="248" customFormat="false" ht="15" hidden="false" customHeight="true" outlineLevel="0" collapsed="false">
      <c r="A248" s="48"/>
      <c r="B248" s="48"/>
      <c r="C248" s="48"/>
      <c r="D248" s="48"/>
      <c r="E248" s="48"/>
      <c r="F248" s="48"/>
      <c r="G248" s="48"/>
      <c r="H248" s="48"/>
      <c r="I248" s="48"/>
      <c r="J248" s="48" t="str">
        <f aca="false">IF(AND(MOVIMIENTOS!$A248&lt;&gt;"",COUNTIF(MOVIMIENTOS!$A$5:$A247,MOVIMIENTOS!$A248)=0),COUNT(J$4:J247)+1,"")</f>
        <v/>
      </c>
      <c r="K248" s="53" t="n">
        <f aca="false">MOVIMIENTOS!$A248</f>
        <v>0</v>
      </c>
      <c r="L248" s="48"/>
      <c r="M248" s="48"/>
      <c r="N248" s="48"/>
    </row>
    <row r="249" customFormat="false" ht="15" hidden="false" customHeight="true" outlineLevel="0" collapsed="false">
      <c r="A249" s="48"/>
      <c r="B249" s="48"/>
      <c r="C249" s="48"/>
      <c r="D249" s="48"/>
      <c r="E249" s="48"/>
      <c r="F249" s="48"/>
      <c r="G249" s="48"/>
      <c r="H249" s="48"/>
      <c r="I249" s="48"/>
      <c r="J249" s="48" t="str">
        <f aca="false">IF(AND(MOVIMIENTOS!$A249&lt;&gt;"",COUNTIF(MOVIMIENTOS!$A$5:$A248,MOVIMIENTOS!$A249)=0),COUNT(J$4:J248)+1,"")</f>
        <v/>
      </c>
      <c r="K249" s="53" t="n">
        <f aca="false">MOVIMIENTOS!$A249</f>
        <v>0</v>
      </c>
      <c r="L249" s="48"/>
      <c r="M249" s="48"/>
      <c r="N249" s="48"/>
    </row>
    <row r="250" customFormat="false" ht="15" hidden="false" customHeight="true" outlineLevel="0" collapsed="false">
      <c r="A250" s="48"/>
      <c r="B250" s="48"/>
      <c r="C250" s="48"/>
      <c r="D250" s="48"/>
      <c r="E250" s="48"/>
      <c r="F250" s="48"/>
      <c r="G250" s="48"/>
      <c r="H250" s="48"/>
      <c r="I250" s="48"/>
      <c r="J250" s="48" t="str">
        <f aca="false">IF(AND(MOVIMIENTOS!$A250&lt;&gt;"",COUNTIF(MOVIMIENTOS!$A$5:$A249,MOVIMIENTOS!$A250)=0),COUNT(J$4:J249)+1,"")</f>
        <v/>
      </c>
      <c r="K250" s="53" t="n">
        <f aca="false">MOVIMIENTOS!$A250</f>
        <v>0</v>
      </c>
      <c r="L250" s="48"/>
      <c r="M250" s="48"/>
      <c r="N250" s="48"/>
    </row>
    <row r="251" customFormat="false" ht="15" hidden="false" customHeight="true" outlineLevel="0" collapsed="false">
      <c r="A251" s="48"/>
      <c r="B251" s="48"/>
      <c r="C251" s="48"/>
      <c r="D251" s="48"/>
      <c r="E251" s="48"/>
      <c r="F251" s="48"/>
      <c r="G251" s="48"/>
      <c r="H251" s="48"/>
      <c r="I251" s="48"/>
      <c r="J251" s="48" t="str">
        <f aca="false">IF(AND(MOVIMIENTOS!$A251&lt;&gt;"",COUNTIF(MOVIMIENTOS!$A$5:$A250,MOVIMIENTOS!$A251)=0),COUNT(J$4:J250)+1,"")</f>
        <v/>
      </c>
      <c r="K251" s="53" t="n">
        <f aca="false">MOVIMIENTOS!$A251</f>
        <v>0</v>
      </c>
      <c r="L251" s="48"/>
      <c r="M251" s="48"/>
      <c r="N251" s="48"/>
    </row>
    <row r="252" customFormat="false" ht="15" hidden="false" customHeight="true" outlineLevel="0" collapsed="false">
      <c r="A252" s="48"/>
      <c r="B252" s="48"/>
      <c r="C252" s="48"/>
      <c r="D252" s="48"/>
      <c r="E252" s="48"/>
      <c r="F252" s="48"/>
      <c r="G252" s="48"/>
      <c r="H252" s="48"/>
      <c r="I252" s="48"/>
      <c r="J252" s="48" t="str">
        <f aca="false">IF(AND(MOVIMIENTOS!$A252&lt;&gt;"",COUNTIF(MOVIMIENTOS!$A$5:$A251,MOVIMIENTOS!$A252)=0),COUNT(J$4:J251)+1,"")</f>
        <v/>
      </c>
      <c r="K252" s="53" t="n">
        <f aca="false">MOVIMIENTOS!$A252</f>
        <v>0</v>
      </c>
      <c r="L252" s="48"/>
      <c r="M252" s="48"/>
      <c r="N252" s="48"/>
    </row>
    <row r="253" customFormat="false" ht="15" hidden="false" customHeight="true" outlineLevel="0" collapsed="false">
      <c r="A253" s="48"/>
      <c r="B253" s="48"/>
      <c r="C253" s="48"/>
      <c r="D253" s="48"/>
      <c r="E253" s="48"/>
      <c r="F253" s="48"/>
      <c r="G253" s="48"/>
      <c r="H253" s="48"/>
      <c r="I253" s="48"/>
      <c r="J253" s="48" t="str">
        <f aca="false">IF(AND(MOVIMIENTOS!$A253&lt;&gt;"",COUNTIF(MOVIMIENTOS!$A$5:$A252,MOVIMIENTOS!$A253)=0),COUNT(J$4:J252)+1,"")</f>
        <v/>
      </c>
      <c r="K253" s="53" t="n">
        <f aca="false">MOVIMIENTOS!$A253</f>
        <v>0</v>
      </c>
      <c r="L253" s="48"/>
      <c r="M253" s="48"/>
      <c r="N253" s="48"/>
    </row>
    <row r="254" customFormat="false" ht="15" hidden="false" customHeight="true" outlineLevel="0" collapsed="false">
      <c r="A254" s="48"/>
      <c r="B254" s="48"/>
      <c r="C254" s="48"/>
      <c r="D254" s="48"/>
      <c r="E254" s="48"/>
      <c r="F254" s="48"/>
      <c r="G254" s="48"/>
      <c r="H254" s="48"/>
      <c r="I254" s="48"/>
      <c r="J254" s="48" t="str">
        <f aca="false">IF(AND(MOVIMIENTOS!$A254&lt;&gt;"",COUNTIF(MOVIMIENTOS!$A$5:$A253,MOVIMIENTOS!$A254)=0),COUNT(J$4:J253)+1,"")</f>
        <v/>
      </c>
      <c r="K254" s="53" t="n">
        <f aca="false">MOVIMIENTOS!$A254</f>
        <v>0</v>
      </c>
      <c r="L254" s="48"/>
      <c r="M254" s="48"/>
      <c r="N254" s="48"/>
    </row>
    <row r="255" customFormat="false" ht="15" hidden="false" customHeight="true" outlineLevel="0" collapsed="false">
      <c r="A255" s="48"/>
      <c r="B255" s="48"/>
      <c r="C255" s="48"/>
      <c r="D255" s="48"/>
      <c r="E255" s="48"/>
      <c r="F255" s="48"/>
      <c r="G255" s="48"/>
      <c r="H255" s="48"/>
      <c r="I255" s="48"/>
      <c r="J255" s="48" t="str">
        <f aca="false">IF(AND(MOVIMIENTOS!$A255&lt;&gt;"",COUNTIF(MOVIMIENTOS!$A$5:$A254,MOVIMIENTOS!$A255)=0),COUNT(J$4:J254)+1,"")</f>
        <v/>
      </c>
      <c r="K255" s="53" t="n">
        <f aca="false">MOVIMIENTOS!$A255</f>
        <v>0</v>
      </c>
      <c r="L255" s="48"/>
      <c r="M255" s="48"/>
      <c r="N255" s="48"/>
    </row>
    <row r="256" customFormat="false" ht="15" hidden="false" customHeight="true" outlineLevel="0" collapsed="false">
      <c r="A256" s="48"/>
      <c r="B256" s="48"/>
      <c r="C256" s="48"/>
      <c r="D256" s="48"/>
      <c r="E256" s="48"/>
      <c r="F256" s="48"/>
      <c r="G256" s="48"/>
      <c r="H256" s="48"/>
      <c r="I256" s="48"/>
      <c r="J256" s="48" t="str">
        <f aca="false">IF(AND(MOVIMIENTOS!$A256&lt;&gt;"",COUNTIF(MOVIMIENTOS!$A$5:$A255,MOVIMIENTOS!$A256)=0),COUNT(J$4:J255)+1,"")</f>
        <v/>
      </c>
      <c r="K256" s="53" t="n">
        <f aca="false">MOVIMIENTOS!$A256</f>
        <v>0</v>
      </c>
      <c r="L256" s="48"/>
      <c r="M256" s="48"/>
      <c r="N256" s="48"/>
    </row>
    <row r="257" customFormat="false" ht="15" hidden="false" customHeight="true" outlineLevel="0" collapsed="false">
      <c r="A257" s="48"/>
      <c r="B257" s="48"/>
      <c r="C257" s="48"/>
      <c r="D257" s="48"/>
      <c r="E257" s="48"/>
      <c r="F257" s="48"/>
      <c r="G257" s="48"/>
      <c r="H257" s="48"/>
      <c r="I257" s="48"/>
      <c r="J257" s="48" t="str">
        <f aca="false">IF(AND(MOVIMIENTOS!$A257&lt;&gt;"",COUNTIF(MOVIMIENTOS!$A$5:$A256,MOVIMIENTOS!$A257)=0),COUNT(J$4:J256)+1,"")</f>
        <v/>
      </c>
      <c r="K257" s="53" t="n">
        <f aca="false">MOVIMIENTOS!$A257</f>
        <v>0</v>
      </c>
      <c r="L257" s="48"/>
      <c r="M257" s="48"/>
      <c r="N257" s="48"/>
    </row>
    <row r="258" customFormat="false" ht="15" hidden="false" customHeight="true" outlineLevel="0" collapsed="false">
      <c r="A258" s="48"/>
      <c r="B258" s="48"/>
      <c r="C258" s="48"/>
      <c r="D258" s="48"/>
      <c r="E258" s="48"/>
      <c r="F258" s="48"/>
      <c r="G258" s="48"/>
      <c r="H258" s="48"/>
      <c r="I258" s="48"/>
      <c r="J258" s="48" t="str">
        <f aca="false">IF(AND(MOVIMIENTOS!$A258&lt;&gt;"",COUNTIF(MOVIMIENTOS!$A$5:$A257,MOVIMIENTOS!$A258)=0),COUNT(J$4:J257)+1,"")</f>
        <v/>
      </c>
      <c r="K258" s="53" t="n">
        <f aca="false">MOVIMIENTOS!$A258</f>
        <v>0</v>
      </c>
      <c r="L258" s="48"/>
      <c r="M258" s="48"/>
      <c r="N258" s="48"/>
    </row>
    <row r="259" customFormat="false" ht="15" hidden="false" customHeight="true" outlineLevel="0" collapsed="false">
      <c r="A259" s="48"/>
      <c r="B259" s="48"/>
      <c r="C259" s="48"/>
      <c r="D259" s="48"/>
      <c r="E259" s="48"/>
      <c r="F259" s="48"/>
      <c r="G259" s="48"/>
      <c r="H259" s="48"/>
      <c r="I259" s="48"/>
      <c r="J259" s="48" t="str">
        <f aca="false">IF(AND(MOVIMIENTOS!$A259&lt;&gt;"",COUNTIF(MOVIMIENTOS!$A$5:$A258,MOVIMIENTOS!$A259)=0),COUNT(J$4:J258)+1,"")</f>
        <v/>
      </c>
      <c r="K259" s="53" t="n">
        <f aca="false">MOVIMIENTOS!$A259</f>
        <v>0</v>
      </c>
      <c r="L259" s="48"/>
      <c r="M259" s="48"/>
      <c r="N259" s="48"/>
    </row>
    <row r="260" customFormat="false" ht="15" hidden="false" customHeight="true" outlineLevel="0" collapsed="false">
      <c r="A260" s="48"/>
      <c r="B260" s="48"/>
      <c r="C260" s="48"/>
      <c r="D260" s="48"/>
      <c r="E260" s="48"/>
      <c r="F260" s="48"/>
      <c r="G260" s="48"/>
      <c r="H260" s="48"/>
      <c r="I260" s="48"/>
      <c r="J260" s="48" t="str">
        <f aca="false">IF(AND(MOVIMIENTOS!$A260&lt;&gt;"",COUNTIF(MOVIMIENTOS!$A$5:$A259,MOVIMIENTOS!$A260)=0),COUNT(J$4:J259)+1,"")</f>
        <v/>
      </c>
      <c r="K260" s="53" t="n">
        <f aca="false">MOVIMIENTOS!$A260</f>
        <v>0</v>
      </c>
      <c r="L260" s="48"/>
      <c r="M260" s="48"/>
      <c r="N260" s="48"/>
    </row>
    <row r="261" customFormat="false" ht="15" hidden="false" customHeight="true" outlineLevel="0" collapsed="false">
      <c r="A261" s="48"/>
      <c r="B261" s="48"/>
      <c r="C261" s="48"/>
      <c r="D261" s="48"/>
      <c r="E261" s="48"/>
      <c r="F261" s="48"/>
      <c r="G261" s="48"/>
      <c r="H261" s="48"/>
      <c r="I261" s="48"/>
      <c r="J261" s="48" t="str">
        <f aca="false">IF(AND(MOVIMIENTOS!$A261&lt;&gt;"",COUNTIF(MOVIMIENTOS!$A$5:$A260,MOVIMIENTOS!$A261)=0),COUNT(J$4:J260)+1,"")</f>
        <v/>
      </c>
      <c r="K261" s="53" t="n">
        <f aca="false">MOVIMIENTOS!$A261</f>
        <v>0</v>
      </c>
      <c r="L261" s="48"/>
      <c r="M261" s="48"/>
      <c r="N261" s="48"/>
    </row>
    <row r="262" customFormat="false" ht="15" hidden="false" customHeight="true" outlineLevel="0" collapsed="false">
      <c r="A262" s="48"/>
      <c r="B262" s="48"/>
      <c r="C262" s="48"/>
      <c r="D262" s="48"/>
      <c r="E262" s="48"/>
      <c r="F262" s="48"/>
      <c r="G262" s="48"/>
      <c r="H262" s="48"/>
      <c r="I262" s="48"/>
      <c r="J262" s="48" t="str">
        <f aca="false">IF(AND(MOVIMIENTOS!$A262&lt;&gt;"",COUNTIF(MOVIMIENTOS!$A$5:$A261,MOVIMIENTOS!$A262)=0),COUNT(J$4:J261)+1,"")</f>
        <v/>
      </c>
      <c r="K262" s="53" t="n">
        <f aca="false">MOVIMIENTOS!$A262</f>
        <v>0</v>
      </c>
      <c r="L262" s="48"/>
      <c r="M262" s="48"/>
      <c r="N262" s="48"/>
    </row>
    <row r="263" customFormat="false" ht="15" hidden="false" customHeight="true" outlineLevel="0" collapsed="false">
      <c r="A263" s="48"/>
      <c r="B263" s="48"/>
      <c r="C263" s="48"/>
      <c r="D263" s="48"/>
      <c r="E263" s="48"/>
      <c r="F263" s="48"/>
      <c r="G263" s="48"/>
      <c r="H263" s="48"/>
      <c r="I263" s="48"/>
      <c r="J263" s="48" t="str">
        <f aca="false">IF(AND(MOVIMIENTOS!$A263&lt;&gt;"",COUNTIF(MOVIMIENTOS!$A$5:$A262,MOVIMIENTOS!$A263)=0),COUNT(J$4:J262)+1,"")</f>
        <v/>
      </c>
      <c r="K263" s="53" t="n">
        <f aca="false">MOVIMIENTOS!$A263</f>
        <v>0</v>
      </c>
      <c r="L263" s="48"/>
      <c r="M263" s="48"/>
      <c r="N263" s="48"/>
    </row>
    <row r="264" customFormat="false" ht="15" hidden="false" customHeight="true" outlineLevel="0" collapsed="false">
      <c r="A264" s="48"/>
      <c r="B264" s="48"/>
      <c r="C264" s="48"/>
      <c r="D264" s="48"/>
      <c r="E264" s="48"/>
      <c r="F264" s="48"/>
      <c r="G264" s="48"/>
      <c r="H264" s="48"/>
      <c r="I264" s="48"/>
      <c r="J264" s="48" t="str">
        <f aca="false">IF(AND(MOVIMIENTOS!$A264&lt;&gt;"",COUNTIF(MOVIMIENTOS!$A$5:$A263,MOVIMIENTOS!$A264)=0),COUNT(J$4:J263)+1,"")</f>
        <v/>
      </c>
      <c r="K264" s="53" t="n">
        <f aca="false">MOVIMIENTOS!$A264</f>
        <v>0</v>
      </c>
      <c r="L264" s="48"/>
      <c r="M264" s="48"/>
      <c r="N264" s="48"/>
    </row>
    <row r="265" customFormat="false" ht="15" hidden="false" customHeight="true" outlineLevel="0" collapsed="false">
      <c r="A265" s="48"/>
      <c r="B265" s="48"/>
      <c r="C265" s="48"/>
      <c r="D265" s="48"/>
      <c r="E265" s="48"/>
      <c r="F265" s="48"/>
      <c r="G265" s="48"/>
      <c r="H265" s="48"/>
      <c r="I265" s="48"/>
      <c r="J265" s="48" t="str">
        <f aca="false">IF(AND(MOVIMIENTOS!$A265&lt;&gt;"",COUNTIF(MOVIMIENTOS!$A$5:$A264,MOVIMIENTOS!$A265)=0),COUNT(J$4:J264)+1,"")</f>
        <v/>
      </c>
      <c r="K265" s="53" t="n">
        <f aca="false">MOVIMIENTOS!$A265</f>
        <v>0</v>
      </c>
      <c r="L265" s="48"/>
      <c r="M265" s="48"/>
      <c r="N265" s="48"/>
    </row>
    <row r="266" customFormat="false" ht="15" hidden="false" customHeight="true" outlineLevel="0" collapsed="false">
      <c r="A266" s="48"/>
      <c r="B266" s="48"/>
      <c r="C266" s="48"/>
      <c r="D266" s="48"/>
      <c r="E266" s="48"/>
      <c r="F266" s="48"/>
      <c r="G266" s="48"/>
      <c r="H266" s="48"/>
      <c r="I266" s="48"/>
      <c r="J266" s="48" t="str">
        <f aca="false">IF(AND(MOVIMIENTOS!$A266&lt;&gt;"",COUNTIF(MOVIMIENTOS!$A$5:$A265,MOVIMIENTOS!$A266)=0),COUNT(J$4:J265)+1,"")</f>
        <v/>
      </c>
      <c r="K266" s="53" t="n">
        <f aca="false">MOVIMIENTOS!$A266</f>
        <v>0</v>
      </c>
      <c r="L266" s="48"/>
      <c r="M266" s="48"/>
      <c r="N266" s="48"/>
    </row>
    <row r="267" customFormat="false" ht="15" hidden="false" customHeight="true" outlineLevel="0" collapsed="false">
      <c r="A267" s="48"/>
      <c r="B267" s="48"/>
      <c r="C267" s="48"/>
      <c r="D267" s="48"/>
      <c r="E267" s="48"/>
      <c r="F267" s="48"/>
      <c r="G267" s="48"/>
      <c r="H267" s="48"/>
      <c r="I267" s="48"/>
      <c r="J267" s="48" t="str">
        <f aca="false">IF(AND(MOVIMIENTOS!$A267&lt;&gt;"",COUNTIF(MOVIMIENTOS!$A$5:$A266,MOVIMIENTOS!$A267)=0),COUNT(J$4:J266)+1,"")</f>
        <v/>
      </c>
      <c r="K267" s="53" t="n">
        <f aca="false">MOVIMIENTOS!$A267</f>
        <v>0</v>
      </c>
      <c r="L267" s="48"/>
      <c r="M267" s="48"/>
      <c r="N267" s="48"/>
    </row>
    <row r="268" customFormat="false" ht="15" hidden="false" customHeight="true" outlineLevel="0" collapsed="false">
      <c r="A268" s="48"/>
      <c r="B268" s="48"/>
      <c r="C268" s="48"/>
      <c r="D268" s="48"/>
      <c r="E268" s="48"/>
      <c r="F268" s="48"/>
      <c r="G268" s="48"/>
      <c r="H268" s="48"/>
      <c r="I268" s="48"/>
      <c r="J268" s="48" t="str">
        <f aca="false">IF(AND(MOVIMIENTOS!$A268&lt;&gt;"",COUNTIF(MOVIMIENTOS!$A$5:$A267,MOVIMIENTOS!$A268)=0),COUNT(J$4:J267)+1,"")</f>
        <v/>
      </c>
      <c r="K268" s="53" t="n">
        <f aca="false">MOVIMIENTOS!$A268</f>
        <v>0</v>
      </c>
      <c r="L268" s="48"/>
      <c r="M268" s="48"/>
      <c r="N268" s="48"/>
    </row>
    <row r="269" customFormat="false" ht="15" hidden="false" customHeight="true" outlineLevel="0" collapsed="false">
      <c r="A269" s="48"/>
      <c r="B269" s="48"/>
      <c r="C269" s="48"/>
      <c r="D269" s="48"/>
      <c r="E269" s="48"/>
      <c r="F269" s="48"/>
      <c r="G269" s="48"/>
      <c r="H269" s="48"/>
      <c r="I269" s="48"/>
      <c r="J269" s="48" t="str">
        <f aca="false">IF(AND(MOVIMIENTOS!$A269&lt;&gt;"",COUNTIF(MOVIMIENTOS!$A$5:$A268,MOVIMIENTOS!$A269)=0),COUNT(J$4:J268)+1,"")</f>
        <v/>
      </c>
      <c r="K269" s="53" t="n">
        <f aca="false">MOVIMIENTOS!$A269</f>
        <v>0</v>
      </c>
      <c r="L269" s="48"/>
      <c r="M269" s="48"/>
      <c r="N269" s="48"/>
    </row>
    <row r="270" customFormat="false" ht="15" hidden="false" customHeight="true" outlineLevel="0" collapsed="false">
      <c r="A270" s="48"/>
      <c r="B270" s="48"/>
      <c r="C270" s="48"/>
      <c r="D270" s="48"/>
      <c r="E270" s="48"/>
      <c r="F270" s="48"/>
      <c r="G270" s="48"/>
      <c r="H270" s="48"/>
      <c r="I270" s="48"/>
      <c r="J270" s="48" t="str">
        <f aca="false">IF(AND(MOVIMIENTOS!$A270&lt;&gt;"",COUNTIF(MOVIMIENTOS!$A$5:$A269,MOVIMIENTOS!$A270)=0),COUNT(J$4:J269)+1,"")</f>
        <v/>
      </c>
      <c r="K270" s="53" t="n">
        <f aca="false">MOVIMIENTOS!$A270</f>
        <v>0</v>
      </c>
      <c r="L270" s="48"/>
      <c r="M270" s="48"/>
      <c r="N270" s="48"/>
    </row>
    <row r="271" customFormat="false" ht="15" hidden="false" customHeight="true" outlineLevel="0" collapsed="false">
      <c r="A271" s="48"/>
      <c r="B271" s="48"/>
      <c r="C271" s="48"/>
      <c r="D271" s="48"/>
      <c r="E271" s="48"/>
      <c r="F271" s="48"/>
      <c r="G271" s="48"/>
      <c r="H271" s="48"/>
      <c r="I271" s="48"/>
      <c r="J271" s="48" t="str">
        <f aca="false">IF(AND(MOVIMIENTOS!$A271&lt;&gt;"",COUNTIF(MOVIMIENTOS!$A$5:$A270,MOVIMIENTOS!$A271)=0),COUNT(J$4:J270)+1,"")</f>
        <v/>
      </c>
      <c r="K271" s="53" t="n">
        <f aca="false">MOVIMIENTOS!$A271</f>
        <v>0</v>
      </c>
      <c r="L271" s="48"/>
      <c r="M271" s="48"/>
      <c r="N271" s="48"/>
    </row>
    <row r="272" customFormat="false" ht="15" hidden="false" customHeight="true" outlineLevel="0" collapsed="false">
      <c r="A272" s="48"/>
      <c r="B272" s="48"/>
      <c r="C272" s="48"/>
      <c r="D272" s="48"/>
      <c r="E272" s="48"/>
      <c r="F272" s="48"/>
      <c r="G272" s="48"/>
      <c r="H272" s="48"/>
      <c r="I272" s="48"/>
      <c r="J272" s="48" t="str">
        <f aca="false">IF(AND(MOVIMIENTOS!$A272&lt;&gt;"",COUNTIF(MOVIMIENTOS!$A$5:$A271,MOVIMIENTOS!$A272)=0),COUNT(J$4:J271)+1,"")</f>
        <v/>
      </c>
      <c r="K272" s="53" t="n">
        <f aca="false">MOVIMIENTOS!$A272</f>
        <v>0</v>
      </c>
      <c r="L272" s="48"/>
      <c r="M272" s="48"/>
      <c r="N272" s="48"/>
    </row>
    <row r="273" customFormat="false" ht="15" hidden="false" customHeight="true" outlineLevel="0" collapsed="false">
      <c r="A273" s="48"/>
      <c r="B273" s="48"/>
      <c r="C273" s="48"/>
      <c r="D273" s="48"/>
      <c r="E273" s="48"/>
      <c r="F273" s="48"/>
      <c r="G273" s="48"/>
      <c r="H273" s="48"/>
      <c r="I273" s="48"/>
      <c r="J273" s="48" t="str">
        <f aca="false">IF(AND(MOVIMIENTOS!$A273&lt;&gt;"",COUNTIF(MOVIMIENTOS!$A$5:$A272,MOVIMIENTOS!$A273)=0),COUNT(J$4:J272)+1,"")</f>
        <v/>
      </c>
      <c r="K273" s="53" t="n">
        <f aca="false">MOVIMIENTOS!$A273</f>
        <v>0</v>
      </c>
      <c r="L273" s="48"/>
      <c r="M273" s="48"/>
      <c r="N273" s="48"/>
    </row>
    <row r="274" customFormat="false" ht="15" hidden="false" customHeight="true" outlineLevel="0" collapsed="false">
      <c r="A274" s="48"/>
      <c r="B274" s="48"/>
      <c r="C274" s="48"/>
      <c r="D274" s="48"/>
      <c r="E274" s="48"/>
      <c r="F274" s="48"/>
      <c r="G274" s="48"/>
      <c r="H274" s="48"/>
      <c r="I274" s="48"/>
      <c r="J274" s="48" t="str">
        <f aca="false">IF(AND(MOVIMIENTOS!$A274&lt;&gt;"",COUNTIF(MOVIMIENTOS!$A$5:$A273,MOVIMIENTOS!$A274)=0),COUNT(J$4:J273)+1,"")</f>
        <v/>
      </c>
      <c r="K274" s="53" t="n">
        <f aca="false">MOVIMIENTOS!$A274</f>
        <v>0</v>
      </c>
      <c r="L274" s="48"/>
      <c r="M274" s="48"/>
      <c r="N274" s="48"/>
    </row>
    <row r="275" customFormat="false" ht="15" hidden="false" customHeight="true" outlineLevel="0" collapsed="false">
      <c r="A275" s="48"/>
      <c r="B275" s="48"/>
      <c r="C275" s="48"/>
      <c r="D275" s="48"/>
      <c r="E275" s="48"/>
      <c r="F275" s="48"/>
      <c r="G275" s="48"/>
      <c r="H275" s="48"/>
      <c r="I275" s="48"/>
      <c r="J275" s="48" t="str">
        <f aca="false">IF(AND(MOVIMIENTOS!$A275&lt;&gt;"",COUNTIF(MOVIMIENTOS!$A$5:$A274,MOVIMIENTOS!$A275)=0),COUNT(J$4:J274)+1,"")</f>
        <v/>
      </c>
      <c r="K275" s="53" t="n">
        <f aca="false">MOVIMIENTOS!$A275</f>
        <v>0</v>
      </c>
      <c r="L275" s="48"/>
      <c r="M275" s="48"/>
      <c r="N275" s="48"/>
    </row>
    <row r="276" customFormat="false" ht="15" hidden="false" customHeight="true" outlineLevel="0" collapsed="false">
      <c r="A276" s="48"/>
      <c r="B276" s="48"/>
      <c r="C276" s="48"/>
      <c r="D276" s="48"/>
      <c r="E276" s="48"/>
      <c r="F276" s="48"/>
      <c r="G276" s="48"/>
      <c r="H276" s="48"/>
      <c r="I276" s="48"/>
      <c r="J276" s="48" t="str">
        <f aca="false">IF(AND(MOVIMIENTOS!$A276&lt;&gt;"",COUNTIF(MOVIMIENTOS!$A$5:$A275,MOVIMIENTOS!$A276)=0),COUNT(J$4:J275)+1,"")</f>
        <v/>
      </c>
      <c r="K276" s="53" t="n">
        <f aca="false">MOVIMIENTOS!$A276</f>
        <v>0</v>
      </c>
      <c r="L276" s="48"/>
      <c r="M276" s="48"/>
      <c r="N276" s="48"/>
    </row>
    <row r="277" customFormat="false" ht="15" hidden="false" customHeight="true" outlineLevel="0" collapsed="false">
      <c r="A277" s="48"/>
      <c r="B277" s="48"/>
      <c r="C277" s="48"/>
      <c r="D277" s="48"/>
      <c r="E277" s="48"/>
      <c r="F277" s="48"/>
      <c r="G277" s="48"/>
      <c r="H277" s="48"/>
      <c r="I277" s="48"/>
      <c r="J277" s="48" t="str">
        <f aca="false">IF(AND(MOVIMIENTOS!$A277&lt;&gt;"",COUNTIF(MOVIMIENTOS!$A$5:$A276,MOVIMIENTOS!$A277)=0),COUNT(J$4:J276)+1,"")</f>
        <v/>
      </c>
      <c r="K277" s="53" t="n">
        <f aca="false">MOVIMIENTOS!$A277</f>
        <v>0</v>
      </c>
      <c r="L277" s="48"/>
      <c r="M277" s="48"/>
      <c r="N277" s="48"/>
    </row>
    <row r="278" customFormat="false" ht="15" hidden="false" customHeight="true" outlineLevel="0" collapsed="false">
      <c r="A278" s="48"/>
      <c r="B278" s="48"/>
      <c r="C278" s="48"/>
      <c r="D278" s="48"/>
      <c r="E278" s="48"/>
      <c r="F278" s="48"/>
      <c r="G278" s="48"/>
      <c r="H278" s="48"/>
      <c r="I278" s="48"/>
      <c r="J278" s="48" t="str">
        <f aca="false">IF(AND(MOVIMIENTOS!$A278&lt;&gt;"",COUNTIF(MOVIMIENTOS!$A$5:$A277,MOVIMIENTOS!$A278)=0),COUNT(J$4:J277)+1,"")</f>
        <v/>
      </c>
      <c r="K278" s="53" t="n">
        <f aca="false">MOVIMIENTOS!$A278</f>
        <v>0</v>
      </c>
      <c r="L278" s="48"/>
      <c r="M278" s="48"/>
      <c r="N278" s="48"/>
    </row>
    <row r="279" customFormat="false" ht="15" hidden="false" customHeight="true" outlineLevel="0" collapsed="false">
      <c r="A279" s="48"/>
      <c r="B279" s="48"/>
      <c r="C279" s="48"/>
      <c r="D279" s="48"/>
      <c r="E279" s="48"/>
      <c r="F279" s="48"/>
      <c r="G279" s="48"/>
      <c r="H279" s="48"/>
      <c r="I279" s="48"/>
      <c r="J279" s="48" t="str">
        <f aca="false">IF(AND(MOVIMIENTOS!$A279&lt;&gt;"",COUNTIF(MOVIMIENTOS!$A$5:$A278,MOVIMIENTOS!$A279)=0),COUNT(J$4:J278)+1,"")</f>
        <v/>
      </c>
      <c r="K279" s="53" t="n">
        <f aca="false">MOVIMIENTOS!$A279</f>
        <v>0</v>
      </c>
      <c r="L279" s="48"/>
      <c r="M279" s="48"/>
      <c r="N279" s="48"/>
    </row>
    <row r="280" customFormat="false" ht="15" hidden="false" customHeight="true" outlineLevel="0" collapsed="false">
      <c r="A280" s="48"/>
      <c r="B280" s="48"/>
      <c r="C280" s="48"/>
      <c r="D280" s="48"/>
      <c r="E280" s="48"/>
      <c r="F280" s="48"/>
      <c r="G280" s="48"/>
      <c r="H280" s="48"/>
      <c r="I280" s="48"/>
      <c r="J280" s="48" t="str">
        <f aca="false">IF(AND(MOVIMIENTOS!$A280&lt;&gt;"",COUNTIF(MOVIMIENTOS!$A$5:$A279,MOVIMIENTOS!$A280)=0),COUNT(J$4:J279)+1,"")</f>
        <v/>
      </c>
      <c r="K280" s="53" t="n">
        <f aca="false">MOVIMIENTOS!$A280</f>
        <v>0</v>
      </c>
      <c r="L280" s="48"/>
      <c r="M280" s="48"/>
      <c r="N280" s="48"/>
    </row>
    <row r="281" customFormat="false" ht="15" hidden="false" customHeight="true" outlineLevel="0" collapsed="false">
      <c r="A281" s="48"/>
      <c r="B281" s="48"/>
      <c r="C281" s="48"/>
      <c r="D281" s="48"/>
      <c r="E281" s="48"/>
      <c r="F281" s="48"/>
      <c r="G281" s="48"/>
      <c r="H281" s="48"/>
      <c r="I281" s="48"/>
      <c r="J281" s="48" t="str">
        <f aca="false">IF(AND(MOVIMIENTOS!$A281&lt;&gt;"",COUNTIF(MOVIMIENTOS!$A$5:$A280,MOVIMIENTOS!$A281)=0),COUNT(J$4:J280)+1,"")</f>
        <v/>
      </c>
      <c r="K281" s="53" t="n">
        <f aca="false">MOVIMIENTOS!$A281</f>
        <v>0</v>
      </c>
      <c r="L281" s="48"/>
      <c r="M281" s="48"/>
      <c r="N281" s="48"/>
    </row>
    <row r="282" customFormat="false" ht="15" hidden="false" customHeight="true" outlineLevel="0" collapsed="false">
      <c r="A282" s="48"/>
      <c r="B282" s="48"/>
      <c r="C282" s="48"/>
      <c r="D282" s="48"/>
      <c r="E282" s="48"/>
      <c r="F282" s="48"/>
      <c r="G282" s="48"/>
      <c r="H282" s="48"/>
      <c r="I282" s="48"/>
      <c r="J282" s="48" t="str">
        <f aca="false">IF(AND(MOVIMIENTOS!$A282&lt;&gt;"",COUNTIF(MOVIMIENTOS!$A$5:$A281,MOVIMIENTOS!$A282)=0),COUNT(J$4:J281)+1,"")</f>
        <v/>
      </c>
      <c r="K282" s="53" t="n">
        <f aca="false">MOVIMIENTOS!$A282</f>
        <v>0</v>
      </c>
      <c r="L282" s="48"/>
      <c r="M282" s="48"/>
      <c r="N282" s="48"/>
    </row>
    <row r="283" customFormat="false" ht="15" hidden="false" customHeight="true" outlineLevel="0" collapsed="false">
      <c r="A283" s="48"/>
      <c r="B283" s="48"/>
      <c r="C283" s="48"/>
      <c r="D283" s="48"/>
      <c r="E283" s="48"/>
      <c r="F283" s="48"/>
      <c r="G283" s="48"/>
      <c r="H283" s="48"/>
      <c r="I283" s="48"/>
      <c r="J283" s="48" t="str">
        <f aca="false">IF(AND(MOVIMIENTOS!$A283&lt;&gt;"",COUNTIF(MOVIMIENTOS!$A$5:$A282,MOVIMIENTOS!$A283)=0),COUNT(J$4:J282)+1,"")</f>
        <v/>
      </c>
      <c r="K283" s="53" t="n">
        <f aca="false">MOVIMIENTOS!$A283</f>
        <v>0</v>
      </c>
      <c r="L283" s="48"/>
      <c r="M283" s="48"/>
      <c r="N283" s="48"/>
    </row>
    <row r="284" customFormat="false" ht="15" hidden="false" customHeight="true" outlineLevel="0" collapsed="false">
      <c r="A284" s="48"/>
      <c r="B284" s="48"/>
      <c r="C284" s="48"/>
      <c r="D284" s="48"/>
      <c r="E284" s="48"/>
      <c r="F284" s="48"/>
      <c r="G284" s="48"/>
      <c r="H284" s="48"/>
      <c r="I284" s="48"/>
      <c r="J284" s="48" t="str">
        <f aca="false">IF(AND(MOVIMIENTOS!$A284&lt;&gt;"",COUNTIF(MOVIMIENTOS!$A$5:$A283,MOVIMIENTOS!$A284)=0),COUNT(J$4:J283)+1,"")</f>
        <v/>
      </c>
      <c r="K284" s="53" t="n">
        <f aca="false">MOVIMIENTOS!$A284</f>
        <v>0</v>
      </c>
      <c r="L284" s="48"/>
      <c r="M284" s="48"/>
      <c r="N284" s="48"/>
    </row>
    <row r="285" customFormat="false" ht="15" hidden="false" customHeight="true" outlineLevel="0" collapsed="false">
      <c r="A285" s="48"/>
      <c r="B285" s="48"/>
      <c r="C285" s="48"/>
      <c r="D285" s="48"/>
      <c r="E285" s="48"/>
      <c r="F285" s="48"/>
      <c r="G285" s="48"/>
      <c r="H285" s="48"/>
      <c r="I285" s="48"/>
      <c r="J285" s="48" t="str">
        <f aca="false">IF(AND(MOVIMIENTOS!$A285&lt;&gt;"",COUNTIF(MOVIMIENTOS!$A$5:$A284,MOVIMIENTOS!$A285)=0),COUNT(J$4:J284)+1,"")</f>
        <v/>
      </c>
      <c r="K285" s="53" t="n">
        <f aca="false">MOVIMIENTOS!$A285</f>
        <v>0</v>
      </c>
      <c r="L285" s="48"/>
      <c r="M285" s="48"/>
      <c r="N285" s="48"/>
    </row>
    <row r="286" customFormat="false" ht="15" hidden="false" customHeight="true" outlineLevel="0" collapsed="false">
      <c r="A286" s="48"/>
      <c r="B286" s="48"/>
      <c r="C286" s="48"/>
      <c r="D286" s="48"/>
      <c r="E286" s="48"/>
      <c r="F286" s="48"/>
      <c r="G286" s="48"/>
      <c r="H286" s="48"/>
      <c r="I286" s="48"/>
      <c r="J286" s="48" t="str">
        <f aca="false">IF(AND(MOVIMIENTOS!$A286&lt;&gt;"",COUNTIF(MOVIMIENTOS!$A$5:$A285,MOVIMIENTOS!$A286)=0),COUNT(J$4:J285)+1,"")</f>
        <v/>
      </c>
      <c r="K286" s="53" t="n">
        <f aca="false">MOVIMIENTOS!$A286</f>
        <v>0</v>
      </c>
      <c r="L286" s="48"/>
      <c r="M286" s="48"/>
      <c r="N286" s="48"/>
    </row>
    <row r="287" customFormat="false" ht="15" hidden="false" customHeight="true" outlineLevel="0" collapsed="false">
      <c r="A287" s="48"/>
      <c r="B287" s="48"/>
      <c r="C287" s="48"/>
      <c r="D287" s="48"/>
      <c r="E287" s="48"/>
      <c r="F287" s="48"/>
      <c r="G287" s="48"/>
      <c r="H287" s="48"/>
      <c r="I287" s="48"/>
      <c r="J287" s="48" t="str">
        <f aca="false">IF(AND(MOVIMIENTOS!$A287&lt;&gt;"",COUNTIF(MOVIMIENTOS!$A$5:$A286,MOVIMIENTOS!$A287)=0),COUNT(J$4:J286)+1,"")</f>
        <v/>
      </c>
      <c r="K287" s="53" t="n">
        <f aca="false">MOVIMIENTOS!$A287</f>
        <v>0</v>
      </c>
      <c r="L287" s="48"/>
      <c r="M287" s="48"/>
      <c r="N287" s="48"/>
    </row>
    <row r="288" customFormat="false" ht="15" hidden="false" customHeight="true" outlineLevel="0" collapsed="false">
      <c r="A288" s="48"/>
      <c r="B288" s="48"/>
      <c r="C288" s="48"/>
      <c r="D288" s="48"/>
      <c r="E288" s="48"/>
      <c r="F288" s="48"/>
      <c r="G288" s="48"/>
      <c r="H288" s="48"/>
      <c r="I288" s="48"/>
      <c r="J288" s="48" t="str">
        <f aca="false">IF(AND(MOVIMIENTOS!$A288&lt;&gt;"",COUNTIF(MOVIMIENTOS!$A$5:$A287,MOVIMIENTOS!$A288)=0),COUNT(J$4:J287)+1,"")</f>
        <v/>
      </c>
      <c r="K288" s="53" t="n">
        <f aca="false">MOVIMIENTOS!$A288</f>
        <v>0</v>
      </c>
      <c r="L288" s="48"/>
      <c r="M288" s="48"/>
      <c r="N288" s="48"/>
    </row>
    <row r="289" customFormat="false" ht="15" hidden="false" customHeight="true" outlineLevel="0" collapsed="false">
      <c r="A289" s="48"/>
      <c r="B289" s="48"/>
      <c r="C289" s="48"/>
      <c r="D289" s="48"/>
      <c r="E289" s="48"/>
      <c r="F289" s="48"/>
      <c r="G289" s="48"/>
      <c r="H289" s="48"/>
      <c r="I289" s="48"/>
      <c r="J289" s="48" t="str">
        <f aca="false">IF(AND(MOVIMIENTOS!$A289&lt;&gt;"",COUNTIF(MOVIMIENTOS!$A$5:$A288,MOVIMIENTOS!$A289)=0),COUNT(J$4:J288)+1,"")</f>
        <v/>
      </c>
      <c r="K289" s="53" t="n">
        <f aca="false">MOVIMIENTOS!$A289</f>
        <v>0</v>
      </c>
      <c r="L289" s="48"/>
      <c r="M289" s="48"/>
      <c r="N289" s="48"/>
    </row>
    <row r="290" customFormat="false" ht="15" hidden="false" customHeight="true" outlineLevel="0" collapsed="false">
      <c r="A290" s="48"/>
      <c r="B290" s="48"/>
      <c r="C290" s="48"/>
      <c r="D290" s="48"/>
      <c r="E290" s="48"/>
      <c r="F290" s="48"/>
      <c r="G290" s="48"/>
      <c r="H290" s="48"/>
      <c r="I290" s="48"/>
      <c r="J290" s="48" t="str">
        <f aca="false">IF(AND(MOVIMIENTOS!$A290&lt;&gt;"",COUNTIF(MOVIMIENTOS!$A$5:$A289,MOVIMIENTOS!$A290)=0),COUNT(J$4:J289)+1,"")</f>
        <v/>
      </c>
      <c r="K290" s="53" t="n">
        <f aca="false">MOVIMIENTOS!$A290</f>
        <v>0</v>
      </c>
      <c r="L290" s="48"/>
      <c r="M290" s="48"/>
      <c r="N290" s="48"/>
    </row>
    <row r="291" customFormat="false" ht="15" hidden="false" customHeight="true" outlineLevel="0" collapsed="false">
      <c r="A291" s="48"/>
      <c r="B291" s="48"/>
      <c r="C291" s="48"/>
      <c r="D291" s="48"/>
      <c r="E291" s="48"/>
      <c r="F291" s="48"/>
      <c r="G291" s="48"/>
      <c r="H291" s="48"/>
      <c r="I291" s="48"/>
      <c r="J291" s="48" t="str">
        <f aca="false">IF(AND(MOVIMIENTOS!$A291&lt;&gt;"",COUNTIF(MOVIMIENTOS!$A$5:$A290,MOVIMIENTOS!$A291)=0),COUNT(J$4:J290)+1,"")</f>
        <v/>
      </c>
      <c r="K291" s="53" t="n">
        <f aca="false">MOVIMIENTOS!$A291</f>
        <v>0</v>
      </c>
      <c r="L291" s="48"/>
      <c r="M291" s="48"/>
      <c r="N291" s="48"/>
    </row>
    <row r="292" customFormat="false" ht="15" hidden="false" customHeight="true" outlineLevel="0" collapsed="false">
      <c r="A292" s="48"/>
      <c r="B292" s="48"/>
      <c r="C292" s="48"/>
      <c r="D292" s="48"/>
      <c r="E292" s="48"/>
      <c r="F292" s="48"/>
      <c r="G292" s="48"/>
      <c r="H292" s="48"/>
      <c r="I292" s="48"/>
      <c r="J292" s="48" t="str">
        <f aca="false">IF(AND(MOVIMIENTOS!$A292&lt;&gt;"",COUNTIF(MOVIMIENTOS!$A$5:$A291,MOVIMIENTOS!$A292)=0),COUNT(J$4:J291)+1,"")</f>
        <v/>
      </c>
      <c r="K292" s="53" t="n">
        <f aca="false">MOVIMIENTOS!$A292</f>
        <v>0</v>
      </c>
      <c r="L292" s="48"/>
      <c r="M292" s="48"/>
      <c r="N292" s="48"/>
    </row>
    <row r="293" customFormat="false" ht="15" hidden="false" customHeight="true" outlineLevel="0" collapsed="false">
      <c r="A293" s="48"/>
      <c r="B293" s="48"/>
      <c r="C293" s="48"/>
      <c r="D293" s="48"/>
      <c r="E293" s="48"/>
      <c r="F293" s="48"/>
      <c r="G293" s="48"/>
      <c r="H293" s="48"/>
      <c r="I293" s="48"/>
      <c r="J293" s="48" t="str">
        <f aca="false">IF(AND(MOVIMIENTOS!$A293&lt;&gt;"",COUNTIF(MOVIMIENTOS!$A$5:$A292,MOVIMIENTOS!$A293)=0),COUNT(J$4:J292)+1,"")</f>
        <v/>
      </c>
      <c r="K293" s="53" t="n">
        <f aca="false">MOVIMIENTOS!$A293</f>
        <v>0</v>
      </c>
      <c r="L293" s="48"/>
      <c r="M293" s="48"/>
      <c r="N293" s="48"/>
    </row>
    <row r="294" customFormat="false" ht="15" hidden="false" customHeight="true" outlineLevel="0" collapsed="false">
      <c r="A294" s="48"/>
      <c r="B294" s="48"/>
      <c r="C294" s="48"/>
      <c r="D294" s="48"/>
      <c r="E294" s="48"/>
      <c r="F294" s="48"/>
      <c r="G294" s="48"/>
      <c r="H294" s="48"/>
      <c r="I294" s="48"/>
      <c r="J294" s="48" t="str">
        <f aca="false">IF(AND(MOVIMIENTOS!$A294&lt;&gt;"",COUNTIF(MOVIMIENTOS!$A$5:$A293,MOVIMIENTOS!$A294)=0),COUNT(J$4:J293)+1,"")</f>
        <v/>
      </c>
      <c r="K294" s="53" t="n">
        <f aca="false">MOVIMIENTOS!$A294</f>
        <v>0</v>
      </c>
      <c r="L294" s="48"/>
      <c r="M294" s="48"/>
      <c r="N294" s="48"/>
    </row>
    <row r="295" customFormat="false" ht="15" hidden="false" customHeight="true" outlineLevel="0" collapsed="false">
      <c r="A295" s="48"/>
      <c r="B295" s="48"/>
      <c r="C295" s="48"/>
      <c r="D295" s="48"/>
      <c r="E295" s="48"/>
      <c r="F295" s="48"/>
      <c r="G295" s="48"/>
      <c r="H295" s="48"/>
      <c r="I295" s="48"/>
      <c r="J295" s="48" t="str">
        <f aca="false">IF(AND(MOVIMIENTOS!$A295&lt;&gt;"",COUNTIF(MOVIMIENTOS!$A$5:$A294,MOVIMIENTOS!$A295)=0),COUNT(J$4:J294)+1,"")</f>
        <v/>
      </c>
      <c r="K295" s="53" t="n">
        <f aca="false">MOVIMIENTOS!$A295</f>
        <v>0</v>
      </c>
      <c r="L295" s="48"/>
      <c r="M295" s="48"/>
      <c r="N295" s="48"/>
    </row>
    <row r="296" customFormat="false" ht="15" hidden="false" customHeight="true" outlineLevel="0" collapsed="false">
      <c r="A296" s="48"/>
      <c r="B296" s="48"/>
      <c r="C296" s="48"/>
      <c r="D296" s="48"/>
      <c r="E296" s="48"/>
      <c r="F296" s="48"/>
      <c r="G296" s="48"/>
      <c r="H296" s="48"/>
      <c r="I296" s="48"/>
      <c r="J296" s="48" t="str">
        <f aca="false">IF(AND(MOVIMIENTOS!$A296&lt;&gt;"",COUNTIF(MOVIMIENTOS!$A$5:$A295,MOVIMIENTOS!$A296)=0),COUNT(J$4:J295)+1,"")</f>
        <v/>
      </c>
      <c r="K296" s="53" t="n">
        <f aca="false">MOVIMIENTOS!$A296</f>
        <v>0</v>
      </c>
      <c r="L296" s="48"/>
      <c r="M296" s="48"/>
      <c r="N296" s="48"/>
    </row>
    <row r="297" customFormat="false" ht="15" hidden="false" customHeight="true" outlineLevel="0" collapsed="false">
      <c r="A297" s="48"/>
      <c r="B297" s="48"/>
      <c r="C297" s="48"/>
      <c r="D297" s="48"/>
      <c r="E297" s="48"/>
      <c r="F297" s="48"/>
      <c r="G297" s="48"/>
      <c r="H297" s="48"/>
      <c r="I297" s="48"/>
      <c r="J297" s="48" t="str">
        <f aca="false">IF(AND(MOVIMIENTOS!$A297&lt;&gt;"",COUNTIF(MOVIMIENTOS!$A$5:$A296,MOVIMIENTOS!$A297)=0),COUNT(J$4:J296)+1,"")</f>
        <v/>
      </c>
      <c r="K297" s="53" t="n">
        <f aca="false">MOVIMIENTOS!$A297</f>
        <v>0</v>
      </c>
      <c r="L297" s="48"/>
      <c r="M297" s="48"/>
      <c r="N297" s="48"/>
    </row>
    <row r="298" customFormat="false" ht="15" hidden="false" customHeight="true" outlineLevel="0" collapsed="false">
      <c r="A298" s="48"/>
      <c r="B298" s="48"/>
      <c r="C298" s="48"/>
      <c r="D298" s="48"/>
      <c r="E298" s="48"/>
      <c r="F298" s="48"/>
      <c r="G298" s="48"/>
      <c r="H298" s="48"/>
      <c r="I298" s="48"/>
      <c r="J298" s="48" t="str">
        <f aca="false">IF(AND(MOVIMIENTOS!$A298&lt;&gt;"",COUNTIF(MOVIMIENTOS!$A$5:$A297,MOVIMIENTOS!$A298)=0),COUNT(J$4:J297)+1,"")</f>
        <v/>
      </c>
      <c r="K298" s="53" t="n">
        <f aca="false">MOVIMIENTOS!$A298</f>
        <v>0</v>
      </c>
      <c r="L298" s="48"/>
      <c r="M298" s="48"/>
      <c r="N298" s="48"/>
    </row>
    <row r="299" customFormat="false" ht="15" hidden="false" customHeight="true" outlineLevel="0" collapsed="false">
      <c r="A299" s="48"/>
      <c r="B299" s="48"/>
      <c r="C299" s="48"/>
      <c r="D299" s="48"/>
      <c r="E299" s="48"/>
      <c r="F299" s="48"/>
      <c r="G299" s="48"/>
      <c r="H299" s="48"/>
      <c r="I299" s="48"/>
      <c r="J299" s="48" t="str">
        <f aca="false">IF(AND(MOVIMIENTOS!$A299&lt;&gt;"",COUNTIF(MOVIMIENTOS!$A$5:$A298,MOVIMIENTOS!$A299)=0),COUNT(J$4:J298)+1,"")</f>
        <v/>
      </c>
      <c r="K299" s="53" t="n">
        <f aca="false">MOVIMIENTOS!$A299</f>
        <v>0</v>
      </c>
      <c r="L299" s="48"/>
      <c r="M299" s="48"/>
      <c r="N299" s="48"/>
    </row>
    <row r="300" customFormat="false" ht="15" hidden="false" customHeight="true" outlineLevel="0" collapsed="false">
      <c r="A300" s="48"/>
      <c r="B300" s="48"/>
      <c r="C300" s="48"/>
      <c r="D300" s="48"/>
      <c r="E300" s="48"/>
      <c r="F300" s="48"/>
      <c r="G300" s="48"/>
      <c r="H300" s="48"/>
      <c r="I300" s="48"/>
      <c r="J300" s="48" t="str">
        <f aca="false">IF(AND(MOVIMIENTOS!$A300&lt;&gt;"",COUNTIF(MOVIMIENTOS!$A$5:$A299,MOVIMIENTOS!$A300)=0),COUNT(J$4:J299)+1,"")</f>
        <v/>
      </c>
      <c r="K300" s="53" t="n">
        <f aca="false">MOVIMIENTOS!$A300</f>
        <v>0</v>
      </c>
      <c r="L300" s="48"/>
      <c r="M300" s="48"/>
      <c r="N300" s="48"/>
    </row>
    <row r="301" customFormat="false" ht="15" hidden="false" customHeight="true" outlineLevel="0" collapsed="false">
      <c r="A301" s="48"/>
      <c r="B301" s="48"/>
      <c r="C301" s="48"/>
      <c r="D301" s="48"/>
      <c r="E301" s="48"/>
      <c r="F301" s="48"/>
      <c r="G301" s="48"/>
      <c r="H301" s="48"/>
      <c r="I301" s="48"/>
      <c r="J301" s="48" t="str">
        <f aca="false">IF(AND(MOVIMIENTOS!$A301&lt;&gt;"",COUNTIF(MOVIMIENTOS!$A$5:$A300,MOVIMIENTOS!$A301)=0),COUNT(J$4:J300)+1,"")</f>
        <v/>
      </c>
      <c r="K301" s="53" t="n">
        <f aca="false">MOVIMIENTOS!$A301</f>
        <v>0</v>
      </c>
      <c r="L301" s="48"/>
      <c r="M301" s="48"/>
      <c r="N301" s="48"/>
    </row>
    <row r="302" customFormat="false" ht="15" hidden="false" customHeight="true" outlineLevel="0" collapsed="false">
      <c r="A302" s="48"/>
      <c r="B302" s="48"/>
      <c r="C302" s="48"/>
      <c r="D302" s="48"/>
      <c r="E302" s="48"/>
      <c r="F302" s="48"/>
      <c r="G302" s="48"/>
      <c r="H302" s="48"/>
      <c r="I302" s="48"/>
      <c r="J302" s="48" t="str">
        <f aca="false">IF(AND(MOVIMIENTOS!$A302&lt;&gt;"",COUNTIF(MOVIMIENTOS!$A$5:$A301,MOVIMIENTOS!$A302)=0),COUNT(J$4:J301)+1,"")</f>
        <v/>
      </c>
      <c r="K302" s="53" t="n">
        <f aca="false">MOVIMIENTOS!$A302</f>
        <v>0</v>
      </c>
      <c r="L302" s="48"/>
      <c r="M302" s="48"/>
      <c r="N302" s="48"/>
    </row>
    <row r="303" customFormat="false" ht="15" hidden="false" customHeight="true" outlineLevel="0" collapsed="false">
      <c r="A303" s="48"/>
      <c r="B303" s="48"/>
      <c r="C303" s="48"/>
      <c r="D303" s="48"/>
      <c r="E303" s="48"/>
      <c r="F303" s="48"/>
      <c r="G303" s="48"/>
      <c r="H303" s="48"/>
      <c r="I303" s="48"/>
      <c r="J303" s="48" t="str">
        <f aca="false">IF(AND(MOVIMIENTOS!$A303&lt;&gt;"",COUNTIF(MOVIMIENTOS!$A$5:$A302,MOVIMIENTOS!$A303)=0),COUNT(J$4:J302)+1,"")</f>
        <v/>
      </c>
      <c r="K303" s="53" t="n">
        <f aca="false">MOVIMIENTOS!$A303</f>
        <v>0</v>
      </c>
      <c r="L303" s="48"/>
      <c r="M303" s="48"/>
      <c r="N303" s="48"/>
    </row>
    <row r="304" customFormat="false" ht="15" hidden="false" customHeight="true" outlineLevel="0" collapsed="false">
      <c r="A304" s="48"/>
      <c r="B304" s="48"/>
      <c r="C304" s="48"/>
      <c r="D304" s="48"/>
      <c r="E304" s="48"/>
      <c r="F304" s="48"/>
      <c r="G304" s="48"/>
      <c r="H304" s="48"/>
      <c r="I304" s="48"/>
      <c r="J304" s="48" t="str">
        <f aca="false">IF(AND(MOVIMIENTOS!$A304&lt;&gt;"",COUNTIF(MOVIMIENTOS!$A$5:$A303,MOVIMIENTOS!$A304)=0),COUNT(J$4:J303)+1,"")</f>
        <v/>
      </c>
      <c r="K304" s="53" t="n">
        <f aca="false">MOVIMIENTOS!$A304</f>
        <v>0</v>
      </c>
      <c r="L304" s="48"/>
      <c r="M304" s="48"/>
      <c r="N304" s="48"/>
    </row>
    <row r="305" customFormat="false" ht="15" hidden="false" customHeight="true" outlineLevel="0" collapsed="false">
      <c r="A305" s="48"/>
      <c r="B305" s="48"/>
      <c r="C305" s="48"/>
      <c r="D305" s="48"/>
      <c r="E305" s="48"/>
      <c r="F305" s="48"/>
      <c r="G305" s="48"/>
      <c r="H305" s="48"/>
      <c r="I305" s="48"/>
      <c r="J305" s="48" t="str">
        <f aca="false">IF(AND(MOVIMIENTOS!$A305&lt;&gt;"",COUNTIF(MOVIMIENTOS!$A$5:$A304,MOVIMIENTOS!$A305)=0),COUNT(J$4:J304)+1,"")</f>
        <v/>
      </c>
      <c r="K305" s="53" t="n">
        <f aca="false">MOVIMIENTOS!$A305</f>
        <v>0</v>
      </c>
      <c r="L305" s="48"/>
      <c r="M305" s="48"/>
      <c r="N305" s="48"/>
    </row>
    <row r="306" customFormat="false" ht="15" hidden="false" customHeight="true" outlineLevel="0" collapsed="false">
      <c r="A306" s="48"/>
      <c r="B306" s="48"/>
      <c r="C306" s="48"/>
      <c r="D306" s="48"/>
      <c r="E306" s="48"/>
      <c r="F306" s="48"/>
      <c r="G306" s="48"/>
      <c r="H306" s="48"/>
      <c r="I306" s="48"/>
      <c r="J306" s="48" t="str">
        <f aca="false">IF(AND(MOVIMIENTOS!$A306&lt;&gt;"",COUNTIF(MOVIMIENTOS!$A$5:$A305,MOVIMIENTOS!$A306)=0),COUNT(J$4:J305)+1,"")</f>
        <v/>
      </c>
      <c r="K306" s="53" t="n">
        <f aca="false">MOVIMIENTOS!$A306</f>
        <v>0</v>
      </c>
      <c r="L306" s="48"/>
      <c r="M306" s="48"/>
      <c r="N306" s="48"/>
    </row>
    <row r="307" customFormat="false" ht="15" hidden="false" customHeight="true" outlineLevel="0" collapsed="false">
      <c r="A307" s="48"/>
      <c r="B307" s="48"/>
      <c r="C307" s="48"/>
      <c r="D307" s="48"/>
      <c r="E307" s="48"/>
      <c r="F307" s="48"/>
      <c r="G307" s="48"/>
      <c r="H307" s="48"/>
      <c r="I307" s="48"/>
      <c r="J307" s="48" t="str">
        <f aca="false">IF(AND(MOVIMIENTOS!$A307&lt;&gt;"",COUNTIF(MOVIMIENTOS!$A$5:$A306,MOVIMIENTOS!$A307)=0),COUNT(J$4:J306)+1,"")</f>
        <v/>
      </c>
      <c r="K307" s="53" t="n">
        <f aca="false">MOVIMIENTOS!$A307</f>
        <v>0</v>
      </c>
      <c r="L307" s="48"/>
      <c r="M307" s="48"/>
      <c r="N307" s="48"/>
    </row>
    <row r="308" customFormat="false" ht="15" hidden="false" customHeight="true" outlineLevel="0" collapsed="false">
      <c r="A308" s="48"/>
      <c r="B308" s="48"/>
      <c r="C308" s="48"/>
      <c r="D308" s="48"/>
      <c r="E308" s="48"/>
      <c r="F308" s="48"/>
      <c r="G308" s="48"/>
      <c r="H308" s="48"/>
      <c r="I308" s="48"/>
      <c r="J308" s="48" t="str">
        <f aca="false">IF(AND(MOVIMIENTOS!$A308&lt;&gt;"",COUNTIF(MOVIMIENTOS!$A$5:$A307,MOVIMIENTOS!$A308)=0),COUNT(J$4:J307)+1,"")</f>
        <v/>
      </c>
      <c r="K308" s="53" t="n">
        <f aca="false">MOVIMIENTOS!$A308</f>
        <v>0</v>
      </c>
      <c r="L308" s="48"/>
      <c r="M308" s="48"/>
      <c r="N308" s="48"/>
    </row>
    <row r="309" customFormat="false" ht="15" hidden="false" customHeight="true" outlineLevel="0" collapsed="false">
      <c r="A309" s="48"/>
      <c r="B309" s="48"/>
      <c r="C309" s="48"/>
      <c r="D309" s="48"/>
      <c r="E309" s="48"/>
      <c r="F309" s="48"/>
      <c r="G309" s="48"/>
      <c r="H309" s="48"/>
      <c r="I309" s="48"/>
      <c r="J309" s="48" t="str">
        <f aca="false">IF(AND(MOVIMIENTOS!$A309&lt;&gt;"",COUNTIF(MOVIMIENTOS!$A$5:$A308,MOVIMIENTOS!$A309)=0),COUNT(J$4:J308)+1,"")</f>
        <v/>
      </c>
      <c r="K309" s="53" t="n">
        <f aca="false">MOVIMIENTOS!$A309</f>
        <v>0</v>
      </c>
      <c r="L309" s="48"/>
      <c r="M309" s="48"/>
      <c r="N309" s="48"/>
    </row>
    <row r="310" customFormat="false" ht="15" hidden="false" customHeight="true" outlineLevel="0" collapsed="false">
      <c r="A310" s="48"/>
      <c r="B310" s="48"/>
      <c r="C310" s="48"/>
      <c r="D310" s="48"/>
      <c r="E310" s="48"/>
      <c r="F310" s="48"/>
      <c r="G310" s="48"/>
      <c r="H310" s="48"/>
      <c r="I310" s="48"/>
      <c r="J310" s="48" t="str">
        <f aca="false">IF(AND(MOVIMIENTOS!$A310&lt;&gt;"",COUNTIF(MOVIMIENTOS!$A$5:$A309,MOVIMIENTOS!$A310)=0),COUNT(J$4:J309)+1,"")</f>
        <v/>
      </c>
      <c r="K310" s="53" t="n">
        <f aca="false">MOVIMIENTOS!$A310</f>
        <v>0</v>
      </c>
      <c r="L310" s="48"/>
      <c r="M310" s="48"/>
      <c r="N310" s="48"/>
    </row>
    <row r="311" customFormat="false" ht="15" hidden="false" customHeight="true" outlineLevel="0" collapsed="false">
      <c r="A311" s="48"/>
      <c r="B311" s="48"/>
      <c r="C311" s="48"/>
      <c r="D311" s="48"/>
      <c r="E311" s="48"/>
      <c r="F311" s="48"/>
      <c r="G311" s="48"/>
      <c r="H311" s="48"/>
      <c r="I311" s="48"/>
      <c r="J311" s="48" t="str">
        <f aca="false">IF(AND(MOVIMIENTOS!$A311&lt;&gt;"",COUNTIF(MOVIMIENTOS!$A$5:$A310,MOVIMIENTOS!$A311)=0),COUNT(J$4:J310)+1,"")</f>
        <v/>
      </c>
      <c r="K311" s="53" t="n">
        <f aca="false">MOVIMIENTOS!$A311</f>
        <v>0</v>
      </c>
      <c r="L311" s="48"/>
      <c r="M311" s="48"/>
      <c r="N311" s="48"/>
    </row>
    <row r="312" customFormat="false" ht="15" hidden="false" customHeight="true" outlineLevel="0" collapsed="false">
      <c r="A312" s="48"/>
      <c r="B312" s="48"/>
      <c r="C312" s="48"/>
      <c r="D312" s="48"/>
      <c r="E312" s="48"/>
      <c r="F312" s="48"/>
      <c r="G312" s="48"/>
      <c r="H312" s="48"/>
      <c r="I312" s="48"/>
      <c r="J312" s="48" t="str">
        <f aca="false">IF(AND(MOVIMIENTOS!$A312&lt;&gt;"",COUNTIF(MOVIMIENTOS!$A$5:$A311,MOVIMIENTOS!$A312)=0),COUNT(J$4:J311)+1,"")</f>
        <v/>
      </c>
      <c r="K312" s="53" t="n">
        <f aca="false">MOVIMIENTOS!$A312</f>
        <v>0</v>
      </c>
      <c r="L312" s="48"/>
      <c r="M312" s="48"/>
      <c r="N312" s="48"/>
    </row>
    <row r="313" customFormat="false" ht="15" hidden="false" customHeight="true" outlineLevel="0" collapsed="false">
      <c r="A313" s="48"/>
      <c r="B313" s="48"/>
      <c r="C313" s="48"/>
      <c r="D313" s="48"/>
      <c r="E313" s="48"/>
      <c r="F313" s="48"/>
      <c r="G313" s="48"/>
      <c r="H313" s="48"/>
      <c r="I313" s="48"/>
      <c r="J313" s="48" t="str">
        <f aca="false">IF(AND(MOVIMIENTOS!$A313&lt;&gt;"",COUNTIF(MOVIMIENTOS!$A$5:$A312,MOVIMIENTOS!$A313)=0),COUNT(J$4:J312)+1,"")</f>
        <v/>
      </c>
      <c r="K313" s="53" t="n">
        <f aca="false">MOVIMIENTOS!$A313</f>
        <v>0</v>
      </c>
      <c r="L313" s="48"/>
      <c r="M313" s="48"/>
      <c r="N313" s="48"/>
    </row>
    <row r="314" customFormat="false" ht="15" hidden="false" customHeight="true" outlineLevel="0" collapsed="false">
      <c r="A314" s="48"/>
      <c r="B314" s="48"/>
      <c r="C314" s="48"/>
      <c r="D314" s="48"/>
      <c r="E314" s="48"/>
      <c r="F314" s="48"/>
      <c r="G314" s="48"/>
      <c r="H314" s="48"/>
      <c r="I314" s="48"/>
      <c r="J314" s="48" t="str">
        <f aca="false">IF(AND(MOVIMIENTOS!$A314&lt;&gt;"",COUNTIF(MOVIMIENTOS!$A$5:$A313,MOVIMIENTOS!$A314)=0),COUNT(J$4:J313)+1,"")</f>
        <v/>
      </c>
      <c r="K314" s="53" t="n">
        <f aca="false">MOVIMIENTOS!$A314</f>
        <v>0</v>
      </c>
      <c r="L314" s="48"/>
      <c r="M314" s="48"/>
      <c r="N314" s="48"/>
    </row>
    <row r="315" customFormat="false" ht="15" hidden="false" customHeight="true" outlineLevel="0" collapsed="false">
      <c r="A315" s="48"/>
      <c r="B315" s="48"/>
      <c r="C315" s="48"/>
      <c r="D315" s="48"/>
      <c r="E315" s="48"/>
      <c r="F315" s="48"/>
      <c r="G315" s="48"/>
      <c r="H315" s="48"/>
      <c r="I315" s="48"/>
      <c r="J315" s="48" t="str">
        <f aca="false">IF(AND(MOVIMIENTOS!$A315&lt;&gt;"",COUNTIF(MOVIMIENTOS!$A$5:$A314,MOVIMIENTOS!$A315)=0),COUNT(J$4:J314)+1,"")</f>
        <v/>
      </c>
      <c r="K315" s="53" t="n">
        <f aca="false">MOVIMIENTOS!$A315</f>
        <v>0</v>
      </c>
      <c r="L315" s="48"/>
      <c r="M315" s="48"/>
      <c r="N315" s="48"/>
    </row>
    <row r="316" customFormat="false" ht="15" hidden="false" customHeight="true" outlineLevel="0" collapsed="false">
      <c r="A316" s="48"/>
      <c r="B316" s="48"/>
      <c r="C316" s="48"/>
      <c r="D316" s="48"/>
      <c r="E316" s="48"/>
      <c r="F316" s="48"/>
      <c r="G316" s="48"/>
      <c r="H316" s="48"/>
      <c r="I316" s="48"/>
      <c r="J316" s="48" t="str">
        <f aca="false">IF(AND(MOVIMIENTOS!$A316&lt;&gt;"",COUNTIF(MOVIMIENTOS!$A$5:$A315,MOVIMIENTOS!$A316)=0),COUNT(J$4:J315)+1,"")</f>
        <v/>
      </c>
      <c r="K316" s="53" t="n">
        <f aca="false">MOVIMIENTOS!$A316</f>
        <v>0</v>
      </c>
      <c r="L316" s="48"/>
      <c r="M316" s="48"/>
      <c r="N316" s="48"/>
    </row>
    <row r="317" customFormat="false" ht="15" hidden="false" customHeight="true" outlineLevel="0" collapsed="false">
      <c r="A317" s="48"/>
      <c r="B317" s="48"/>
      <c r="C317" s="48"/>
      <c r="D317" s="48"/>
      <c r="E317" s="48"/>
      <c r="F317" s="48"/>
      <c r="G317" s="48"/>
      <c r="H317" s="48"/>
      <c r="I317" s="48"/>
      <c r="J317" s="48" t="str">
        <f aca="false">IF(AND(MOVIMIENTOS!$A317&lt;&gt;"",COUNTIF(MOVIMIENTOS!$A$5:$A316,MOVIMIENTOS!$A317)=0),COUNT(J$4:J316)+1,"")</f>
        <v/>
      </c>
      <c r="K317" s="53" t="n">
        <f aca="false">MOVIMIENTOS!$A317</f>
        <v>0</v>
      </c>
      <c r="L317" s="48"/>
      <c r="M317" s="48"/>
      <c r="N317" s="48"/>
    </row>
    <row r="318" customFormat="false" ht="15" hidden="false" customHeight="true" outlineLevel="0" collapsed="false">
      <c r="A318" s="48"/>
      <c r="B318" s="48"/>
      <c r="C318" s="48"/>
      <c r="D318" s="48"/>
      <c r="E318" s="48"/>
      <c r="F318" s="48"/>
      <c r="G318" s="48"/>
      <c r="H318" s="48"/>
      <c r="I318" s="48"/>
      <c r="J318" s="48" t="str">
        <f aca="false">IF(AND(MOVIMIENTOS!$A318&lt;&gt;"",COUNTIF(MOVIMIENTOS!$A$5:$A317,MOVIMIENTOS!$A318)=0),COUNT(J$4:J317)+1,"")</f>
        <v/>
      </c>
      <c r="K318" s="53" t="n">
        <f aca="false">MOVIMIENTOS!$A318</f>
        <v>0</v>
      </c>
      <c r="L318" s="48"/>
      <c r="M318" s="48"/>
      <c r="N318" s="48"/>
    </row>
    <row r="319" customFormat="false" ht="15" hidden="false" customHeight="true" outlineLevel="0" collapsed="false">
      <c r="A319" s="48"/>
      <c r="B319" s="48"/>
      <c r="C319" s="48"/>
      <c r="D319" s="48"/>
      <c r="E319" s="48"/>
      <c r="F319" s="48"/>
      <c r="G319" s="48"/>
      <c r="H319" s="48"/>
      <c r="I319" s="48"/>
      <c r="J319" s="48" t="str">
        <f aca="false">IF(AND(MOVIMIENTOS!$A319&lt;&gt;"",COUNTIF(MOVIMIENTOS!$A$5:$A318,MOVIMIENTOS!$A319)=0),COUNT(J$4:J318)+1,"")</f>
        <v/>
      </c>
      <c r="K319" s="53" t="n">
        <f aca="false">MOVIMIENTOS!$A319</f>
        <v>0</v>
      </c>
      <c r="L319" s="48"/>
      <c r="M319" s="48"/>
      <c r="N319" s="48"/>
    </row>
    <row r="320" customFormat="false" ht="15" hidden="false" customHeight="true" outlineLevel="0" collapsed="false">
      <c r="A320" s="48"/>
      <c r="B320" s="48"/>
      <c r="C320" s="48"/>
      <c r="D320" s="48"/>
      <c r="E320" s="48"/>
      <c r="F320" s="48"/>
      <c r="G320" s="48"/>
      <c r="H320" s="48"/>
      <c r="I320" s="48"/>
      <c r="J320" s="48" t="str">
        <f aca="false">IF(AND(MOVIMIENTOS!$A320&lt;&gt;"",COUNTIF(MOVIMIENTOS!$A$5:$A319,MOVIMIENTOS!$A320)=0),COUNT(J$4:J319)+1,"")</f>
        <v/>
      </c>
      <c r="K320" s="53" t="n">
        <f aca="false">MOVIMIENTOS!$A320</f>
        <v>0</v>
      </c>
      <c r="L320" s="48"/>
      <c r="M320" s="48"/>
      <c r="N320" s="48"/>
    </row>
    <row r="321" customFormat="false" ht="15" hidden="false" customHeight="true" outlineLevel="0" collapsed="false">
      <c r="A321" s="48"/>
      <c r="B321" s="48"/>
      <c r="C321" s="48"/>
      <c r="D321" s="48"/>
      <c r="E321" s="48"/>
      <c r="F321" s="48"/>
      <c r="G321" s="48"/>
      <c r="H321" s="48"/>
      <c r="I321" s="48"/>
      <c r="J321" s="48" t="str">
        <f aca="false">IF(AND(MOVIMIENTOS!$A321&lt;&gt;"",COUNTIF(MOVIMIENTOS!$A$5:$A320,MOVIMIENTOS!$A321)=0),COUNT(J$4:J320)+1,"")</f>
        <v/>
      </c>
      <c r="K321" s="53" t="n">
        <f aca="false">MOVIMIENTOS!$A321</f>
        <v>0</v>
      </c>
      <c r="L321" s="48"/>
      <c r="M321" s="48"/>
      <c r="N321" s="48"/>
    </row>
    <row r="322" customFormat="false" ht="15" hidden="false" customHeight="true" outlineLevel="0" collapsed="false">
      <c r="A322" s="48"/>
      <c r="B322" s="48"/>
      <c r="C322" s="48"/>
      <c r="D322" s="48"/>
      <c r="E322" s="48"/>
      <c r="F322" s="48"/>
      <c r="G322" s="48"/>
      <c r="H322" s="48"/>
      <c r="I322" s="48"/>
      <c r="J322" s="48" t="str">
        <f aca="false">IF(AND(MOVIMIENTOS!$A322&lt;&gt;"",COUNTIF(MOVIMIENTOS!$A$5:$A321,MOVIMIENTOS!$A322)=0),COUNT(J$4:J321)+1,"")</f>
        <v/>
      </c>
      <c r="K322" s="53" t="n">
        <f aca="false">MOVIMIENTOS!$A322</f>
        <v>0</v>
      </c>
      <c r="L322" s="48"/>
      <c r="M322" s="48"/>
      <c r="N322" s="48"/>
    </row>
    <row r="323" customFormat="false" ht="15" hidden="false" customHeight="true" outlineLevel="0" collapsed="false">
      <c r="A323" s="48"/>
      <c r="B323" s="48"/>
      <c r="C323" s="48"/>
      <c r="D323" s="48"/>
      <c r="E323" s="48"/>
      <c r="F323" s="48"/>
      <c r="G323" s="48"/>
      <c r="H323" s="48"/>
      <c r="I323" s="48"/>
      <c r="J323" s="48" t="str">
        <f aca="false">IF(AND(MOVIMIENTOS!$A323&lt;&gt;"",COUNTIF(MOVIMIENTOS!$A$5:$A322,MOVIMIENTOS!$A323)=0),COUNT(J$4:J322)+1,"")</f>
        <v/>
      </c>
      <c r="K323" s="53" t="n">
        <f aca="false">MOVIMIENTOS!$A323</f>
        <v>0</v>
      </c>
      <c r="L323" s="48"/>
      <c r="M323" s="48"/>
      <c r="N323" s="48"/>
    </row>
    <row r="324" customFormat="false" ht="15" hidden="false" customHeight="true" outlineLevel="0" collapsed="false">
      <c r="A324" s="48"/>
      <c r="B324" s="48"/>
      <c r="C324" s="48"/>
      <c r="D324" s="48"/>
      <c r="E324" s="48"/>
      <c r="F324" s="48"/>
      <c r="G324" s="48"/>
      <c r="H324" s="48"/>
      <c r="I324" s="48"/>
      <c r="J324" s="48" t="str">
        <f aca="false">IF(AND(MOVIMIENTOS!$A324&lt;&gt;"",COUNTIF(MOVIMIENTOS!$A$5:$A323,MOVIMIENTOS!$A324)=0),COUNT(J$4:J323)+1,"")</f>
        <v/>
      </c>
      <c r="K324" s="53" t="n">
        <f aca="false">MOVIMIENTOS!$A324</f>
        <v>0</v>
      </c>
      <c r="L324" s="48"/>
      <c r="M324" s="48"/>
      <c r="N324" s="48"/>
    </row>
    <row r="325" customFormat="false" ht="15" hidden="false" customHeight="true" outlineLevel="0" collapsed="false">
      <c r="A325" s="48"/>
      <c r="B325" s="48"/>
      <c r="C325" s="48"/>
      <c r="D325" s="48"/>
      <c r="E325" s="48"/>
      <c r="F325" s="48"/>
      <c r="G325" s="48"/>
      <c r="H325" s="48"/>
      <c r="I325" s="48"/>
      <c r="J325" s="48" t="str">
        <f aca="false">IF(AND(MOVIMIENTOS!$A325&lt;&gt;"",COUNTIF(MOVIMIENTOS!$A$5:$A324,MOVIMIENTOS!$A325)=0),COUNT(J$4:J324)+1,"")</f>
        <v/>
      </c>
      <c r="K325" s="53" t="n">
        <f aca="false">MOVIMIENTOS!$A325</f>
        <v>0</v>
      </c>
      <c r="L325" s="48"/>
      <c r="M325" s="48"/>
      <c r="N325" s="48"/>
    </row>
    <row r="326" customFormat="false" ht="15" hidden="false" customHeight="true" outlineLevel="0" collapsed="false">
      <c r="A326" s="48"/>
      <c r="B326" s="48"/>
      <c r="C326" s="48"/>
      <c r="D326" s="48"/>
      <c r="E326" s="48"/>
      <c r="F326" s="48"/>
      <c r="G326" s="48"/>
      <c r="H326" s="48"/>
      <c r="I326" s="48"/>
      <c r="J326" s="48" t="str">
        <f aca="false">IF(AND(MOVIMIENTOS!$A326&lt;&gt;"",COUNTIF(MOVIMIENTOS!$A$5:$A325,MOVIMIENTOS!$A326)=0),COUNT(J$4:J325)+1,"")</f>
        <v/>
      </c>
      <c r="K326" s="53" t="n">
        <f aca="false">MOVIMIENTOS!$A326</f>
        <v>0</v>
      </c>
      <c r="L326" s="48"/>
      <c r="M326" s="48"/>
      <c r="N326" s="48"/>
    </row>
    <row r="327" customFormat="false" ht="15" hidden="false" customHeight="true" outlineLevel="0" collapsed="false">
      <c r="A327" s="48"/>
      <c r="B327" s="48"/>
      <c r="C327" s="48"/>
      <c r="D327" s="48"/>
      <c r="E327" s="48"/>
      <c r="F327" s="48"/>
      <c r="G327" s="48"/>
      <c r="H327" s="48"/>
      <c r="I327" s="48"/>
      <c r="J327" s="48" t="str">
        <f aca="false">IF(AND(MOVIMIENTOS!$A327&lt;&gt;"",COUNTIF(MOVIMIENTOS!$A$5:$A326,MOVIMIENTOS!$A327)=0),COUNT(J$4:J326)+1,"")</f>
        <v/>
      </c>
      <c r="K327" s="53" t="n">
        <f aca="false">MOVIMIENTOS!$A327</f>
        <v>0</v>
      </c>
      <c r="L327" s="48"/>
      <c r="M327" s="48"/>
      <c r="N327" s="48"/>
    </row>
    <row r="328" customFormat="false" ht="15" hidden="false" customHeight="true" outlineLevel="0" collapsed="false">
      <c r="A328" s="48"/>
      <c r="B328" s="48"/>
      <c r="C328" s="48"/>
      <c r="D328" s="48"/>
      <c r="E328" s="48"/>
      <c r="F328" s="48"/>
      <c r="G328" s="48"/>
      <c r="H328" s="48"/>
      <c r="I328" s="48"/>
      <c r="J328" s="48" t="str">
        <f aca="false">IF(AND(MOVIMIENTOS!$A328&lt;&gt;"",COUNTIF(MOVIMIENTOS!$A$5:$A327,MOVIMIENTOS!$A328)=0),COUNT(J$4:J327)+1,"")</f>
        <v/>
      </c>
      <c r="K328" s="53" t="n">
        <f aca="false">MOVIMIENTOS!$A328</f>
        <v>0</v>
      </c>
      <c r="L328" s="48"/>
      <c r="M328" s="48"/>
      <c r="N328" s="48"/>
    </row>
    <row r="329" customFormat="false" ht="15" hidden="false" customHeight="true" outlineLevel="0" collapsed="false">
      <c r="A329" s="48"/>
      <c r="B329" s="48"/>
      <c r="C329" s="48"/>
      <c r="D329" s="48"/>
      <c r="E329" s="48"/>
      <c r="F329" s="48"/>
      <c r="G329" s="48"/>
      <c r="H329" s="48"/>
      <c r="I329" s="48"/>
      <c r="J329" s="48" t="str">
        <f aca="false">IF(AND(MOVIMIENTOS!$A329&lt;&gt;"",COUNTIF(MOVIMIENTOS!$A$5:$A328,MOVIMIENTOS!$A329)=0),COUNT(J$4:J328)+1,"")</f>
        <v/>
      </c>
      <c r="K329" s="53" t="n">
        <f aca="false">MOVIMIENTOS!$A329</f>
        <v>0</v>
      </c>
      <c r="L329" s="48"/>
      <c r="M329" s="48"/>
      <c r="N329" s="48"/>
    </row>
    <row r="330" customFormat="false" ht="15" hidden="false" customHeight="true" outlineLevel="0" collapsed="false">
      <c r="A330" s="48"/>
      <c r="B330" s="48"/>
      <c r="C330" s="48"/>
      <c r="D330" s="48"/>
      <c r="E330" s="48"/>
      <c r="F330" s="48"/>
      <c r="G330" s="48"/>
      <c r="H330" s="48"/>
      <c r="I330" s="48"/>
      <c r="J330" s="48" t="str">
        <f aca="false">IF(AND(MOVIMIENTOS!$A330&lt;&gt;"",COUNTIF(MOVIMIENTOS!$A$5:$A329,MOVIMIENTOS!$A330)=0),COUNT(J$4:J329)+1,"")</f>
        <v/>
      </c>
      <c r="K330" s="53" t="n">
        <f aca="false">MOVIMIENTOS!$A330</f>
        <v>0</v>
      </c>
      <c r="L330" s="48"/>
      <c r="M330" s="48"/>
      <c r="N330" s="48"/>
    </row>
    <row r="331" customFormat="false" ht="15" hidden="false" customHeight="true" outlineLevel="0" collapsed="false">
      <c r="A331" s="48"/>
      <c r="B331" s="48"/>
      <c r="C331" s="48"/>
      <c r="D331" s="48"/>
      <c r="E331" s="48"/>
      <c r="F331" s="48"/>
      <c r="G331" s="48"/>
      <c r="H331" s="48"/>
      <c r="I331" s="48"/>
      <c r="J331" s="48" t="str">
        <f aca="false">IF(AND(MOVIMIENTOS!$A331&lt;&gt;"",COUNTIF(MOVIMIENTOS!$A$5:$A330,MOVIMIENTOS!$A331)=0),COUNT(J$4:J330)+1,"")</f>
        <v/>
      </c>
      <c r="K331" s="53" t="n">
        <f aca="false">MOVIMIENTOS!$A331</f>
        <v>0</v>
      </c>
      <c r="L331" s="48"/>
      <c r="M331" s="48"/>
      <c r="N331" s="48"/>
    </row>
    <row r="332" customFormat="false" ht="15" hidden="false" customHeight="true" outlineLevel="0" collapsed="false">
      <c r="A332" s="48"/>
      <c r="B332" s="48"/>
      <c r="C332" s="48"/>
      <c r="D332" s="48"/>
      <c r="E332" s="48"/>
      <c r="F332" s="48"/>
      <c r="G332" s="48"/>
      <c r="H332" s="48"/>
      <c r="I332" s="48"/>
      <c r="J332" s="48" t="str">
        <f aca="false">IF(AND(MOVIMIENTOS!$A332&lt;&gt;"",COUNTIF(MOVIMIENTOS!$A$5:$A331,MOVIMIENTOS!$A332)=0),COUNT(J$4:J331)+1,"")</f>
        <v/>
      </c>
      <c r="K332" s="53" t="n">
        <f aca="false">MOVIMIENTOS!$A332</f>
        <v>0</v>
      </c>
      <c r="L332" s="48"/>
      <c r="M332" s="48"/>
      <c r="N332" s="48"/>
    </row>
    <row r="333" customFormat="false" ht="15" hidden="false" customHeight="true" outlineLevel="0" collapsed="false">
      <c r="A333" s="48"/>
      <c r="B333" s="48"/>
      <c r="C333" s="48"/>
      <c r="D333" s="48"/>
      <c r="E333" s="48"/>
      <c r="F333" s="48"/>
      <c r="G333" s="48"/>
      <c r="H333" s="48"/>
      <c r="I333" s="48"/>
      <c r="J333" s="48" t="str">
        <f aca="false">IF(AND(MOVIMIENTOS!$A333&lt;&gt;"",COUNTIF(MOVIMIENTOS!$A$5:$A332,MOVIMIENTOS!$A333)=0),COUNT(J$4:J332)+1,"")</f>
        <v/>
      </c>
      <c r="K333" s="53" t="n">
        <f aca="false">MOVIMIENTOS!$A333</f>
        <v>0</v>
      </c>
      <c r="L333" s="48"/>
      <c r="M333" s="48"/>
      <c r="N333" s="48"/>
    </row>
    <row r="334" customFormat="false" ht="15" hidden="false" customHeight="true" outlineLevel="0" collapsed="false">
      <c r="A334" s="48"/>
      <c r="B334" s="48"/>
      <c r="C334" s="48"/>
      <c r="D334" s="48"/>
      <c r="E334" s="48"/>
      <c r="F334" s="48"/>
      <c r="G334" s="48"/>
      <c r="H334" s="48"/>
      <c r="I334" s="48"/>
      <c r="J334" s="48" t="str">
        <f aca="false">IF(AND(MOVIMIENTOS!$A334&lt;&gt;"",COUNTIF(MOVIMIENTOS!$A$5:$A333,MOVIMIENTOS!$A334)=0),COUNT(J$4:J333)+1,"")</f>
        <v/>
      </c>
      <c r="K334" s="53" t="n">
        <f aca="false">MOVIMIENTOS!$A334</f>
        <v>0</v>
      </c>
      <c r="L334" s="48"/>
      <c r="M334" s="48"/>
      <c r="N334" s="48"/>
    </row>
    <row r="335" customFormat="false" ht="15" hidden="false" customHeight="true" outlineLevel="0" collapsed="false">
      <c r="A335" s="48"/>
      <c r="B335" s="48"/>
      <c r="C335" s="48"/>
      <c r="D335" s="48"/>
      <c r="E335" s="48"/>
      <c r="F335" s="48"/>
      <c r="G335" s="48"/>
      <c r="H335" s="48"/>
      <c r="I335" s="48"/>
      <c r="J335" s="48" t="str">
        <f aca="false">IF(AND(MOVIMIENTOS!$A335&lt;&gt;"",COUNTIF(MOVIMIENTOS!$A$5:$A334,MOVIMIENTOS!$A335)=0),COUNT(J$4:J334)+1,"")</f>
        <v/>
      </c>
      <c r="K335" s="53" t="n">
        <f aca="false">MOVIMIENTOS!$A335</f>
        <v>0</v>
      </c>
      <c r="L335" s="48"/>
      <c r="M335" s="48"/>
      <c r="N335" s="48"/>
    </row>
    <row r="336" customFormat="false" ht="15" hidden="false" customHeight="true" outlineLevel="0" collapsed="false">
      <c r="A336" s="48"/>
      <c r="B336" s="48"/>
      <c r="C336" s="48"/>
      <c r="D336" s="48"/>
      <c r="E336" s="48"/>
      <c r="F336" s="48"/>
      <c r="G336" s="48"/>
      <c r="H336" s="48"/>
      <c r="I336" s="48"/>
      <c r="J336" s="48" t="str">
        <f aca="false">IF(AND(MOVIMIENTOS!$A336&lt;&gt;"",COUNTIF(MOVIMIENTOS!$A$5:$A335,MOVIMIENTOS!$A336)=0),COUNT(J$4:J335)+1,"")</f>
        <v/>
      </c>
      <c r="K336" s="53" t="n">
        <f aca="false">MOVIMIENTOS!$A336</f>
        <v>0</v>
      </c>
      <c r="L336" s="48"/>
      <c r="M336" s="48"/>
      <c r="N336" s="48"/>
    </row>
    <row r="337" customFormat="false" ht="15" hidden="false" customHeight="true" outlineLevel="0" collapsed="false">
      <c r="A337" s="48"/>
      <c r="B337" s="48"/>
      <c r="C337" s="48"/>
      <c r="D337" s="48"/>
      <c r="E337" s="48"/>
      <c r="F337" s="48"/>
      <c r="G337" s="48"/>
      <c r="H337" s="48"/>
      <c r="I337" s="48"/>
      <c r="J337" s="48" t="str">
        <f aca="false">IF(AND(MOVIMIENTOS!$A337&lt;&gt;"",COUNTIF(MOVIMIENTOS!$A$5:$A336,MOVIMIENTOS!$A337)=0),COUNT(J$4:J336)+1,"")</f>
        <v/>
      </c>
      <c r="K337" s="53" t="n">
        <f aca="false">MOVIMIENTOS!$A337</f>
        <v>0</v>
      </c>
      <c r="L337" s="48"/>
      <c r="M337" s="48"/>
      <c r="N337" s="48"/>
    </row>
    <row r="338" customFormat="false" ht="15" hidden="false" customHeight="true" outlineLevel="0" collapsed="false">
      <c r="A338" s="48"/>
      <c r="B338" s="48"/>
      <c r="C338" s="48"/>
      <c r="D338" s="48"/>
      <c r="E338" s="48"/>
      <c r="F338" s="48"/>
      <c r="G338" s="48"/>
      <c r="H338" s="48"/>
      <c r="I338" s="48"/>
      <c r="J338" s="48" t="str">
        <f aca="false">IF(AND(MOVIMIENTOS!$A338&lt;&gt;"",COUNTIF(MOVIMIENTOS!$A$5:$A337,MOVIMIENTOS!$A338)=0),COUNT(J$4:J337)+1,"")</f>
        <v/>
      </c>
      <c r="K338" s="53" t="n">
        <f aca="false">MOVIMIENTOS!$A338</f>
        <v>0</v>
      </c>
      <c r="L338" s="48"/>
      <c r="M338" s="48"/>
      <c r="N338" s="48"/>
    </row>
    <row r="339" customFormat="false" ht="15" hidden="false" customHeight="true" outlineLevel="0" collapsed="false">
      <c r="A339" s="48"/>
      <c r="B339" s="48"/>
      <c r="C339" s="48"/>
      <c r="D339" s="48"/>
      <c r="E339" s="48"/>
      <c r="F339" s="48"/>
      <c r="G339" s="48"/>
      <c r="H339" s="48"/>
      <c r="I339" s="48"/>
      <c r="J339" s="48" t="str">
        <f aca="false">IF(AND(MOVIMIENTOS!$A339&lt;&gt;"",COUNTIF(MOVIMIENTOS!$A$5:$A338,MOVIMIENTOS!$A339)=0),COUNT(J$4:J338)+1,"")</f>
        <v/>
      </c>
      <c r="K339" s="53" t="n">
        <f aca="false">MOVIMIENTOS!$A339</f>
        <v>0</v>
      </c>
      <c r="L339" s="48"/>
      <c r="M339" s="48"/>
      <c r="N339" s="48"/>
    </row>
    <row r="340" customFormat="false" ht="15" hidden="false" customHeight="true" outlineLevel="0" collapsed="false">
      <c r="A340" s="48"/>
      <c r="B340" s="48"/>
      <c r="C340" s="48"/>
      <c r="D340" s="48"/>
      <c r="E340" s="48"/>
      <c r="F340" s="48"/>
      <c r="G340" s="48"/>
      <c r="H340" s="48"/>
      <c r="I340" s="48"/>
      <c r="J340" s="48" t="str">
        <f aca="false">IF(AND(MOVIMIENTOS!$A340&lt;&gt;"",COUNTIF(MOVIMIENTOS!$A$5:$A339,MOVIMIENTOS!$A340)=0),COUNT(J$4:J339)+1,"")</f>
        <v/>
      </c>
      <c r="K340" s="53" t="n">
        <f aca="false">MOVIMIENTOS!$A340</f>
        <v>0</v>
      </c>
      <c r="L340" s="48"/>
      <c r="M340" s="48"/>
      <c r="N340" s="48"/>
    </row>
    <row r="341" customFormat="false" ht="15" hidden="false" customHeight="true" outlineLevel="0" collapsed="false">
      <c r="A341" s="48"/>
      <c r="B341" s="48"/>
      <c r="C341" s="48"/>
      <c r="D341" s="48"/>
      <c r="E341" s="48"/>
      <c r="F341" s="48"/>
      <c r="G341" s="48"/>
      <c r="H341" s="48"/>
      <c r="I341" s="48"/>
      <c r="J341" s="48" t="str">
        <f aca="false">IF(AND(MOVIMIENTOS!$A341&lt;&gt;"",COUNTIF(MOVIMIENTOS!$A$5:$A340,MOVIMIENTOS!$A341)=0),COUNT(J$4:J340)+1,"")</f>
        <v/>
      </c>
      <c r="K341" s="53" t="n">
        <f aca="false">MOVIMIENTOS!$A341</f>
        <v>0</v>
      </c>
      <c r="L341" s="48"/>
      <c r="M341" s="48"/>
      <c r="N341" s="48"/>
    </row>
    <row r="342" customFormat="false" ht="15" hidden="false" customHeight="true" outlineLevel="0" collapsed="false">
      <c r="A342" s="48"/>
      <c r="B342" s="48"/>
      <c r="C342" s="48"/>
      <c r="D342" s="48"/>
      <c r="E342" s="48"/>
      <c r="F342" s="48"/>
      <c r="G342" s="48"/>
      <c r="H342" s="48"/>
      <c r="I342" s="48"/>
      <c r="J342" s="48" t="str">
        <f aca="false">IF(AND(MOVIMIENTOS!$A342&lt;&gt;"",COUNTIF(MOVIMIENTOS!$A$5:$A341,MOVIMIENTOS!$A342)=0),COUNT(J$4:J341)+1,"")</f>
        <v/>
      </c>
      <c r="K342" s="53" t="n">
        <f aca="false">MOVIMIENTOS!$A342</f>
        <v>0</v>
      </c>
      <c r="L342" s="48"/>
      <c r="M342" s="48"/>
      <c r="N342" s="48"/>
    </row>
    <row r="343" customFormat="false" ht="15" hidden="false" customHeight="true" outlineLevel="0" collapsed="false">
      <c r="A343" s="48"/>
      <c r="B343" s="48"/>
      <c r="C343" s="48"/>
      <c r="D343" s="48"/>
      <c r="E343" s="48"/>
      <c r="F343" s="48"/>
      <c r="G343" s="48"/>
      <c r="H343" s="48"/>
      <c r="I343" s="48"/>
      <c r="J343" s="48" t="str">
        <f aca="false">IF(AND(MOVIMIENTOS!$A343&lt;&gt;"",COUNTIF(MOVIMIENTOS!$A$5:$A342,MOVIMIENTOS!$A343)=0),COUNT(J$4:J342)+1,"")</f>
        <v/>
      </c>
      <c r="K343" s="53" t="n">
        <f aca="false">MOVIMIENTOS!$A343</f>
        <v>0</v>
      </c>
      <c r="L343" s="48"/>
      <c r="M343" s="48"/>
      <c r="N343" s="48"/>
    </row>
    <row r="344" customFormat="false" ht="15" hidden="false" customHeight="true" outlineLevel="0" collapsed="false">
      <c r="A344" s="48"/>
      <c r="B344" s="48"/>
      <c r="C344" s="48"/>
      <c r="D344" s="48"/>
      <c r="E344" s="48"/>
      <c r="F344" s="48"/>
      <c r="G344" s="48"/>
      <c r="H344" s="48"/>
      <c r="I344" s="48"/>
      <c r="J344" s="48" t="str">
        <f aca="false">IF(AND(MOVIMIENTOS!$A344&lt;&gt;"",COUNTIF(MOVIMIENTOS!$A$5:$A343,MOVIMIENTOS!$A344)=0),COUNT(J$4:J343)+1,"")</f>
        <v/>
      </c>
      <c r="K344" s="53" t="n">
        <f aca="false">MOVIMIENTOS!$A344</f>
        <v>0</v>
      </c>
      <c r="L344" s="48"/>
      <c r="M344" s="48"/>
      <c r="N344" s="48"/>
    </row>
    <row r="345" customFormat="false" ht="15" hidden="false" customHeight="true" outlineLevel="0" collapsed="false">
      <c r="A345" s="48"/>
      <c r="B345" s="48"/>
      <c r="C345" s="48"/>
      <c r="D345" s="48"/>
      <c r="E345" s="48"/>
      <c r="F345" s="48"/>
      <c r="G345" s="48"/>
      <c r="H345" s="48"/>
      <c r="I345" s="48"/>
      <c r="J345" s="48" t="str">
        <f aca="false">IF(AND(MOVIMIENTOS!$A345&lt;&gt;"",COUNTIF(MOVIMIENTOS!$A$5:$A344,MOVIMIENTOS!$A345)=0),COUNT(J$4:J344)+1,"")</f>
        <v/>
      </c>
      <c r="K345" s="53" t="n">
        <f aca="false">MOVIMIENTOS!$A345</f>
        <v>0</v>
      </c>
      <c r="L345" s="48"/>
      <c r="M345" s="48"/>
      <c r="N345" s="48"/>
    </row>
    <row r="346" customFormat="false" ht="15" hidden="false" customHeight="true" outlineLevel="0" collapsed="false">
      <c r="A346" s="48"/>
      <c r="B346" s="48"/>
      <c r="C346" s="48"/>
      <c r="D346" s="48"/>
      <c r="E346" s="48"/>
      <c r="F346" s="48"/>
      <c r="G346" s="48"/>
      <c r="H346" s="48"/>
      <c r="I346" s="48"/>
      <c r="J346" s="48" t="str">
        <f aca="false">IF(AND(MOVIMIENTOS!$A346&lt;&gt;"",COUNTIF(MOVIMIENTOS!$A$5:$A345,MOVIMIENTOS!$A346)=0),COUNT(J$4:J345)+1,"")</f>
        <v/>
      </c>
      <c r="K346" s="53" t="n">
        <f aca="false">MOVIMIENTOS!$A346</f>
        <v>0</v>
      </c>
      <c r="L346" s="48"/>
      <c r="M346" s="48"/>
      <c r="N346" s="48"/>
    </row>
    <row r="347" customFormat="false" ht="15" hidden="false" customHeight="true" outlineLevel="0" collapsed="false">
      <c r="A347" s="48"/>
      <c r="B347" s="48"/>
      <c r="C347" s="48"/>
      <c r="D347" s="48"/>
      <c r="E347" s="48"/>
      <c r="F347" s="48"/>
      <c r="G347" s="48"/>
      <c r="H347" s="48"/>
      <c r="I347" s="48"/>
      <c r="J347" s="48" t="str">
        <f aca="false">IF(AND(MOVIMIENTOS!$A347&lt;&gt;"",COUNTIF(MOVIMIENTOS!$A$5:$A346,MOVIMIENTOS!$A347)=0),COUNT(J$4:J346)+1,"")</f>
        <v/>
      </c>
      <c r="K347" s="53" t="n">
        <f aca="false">MOVIMIENTOS!$A347</f>
        <v>0</v>
      </c>
      <c r="L347" s="48"/>
      <c r="M347" s="48"/>
      <c r="N347" s="48"/>
    </row>
    <row r="348" customFormat="false" ht="15" hidden="false" customHeight="true" outlineLevel="0" collapsed="false">
      <c r="A348" s="48"/>
      <c r="B348" s="48"/>
      <c r="C348" s="48"/>
      <c r="D348" s="48"/>
      <c r="E348" s="48"/>
      <c r="F348" s="48"/>
      <c r="G348" s="48"/>
      <c r="H348" s="48"/>
      <c r="I348" s="48"/>
      <c r="J348" s="48" t="str">
        <f aca="false">IF(AND(MOVIMIENTOS!$A348&lt;&gt;"",COUNTIF(MOVIMIENTOS!$A$5:$A347,MOVIMIENTOS!$A348)=0),COUNT(J$4:J347)+1,"")</f>
        <v/>
      </c>
      <c r="K348" s="53" t="n">
        <f aca="false">MOVIMIENTOS!$A348</f>
        <v>0</v>
      </c>
      <c r="L348" s="48"/>
      <c r="M348" s="48"/>
      <c r="N348" s="48"/>
    </row>
    <row r="349" customFormat="false" ht="15" hidden="false" customHeight="true" outlineLevel="0" collapsed="false">
      <c r="A349" s="48"/>
      <c r="B349" s="48"/>
      <c r="C349" s="48"/>
      <c r="D349" s="48"/>
      <c r="E349" s="48"/>
      <c r="F349" s="48"/>
      <c r="G349" s="48"/>
      <c r="H349" s="48"/>
      <c r="I349" s="48"/>
      <c r="J349" s="48" t="str">
        <f aca="false">IF(AND(MOVIMIENTOS!$A349&lt;&gt;"",COUNTIF(MOVIMIENTOS!$A$5:$A348,MOVIMIENTOS!$A349)=0),COUNT(J$4:J348)+1,"")</f>
        <v/>
      </c>
      <c r="K349" s="53" t="n">
        <f aca="false">MOVIMIENTOS!$A349</f>
        <v>0</v>
      </c>
      <c r="L349" s="48"/>
      <c r="M349" s="48"/>
      <c r="N349" s="48"/>
    </row>
    <row r="350" customFormat="false" ht="15" hidden="false" customHeight="true" outlineLevel="0" collapsed="false">
      <c r="A350" s="48"/>
      <c r="B350" s="48"/>
      <c r="C350" s="48"/>
      <c r="D350" s="48"/>
      <c r="E350" s="48"/>
      <c r="F350" s="48"/>
      <c r="G350" s="48"/>
      <c r="H350" s="48"/>
      <c r="I350" s="48"/>
      <c r="J350" s="48" t="str">
        <f aca="false">IF(AND(MOVIMIENTOS!$A350&lt;&gt;"",COUNTIF(MOVIMIENTOS!$A$5:$A349,MOVIMIENTOS!$A350)=0),COUNT(J$4:J349)+1,"")</f>
        <v/>
      </c>
      <c r="K350" s="53" t="n">
        <f aca="false">MOVIMIENTOS!$A350</f>
        <v>0</v>
      </c>
      <c r="L350" s="48"/>
      <c r="M350" s="48"/>
      <c r="N350" s="48"/>
    </row>
    <row r="351" customFormat="false" ht="15" hidden="false" customHeight="true" outlineLevel="0" collapsed="false">
      <c r="A351" s="48"/>
      <c r="B351" s="48"/>
      <c r="C351" s="48"/>
      <c r="D351" s="48"/>
      <c r="E351" s="48"/>
      <c r="F351" s="48"/>
      <c r="G351" s="48"/>
      <c r="H351" s="48"/>
      <c r="I351" s="48"/>
      <c r="J351" s="48" t="str">
        <f aca="false">IF(AND(MOVIMIENTOS!$A351&lt;&gt;"",COUNTIF(MOVIMIENTOS!$A$5:$A350,MOVIMIENTOS!$A351)=0),COUNT(J$4:J350)+1,"")</f>
        <v/>
      </c>
      <c r="K351" s="53" t="n">
        <f aca="false">MOVIMIENTOS!$A351</f>
        <v>0</v>
      </c>
      <c r="L351" s="48"/>
      <c r="M351" s="48"/>
      <c r="N351" s="48"/>
    </row>
    <row r="352" customFormat="false" ht="15" hidden="false" customHeight="true" outlineLevel="0" collapsed="false">
      <c r="A352" s="48"/>
      <c r="B352" s="48"/>
      <c r="C352" s="48"/>
      <c r="D352" s="48"/>
      <c r="E352" s="48"/>
      <c r="F352" s="48"/>
      <c r="G352" s="48"/>
      <c r="H352" s="48"/>
      <c r="I352" s="48"/>
      <c r="J352" s="48" t="str">
        <f aca="false">IF(AND(MOVIMIENTOS!$A352&lt;&gt;"",COUNTIF(MOVIMIENTOS!$A$5:$A351,MOVIMIENTOS!$A352)=0),COUNT(J$4:J351)+1,"")</f>
        <v/>
      </c>
      <c r="K352" s="53" t="n">
        <f aca="false">MOVIMIENTOS!$A352</f>
        <v>0</v>
      </c>
      <c r="L352" s="48"/>
      <c r="M352" s="48"/>
      <c r="N352" s="48"/>
    </row>
    <row r="353" customFormat="false" ht="15" hidden="false" customHeight="true" outlineLevel="0" collapsed="false">
      <c r="A353" s="48"/>
      <c r="B353" s="48"/>
      <c r="C353" s="48"/>
      <c r="D353" s="48"/>
      <c r="E353" s="48"/>
      <c r="F353" s="48"/>
      <c r="G353" s="48"/>
      <c r="H353" s="48"/>
      <c r="I353" s="48"/>
      <c r="J353" s="48" t="str">
        <f aca="false">IF(AND(MOVIMIENTOS!$A353&lt;&gt;"",COUNTIF(MOVIMIENTOS!$A$5:$A352,MOVIMIENTOS!$A353)=0),COUNT(J$4:J352)+1,"")</f>
        <v/>
      </c>
      <c r="K353" s="53" t="n">
        <f aca="false">MOVIMIENTOS!$A353</f>
        <v>0</v>
      </c>
      <c r="L353" s="48"/>
      <c r="M353" s="48"/>
      <c r="N353" s="48"/>
    </row>
    <row r="354" customFormat="false" ht="15" hidden="false" customHeight="true" outlineLevel="0" collapsed="false">
      <c r="A354" s="48"/>
      <c r="B354" s="48"/>
      <c r="C354" s="48"/>
      <c r="D354" s="48"/>
      <c r="E354" s="48"/>
      <c r="F354" s="48"/>
      <c r="G354" s="48"/>
      <c r="H354" s="48"/>
      <c r="I354" s="48"/>
      <c r="J354" s="48" t="str">
        <f aca="false">IF(AND(MOVIMIENTOS!$A354&lt;&gt;"",COUNTIF(MOVIMIENTOS!$A$5:$A353,MOVIMIENTOS!$A354)=0),COUNT(J$4:J353)+1,"")</f>
        <v/>
      </c>
      <c r="K354" s="53" t="n">
        <f aca="false">MOVIMIENTOS!$A354</f>
        <v>0</v>
      </c>
      <c r="L354" s="48"/>
      <c r="M354" s="48"/>
      <c r="N354" s="48"/>
    </row>
    <row r="355" customFormat="false" ht="15" hidden="false" customHeight="true" outlineLevel="0" collapsed="false">
      <c r="A355" s="48"/>
      <c r="B355" s="48"/>
      <c r="C355" s="48"/>
      <c r="D355" s="48"/>
      <c r="E355" s="48"/>
      <c r="F355" s="48"/>
      <c r="G355" s="48"/>
      <c r="H355" s="48"/>
      <c r="I355" s="48"/>
      <c r="J355" s="48" t="str">
        <f aca="false">IF(AND(MOVIMIENTOS!$A355&lt;&gt;"",COUNTIF(MOVIMIENTOS!$A$5:$A354,MOVIMIENTOS!$A355)=0),COUNT(J$4:J354)+1,"")</f>
        <v/>
      </c>
      <c r="K355" s="53" t="n">
        <f aca="false">MOVIMIENTOS!$A355</f>
        <v>0</v>
      </c>
      <c r="L355" s="48"/>
      <c r="M355" s="48"/>
      <c r="N355" s="48"/>
    </row>
    <row r="356" customFormat="false" ht="15" hidden="false" customHeight="true" outlineLevel="0" collapsed="false">
      <c r="A356" s="48"/>
      <c r="B356" s="48"/>
      <c r="C356" s="48"/>
      <c r="D356" s="48"/>
      <c r="E356" s="48"/>
      <c r="F356" s="48"/>
      <c r="G356" s="48"/>
      <c r="H356" s="48"/>
      <c r="I356" s="48"/>
      <c r="J356" s="48" t="str">
        <f aca="false">IF(AND(MOVIMIENTOS!$A356&lt;&gt;"",COUNTIF(MOVIMIENTOS!$A$5:$A355,MOVIMIENTOS!$A356)=0),COUNT(J$4:J355)+1,"")</f>
        <v/>
      </c>
      <c r="K356" s="53" t="n">
        <f aca="false">MOVIMIENTOS!$A356</f>
        <v>0</v>
      </c>
      <c r="L356" s="48"/>
      <c r="M356" s="48"/>
      <c r="N356" s="48"/>
    </row>
    <row r="357" customFormat="false" ht="15" hidden="false" customHeight="true" outlineLevel="0" collapsed="false">
      <c r="A357" s="48"/>
      <c r="B357" s="48"/>
      <c r="C357" s="48"/>
      <c r="D357" s="48"/>
      <c r="E357" s="48"/>
      <c r="F357" s="48"/>
      <c r="G357" s="48"/>
      <c r="H357" s="48"/>
      <c r="I357" s="48"/>
      <c r="J357" s="48" t="str">
        <f aca="false">IF(AND(MOVIMIENTOS!$A357&lt;&gt;"",COUNTIF(MOVIMIENTOS!$A$5:$A356,MOVIMIENTOS!$A357)=0),COUNT(J$4:J356)+1,"")</f>
        <v/>
      </c>
      <c r="K357" s="53" t="n">
        <f aca="false">MOVIMIENTOS!$A357</f>
        <v>0</v>
      </c>
      <c r="L357" s="48"/>
      <c r="M357" s="48"/>
      <c r="N357" s="48"/>
    </row>
    <row r="358" customFormat="false" ht="15" hidden="false" customHeight="true" outlineLevel="0" collapsed="false">
      <c r="A358" s="48"/>
      <c r="B358" s="48"/>
      <c r="C358" s="48"/>
      <c r="D358" s="48"/>
      <c r="E358" s="48"/>
      <c r="F358" s="48"/>
      <c r="G358" s="48"/>
      <c r="H358" s="48"/>
      <c r="I358" s="48"/>
      <c r="J358" s="48" t="str">
        <f aca="false">IF(AND(MOVIMIENTOS!$A358&lt;&gt;"",COUNTIF(MOVIMIENTOS!$A$5:$A357,MOVIMIENTOS!$A358)=0),COUNT(J$4:J357)+1,"")</f>
        <v/>
      </c>
      <c r="K358" s="53" t="n">
        <f aca="false">MOVIMIENTOS!$A358</f>
        <v>0</v>
      </c>
      <c r="L358" s="48"/>
      <c r="M358" s="48"/>
      <c r="N358" s="48"/>
    </row>
    <row r="359" customFormat="false" ht="15" hidden="false" customHeight="true" outlineLevel="0" collapsed="false">
      <c r="A359" s="48"/>
      <c r="B359" s="48"/>
      <c r="C359" s="48"/>
      <c r="D359" s="48"/>
      <c r="E359" s="48"/>
      <c r="F359" s="48"/>
      <c r="G359" s="48"/>
      <c r="H359" s="48"/>
      <c r="I359" s="48"/>
      <c r="J359" s="48" t="str">
        <f aca="false">IF(AND(MOVIMIENTOS!$A359&lt;&gt;"",COUNTIF(MOVIMIENTOS!$A$5:$A358,MOVIMIENTOS!$A359)=0),COUNT(J$4:J358)+1,"")</f>
        <v/>
      </c>
      <c r="K359" s="53" t="n">
        <f aca="false">MOVIMIENTOS!$A359</f>
        <v>0</v>
      </c>
      <c r="L359" s="48"/>
      <c r="M359" s="48"/>
      <c r="N359" s="48"/>
    </row>
    <row r="360" customFormat="false" ht="15" hidden="false" customHeight="true" outlineLevel="0" collapsed="false">
      <c r="A360" s="48"/>
      <c r="B360" s="48"/>
      <c r="C360" s="48"/>
      <c r="D360" s="48"/>
      <c r="E360" s="48"/>
      <c r="F360" s="48"/>
      <c r="G360" s="48"/>
      <c r="H360" s="48"/>
      <c r="I360" s="48"/>
      <c r="J360" s="48" t="str">
        <f aca="false">IF(AND(MOVIMIENTOS!$A360&lt;&gt;"",COUNTIF(MOVIMIENTOS!$A$5:$A359,MOVIMIENTOS!$A360)=0),COUNT(J$4:J359)+1,"")</f>
        <v/>
      </c>
      <c r="K360" s="53" t="n">
        <f aca="false">MOVIMIENTOS!$A360</f>
        <v>0</v>
      </c>
      <c r="L360" s="48"/>
      <c r="M360" s="48"/>
      <c r="N360" s="48"/>
    </row>
    <row r="361" customFormat="false" ht="15" hidden="false" customHeight="true" outlineLevel="0" collapsed="false">
      <c r="A361" s="48"/>
      <c r="B361" s="48"/>
      <c r="C361" s="48"/>
      <c r="D361" s="48"/>
      <c r="E361" s="48"/>
      <c r="F361" s="48"/>
      <c r="G361" s="48"/>
      <c r="H361" s="48"/>
      <c r="I361" s="48"/>
      <c r="J361" s="48" t="str">
        <f aca="false">IF(AND(MOVIMIENTOS!$A361&lt;&gt;"",COUNTIF(MOVIMIENTOS!$A$5:$A360,MOVIMIENTOS!$A361)=0),COUNT(J$4:J360)+1,"")</f>
        <v/>
      </c>
      <c r="K361" s="53" t="n">
        <f aca="false">MOVIMIENTOS!$A361</f>
        <v>0</v>
      </c>
      <c r="L361" s="48"/>
      <c r="M361" s="48"/>
      <c r="N361" s="48"/>
    </row>
    <row r="362" customFormat="false" ht="15" hidden="false" customHeight="true" outlineLevel="0" collapsed="false">
      <c r="A362" s="48"/>
      <c r="B362" s="48"/>
      <c r="C362" s="48"/>
      <c r="D362" s="48"/>
      <c r="E362" s="48"/>
      <c r="F362" s="48"/>
      <c r="G362" s="48"/>
      <c r="H362" s="48"/>
      <c r="I362" s="48"/>
      <c r="J362" s="48" t="str">
        <f aca="false">IF(AND(MOVIMIENTOS!$A362&lt;&gt;"",COUNTIF(MOVIMIENTOS!$A$5:$A361,MOVIMIENTOS!$A362)=0),COUNT(J$4:J361)+1,"")</f>
        <v/>
      </c>
      <c r="K362" s="53" t="n">
        <f aca="false">MOVIMIENTOS!$A362</f>
        <v>0</v>
      </c>
      <c r="L362" s="48"/>
      <c r="M362" s="48"/>
      <c r="N362" s="48"/>
    </row>
    <row r="363" customFormat="false" ht="15" hidden="false" customHeight="true" outlineLevel="0" collapsed="false">
      <c r="A363" s="48"/>
      <c r="B363" s="48"/>
      <c r="C363" s="48"/>
      <c r="D363" s="48"/>
      <c r="E363" s="48"/>
      <c r="F363" s="48"/>
      <c r="G363" s="48"/>
      <c r="H363" s="48"/>
      <c r="I363" s="48"/>
      <c r="J363" s="48" t="str">
        <f aca="false">IF(AND(MOVIMIENTOS!$A363&lt;&gt;"",COUNTIF(MOVIMIENTOS!$A$5:$A362,MOVIMIENTOS!$A363)=0),COUNT(J$4:J362)+1,"")</f>
        <v/>
      </c>
      <c r="K363" s="53" t="n">
        <f aca="false">MOVIMIENTOS!$A363</f>
        <v>0</v>
      </c>
      <c r="L363" s="48"/>
      <c r="M363" s="48"/>
      <c r="N363" s="48"/>
    </row>
    <row r="364" customFormat="false" ht="15" hidden="false" customHeight="true" outlineLevel="0" collapsed="false">
      <c r="A364" s="48"/>
      <c r="B364" s="48"/>
      <c r="C364" s="48"/>
      <c r="D364" s="48"/>
      <c r="E364" s="48"/>
      <c r="F364" s="48"/>
      <c r="G364" s="48"/>
      <c r="H364" s="48"/>
      <c r="I364" s="48"/>
      <c r="J364" s="48" t="str">
        <f aca="false">IF(AND(MOVIMIENTOS!$A364&lt;&gt;"",COUNTIF(MOVIMIENTOS!$A$5:$A363,MOVIMIENTOS!$A364)=0),COUNT(J$4:J363)+1,"")</f>
        <v/>
      </c>
      <c r="K364" s="53" t="n">
        <f aca="false">MOVIMIENTOS!$A364</f>
        <v>0</v>
      </c>
      <c r="L364" s="48"/>
      <c r="M364" s="48"/>
      <c r="N364" s="48"/>
    </row>
    <row r="365" customFormat="false" ht="15" hidden="false" customHeight="true" outlineLevel="0" collapsed="false">
      <c r="A365" s="48"/>
      <c r="B365" s="48"/>
      <c r="C365" s="48"/>
      <c r="D365" s="48"/>
      <c r="E365" s="48"/>
      <c r="F365" s="48"/>
      <c r="G365" s="48"/>
      <c r="H365" s="48"/>
      <c r="I365" s="48"/>
      <c r="J365" s="48" t="str">
        <f aca="false">IF(AND(MOVIMIENTOS!$A365&lt;&gt;"",COUNTIF(MOVIMIENTOS!$A$5:$A364,MOVIMIENTOS!$A365)=0),COUNT(J$4:J364)+1,"")</f>
        <v/>
      </c>
      <c r="K365" s="53" t="n">
        <f aca="false">MOVIMIENTOS!$A365</f>
        <v>0</v>
      </c>
      <c r="L365" s="48"/>
      <c r="M365" s="48"/>
      <c r="N365" s="48"/>
    </row>
    <row r="366" customFormat="false" ht="15" hidden="false" customHeight="true" outlineLevel="0" collapsed="false">
      <c r="A366" s="48"/>
      <c r="B366" s="48"/>
      <c r="C366" s="48"/>
      <c r="D366" s="48"/>
      <c r="E366" s="48"/>
      <c r="F366" s="48"/>
      <c r="G366" s="48"/>
      <c r="H366" s="48"/>
      <c r="I366" s="48"/>
      <c r="J366" s="48" t="str">
        <f aca="false">IF(AND(MOVIMIENTOS!$A366&lt;&gt;"",COUNTIF(MOVIMIENTOS!$A$5:$A365,MOVIMIENTOS!$A366)=0),COUNT(J$4:J365)+1,"")</f>
        <v/>
      </c>
      <c r="K366" s="53" t="n">
        <f aca="false">MOVIMIENTOS!$A366</f>
        <v>0</v>
      </c>
      <c r="L366" s="48"/>
      <c r="M366" s="48"/>
      <c r="N366" s="48"/>
    </row>
    <row r="367" customFormat="false" ht="15" hidden="false" customHeight="true" outlineLevel="0" collapsed="false">
      <c r="A367" s="48"/>
      <c r="B367" s="48"/>
      <c r="C367" s="48"/>
      <c r="D367" s="48"/>
      <c r="E367" s="48"/>
      <c r="F367" s="48"/>
      <c r="G367" s="48"/>
      <c r="H367" s="48"/>
      <c r="I367" s="48"/>
      <c r="J367" s="48" t="str">
        <f aca="false">IF(AND(MOVIMIENTOS!$A367&lt;&gt;"",COUNTIF(MOVIMIENTOS!$A$5:$A366,MOVIMIENTOS!$A367)=0),COUNT(J$4:J366)+1,"")</f>
        <v/>
      </c>
      <c r="K367" s="53" t="n">
        <f aca="false">MOVIMIENTOS!$A367</f>
        <v>0</v>
      </c>
      <c r="L367" s="48"/>
      <c r="M367" s="48"/>
      <c r="N367" s="48"/>
    </row>
    <row r="368" customFormat="false" ht="15" hidden="false" customHeight="true" outlineLevel="0" collapsed="false">
      <c r="A368" s="48"/>
      <c r="B368" s="48"/>
      <c r="C368" s="48"/>
      <c r="D368" s="48"/>
      <c r="E368" s="48"/>
      <c r="F368" s="48"/>
      <c r="G368" s="48"/>
      <c r="H368" s="48"/>
      <c r="I368" s="48"/>
      <c r="J368" s="48" t="str">
        <f aca="false">IF(AND(MOVIMIENTOS!$A368&lt;&gt;"",COUNTIF(MOVIMIENTOS!$A$5:$A367,MOVIMIENTOS!$A368)=0),COUNT(J$4:J367)+1,"")</f>
        <v/>
      </c>
      <c r="K368" s="53" t="n">
        <f aca="false">MOVIMIENTOS!$A368</f>
        <v>0</v>
      </c>
      <c r="L368" s="48"/>
      <c r="M368" s="48"/>
      <c r="N368" s="48"/>
    </row>
    <row r="369" customFormat="false" ht="15" hidden="false" customHeight="true" outlineLevel="0" collapsed="false">
      <c r="A369" s="48"/>
      <c r="B369" s="48"/>
      <c r="C369" s="48"/>
      <c r="D369" s="48"/>
      <c r="E369" s="48"/>
      <c r="F369" s="48"/>
      <c r="G369" s="48"/>
      <c r="H369" s="48"/>
      <c r="I369" s="48"/>
      <c r="J369" s="48" t="str">
        <f aca="false">IF(AND(MOVIMIENTOS!$A369&lt;&gt;"",COUNTIF(MOVIMIENTOS!$A$5:$A368,MOVIMIENTOS!$A369)=0),COUNT(J$4:J368)+1,"")</f>
        <v/>
      </c>
      <c r="K369" s="53" t="n">
        <f aca="false">MOVIMIENTOS!$A369</f>
        <v>0</v>
      </c>
      <c r="L369" s="48"/>
      <c r="M369" s="48"/>
      <c r="N369" s="48"/>
    </row>
    <row r="370" customFormat="false" ht="15" hidden="false" customHeight="true" outlineLevel="0" collapsed="false">
      <c r="A370" s="48"/>
      <c r="B370" s="48"/>
      <c r="C370" s="48"/>
      <c r="D370" s="48"/>
      <c r="E370" s="48"/>
      <c r="F370" s="48"/>
      <c r="G370" s="48"/>
      <c r="H370" s="48"/>
      <c r="I370" s="48"/>
      <c r="J370" s="48" t="str">
        <f aca="false">IF(AND(MOVIMIENTOS!$A370&lt;&gt;"",COUNTIF(MOVIMIENTOS!$A$5:$A369,MOVIMIENTOS!$A370)=0),COUNT(J$4:J369)+1,"")</f>
        <v/>
      </c>
      <c r="K370" s="53" t="n">
        <f aca="false">MOVIMIENTOS!$A370</f>
        <v>0</v>
      </c>
      <c r="L370" s="48"/>
      <c r="M370" s="48"/>
      <c r="N370" s="48"/>
    </row>
    <row r="371" customFormat="false" ht="15" hidden="false" customHeight="true" outlineLevel="0" collapsed="false">
      <c r="A371" s="48"/>
      <c r="B371" s="48"/>
      <c r="C371" s="48"/>
      <c r="D371" s="48"/>
      <c r="E371" s="48"/>
      <c r="F371" s="48"/>
      <c r="G371" s="48"/>
      <c r="H371" s="48"/>
      <c r="I371" s="48"/>
      <c r="J371" s="48" t="str">
        <f aca="false">IF(AND(MOVIMIENTOS!$A371&lt;&gt;"",COUNTIF(MOVIMIENTOS!$A$5:$A370,MOVIMIENTOS!$A371)=0),COUNT(J$4:J370)+1,"")</f>
        <v/>
      </c>
      <c r="K371" s="53" t="n">
        <f aca="false">MOVIMIENTOS!$A371</f>
        <v>0</v>
      </c>
      <c r="L371" s="48"/>
      <c r="M371" s="48"/>
      <c r="N371" s="48"/>
    </row>
    <row r="372" customFormat="false" ht="15" hidden="false" customHeight="true" outlineLevel="0" collapsed="false">
      <c r="A372" s="48"/>
      <c r="B372" s="48"/>
      <c r="C372" s="48"/>
      <c r="D372" s="48"/>
      <c r="E372" s="48"/>
      <c r="F372" s="48"/>
      <c r="G372" s="48"/>
      <c r="H372" s="48"/>
      <c r="I372" s="48"/>
      <c r="J372" s="48" t="str">
        <f aca="false">IF(AND(MOVIMIENTOS!$A372&lt;&gt;"",COUNTIF(MOVIMIENTOS!$A$5:$A371,MOVIMIENTOS!$A372)=0),COUNT(J$4:J371)+1,"")</f>
        <v/>
      </c>
      <c r="K372" s="53" t="n">
        <f aca="false">MOVIMIENTOS!$A372</f>
        <v>0</v>
      </c>
      <c r="L372" s="48"/>
      <c r="M372" s="48"/>
      <c r="N372" s="48"/>
    </row>
    <row r="373" customFormat="false" ht="15" hidden="false" customHeight="true" outlineLevel="0" collapsed="false">
      <c r="A373" s="48"/>
      <c r="B373" s="48"/>
      <c r="C373" s="48"/>
      <c r="D373" s="48"/>
      <c r="E373" s="48"/>
      <c r="F373" s="48"/>
      <c r="G373" s="48"/>
      <c r="H373" s="48"/>
      <c r="I373" s="48"/>
      <c r="J373" s="48" t="str">
        <f aca="false">IF(AND(MOVIMIENTOS!$A373&lt;&gt;"",COUNTIF(MOVIMIENTOS!$A$5:$A372,MOVIMIENTOS!$A373)=0),COUNT(J$4:J372)+1,"")</f>
        <v/>
      </c>
      <c r="K373" s="53" t="n">
        <f aca="false">MOVIMIENTOS!$A373</f>
        <v>0</v>
      </c>
      <c r="L373" s="48"/>
      <c r="M373" s="48"/>
      <c r="N373" s="48"/>
    </row>
    <row r="374" customFormat="false" ht="15" hidden="false" customHeight="true" outlineLevel="0" collapsed="false">
      <c r="A374" s="48"/>
      <c r="B374" s="48"/>
      <c r="C374" s="48"/>
      <c r="D374" s="48"/>
      <c r="E374" s="48"/>
      <c r="F374" s="48"/>
      <c r="G374" s="48"/>
      <c r="H374" s="48"/>
      <c r="I374" s="48"/>
      <c r="J374" s="48" t="str">
        <f aca="false">IF(AND(MOVIMIENTOS!$A374&lt;&gt;"",COUNTIF(MOVIMIENTOS!$A$5:$A373,MOVIMIENTOS!$A374)=0),COUNT(J$4:J373)+1,"")</f>
        <v/>
      </c>
      <c r="K374" s="53" t="n">
        <f aca="false">MOVIMIENTOS!$A374</f>
        <v>0</v>
      </c>
      <c r="L374" s="48"/>
      <c r="M374" s="48"/>
      <c r="N374" s="48"/>
    </row>
    <row r="375" customFormat="false" ht="15" hidden="false" customHeight="true" outlineLevel="0" collapsed="false">
      <c r="A375" s="48"/>
      <c r="B375" s="48"/>
      <c r="C375" s="48"/>
      <c r="D375" s="48"/>
      <c r="E375" s="48"/>
      <c r="F375" s="48"/>
      <c r="G375" s="48"/>
      <c r="H375" s="48"/>
      <c r="I375" s="48"/>
      <c r="J375" s="48" t="str">
        <f aca="false">IF(AND(MOVIMIENTOS!$A375&lt;&gt;"",COUNTIF(MOVIMIENTOS!$A$5:$A374,MOVIMIENTOS!$A375)=0),COUNT(J$4:J374)+1,"")</f>
        <v/>
      </c>
      <c r="K375" s="53" t="n">
        <f aca="false">MOVIMIENTOS!$A375</f>
        <v>0</v>
      </c>
      <c r="L375" s="48"/>
      <c r="M375" s="48"/>
      <c r="N375" s="48"/>
    </row>
    <row r="376" customFormat="false" ht="15" hidden="false" customHeight="true" outlineLevel="0" collapsed="false">
      <c r="A376" s="48"/>
      <c r="B376" s="48"/>
      <c r="C376" s="48"/>
      <c r="D376" s="48"/>
      <c r="E376" s="48"/>
      <c r="F376" s="48"/>
      <c r="G376" s="48"/>
      <c r="H376" s="48"/>
      <c r="I376" s="48"/>
      <c r="J376" s="48" t="str">
        <f aca="false">IF(AND(MOVIMIENTOS!$A376&lt;&gt;"",COUNTIF(MOVIMIENTOS!$A$5:$A375,MOVIMIENTOS!$A376)=0),COUNT(J$4:J375)+1,"")</f>
        <v/>
      </c>
      <c r="K376" s="53" t="n">
        <f aca="false">MOVIMIENTOS!$A376</f>
        <v>0</v>
      </c>
      <c r="L376" s="48"/>
      <c r="M376" s="48"/>
      <c r="N376" s="48"/>
    </row>
    <row r="377" customFormat="false" ht="15" hidden="false" customHeight="true" outlineLevel="0" collapsed="false">
      <c r="A377" s="48"/>
      <c r="B377" s="48"/>
      <c r="C377" s="48"/>
      <c r="D377" s="48"/>
      <c r="E377" s="48"/>
      <c r="F377" s="48"/>
      <c r="G377" s="48"/>
      <c r="H377" s="48"/>
      <c r="I377" s="48"/>
      <c r="J377" s="48" t="str">
        <f aca="false">IF(AND(MOVIMIENTOS!$A377&lt;&gt;"",COUNTIF(MOVIMIENTOS!$A$5:$A376,MOVIMIENTOS!$A377)=0),COUNT(J$4:J376)+1,"")</f>
        <v/>
      </c>
      <c r="K377" s="53" t="n">
        <f aca="false">MOVIMIENTOS!$A377</f>
        <v>0</v>
      </c>
      <c r="L377" s="48"/>
      <c r="M377" s="48"/>
      <c r="N377" s="48"/>
    </row>
    <row r="378" customFormat="false" ht="15" hidden="false" customHeight="true" outlineLevel="0" collapsed="false">
      <c r="A378" s="48"/>
      <c r="B378" s="48"/>
      <c r="C378" s="48"/>
      <c r="D378" s="48"/>
      <c r="E378" s="48"/>
      <c r="F378" s="48"/>
      <c r="G378" s="48"/>
      <c r="H378" s="48"/>
      <c r="I378" s="48"/>
      <c r="J378" s="48" t="str">
        <f aca="false">IF(AND(MOVIMIENTOS!$A378&lt;&gt;"",COUNTIF(MOVIMIENTOS!$A$5:$A377,MOVIMIENTOS!$A378)=0),COUNT(J$4:J377)+1,"")</f>
        <v/>
      </c>
      <c r="K378" s="53" t="n">
        <f aca="false">MOVIMIENTOS!$A378</f>
        <v>0</v>
      </c>
      <c r="L378" s="48"/>
      <c r="M378" s="48"/>
      <c r="N378" s="48"/>
    </row>
    <row r="379" customFormat="false" ht="15" hidden="false" customHeight="true" outlineLevel="0" collapsed="false">
      <c r="A379" s="48"/>
      <c r="B379" s="48"/>
      <c r="C379" s="48"/>
      <c r="D379" s="48"/>
      <c r="E379" s="48"/>
      <c r="F379" s="48"/>
      <c r="G379" s="48"/>
      <c r="H379" s="48"/>
      <c r="I379" s="48"/>
      <c r="J379" s="48" t="str">
        <f aca="false">IF(AND(MOVIMIENTOS!$A379&lt;&gt;"",COUNTIF(MOVIMIENTOS!$A$5:$A378,MOVIMIENTOS!$A379)=0),COUNT(J$4:J378)+1,"")</f>
        <v/>
      </c>
      <c r="K379" s="53" t="n">
        <f aca="false">MOVIMIENTOS!$A379</f>
        <v>0</v>
      </c>
      <c r="L379" s="48"/>
      <c r="M379" s="48"/>
      <c r="N379" s="48"/>
    </row>
    <row r="380" customFormat="false" ht="15" hidden="false" customHeight="true" outlineLevel="0" collapsed="false">
      <c r="A380" s="48"/>
      <c r="B380" s="48"/>
      <c r="C380" s="48"/>
      <c r="D380" s="48"/>
      <c r="E380" s="48"/>
      <c r="F380" s="48"/>
      <c r="G380" s="48"/>
      <c r="H380" s="48"/>
      <c r="I380" s="48"/>
      <c r="J380" s="48" t="str">
        <f aca="false">IF(AND(MOVIMIENTOS!$A380&lt;&gt;"",COUNTIF(MOVIMIENTOS!$A$5:$A379,MOVIMIENTOS!$A380)=0),COUNT(J$4:J379)+1,"")</f>
        <v/>
      </c>
      <c r="K380" s="53" t="n">
        <f aca="false">MOVIMIENTOS!$A380</f>
        <v>0</v>
      </c>
      <c r="L380" s="48"/>
      <c r="M380" s="48"/>
      <c r="N380" s="48"/>
    </row>
    <row r="381" customFormat="false" ht="15" hidden="false" customHeight="true" outlineLevel="0" collapsed="false">
      <c r="A381" s="48"/>
      <c r="B381" s="48"/>
      <c r="C381" s="48"/>
      <c r="D381" s="48"/>
      <c r="E381" s="48"/>
      <c r="F381" s="48"/>
      <c r="G381" s="48"/>
      <c r="H381" s="48"/>
      <c r="I381" s="48"/>
      <c r="J381" s="48" t="str">
        <f aca="false">IF(AND(MOVIMIENTOS!$A381&lt;&gt;"",COUNTIF(MOVIMIENTOS!$A$5:$A380,MOVIMIENTOS!$A381)=0),COUNT(J$4:J380)+1,"")</f>
        <v/>
      </c>
      <c r="K381" s="53" t="n">
        <f aca="false">MOVIMIENTOS!$A381</f>
        <v>0</v>
      </c>
      <c r="L381" s="48"/>
      <c r="M381" s="48"/>
      <c r="N381" s="48"/>
    </row>
    <row r="382" customFormat="false" ht="15" hidden="false" customHeight="true" outlineLevel="0" collapsed="false">
      <c r="A382" s="48"/>
      <c r="B382" s="48"/>
      <c r="C382" s="48"/>
      <c r="D382" s="48"/>
      <c r="E382" s="48"/>
      <c r="F382" s="48"/>
      <c r="G382" s="48"/>
      <c r="H382" s="48"/>
      <c r="I382" s="48"/>
      <c r="J382" s="48" t="str">
        <f aca="false">IF(AND(MOVIMIENTOS!$A382&lt;&gt;"",COUNTIF(MOVIMIENTOS!$A$5:$A381,MOVIMIENTOS!$A382)=0),COUNT(J$4:J381)+1,"")</f>
        <v/>
      </c>
      <c r="K382" s="53" t="n">
        <f aca="false">MOVIMIENTOS!$A382</f>
        <v>0</v>
      </c>
      <c r="L382" s="48"/>
      <c r="M382" s="48"/>
      <c r="N382" s="48"/>
    </row>
    <row r="383" customFormat="false" ht="15" hidden="false" customHeight="true" outlineLevel="0" collapsed="false">
      <c r="A383" s="48"/>
      <c r="B383" s="48"/>
      <c r="C383" s="48"/>
      <c r="D383" s="48"/>
      <c r="E383" s="48"/>
      <c r="F383" s="48"/>
      <c r="G383" s="48"/>
      <c r="H383" s="48"/>
      <c r="I383" s="48"/>
      <c r="J383" s="48" t="str">
        <f aca="false">IF(AND(MOVIMIENTOS!$A383&lt;&gt;"",COUNTIF(MOVIMIENTOS!$A$5:$A382,MOVIMIENTOS!$A383)=0),COUNT(J$4:J382)+1,"")</f>
        <v/>
      </c>
      <c r="K383" s="53" t="n">
        <f aca="false">MOVIMIENTOS!$A383</f>
        <v>0</v>
      </c>
      <c r="L383" s="48"/>
      <c r="M383" s="48"/>
      <c r="N383" s="48"/>
    </row>
    <row r="384" customFormat="false" ht="15" hidden="false" customHeight="true" outlineLevel="0" collapsed="false">
      <c r="A384" s="48"/>
      <c r="B384" s="48"/>
      <c r="C384" s="48"/>
      <c r="D384" s="48"/>
      <c r="E384" s="48"/>
      <c r="F384" s="48"/>
      <c r="G384" s="48"/>
      <c r="H384" s="48"/>
      <c r="I384" s="48"/>
      <c r="J384" s="48" t="str">
        <f aca="false">IF(AND(MOVIMIENTOS!$A384&lt;&gt;"",COUNTIF(MOVIMIENTOS!$A$5:$A383,MOVIMIENTOS!$A384)=0),COUNT(J$4:J383)+1,"")</f>
        <v/>
      </c>
      <c r="K384" s="53" t="n">
        <f aca="false">MOVIMIENTOS!$A384</f>
        <v>0</v>
      </c>
      <c r="L384" s="48"/>
      <c r="M384" s="48"/>
      <c r="N384" s="48"/>
    </row>
    <row r="385" customFormat="false" ht="15" hidden="false" customHeight="true" outlineLevel="0" collapsed="false">
      <c r="A385" s="48"/>
      <c r="B385" s="48"/>
      <c r="C385" s="48"/>
      <c r="D385" s="48"/>
      <c r="E385" s="48"/>
      <c r="F385" s="48"/>
      <c r="G385" s="48"/>
      <c r="H385" s="48"/>
      <c r="I385" s="48"/>
      <c r="J385" s="48" t="str">
        <f aca="false">IF(AND(MOVIMIENTOS!$A385&lt;&gt;"",COUNTIF(MOVIMIENTOS!$A$5:$A384,MOVIMIENTOS!$A385)=0),COUNT(J$4:J384)+1,"")</f>
        <v/>
      </c>
      <c r="K385" s="53" t="n">
        <f aca="false">MOVIMIENTOS!$A385</f>
        <v>0</v>
      </c>
      <c r="L385" s="48"/>
      <c r="M385" s="48"/>
      <c r="N385" s="48"/>
    </row>
    <row r="386" customFormat="false" ht="15" hidden="false" customHeight="true" outlineLevel="0" collapsed="false">
      <c r="A386" s="48"/>
      <c r="B386" s="48"/>
      <c r="C386" s="48"/>
      <c r="D386" s="48"/>
      <c r="E386" s="48"/>
      <c r="F386" s="48"/>
      <c r="G386" s="48"/>
      <c r="H386" s="48"/>
      <c r="I386" s="48"/>
      <c r="J386" s="48" t="str">
        <f aca="false">IF(AND(MOVIMIENTOS!$A386&lt;&gt;"",COUNTIF(MOVIMIENTOS!$A$5:$A385,MOVIMIENTOS!$A386)=0),COUNT(J$4:J385)+1,"")</f>
        <v/>
      </c>
      <c r="K386" s="53" t="n">
        <f aca="false">MOVIMIENTOS!$A386</f>
        <v>0</v>
      </c>
      <c r="L386" s="48"/>
      <c r="M386" s="48"/>
      <c r="N386" s="48"/>
    </row>
    <row r="387" customFormat="false" ht="15" hidden="false" customHeight="true" outlineLevel="0" collapsed="false">
      <c r="A387" s="48"/>
      <c r="B387" s="48"/>
      <c r="C387" s="48"/>
      <c r="D387" s="48"/>
      <c r="E387" s="48"/>
      <c r="F387" s="48"/>
      <c r="G387" s="48"/>
      <c r="H387" s="48"/>
      <c r="I387" s="48"/>
      <c r="J387" s="48" t="str">
        <f aca="false">IF(AND(MOVIMIENTOS!$A387&lt;&gt;"",COUNTIF(MOVIMIENTOS!$A$5:$A386,MOVIMIENTOS!$A387)=0),COUNT(J$4:J386)+1,"")</f>
        <v/>
      </c>
      <c r="K387" s="53" t="n">
        <f aca="false">MOVIMIENTOS!$A387</f>
        <v>0</v>
      </c>
      <c r="L387" s="48"/>
      <c r="M387" s="48"/>
      <c r="N387" s="48"/>
    </row>
    <row r="388" customFormat="false" ht="15" hidden="false" customHeight="true" outlineLevel="0" collapsed="false">
      <c r="A388" s="48"/>
      <c r="B388" s="48"/>
      <c r="C388" s="48"/>
      <c r="D388" s="48"/>
      <c r="E388" s="48"/>
      <c r="F388" s="48"/>
      <c r="G388" s="48"/>
      <c r="H388" s="48"/>
      <c r="I388" s="48"/>
      <c r="J388" s="48" t="str">
        <f aca="false">IF(AND(MOVIMIENTOS!$A388&lt;&gt;"",COUNTIF(MOVIMIENTOS!$A$5:$A387,MOVIMIENTOS!$A388)=0),COUNT(J$4:J387)+1,"")</f>
        <v/>
      </c>
      <c r="K388" s="53" t="n">
        <f aca="false">MOVIMIENTOS!$A388</f>
        <v>0</v>
      </c>
      <c r="L388" s="48"/>
      <c r="M388" s="48"/>
      <c r="N388" s="48"/>
    </row>
    <row r="389" customFormat="false" ht="15" hidden="false" customHeight="true" outlineLevel="0" collapsed="false">
      <c r="A389" s="48"/>
      <c r="B389" s="48"/>
      <c r="C389" s="48"/>
      <c r="D389" s="48"/>
      <c r="E389" s="48"/>
      <c r="F389" s="48"/>
      <c r="G389" s="48"/>
      <c r="H389" s="48"/>
      <c r="I389" s="48"/>
      <c r="J389" s="48" t="str">
        <f aca="false">IF(AND(MOVIMIENTOS!$A389&lt;&gt;"",COUNTIF(MOVIMIENTOS!$A$5:$A388,MOVIMIENTOS!$A389)=0),COUNT(J$4:J388)+1,"")</f>
        <v/>
      </c>
      <c r="K389" s="53" t="n">
        <f aca="false">MOVIMIENTOS!$A389</f>
        <v>0</v>
      </c>
      <c r="L389" s="48"/>
      <c r="M389" s="48"/>
      <c r="N389" s="48"/>
    </row>
    <row r="390" customFormat="false" ht="15" hidden="false" customHeight="true" outlineLevel="0" collapsed="false">
      <c r="A390" s="48"/>
      <c r="B390" s="48"/>
      <c r="C390" s="48"/>
      <c r="D390" s="48"/>
      <c r="E390" s="48"/>
      <c r="F390" s="48"/>
      <c r="G390" s="48"/>
      <c r="H390" s="48"/>
      <c r="I390" s="48"/>
      <c r="J390" s="48" t="str">
        <f aca="false">IF(AND(MOVIMIENTOS!$A390&lt;&gt;"",COUNTIF(MOVIMIENTOS!$A$5:$A389,MOVIMIENTOS!$A390)=0),COUNT(J$4:J389)+1,"")</f>
        <v/>
      </c>
      <c r="K390" s="53" t="n">
        <f aca="false">MOVIMIENTOS!$A390</f>
        <v>0</v>
      </c>
      <c r="L390" s="48"/>
      <c r="M390" s="48"/>
      <c r="N390" s="48"/>
    </row>
    <row r="391" customFormat="false" ht="1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 t="str">
        <f aca="false">IF(AND(MOVIMIENTOS!$A391&lt;&gt;"",COUNTIF(MOVIMIENTOS!$A$5:$A390,MOVIMIENTOS!$A391)=0),COUNT(J$4:J390)+1,"")</f>
        <v/>
      </c>
      <c r="K391" s="53" t="n">
        <f aca="false">MOVIMIENTOS!$A391</f>
        <v>0</v>
      </c>
      <c r="L391" s="48"/>
      <c r="M391" s="48"/>
      <c r="N391" s="48"/>
    </row>
    <row r="392" customFormat="false" ht="15" hidden="false" customHeight="true" outlineLevel="0" collapsed="false">
      <c r="A392" s="48"/>
      <c r="B392" s="48"/>
      <c r="C392" s="48"/>
      <c r="D392" s="48"/>
      <c r="E392" s="48"/>
      <c r="F392" s="48"/>
      <c r="G392" s="48"/>
      <c r="H392" s="48"/>
      <c r="I392" s="48"/>
      <c r="J392" s="48" t="str">
        <f aca="false">IF(AND(MOVIMIENTOS!$A392&lt;&gt;"",COUNTIF(MOVIMIENTOS!$A$5:$A391,MOVIMIENTOS!$A392)=0),COUNT(J$4:J391)+1,"")</f>
        <v/>
      </c>
      <c r="K392" s="53" t="n">
        <f aca="false">MOVIMIENTOS!$A392</f>
        <v>0</v>
      </c>
      <c r="L392" s="48"/>
      <c r="M392" s="48"/>
      <c r="N392" s="48"/>
    </row>
    <row r="393" customFormat="false" ht="15" hidden="false" customHeight="true" outlineLevel="0" collapsed="false">
      <c r="A393" s="48"/>
      <c r="B393" s="48"/>
      <c r="C393" s="48"/>
      <c r="D393" s="48"/>
      <c r="E393" s="48"/>
      <c r="F393" s="48"/>
      <c r="G393" s="48"/>
      <c r="H393" s="48"/>
      <c r="I393" s="48"/>
      <c r="J393" s="48" t="str">
        <f aca="false">IF(AND(MOVIMIENTOS!$A393&lt;&gt;"",COUNTIF(MOVIMIENTOS!$A$5:$A392,MOVIMIENTOS!$A393)=0),COUNT(J$4:J392)+1,"")</f>
        <v/>
      </c>
      <c r="K393" s="53" t="n">
        <f aca="false">MOVIMIENTOS!$A393</f>
        <v>0</v>
      </c>
      <c r="L393" s="48"/>
      <c r="M393" s="48"/>
      <c r="N393" s="48"/>
    </row>
    <row r="394" customFormat="false" ht="15" hidden="false" customHeight="true" outlineLevel="0" collapsed="false">
      <c r="A394" s="48"/>
      <c r="B394" s="48"/>
      <c r="C394" s="48"/>
      <c r="D394" s="48"/>
      <c r="E394" s="48"/>
      <c r="F394" s="48"/>
      <c r="G394" s="48"/>
      <c r="H394" s="48"/>
      <c r="I394" s="48"/>
      <c r="J394" s="48" t="str">
        <f aca="false">IF(AND(MOVIMIENTOS!$A394&lt;&gt;"",COUNTIF(MOVIMIENTOS!$A$5:$A393,MOVIMIENTOS!$A394)=0),COUNT(J$4:J393)+1,"")</f>
        <v/>
      </c>
      <c r="K394" s="53" t="n">
        <f aca="false">MOVIMIENTOS!$A394</f>
        <v>0</v>
      </c>
      <c r="L394" s="48"/>
      <c r="M394" s="48"/>
      <c r="N394" s="48"/>
    </row>
    <row r="395" customFormat="false" ht="15" hidden="false" customHeight="true" outlineLevel="0" collapsed="false">
      <c r="A395" s="48"/>
      <c r="B395" s="48"/>
      <c r="C395" s="48"/>
      <c r="D395" s="48"/>
      <c r="E395" s="48"/>
      <c r="F395" s="48"/>
      <c r="G395" s="48"/>
      <c r="H395" s="48"/>
      <c r="I395" s="48"/>
      <c r="J395" s="48" t="str">
        <f aca="false">IF(AND(MOVIMIENTOS!$A395&lt;&gt;"",COUNTIF(MOVIMIENTOS!$A$5:$A394,MOVIMIENTOS!$A395)=0),COUNT(J$4:J394)+1,"")</f>
        <v/>
      </c>
      <c r="K395" s="53" t="n">
        <f aca="false">MOVIMIENTOS!$A395</f>
        <v>0</v>
      </c>
      <c r="L395" s="48"/>
      <c r="M395" s="48"/>
      <c r="N395" s="48"/>
    </row>
    <row r="396" customFormat="false" ht="15" hidden="false" customHeight="true" outlineLevel="0" collapsed="false">
      <c r="A396" s="48"/>
      <c r="B396" s="48"/>
      <c r="C396" s="48"/>
      <c r="D396" s="48"/>
      <c r="E396" s="48"/>
      <c r="F396" s="48"/>
      <c r="G396" s="48"/>
      <c r="H396" s="48"/>
      <c r="I396" s="48"/>
      <c r="J396" s="48" t="str">
        <f aca="false">IF(AND(MOVIMIENTOS!$A396&lt;&gt;"",COUNTIF(MOVIMIENTOS!$A$5:$A395,MOVIMIENTOS!$A396)=0),COUNT(J$4:J395)+1,"")</f>
        <v/>
      </c>
      <c r="K396" s="53" t="n">
        <f aca="false">MOVIMIENTOS!$A396</f>
        <v>0</v>
      </c>
      <c r="L396" s="48"/>
      <c r="M396" s="48"/>
      <c r="N396" s="48"/>
    </row>
    <row r="397" customFormat="false" ht="15" hidden="false" customHeight="true" outlineLevel="0" collapsed="false">
      <c r="A397" s="48"/>
      <c r="B397" s="48"/>
      <c r="C397" s="48"/>
      <c r="D397" s="48"/>
      <c r="E397" s="48"/>
      <c r="F397" s="48"/>
      <c r="G397" s="48"/>
      <c r="H397" s="48"/>
      <c r="I397" s="48"/>
      <c r="J397" s="48" t="str">
        <f aca="false">IF(AND(MOVIMIENTOS!$A397&lt;&gt;"",COUNTIF(MOVIMIENTOS!$A$5:$A396,MOVIMIENTOS!$A397)=0),COUNT(J$4:J396)+1,"")</f>
        <v/>
      </c>
      <c r="K397" s="53" t="n">
        <f aca="false">MOVIMIENTOS!$A397</f>
        <v>0</v>
      </c>
      <c r="L397" s="48"/>
      <c r="M397" s="48"/>
      <c r="N397" s="48"/>
    </row>
    <row r="398" customFormat="false" ht="15" hidden="false" customHeight="true" outlineLevel="0" collapsed="false">
      <c r="A398" s="48"/>
      <c r="B398" s="48"/>
      <c r="C398" s="48"/>
      <c r="D398" s="48"/>
      <c r="E398" s="48"/>
      <c r="F398" s="48"/>
      <c r="G398" s="48"/>
      <c r="H398" s="48"/>
      <c r="I398" s="48"/>
      <c r="J398" s="48" t="str">
        <f aca="false">IF(AND(MOVIMIENTOS!$A398&lt;&gt;"",COUNTIF(MOVIMIENTOS!$A$5:$A397,MOVIMIENTOS!$A398)=0),COUNT(J$4:J397)+1,"")</f>
        <v/>
      </c>
      <c r="K398" s="53" t="n">
        <f aca="false">MOVIMIENTOS!$A398</f>
        <v>0</v>
      </c>
      <c r="L398" s="48"/>
      <c r="M398" s="48"/>
      <c r="N398" s="48"/>
    </row>
    <row r="399" customFormat="false" ht="15" hidden="false" customHeight="true" outlineLevel="0" collapsed="false">
      <c r="A399" s="48"/>
      <c r="B399" s="48"/>
      <c r="C399" s="48"/>
      <c r="D399" s="48"/>
      <c r="E399" s="48"/>
      <c r="F399" s="48"/>
      <c r="G399" s="48"/>
      <c r="H399" s="48"/>
      <c r="I399" s="48"/>
      <c r="J399" s="48" t="str">
        <f aca="false">IF(AND(MOVIMIENTOS!$A399&lt;&gt;"",COUNTIF(MOVIMIENTOS!$A$5:$A398,MOVIMIENTOS!$A399)=0),COUNT(J$4:J398)+1,"")</f>
        <v/>
      </c>
      <c r="K399" s="53" t="n">
        <f aca="false">MOVIMIENTOS!$A399</f>
        <v>0</v>
      </c>
      <c r="L399" s="48"/>
      <c r="M399" s="48"/>
      <c r="N399" s="48"/>
    </row>
    <row r="400" customFormat="false" ht="15" hidden="false" customHeight="true" outlineLevel="0" collapsed="false">
      <c r="A400" s="48"/>
      <c r="B400" s="48"/>
      <c r="C400" s="48"/>
      <c r="D400" s="48"/>
      <c r="E400" s="48"/>
      <c r="F400" s="48"/>
      <c r="G400" s="48"/>
      <c r="H400" s="48"/>
      <c r="I400" s="48"/>
      <c r="J400" s="48" t="str">
        <f aca="false">IF(AND(MOVIMIENTOS!$A400&lt;&gt;"",COUNTIF(MOVIMIENTOS!$A$5:$A399,MOVIMIENTOS!$A400)=0),COUNT(J$4:J399)+1,"")</f>
        <v/>
      </c>
      <c r="K400" s="53" t="n">
        <f aca="false">MOVIMIENTOS!$A400</f>
        <v>0</v>
      </c>
      <c r="L400" s="48"/>
      <c r="M400" s="48"/>
      <c r="N400" s="48"/>
    </row>
  </sheetData>
  <mergeCells count="2">
    <mergeCell ref="A1:H1"/>
    <mergeCell ref="A2:H2"/>
  </mergeCells>
  <conditionalFormatting sqref="A5:H69">
    <cfRule type="expression" priority="2" aboveAverage="0" equalAverage="0" bottom="0" percent="0" rank="0" text="" dxfId="36">
      <formula>AND($A5&lt;&gt;"",A6="")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E109" activeCellId="0" sqref="E10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0"/>
    <col collapsed="false" customWidth="true" hidden="false" outlineLevel="0" max="4" min="3" style="1" width="12"/>
    <col collapsed="false" customWidth="true" hidden="false" outlineLevel="0" max="5" min="5" style="1" width="22"/>
    <col collapsed="false" customWidth="true" hidden="false" outlineLevel="0" max="6" min="6" style="1" width="13"/>
    <col collapsed="false" customWidth="true" hidden="true" outlineLevel="0" max="16" min="10" style="1" width="13"/>
  </cols>
  <sheetData>
    <row r="1" customFormat="false" ht="21.75" hidden="false" customHeight="true" outlineLevel="0" collapsed="false">
      <c r="A1" s="47" t="s">
        <v>77</v>
      </c>
      <c r="B1" s="47"/>
      <c r="C1" s="47"/>
      <c r="D1" s="47"/>
      <c r="E1" s="47"/>
      <c r="F1" s="47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</row>
    <row r="2" customFormat="false" ht="15" hidden="false" customHeight="true" outlineLevel="0" collapsed="false">
      <c r="A2" s="49" t="s">
        <v>78</v>
      </c>
      <c r="B2" s="49"/>
      <c r="C2" s="49"/>
      <c r="D2" s="49"/>
      <c r="E2" s="49"/>
      <c r="F2" s="49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</row>
    <row r="4" customFormat="false" ht="15" hidden="false" customHeight="true" outlineLevel="0" collapsed="false">
      <c r="A4" s="48"/>
      <c r="B4" s="48"/>
      <c r="C4" s="54" t="s">
        <v>79</v>
      </c>
      <c r="D4" s="55" t="s">
        <v>80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</row>
    <row r="5" customFormat="false" ht="30" hidden="false" customHeight="true" outlineLevel="0" collapsed="false">
      <c r="A5" s="50" t="s">
        <v>2</v>
      </c>
      <c r="B5" s="50" t="s">
        <v>81</v>
      </c>
      <c r="C5" s="50" t="s">
        <v>82</v>
      </c>
      <c r="D5" s="50" t="s">
        <v>83</v>
      </c>
      <c r="E5" s="50" t="s">
        <v>84</v>
      </c>
      <c r="F5" s="50" t="s">
        <v>85</v>
      </c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</row>
    <row r="6" customFormat="false" ht="15" hidden="false" customHeight="true" outlineLevel="0" collapsed="false">
      <c r="A6" s="51" t="n">
        <f aca="false">IFERROR(INDEX(K$6:K$401,MATCH(ROW()-5,J$6:J$401,0)),"")</f>
        <v>46214</v>
      </c>
      <c r="B6" s="56" t="str">
        <f aca="false">IFERROR(INDEX(L$6:L$401,MATCH(ROW()-5,J$6:J$401,0)),"")</f>
        <v>AJUSTE</v>
      </c>
      <c r="C6" s="52" t="n">
        <f aca="false">IFERROR(INDEX(M$6:M$401,MATCH(ROW()-5,J$6:J$401,0)),"")</f>
        <v>30</v>
      </c>
      <c r="D6" s="52" t="str">
        <f aca="false">IFERROR(INDEX(N$6:N$401,MATCH(ROW()-5,J$6:J$401,0)),"")</f>
        <v/>
      </c>
      <c r="E6" s="56" t="str">
        <f aca="false">IFERROR(INDEX(O$6:O$401,MATCH(ROW()-5,J$6:J$401,0)),"")</f>
        <v/>
      </c>
      <c r="F6" s="52" t="n">
        <f aca="false">IFERROR(INDEX(P$6:P$401,MATCH(ROW()-5,J$6:J$401,0)),"")</f>
        <v>30</v>
      </c>
      <c r="G6" s="48"/>
      <c r="H6" s="48"/>
      <c r="I6" s="48"/>
      <c r="J6" s="48" t="n">
        <f aca="false">IF(AND(MOVIMIENTOS!$B5&lt;&gt;"",NOT(AND(MOVIMIENTOS!$B5="PROCESO",MOVIMIENTOS!$C5&lt;&gt;"Chancho")),NOT(AND(MOVIMIENTOS!$B5="SALDO INICIAL",MOVIMIENTOS!$C5="Chancho"))),COUNT(J$6:J5)+1,"")</f>
        <v>1</v>
      </c>
      <c r="K6" s="53" t="n">
        <f aca="false">IF(AND(MOVIMIENTOS!$B5&lt;&gt;"",NOT(AND(MOVIMIENTOS!$B5="PROCESO",MOVIMIENTOS!$C5&lt;&gt;"Chancho")),NOT(AND(MOVIMIENTOS!$B5="SALDO INICIAL",MOVIMIENTOS!$C5="Chancho"))),MOVIMIENTOS!$A5,"")</f>
        <v>46214</v>
      </c>
      <c r="L6" s="48" t="str">
        <f aca="false">IF(AND(MOVIMIENTOS!$B5&lt;&gt;"",NOT(AND(MOVIMIENTOS!$B5="PROCESO",MOVIMIENTOS!$C5&lt;&gt;"Chancho")),NOT(AND(MOVIMIENTOS!$B5="SALDO INICIAL",MOVIMIENTOS!$C5="Chancho"))),IF(MOVIMIENTOS!$B5="SALDO INICIAL","APERTURA ("&amp;MOVIMIENTOS!$C5&amp;")",IF(MOVIMIENTOS!$B5="COMPRA","INGRESO (compra)",IF(MOVIMIENTOS!$B5="PROCESO","CHANCHO (proceso)",IF(MOVIMIENTOS!$B5="ENVÍO A SUPESA","ENVÍO cal. "&amp;MOVIMIENTOS!$C5,IF(MOVIMIENTOS!$B5="VENTA CHANCHO","VENTA CHANCHO",IF(MOVIMIENTOS!$B5="VENTA","VENTA cal. "&amp;MOVIMIENTOS!$C5,IF(MOVIMIENTOS!$B5="REGALO","REGALO "&amp;MOVIMIENTOS!$C5,IF(MOVIMIENTOS!$B5="RECHAZO","RECHAZO cal. "&amp;MOVIMIENTOS!$C5&amp;" (va a reproceso)",IF(MOVIMIENTOS!$B5="DEVOLUCIÓN","DEVOLUCIÓN cal. "&amp;MOVIMIENTOS!$C5&amp;" (regresa intacta)",IF(MOVIMIENTOS!$B5="TRASIEGO","TRASIEGO cal. "&amp;MOVIMIENTOS!$C5,MOVIMIENTOS!$B5)))))))))),"")</f>
        <v>AJUSTE</v>
      </c>
      <c r="M6" s="48" t="n">
        <f aca="false">IF(AND(AND(MOVIMIENTOS!$B5&lt;&gt;"",NOT(AND(MOVIMIENTOS!$B5="PROCESO",MOVIMIENTOS!$C5&lt;&gt;"Chancho")),NOT(AND(MOVIMIENTOS!$B5="SALDO INICIAL",MOVIMIENTOS!$C5="Chancho"))),OR(MOVIMIENTOS!$B5="SALDO INICIAL",MOVIMIENTOS!$B5="COMPRA",MOVIMIENTOS!$B5="REPROCESO",MOVIMIENTOS!$B5="DEVOLUCIÓN",AND(MOVIMIENTOS!$B5="AJUSTE",MOVIMIENTOS!$C5&lt;&gt;"Chancho",N(MOVIMIENTOS!$F5)&gt;=0))),N(MOVIMIENTOS!$F5),"")</f>
        <v>30</v>
      </c>
      <c r="N6" s="48" t="str">
        <f aca="false">IF(AND(AND(MOVIMIENTOS!$B5&lt;&gt;"",NOT(AND(MOVIMIENTOS!$B5="PROCESO",MOVIMIENTOS!$C5&lt;&gt;"Chancho")),NOT(AND(MOVIMIENTOS!$B5="SALDO INICIAL",MOVIMIENTOS!$C5="Chancho"))),OR(MOVIMIENTOS!$B5="ENVÍO A SUPESA",MOVIMIENTOS!$B5="MALOGRADO",MOVIMIENTOS!$B5="OTRA SALIDA",MOVIMIENTOS!$B5="TRASIEGO",AND(MOVIMIENTOS!$B5="PROCESO",MOVIMIENTOS!$C5="Chancho"),AND(MOVIMIENTOS!$B5="REGALO",MOVIMIENTOS!$C5&lt;&gt;"Chancho"),AND(MOVIMIENTOS!$B5="VENTA",MOVIMIENTOS!$C5&lt;&gt;"Chancho"),AND(MOVIMIENTOS!$B5="AJUSTE",MOVIMIENTOS!$C5&lt;&gt;"Chancho",N(MOVIMIENTOS!$F5)&lt;0))),IF(MOVIMIENTOS!$B5="AJUSTE",-N(MOVIMIENTOS!$F5),N(MOVIMIENTOS!$F5)),"")</f>
        <v/>
      </c>
      <c r="O6" s="48" t="str">
        <f aca="false">IF(AND(MOVIMIENTOS!$B5&lt;&gt;"",NOT(AND(MOVIMIENTOS!$B5="PROCESO",MOVIMIENTOS!$C5&lt;&gt;"Chancho")),NOT(AND(MOVIMIENTOS!$B5="SALDO INICIAL",MOVIMIENTOS!$C5="Chancho"))),IF(MOVIMIENTOS!$B5="RECHAZO",MOVIMIENTOS!$E5&amp;" jabas rechazadas · van a reproceso",IF(MOVIMIENTOS!$B5="REPROCESO",MOVIMIENTOS!$E5&amp;" kg recuperados (merma del día: "&amp;TEXT(SUMPRODUCT((MOVIMIENTOS!$A$5:$A$400=MOVIMIENTOS!$A5)*(MOVIMIENTOS!$B$5:$B$400="RECHAZO")*(MOVIMIENTOS!$D$5:$D$400="jabas")*MOVIMIENTOS!$E$5:$E$400*IFERROR(_xlfn.SWITCH(MOVIMIENTOS!$C$5:$C$400,"A",15,"P",18,"C",17,"M",17,0),0))-SUMPRODUCT((MOVIMIENTOS!$A$5:$A$400=MOVIMIENTOS!$A5)*(MOVIMIENTOS!$B$5:$B$400="REPROCESO")*MOVIMIENTOS!$I$5:$I$400),"+#,##0;-#,##0;0")&amp;" kg)",TRIM(IF(MOVIMIENTOS!$G5&lt;&gt;"",MOVIMIENTOS!$G5&amp;"  ","")&amp;IF(N(MOVIMIENTOS!$D5)&gt;0,MOVIMIENTOS!$D5&amp;" "&amp;MOVIMIENTOS!$D5,"")))),"")</f>
        <v/>
      </c>
      <c r="P6" s="48" t="n">
        <f aca="false">N(P5)+N(M6)-N(N6)</f>
        <v>30</v>
      </c>
      <c r="Q6" s="48"/>
      <c r="R6" s="48"/>
      <c r="S6" s="48"/>
      <c r="T6" s="48"/>
    </row>
    <row r="7" customFormat="false" ht="15" hidden="false" customHeight="true" outlineLevel="0" collapsed="false">
      <c r="A7" s="51" t="n">
        <f aca="false">IFERROR(INDEX(K$6:K$401,MATCH(ROW()-5,J$6:J$401,0)),"")</f>
        <v>46214</v>
      </c>
      <c r="B7" s="56" t="str">
        <f aca="false">IFERROR(INDEX(L$6:L$401,MATCH(ROW()-5,J$6:J$401,0)),"")</f>
        <v>AJUSTE</v>
      </c>
      <c r="C7" s="52" t="n">
        <f aca="false">IFERROR(INDEX(M$6:M$401,MATCH(ROW()-5,J$6:J$401,0)),"")</f>
        <v>17</v>
      </c>
      <c r="D7" s="52" t="str">
        <f aca="false">IFERROR(INDEX(N$6:N$401,MATCH(ROW()-5,J$6:J$401,0)),"")</f>
        <v/>
      </c>
      <c r="E7" s="56" t="str">
        <f aca="false">IFERROR(INDEX(O$6:O$401,MATCH(ROW()-5,J$6:J$401,0)),"")</f>
        <v/>
      </c>
      <c r="F7" s="52" t="n">
        <f aca="false">IFERROR(INDEX(P$6:P$401,MATCH(ROW()-5,J$6:J$401,0)),"")</f>
        <v>47</v>
      </c>
      <c r="G7" s="48"/>
      <c r="H7" s="48"/>
      <c r="I7" s="48"/>
      <c r="J7" s="48" t="n">
        <f aca="false">IF(AND(MOVIMIENTOS!$B6&lt;&gt;"",NOT(AND(MOVIMIENTOS!$B6="PROCESO",MOVIMIENTOS!$C6&lt;&gt;"Chancho")),NOT(AND(MOVIMIENTOS!$B6="SALDO INICIAL",MOVIMIENTOS!$C6="Chancho"))),COUNT(J$6:J6)+1,"")</f>
        <v>2</v>
      </c>
      <c r="K7" s="53" t="n">
        <f aca="false">IF(AND(MOVIMIENTOS!$B6&lt;&gt;"",NOT(AND(MOVIMIENTOS!$B6="PROCESO",MOVIMIENTOS!$C6&lt;&gt;"Chancho")),NOT(AND(MOVIMIENTOS!$B6="SALDO INICIAL",MOVIMIENTOS!$C6="Chancho"))),MOVIMIENTOS!$A6,"")</f>
        <v>46214</v>
      </c>
      <c r="L7" s="48" t="str">
        <f aca="false">IF(AND(MOVIMIENTOS!$B6&lt;&gt;"",NOT(AND(MOVIMIENTOS!$B6="PROCESO",MOVIMIENTOS!$C6&lt;&gt;"Chancho")),NOT(AND(MOVIMIENTOS!$B6="SALDO INICIAL",MOVIMIENTOS!$C6="Chancho"))),IF(MOVIMIENTOS!$B6="SALDO INICIAL","APERTURA ("&amp;MOVIMIENTOS!$C6&amp;")",IF(MOVIMIENTOS!$B6="COMPRA","INGRESO (compra)",IF(MOVIMIENTOS!$B6="PROCESO","CHANCHO (proceso)",IF(MOVIMIENTOS!$B6="ENVÍO A SUPESA","ENVÍO cal. "&amp;MOVIMIENTOS!$C6,IF(MOVIMIENTOS!$B6="VENTA CHANCHO","VENTA CHANCHO",IF(MOVIMIENTOS!$B6="VENTA","VENTA cal. "&amp;MOVIMIENTOS!$C6,IF(MOVIMIENTOS!$B6="REGALO","REGALO "&amp;MOVIMIENTOS!$C6,IF(MOVIMIENTOS!$B6="RECHAZO","RECHAZO cal. "&amp;MOVIMIENTOS!$C6&amp;" (va a reproceso)",IF(MOVIMIENTOS!$B6="DEVOLUCIÓN","DEVOLUCIÓN cal. "&amp;MOVIMIENTOS!$C6&amp;" (regresa intacta)",IF(MOVIMIENTOS!$B6="TRASIEGO","TRASIEGO cal. "&amp;MOVIMIENTOS!$C6,MOVIMIENTOS!$B6)))))))))),"")</f>
        <v>AJUSTE</v>
      </c>
      <c r="M7" s="48" t="n">
        <f aca="false">IF(AND(AND(MOVIMIENTOS!$B6&lt;&gt;"",NOT(AND(MOVIMIENTOS!$B6="PROCESO",MOVIMIENTOS!$C6&lt;&gt;"Chancho")),NOT(AND(MOVIMIENTOS!$B6="SALDO INICIAL",MOVIMIENTOS!$C6="Chancho"))),OR(MOVIMIENTOS!$B6="SALDO INICIAL",MOVIMIENTOS!$B6="COMPRA",MOVIMIENTOS!$B6="REPROCESO",MOVIMIENTOS!$B6="DEVOLUCIÓN",AND(MOVIMIENTOS!$B6="AJUSTE",MOVIMIENTOS!$C6&lt;&gt;"Chancho",N(MOVIMIENTOS!$F6)&gt;=0))),N(MOVIMIENTOS!$F6),"")</f>
        <v>17</v>
      </c>
      <c r="N7" s="48" t="str">
        <f aca="false">IF(AND(AND(MOVIMIENTOS!$B6&lt;&gt;"",NOT(AND(MOVIMIENTOS!$B6="PROCESO",MOVIMIENTOS!$C6&lt;&gt;"Chancho")),NOT(AND(MOVIMIENTOS!$B6="SALDO INICIAL",MOVIMIENTOS!$C6="Chancho"))),OR(MOVIMIENTOS!$B6="ENVÍO A SUPESA",MOVIMIENTOS!$B6="MALOGRADO",MOVIMIENTOS!$B6="OTRA SALIDA",MOVIMIENTOS!$B6="TRASIEGO",AND(MOVIMIENTOS!$B6="PROCESO",MOVIMIENTOS!$C6="Chancho"),AND(MOVIMIENTOS!$B6="REGALO",MOVIMIENTOS!$C6&lt;&gt;"Chancho"),AND(MOVIMIENTOS!$B6="VENTA",MOVIMIENTOS!$C6&lt;&gt;"Chancho"),AND(MOVIMIENTOS!$B6="AJUSTE",MOVIMIENTOS!$C6&lt;&gt;"Chancho",N(MOVIMIENTOS!$F6)&lt;0))),IF(MOVIMIENTOS!$B6="AJUSTE",-N(MOVIMIENTOS!$F6),N(MOVIMIENTOS!$F6)),"")</f>
        <v/>
      </c>
      <c r="O7" s="48" t="str">
        <f aca="false">IF(AND(MOVIMIENTOS!$B6&lt;&gt;"",NOT(AND(MOVIMIENTOS!$B6="PROCESO",MOVIMIENTOS!$C6&lt;&gt;"Chancho")),NOT(AND(MOVIMIENTOS!$B6="SALDO INICIAL",MOVIMIENTOS!$C6="Chancho"))),IF(MOVIMIENTOS!$B6="RECHAZO",MOVIMIENTOS!$E6&amp;" jabas rechazadas · van a reproceso",IF(MOVIMIENTOS!$B6="REPROCESO",MOVIMIENTOS!$E6&amp;" kg recuperados (merma del día: "&amp;TEXT(SUMPRODUCT((MOVIMIENTOS!$A$5:$A$400=MOVIMIENTOS!$A6)*(MOVIMIENTOS!$B$5:$B$400="RECHAZO")*(MOVIMIENTOS!$D$5:$D$400="jabas")*MOVIMIENTOS!$E$5:$E$400*IFERROR(_xlfn.SWITCH(MOVIMIENTOS!$C$5:$C$400,"A",15,"P",18,"C",17,"M",17,0),0))-SUMPRODUCT((MOVIMIENTOS!$A$5:$A$400=MOVIMIENTOS!$A6)*(MOVIMIENTOS!$B$5:$B$400="REPROCESO")*MOVIMIENTOS!$I$5:$I$400),"+#,##0;-#,##0;0")&amp;" kg)",TRIM(IF(MOVIMIENTOS!$G6&lt;&gt;"",MOVIMIENTOS!$G6&amp;"  ","")&amp;IF(N(MOVIMIENTOS!$D6)&gt;0,MOVIMIENTOS!$D6&amp;" "&amp;MOVIMIENTOS!$D6,"")))),"")</f>
        <v/>
      </c>
      <c r="P7" s="48" t="n">
        <f aca="false">N(P6)+N(M7)-N(N7)</f>
        <v>47</v>
      </c>
      <c r="Q7" s="48"/>
      <c r="R7" s="48"/>
      <c r="S7" s="48"/>
      <c r="T7" s="48"/>
    </row>
    <row r="8" customFormat="false" ht="15" hidden="false" customHeight="true" outlineLevel="0" collapsed="false">
      <c r="A8" s="51" t="n">
        <f aca="false">IFERROR(INDEX(K$6:K$401,MATCH(ROW()-5,J$6:J$401,0)),"")</f>
        <v>46214</v>
      </c>
      <c r="B8" s="56" t="str">
        <f aca="false">IFERROR(INDEX(L$6:L$401,MATCH(ROW()-5,J$6:J$401,0)),"")</f>
        <v>APERTURA (M)</v>
      </c>
      <c r="C8" s="52" t="n">
        <f aca="false">IFERROR(INDEX(M$6:M$401,MATCH(ROW()-5,J$6:J$401,0)),"")</f>
        <v>119</v>
      </c>
      <c r="D8" s="52" t="str">
        <f aca="false">IFERROR(INDEX(N$6:N$401,MATCH(ROW()-5,J$6:J$401,0)),"")</f>
        <v/>
      </c>
      <c r="E8" s="56" t="str">
        <f aca="false">IFERROR(INDEX(O$6:O$401,MATCH(ROW()-5,J$6:J$401,0)),"")</f>
        <v/>
      </c>
      <c r="F8" s="52" t="n">
        <f aca="false">IFERROR(INDEX(P$6:P$401,MATCH(ROW()-5,J$6:J$401,0)),"")</f>
        <v>166</v>
      </c>
      <c r="G8" s="48"/>
      <c r="H8" s="48"/>
      <c r="I8" s="48"/>
      <c r="J8" s="48" t="n">
        <f aca="false">IF(AND(MOVIMIENTOS!$B7&lt;&gt;"",NOT(AND(MOVIMIENTOS!$B7="PROCESO",MOVIMIENTOS!$C7&lt;&gt;"Chancho")),NOT(AND(MOVIMIENTOS!$B7="SALDO INICIAL",MOVIMIENTOS!$C7="Chancho"))),COUNT(J$6:J7)+1,"")</f>
        <v>3</v>
      </c>
      <c r="K8" s="53" t="n">
        <f aca="false">IF(AND(MOVIMIENTOS!$B7&lt;&gt;"",NOT(AND(MOVIMIENTOS!$B7="PROCESO",MOVIMIENTOS!$C7&lt;&gt;"Chancho")),NOT(AND(MOVIMIENTOS!$B7="SALDO INICIAL",MOVIMIENTOS!$C7="Chancho"))),MOVIMIENTOS!$A7,"")</f>
        <v>46214</v>
      </c>
      <c r="L8" s="48" t="str">
        <f aca="false">IF(AND(MOVIMIENTOS!$B7&lt;&gt;"",NOT(AND(MOVIMIENTOS!$B7="PROCESO",MOVIMIENTOS!$C7&lt;&gt;"Chancho")),NOT(AND(MOVIMIENTOS!$B7="SALDO INICIAL",MOVIMIENTOS!$C7="Chancho"))),IF(MOVIMIENTOS!$B7="SALDO INICIAL","APERTURA ("&amp;MOVIMIENTOS!$C7&amp;")",IF(MOVIMIENTOS!$B7="COMPRA","INGRESO (compra)",IF(MOVIMIENTOS!$B7="PROCESO","CHANCHO (proceso)",IF(MOVIMIENTOS!$B7="ENVÍO A SUPESA","ENVÍO cal. "&amp;MOVIMIENTOS!$C7,IF(MOVIMIENTOS!$B7="VENTA CHANCHO","VENTA CHANCHO",IF(MOVIMIENTOS!$B7="VENTA","VENTA cal. "&amp;MOVIMIENTOS!$C7,IF(MOVIMIENTOS!$B7="REGALO","REGALO "&amp;MOVIMIENTOS!$C7,IF(MOVIMIENTOS!$B7="RECHAZO","RECHAZO cal. "&amp;MOVIMIENTOS!$C7&amp;" (va a reproceso)",IF(MOVIMIENTOS!$B7="DEVOLUCIÓN","DEVOLUCIÓN cal. "&amp;MOVIMIENTOS!$C7&amp;" (regresa intacta)",IF(MOVIMIENTOS!$B7="TRASIEGO","TRASIEGO cal. "&amp;MOVIMIENTOS!$C7,MOVIMIENTOS!$B7)))))))))),"")</f>
        <v>APERTURA (M)</v>
      </c>
      <c r="M8" s="48" t="n">
        <f aca="false">IF(AND(AND(MOVIMIENTOS!$B7&lt;&gt;"",NOT(AND(MOVIMIENTOS!$B7="PROCESO",MOVIMIENTOS!$C7&lt;&gt;"Chancho")),NOT(AND(MOVIMIENTOS!$B7="SALDO INICIAL",MOVIMIENTOS!$C7="Chancho"))),OR(MOVIMIENTOS!$B7="SALDO INICIAL",MOVIMIENTOS!$B7="COMPRA",MOVIMIENTOS!$B7="REPROCESO",MOVIMIENTOS!$B7="DEVOLUCIÓN",AND(MOVIMIENTOS!$B7="AJUSTE",MOVIMIENTOS!$C7&lt;&gt;"Chancho",N(MOVIMIENTOS!$F7)&gt;=0))),N(MOVIMIENTOS!$F7),"")</f>
        <v>119</v>
      </c>
      <c r="N8" s="48" t="str">
        <f aca="false">IF(AND(AND(MOVIMIENTOS!$B7&lt;&gt;"",NOT(AND(MOVIMIENTOS!$B7="PROCESO",MOVIMIENTOS!$C7&lt;&gt;"Chancho")),NOT(AND(MOVIMIENTOS!$B7="SALDO INICIAL",MOVIMIENTOS!$C7="Chancho"))),OR(MOVIMIENTOS!$B7="ENVÍO A SUPESA",MOVIMIENTOS!$B7="MALOGRADO",MOVIMIENTOS!$B7="OTRA SALIDA",MOVIMIENTOS!$B7="TRASIEGO",AND(MOVIMIENTOS!$B7="PROCESO",MOVIMIENTOS!$C7="Chancho"),AND(MOVIMIENTOS!$B7="REGALO",MOVIMIENTOS!$C7&lt;&gt;"Chancho"),AND(MOVIMIENTOS!$B7="VENTA",MOVIMIENTOS!$C7&lt;&gt;"Chancho"),AND(MOVIMIENTOS!$B7="AJUSTE",MOVIMIENTOS!$C7&lt;&gt;"Chancho",N(MOVIMIENTOS!$F7)&lt;0))),IF(MOVIMIENTOS!$B7="AJUSTE",-N(MOVIMIENTOS!$F7),N(MOVIMIENTOS!$F7)),"")</f>
        <v/>
      </c>
      <c r="O8" s="48" t="str">
        <f aca="false">IF(AND(MOVIMIENTOS!$B7&lt;&gt;"",NOT(AND(MOVIMIENTOS!$B7="PROCESO",MOVIMIENTOS!$C7&lt;&gt;"Chancho")),NOT(AND(MOVIMIENTOS!$B7="SALDO INICIAL",MOVIMIENTOS!$C7="Chancho"))),IF(MOVIMIENTOS!$B7="RECHAZO",MOVIMIENTOS!$E7&amp;" jabas rechazadas · van a reproceso",IF(MOVIMIENTOS!$B7="REPROCESO",MOVIMIENTOS!$E7&amp;" kg recuperados (merma del día: "&amp;TEXT(SUMPRODUCT((MOVIMIENTOS!$A$5:$A$400=MOVIMIENTOS!$A7)*(MOVIMIENTOS!$B$5:$B$400="RECHAZO")*(MOVIMIENTOS!$D$5:$D$400="jabas")*MOVIMIENTOS!$E$5:$E$400*IFERROR(_xlfn.SWITCH(MOVIMIENTOS!$C$5:$C$400,"A",15,"P",18,"C",17,"M",17,0),0))-SUMPRODUCT((MOVIMIENTOS!$A$5:$A$400=MOVIMIENTOS!$A7)*(MOVIMIENTOS!$B$5:$B$400="REPROCESO")*MOVIMIENTOS!$I$5:$I$400),"+#,##0;-#,##0;0")&amp;" kg)",TRIM(IF(MOVIMIENTOS!$G7&lt;&gt;"",MOVIMIENTOS!$G7&amp;"  ","")&amp;IF(N(MOVIMIENTOS!$D7)&gt;0,MOVIMIENTOS!$D7&amp;" "&amp;MOVIMIENTOS!$D7,"")))),"")</f>
        <v/>
      </c>
      <c r="P8" s="48" t="n">
        <f aca="false">N(P7)+N(M8)-N(N8)</f>
        <v>166</v>
      </c>
      <c r="Q8" s="48"/>
      <c r="R8" s="48"/>
      <c r="S8" s="48"/>
      <c r="T8" s="48"/>
    </row>
    <row r="9" customFormat="false" ht="15" hidden="false" customHeight="true" outlineLevel="0" collapsed="false">
      <c r="A9" s="51" t="n">
        <f aca="false">IFERROR(INDEX(K$6:K$401,MATCH(ROW()-5,J$6:J$401,0)),"")</f>
        <v>46215</v>
      </c>
      <c r="B9" s="56" t="str">
        <f aca="false">IFERROR(INDEX(L$6:L$401,MATCH(ROW()-5,J$6:J$401,0)),"")</f>
        <v>INGRESO (compra)</v>
      </c>
      <c r="C9" s="52" t="n">
        <f aca="false">IFERROR(INDEX(M$6:M$401,MATCH(ROW()-5,J$6:J$401,0)),"")</f>
        <v>2850</v>
      </c>
      <c r="D9" s="52" t="str">
        <f aca="false">IFERROR(INDEX(N$6:N$401,MATCH(ROW()-5,J$6:J$401,0)),"")</f>
        <v/>
      </c>
      <c r="E9" s="56" t="str">
        <f aca="false">IFERROR(INDEX(O$6:O$401,MATCH(ROW()-5,J$6:J$401,0)),"")</f>
        <v/>
      </c>
      <c r="F9" s="52" t="n">
        <f aca="false">IFERROR(INDEX(P$6:P$401,MATCH(ROW()-5,J$6:J$401,0)),"")</f>
        <v>3016</v>
      </c>
      <c r="G9" s="48"/>
      <c r="H9" s="48"/>
      <c r="I9" s="48"/>
      <c r="J9" s="48" t="str">
        <f aca="false">IF(AND(MOVIMIENTOS!$B8&lt;&gt;"",NOT(AND(MOVIMIENTOS!$B8="PROCESO",MOVIMIENTOS!$C8&lt;&gt;"Chancho")),NOT(AND(MOVIMIENTOS!$B8="SALDO INICIAL",MOVIMIENTOS!$C8="Chancho"))),COUNT(J$6:J8)+1,"")</f>
        <v/>
      </c>
      <c r="K9" s="48" t="str">
        <f aca="false">IF(AND(MOVIMIENTOS!$B8&lt;&gt;"",NOT(AND(MOVIMIENTOS!$B8="PROCESO",MOVIMIENTOS!$C8&lt;&gt;"Chancho")),NOT(AND(MOVIMIENTOS!$B8="SALDO INICIAL",MOVIMIENTOS!$C8="Chancho"))),MOVIMIENTOS!$A8,"")</f>
        <v/>
      </c>
      <c r="L9" s="48" t="str">
        <f aca="false">IF(AND(MOVIMIENTOS!$B8&lt;&gt;"",NOT(AND(MOVIMIENTOS!$B8="PROCESO",MOVIMIENTOS!$C8&lt;&gt;"Chancho")),NOT(AND(MOVIMIENTOS!$B8="SALDO INICIAL",MOVIMIENTOS!$C8="Chancho"))),IF(MOVIMIENTOS!$B8="SALDO INICIAL","APERTURA ("&amp;MOVIMIENTOS!$C8&amp;")",IF(MOVIMIENTOS!$B8="COMPRA","INGRESO (compra)",IF(MOVIMIENTOS!$B8="PROCESO","CHANCHO (proceso)",IF(MOVIMIENTOS!$B8="ENVÍO A SUPESA","ENVÍO cal. "&amp;MOVIMIENTOS!$C8,IF(MOVIMIENTOS!$B8="VENTA CHANCHO","VENTA CHANCHO",IF(MOVIMIENTOS!$B8="VENTA","VENTA cal. "&amp;MOVIMIENTOS!$C8,IF(MOVIMIENTOS!$B8="REGALO","REGALO "&amp;MOVIMIENTOS!$C8,IF(MOVIMIENTOS!$B8="RECHAZO","RECHAZO cal. "&amp;MOVIMIENTOS!$C8&amp;" (va a reproceso)",IF(MOVIMIENTOS!$B8="DEVOLUCIÓN","DEVOLUCIÓN cal. "&amp;MOVIMIENTOS!$C8&amp;" (regresa intacta)",IF(MOVIMIENTOS!$B8="TRASIEGO","TRASIEGO cal. "&amp;MOVIMIENTOS!$C8,MOVIMIENTOS!$B8)))))))))),"")</f>
        <v/>
      </c>
      <c r="M9" s="48" t="str">
        <f aca="false">IF(AND(AND(MOVIMIENTOS!$B8&lt;&gt;"",NOT(AND(MOVIMIENTOS!$B8="PROCESO",MOVIMIENTOS!$C8&lt;&gt;"Chancho")),NOT(AND(MOVIMIENTOS!$B8="SALDO INICIAL",MOVIMIENTOS!$C8="Chancho"))),OR(MOVIMIENTOS!$B8="SALDO INICIAL",MOVIMIENTOS!$B8="COMPRA",MOVIMIENTOS!$B8="REPROCESO",MOVIMIENTOS!$B8="DEVOLUCIÓN",AND(MOVIMIENTOS!$B8="AJUSTE",MOVIMIENTOS!$C8&lt;&gt;"Chancho",N(MOVIMIENTOS!$F8)&gt;=0))),N(MOVIMIENTOS!$F8),"")</f>
        <v/>
      </c>
      <c r="N9" s="48" t="str">
        <f aca="false">IF(AND(AND(MOVIMIENTOS!$B8&lt;&gt;"",NOT(AND(MOVIMIENTOS!$B8="PROCESO",MOVIMIENTOS!$C8&lt;&gt;"Chancho")),NOT(AND(MOVIMIENTOS!$B8="SALDO INICIAL",MOVIMIENTOS!$C8="Chancho"))),OR(MOVIMIENTOS!$B8="ENVÍO A SUPESA",MOVIMIENTOS!$B8="MALOGRADO",MOVIMIENTOS!$B8="OTRA SALIDA",MOVIMIENTOS!$B8="TRASIEGO",AND(MOVIMIENTOS!$B8="PROCESO",MOVIMIENTOS!$C8="Chancho"),AND(MOVIMIENTOS!$B8="REGALO",MOVIMIENTOS!$C8&lt;&gt;"Chancho"),AND(MOVIMIENTOS!$B8="VENTA",MOVIMIENTOS!$C8&lt;&gt;"Chancho"),AND(MOVIMIENTOS!$B8="AJUSTE",MOVIMIENTOS!$C8&lt;&gt;"Chancho",N(MOVIMIENTOS!$F8)&lt;0))),IF(MOVIMIENTOS!$B8="AJUSTE",-N(MOVIMIENTOS!$F8),N(MOVIMIENTOS!$F8)),"")</f>
        <v/>
      </c>
      <c r="O9" s="48" t="str">
        <f aca="false">IF(AND(MOVIMIENTOS!$B8&lt;&gt;"",NOT(AND(MOVIMIENTOS!$B8="PROCESO",MOVIMIENTOS!$C8&lt;&gt;"Chancho")),NOT(AND(MOVIMIENTOS!$B8="SALDO INICIAL",MOVIMIENTOS!$C8="Chancho"))),IF(MOVIMIENTOS!$B8="RECHAZO",MOVIMIENTOS!$E8&amp;" jabas rechazadas · van a reproceso",IF(MOVIMIENTOS!$B8="REPROCESO",MOVIMIENTOS!$E8&amp;" kg recuperados (merma del día: "&amp;TEXT(SUMPRODUCT((MOVIMIENTOS!$A$5:$A$400=MOVIMIENTOS!$A8)*(MOVIMIENTOS!$B$5:$B$400="RECHAZO")*(MOVIMIENTOS!$D$5:$D$400="jabas")*MOVIMIENTOS!$E$5:$E$400*IFERROR(_xlfn.SWITCH(MOVIMIENTOS!$C$5:$C$400,"A",15,"P",18,"C",17,"M",17,0),0))-SUMPRODUCT((MOVIMIENTOS!$A$5:$A$400=MOVIMIENTOS!$A8)*(MOVIMIENTOS!$B$5:$B$400="REPROCESO")*MOVIMIENTOS!$I$5:$I$400),"+#,##0;-#,##0;0")&amp;" kg)",TRIM(IF(MOVIMIENTOS!$G8&lt;&gt;"",MOVIMIENTOS!$G8&amp;"  ","")&amp;IF(N(MOVIMIENTOS!$D8)&gt;0,MOVIMIENTOS!$D8&amp;" "&amp;MOVIMIENTOS!$D8,"")))),"")</f>
        <v/>
      </c>
      <c r="P9" s="48" t="n">
        <f aca="false">N(P8)+N(M9)-N(N9)</f>
        <v>166</v>
      </c>
      <c r="Q9" s="48"/>
      <c r="R9" s="48"/>
      <c r="S9" s="48"/>
      <c r="T9" s="48"/>
    </row>
    <row r="10" customFormat="false" ht="15" hidden="false" customHeight="true" outlineLevel="0" collapsed="false">
      <c r="A10" s="51" t="n">
        <f aca="false">IFERROR(INDEX(K$6:K$401,MATCH(ROW()-5,J$6:J$401,0)),"")</f>
        <v>46215</v>
      </c>
      <c r="B10" s="56" t="str">
        <f aca="false">IFERROR(INDEX(L$6:L$401,MATCH(ROW()-5,J$6:J$401,0)),"")</f>
        <v>CHANCHO (proceso)</v>
      </c>
      <c r="C10" s="52" t="str">
        <f aca="false">IFERROR(INDEX(M$6:M$401,MATCH(ROW()-5,J$6:J$401,0)),"")</f>
        <v/>
      </c>
      <c r="D10" s="52" t="n">
        <f aca="false">IFERROR(INDEX(N$6:N$401,MATCH(ROW()-5,J$6:J$401,0)),"")</f>
        <v>570</v>
      </c>
      <c r="E10" s="56" t="str">
        <f aca="false">IFERROR(INDEX(O$6:O$401,MATCH(ROW()-5,J$6:J$401,0)),"")</f>
        <v/>
      </c>
      <c r="F10" s="52" t="n">
        <f aca="false">IFERROR(INDEX(P$6:P$401,MATCH(ROW()-5,J$6:J$401,0)),"")</f>
        <v>2446</v>
      </c>
      <c r="G10" s="48"/>
      <c r="H10" s="48"/>
      <c r="I10" s="48"/>
      <c r="J10" s="48" t="n">
        <f aca="false">IF(AND(MOVIMIENTOS!$B9&lt;&gt;"",NOT(AND(MOVIMIENTOS!$B9="PROCESO",MOVIMIENTOS!$C9&lt;&gt;"Chancho")),NOT(AND(MOVIMIENTOS!$B9="SALDO INICIAL",MOVIMIENTOS!$C9="Chancho"))),COUNT(J$6:J9)+1,"")</f>
        <v>4</v>
      </c>
      <c r="K10" s="53" t="n">
        <f aca="false">IF(AND(MOVIMIENTOS!$B9&lt;&gt;"",NOT(AND(MOVIMIENTOS!$B9="PROCESO",MOVIMIENTOS!$C9&lt;&gt;"Chancho")),NOT(AND(MOVIMIENTOS!$B9="SALDO INICIAL",MOVIMIENTOS!$C9="Chancho"))),MOVIMIENTOS!$A9,"")</f>
        <v>46215</v>
      </c>
      <c r="L10" s="48" t="str">
        <f aca="false">IF(AND(MOVIMIENTOS!$B9&lt;&gt;"",NOT(AND(MOVIMIENTOS!$B9="PROCESO",MOVIMIENTOS!$C9&lt;&gt;"Chancho")),NOT(AND(MOVIMIENTOS!$B9="SALDO INICIAL",MOVIMIENTOS!$C9="Chancho"))),IF(MOVIMIENTOS!$B9="SALDO INICIAL","APERTURA ("&amp;MOVIMIENTOS!$C9&amp;")",IF(MOVIMIENTOS!$B9="COMPRA","INGRESO (compra)",IF(MOVIMIENTOS!$B9="PROCESO","CHANCHO (proceso)",IF(MOVIMIENTOS!$B9="ENVÍO A SUPESA","ENVÍO cal. "&amp;MOVIMIENTOS!$C9,IF(MOVIMIENTOS!$B9="VENTA CHANCHO","VENTA CHANCHO",IF(MOVIMIENTOS!$B9="VENTA","VENTA cal. "&amp;MOVIMIENTOS!$C9,IF(MOVIMIENTOS!$B9="REGALO","REGALO "&amp;MOVIMIENTOS!$C9,IF(MOVIMIENTOS!$B9="RECHAZO","RECHAZO cal. "&amp;MOVIMIENTOS!$C9&amp;" (va a reproceso)",IF(MOVIMIENTOS!$B9="DEVOLUCIÓN","DEVOLUCIÓN cal. "&amp;MOVIMIENTOS!$C9&amp;" (regresa intacta)",IF(MOVIMIENTOS!$B9="TRASIEGO","TRASIEGO cal. "&amp;MOVIMIENTOS!$C9,MOVIMIENTOS!$B9)))))))))),"")</f>
        <v>INGRESO (compra)</v>
      </c>
      <c r="M10" s="48" t="n">
        <f aca="false">IF(AND(AND(MOVIMIENTOS!$B9&lt;&gt;"",NOT(AND(MOVIMIENTOS!$B9="PROCESO",MOVIMIENTOS!$C9&lt;&gt;"Chancho")),NOT(AND(MOVIMIENTOS!$B9="SALDO INICIAL",MOVIMIENTOS!$C9="Chancho"))),OR(MOVIMIENTOS!$B9="SALDO INICIAL",MOVIMIENTOS!$B9="COMPRA",MOVIMIENTOS!$B9="REPROCESO",MOVIMIENTOS!$B9="DEVOLUCIÓN",AND(MOVIMIENTOS!$B9="AJUSTE",MOVIMIENTOS!$C9&lt;&gt;"Chancho",N(MOVIMIENTOS!$F9)&gt;=0))),N(MOVIMIENTOS!$F9),"")</f>
        <v>2850</v>
      </c>
      <c r="N10" s="48" t="str">
        <f aca="false">IF(AND(AND(MOVIMIENTOS!$B9&lt;&gt;"",NOT(AND(MOVIMIENTOS!$B9="PROCESO",MOVIMIENTOS!$C9&lt;&gt;"Chancho")),NOT(AND(MOVIMIENTOS!$B9="SALDO INICIAL",MOVIMIENTOS!$C9="Chancho"))),OR(MOVIMIENTOS!$B9="ENVÍO A SUPESA",MOVIMIENTOS!$B9="MALOGRADO",MOVIMIENTOS!$B9="OTRA SALIDA",MOVIMIENTOS!$B9="TRASIEGO",AND(MOVIMIENTOS!$B9="PROCESO",MOVIMIENTOS!$C9="Chancho"),AND(MOVIMIENTOS!$B9="REGALO",MOVIMIENTOS!$C9&lt;&gt;"Chancho"),AND(MOVIMIENTOS!$B9="VENTA",MOVIMIENTOS!$C9&lt;&gt;"Chancho"),AND(MOVIMIENTOS!$B9="AJUSTE",MOVIMIENTOS!$C9&lt;&gt;"Chancho",N(MOVIMIENTOS!$F9)&lt;0))),IF(MOVIMIENTOS!$B9="AJUSTE",-N(MOVIMIENTOS!$F9),N(MOVIMIENTOS!$F9)),"")</f>
        <v/>
      </c>
      <c r="O10" s="48" t="str">
        <f aca="false">IF(AND(MOVIMIENTOS!$B9&lt;&gt;"",NOT(AND(MOVIMIENTOS!$B9="PROCESO",MOVIMIENTOS!$C9&lt;&gt;"Chancho")),NOT(AND(MOVIMIENTOS!$B9="SALDO INICIAL",MOVIMIENTOS!$C9="Chancho"))),IF(MOVIMIENTOS!$B9="RECHAZO",MOVIMIENTOS!$E9&amp;" jabas rechazadas · van a reproceso",IF(MOVIMIENTOS!$B9="REPROCESO",MOVIMIENTOS!$E9&amp;" kg recuperados (merma del día: "&amp;TEXT(SUMPRODUCT((MOVIMIENTOS!$A$5:$A$400=MOVIMIENTOS!$A9)*(MOVIMIENTOS!$B$5:$B$400="RECHAZO")*(MOVIMIENTOS!$D$5:$D$400="jabas")*MOVIMIENTOS!$E$5:$E$400*IFERROR(_xlfn.SWITCH(MOVIMIENTOS!$C$5:$C$400,"A",15,"P",18,"C",17,"M",17,0),0))-SUMPRODUCT((MOVIMIENTOS!$A$5:$A$400=MOVIMIENTOS!$A9)*(MOVIMIENTOS!$B$5:$B$400="REPROCESO")*MOVIMIENTOS!$I$5:$I$400),"+#,##0;-#,##0;0")&amp;" kg)",TRIM(IF(MOVIMIENTOS!$G9&lt;&gt;"",MOVIMIENTOS!$G9&amp;"  ","")&amp;IF(N(MOVIMIENTOS!$D9)&gt;0,MOVIMIENTOS!$D9&amp;" "&amp;MOVIMIENTOS!$D9,"")))),"")</f>
        <v/>
      </c>
      <c r="P10" s="48" t="n">
        <f aca="false">N(P9)+N(M10)-N(N10)</f>
        <v>3016</v>
      </c>
      <c r="Q10" s="48"/>
      <c r="R10" s="48"/>
      <c r="S10" s="48"/>
      <c r="T10" s="48"/>
    </row>
    <row r="11" customFormat="false" ht="15" hidden="false" customHeight="true" outlineLevel="0" collapsed="false">
      <c r="A11" s="51" t="n">
        <f aca="false">IFERROR(INDEX(K$6:K$401,MATCH(ROW()-5,J$6:J$401,0)),"")</f>
        <v>46215</v>
      </c>
      <c r="B11" s="56" t="str">
        <f aca="false">IFERROR(INDEX(L$6:L$401,MATCH(ROW()-5,J$6:J$401,0)),"")</f>
        <v>ENVÍO cal. A</v>
      </c>
      <c r="C11" s="52" t="str">
        <f aca="false">IFERROR(INDEX(M$6:M$401,MATCH(ROW()-5,J$6:J$401,0)),"")</f>
        <v/>
      </c>
      <c r="D11" s="52" t="n">
        <f aca="false">IFERROR(INDEX(N$6:N$401,MATCH(ROW()-5,J$6:J$401,0)),"")</f>
        <v>1005</v>
      </c>
      <c r="E11" s="56" t="str">
        <f aca="false">IFERROR(INDEX(O$6:O$401,MATCH(ROW()-5,J$6:J$401,0)),"")</f>
        <v>2977</v>
      </c>
      <c r="F11" s="52" t="n">
        <f aca="false">IFERROR(INDEX(P$6:P$401,MATCH(ROW()-5,J$6:J$401,0)),"")</f>
        <v>1441</v>
      </c>
      <c r="G11" s="48"/>
      <c r="H11" s="48"/>
      <c r="I11" s="48"/>
      <c r="J11" s="48" t="str">
        <f aca="false">IF(AND(MOVIMIENTOS!$B10&lt;&gt;"",NOT(AND(MOVIMIENTOS!$B10="PROCESO",MOVIMIENTOS!$C10&lt;&gt;"Chancho")),NOT(AND(MOVIMIENTOS!$B10="SALDO INICIAL",MOVIMIENTOS!$C10="Chancho"))),COUNT(J$6:J10)+1,"")</f>
        <v/>
      </c>
      <c r="K11" s="48" t="str">
        <f aca="false">IF(AND(MOVIMIENTOS!$B10&lt;&gt;"",NOT(AND(MOVIMIENTOS!$B10="PROCESO",MOVIMIENTOS!$C10&lt;&gt;"Chancho")),NOT(AND(MOVIMIENTOS!$B10="SALDO INICIAL",MOVIMIENTOS!$C10="Chancho"))),MOVIMIENTOS!$A10,"")</f>
        <v/>
      </c>
      <c r="L11" s="48" t="str">
        <f aca="false">IF(AND(MOVIMIENTOS!$B10&lt;&gt;"",NOT(AND(MOVIMIENTOS!$B10="PROCESO",MOVIMIENTOS!$C10&lt;&gt;"Chancho")),NOT(AND(MOVIMIENTOS!$B10="SALDO INICIAL",MOVIMIENTOS!$C10="Chancho"))),IF(MOVIMIENTOS!$B10="SALDO INICIAL","APERTURA ("&amp;MOVIMIENTOS!$C10&amp;")",IF(MOVIMIENTOS!$B10="COMPRA","INGRESO (compra)",IF(MOVIMIENTOS!$B10="PROCESO","CHANCHO (proceso)",IF(MOVIMIENTOS!$B10="ENVÍO A SUPESA","ENVÍO cal. "&amp;MOVIMIENTOS!$C10,IF(MOVIMIENTOS!$B10="VENTA CHANCHO","VENTA CHANCHO",IF(MOVIMIENTOS!$B10="VENTA","VENTA cal. "&amp;MOVIMIENTOS!$C10,IF(MOVIMIENTOS!$B10="REGALO","REGALO "&amp;MOVIMIENTOS!$C10,IF(MOVIMIENTOS!$B10="RECHAZO","RECHAZO cal. "&amp;MOVIMIENTOS!$C10&amp;" (va a reproceso)",IF(MOVIMIENTOS!$B10="DEVOLUCIÓN","DEVOLUCIÓN cal. "&amp;MOVIMIENTOS!$C10&amp;" (regresa intacta)",IF(MOVIMIENTOS!$B10="TRASIEGO","TRASIEGO cal. "&amp;MOVIMIENTOS!$C10,MOVIMIENTOS!$B10)))))))))),"")</f>
        <v/>
      </c>
      <c r="M11" s="48" t="str">
        <f aca="false">IF(AND(AND(MOVIMIENTOS!$B10&lt;&gt;"",NOT(AND(MOVIMIENTOS!$B10="PROCESO",MOVIMIENTOS!$C10&lt;&gt;"Chancho")),NOT(AND(MOVIMIENTOS!$B10="SALDO INICIAL",MOVIMIENTOS!$C10="Chancho"))),OR(MOVIMIENTOS!$B10="SALDO INICIAL",MOVIMIENTOS!$B10="COMPRA",MOVIMIENTOS!$B10="REPROCESO",MOVIMIENTOS!$B10="DEVOLUCIÓN",AND(MOVIMIENTOS!$B10="AJUSTE",MOVIMIENTOS!$C10&lt;&gt;"Chancho",N(MOVIMIENTOS!$F10)&gt;=0))),N(MOVIMIENTOS!$F10),"")</f>
        <v/>
      </c>
      <c r="N11" s="48" t="str">
        <f aca="false">IF(AND(AND(MOVIMIENTOS!$B10&lt;&gt;"",NOT(AND(MOVIMIENTOS!$B10="PROCESO",MOVIMIENTOS!$C10&lt;&gt;"Chancho")),NOT(AND(MOVIMIENTOS!$B10="SALDO INICIAL",MOVIMIENTOS!$C10="Chancho"))),OR(MOVIMIENTOS!$B10="ENVÍO A SUPESA",MOVIMIENTOS!$B10="MALOGRADO",MOVIMIENTOS!$B10="OTRA SALIDA",MOVIMIENTOS!$B10="TRASIEGO",AND(MOVIMIENTOS!$B10="PROCESO",MOVIMIENTOS!$C10="Chancho"),AND(MOVIMIENTOS!$B10="REGALO",MOVIMIENTOS!$C10&lt;&gt;"Chancho"),AND(MOVIMIENTOS!$B10="VENTA",MOVIMIENTOS!$C10&lt;&gt;"Chancho"),AND(MOVIMIENTOS!$B10="AJUSTE",MOVIMIENTOS!$C10&lt;&gt;"Chancho",N(MOVIMIENTOS!$F10)&lt;0))),IF(MOVIMIENTOS!$B10="AJUSTE",-N(MOVIMIENTOS!$F10),N(MOVIMIENTOS!$F10)),"")</f>
        <v/>
      </c>
      <c r="O11" s="48" t="str">
        <f aca="false">IF(AND(MOVIMIENTOS!$B10&lt;&gt;"",NOT(AND(MOVIMIENTOS!$B10="PROCESO",MOVIMIENTOS!$C10&lt;&gt;"Chancho")),NOT(AND(MOVIMIENTOS!$B10="SALDO INICIAL",MOVIMIENTOS!$C10="Chancho"))),IF(MOVIMIENTOS!$B10="RECHAZO",MOVIMIENTOS!$E10&amp;" jabas rechazadas · van a reproceso",IF(MOVIMIENTOS!$B10="REPROCESO",MOVIMIENTOS!$E10&amp;" kg recuperados (merma del día: "&amp;TEXT(SUMPRODUCT((MOVIMIENTOS!$A$5:$A$400=MOVIMIENTOS!$A10)*(MOVIMIENTOS!$B$5:$B$400="RECHAZO")*(MOVIMIENTOS!$D$5:$D$400="jabas")*MOVIMIENTOS!$E$5:$E$400*IFERROR(_xlfn.SWITCH(MOVIMIENTOS!$C$5:$C$400,"A",15,"P",18,"C",17,"M",17,0),0))-SUMPRODUCT((MOVIMIENTOS!$A$5:$A$400=MOVIMIENTOS!$A10)*(MOVIMIENTOS!$B$5:$B$400="REPROCESO")*MOVIMIENTOS!$I$5:$I$400),"+#,##0;-#,##0;0")&amp;" kg)",TRIM(IF(MOVIMIENTOS!$G10&lt;&gt;"",MOVIMIENTOS!$G10&amp;"  ","")&amp;IF(N(MOVIMIENTOS!$D10)&gt;0,MOVIMIENTOS!$D10&amp;" "&amp;MOVIMIENTOS!$D10,"")))),"")</f>
        <v/>
      </c>
      <c r="P11" s="48" t="n">
        <f aca="false">N(P10)+N(M11)-N(N11)</f>
        <v>3016</v>
      </c>
      <c r="Q11" s="48"/>
      <c r="R11" s="48"/>
      <c r="S11" s="48"/>
      <c r="T11" s="48"/>
    </row>
    <row r="12" customFormat="false" ht="15" hidden="false" customHeight="true" outlineLevel="0" collapsed="false">
      <c r="A12" s="51" t="n">
        <f aca="false">IFERROR(INDEX(K$6:K$401,MATCH(ROW()-5,J$6:J$401,0)),"")</f>
        <v>46215</v>
      </c>
      <c r="B12" s="56" t="str">
        <f aca="false">IFERROR(INDEX(L$6:L$401,MATCH(ROW()-5,J$6:J$401,0)),"")</f>
        <v>ENVÍO cal. P</v>
      </c>
      <c r="C12" s="52" t="str">
        <f aca="false">IFERROR(INDEX(M$6:M$401,MATCH(ROW()-5,J$6:J$401,0)),"")</f>
        <v/>
      </c>
      <c r="D12" s="52" t="n">
        <f aca="false">IFERROR(INDEX(N$6:N$401,MATCH(ROW()-5,J$6:J$401,0)),"")</f>
        <v>198</v>
      </c>
      <c r="E12" s="56" t="str">
        <f aca="false">IFERROR(INDEX(O$6:O$401,MATCH(ROW()-5,J$6:J$401,0)),"")</f>
        <v>2977</v>
      </c>
      <c r="F12" s="52" t="n">
        <f aca="false">IFERROR(INDEX(P$6:P$401,MATCH(ROW()-5,J$6:J$401,0)),"")</f>
        <v>1243</v>
      </c>
      <c r="G12" s="48"/>
      <c r="H12" s="48"/>
      <c r="I12" s="48"/>
      <c r="J12" s="48" t="str">
        <f aca="false">IF(AND(MOVIMIENTOS!$B11&lt;&gt;"",NOT(AND(MOVIMIENTOS!$B11="PROCESO",MOVIMIENTOS!$C11&lt;&gt;"Chancho")),NOT(AND(MOVIMIENTOS!$B11="SALDO INICIAL",MOVIMIENTOS!$C11="Chancho"))),COUNT(J$6:J11)+1,"")</f>
        <v/>
      </c>
      <c r="K12" s="48" t="str">
        <f aca="false">IF(AND(MOVIMIENTOS!$B11&lt;&gt;"",NOT(AND(MOVIMIENTOS!$B11="PROCESO",MOVIMIENTOS!$C11&lt;&gt;"Chancho")),NOT(AND(MOVIMIENTOS!$B11="SALDO INICIAL",MOVIMIENTOS!$C11="Chancho"))),MOVIMIENTOS!$A11,"")</f>
        <v/>
      </c>
      <c r="L12" s="48" t="str">
        <f aca="false">IF(AND(MOVIMIENTOS!$B11&lt;&gt;"",NOT(AND(MOVIMIENTOS!$B11="PROCESO",MOVIMIENTOS!$C11&lt;&gt;"Chancho")),NOT(AND(MOVIMIENTOS!$B11="SALDO INICIAL",MOVIMIENTOS!$C11="Chancho"))),IF(MOVIMIENTOS!$B11="SALDO INICIAL","APERTURA ("&amp;MOVIMIENTOS!$C11&amp;")",IF(MOVIMIENTOS!$B11="COMPRA","INGRESO (compra)",IF(MOVIMIENTOS!$B11="PROCESO","CHANCHO (proceso)",IF(MOVIMIENTOS!$B11="ENVÍO A SUPESA","ENVÍO cal. "&amp;MOVIMIENTOS!$C11,IF(MOVIMIENTOS!$B11="VENTA CHANCHO","VENTA CHANCHO",IF(MOVIMIENTOS!$B11="VENTA","VENTA cal. "&amp;MOVIMIENTOS!$C11,IF(MOVIMIENTOS!$B11="REGALO","REGALO "&amp;MOVIMIENTOS!$C11,IF(MOVIMIENTOS!$B11="RECHAZO","RECHAZO cal. "&amp;MOVIMIENTOS!$C11&amp;" (va a reproceso)",IF(MOVIMIENTOS!$B11="DEVOLUCIÓN","DEVOLUCIÓN cal. "&amp;MOVIMIENTOS!$C11&amp;" (regresa intacta)",IF(MOVIMIENTOS!$B11="TRASIEGO","TRASIEGO cal. "&amp;MOVIMIENTOS!$C11,MOVIMIENTOS!$B11)))))))))),"")</f>
        <v/>
      </c>
      <c r="M12" s="48" t="str">
        <f aca="false">IF(AND(AND(MOVIMIENTOS!$B11&lt;&gt;"",NOT(AND(MOVIMIENTOS!$B11="PROCESO",MOVIMIENTOS!$C11&lt;&gt;"Chancho")),NOT(AND(MOVIMIENTOS!$B11="SALDO INICIAL",MOVIMIENTOS!$C11="Chancho"))),OR(MOVIMIENTOS!$B11="SALDO INICIAL",MOVIMIENTOS!$B11="COMPRA",MOVIMIENTOS!$B11="REPROCESO",MOVIMIENTOS!$B11="DEVOLUCIÓN",AND(MOVIMIENTOS!$B11="AJUSTE",MOVIMIENTOS!$C11&lt;&gt;"Chancho",N(MOVIMIENTOS!$F11)&gt;=0))),N(MOVIMIENTOS!$F11),"")</f>
        <v/>
      </c>
      <c r="N12" s="48" t="str">
        <f aca="false">IF(AND(AND(MOVIMIENTOS!$B11&lt;&gt;"",NOT(AND(MOVIMIENTOS!$B11="PROCESO",MOVIMIENTOS!$C11&lt;&gt;"Chancho")),NOT(AND(MOVIMIENTOS!$B11="SALDO INICIAL",MOVIMIENTOS!$C11="Chancho"))),OR(MOVIMIENTOS!$B11="ENVÍO A SUPESA",MOVIMIENTOS!$B11="MALOGRADO",MOVIMIENTOS!$B11="OTRA SALIDA",MOVIMIENTOS!$B11="TRASIEGO",AND(MOVIMIENTOS!$B11="PROCESO",MOVIMIENTOS!$C11="Chancho"),AND(MOVIMIENTOS!$B11="REGALO",MOVIMIENTOS!$C11&lt;&gt;"Chancho"),AND(MOVIMIENTOS!$B11="VENTA",MOVIMIENTOS!$C11&lt;&gt;"Chancho"),AND(MOVIMIENTOS!$B11="AJUSTE",MOVIMIENTOS!$C11&lt;&gt;"Chancho",N(MOVIMIENTOS!$F11)&lt;0))),IF(MOVIMIENTOS!$B11="AJUSTE",-N(MOVIMIENTOS!$F11),N(MOVIMIENTOS!$F11)),"")</f>
        <v/>
      </c>
      <c r="O12" s="48" t="str">
        <f aca="false">IF(AND(MOVIMIENTOS!$B11&lt;&gt;"",NOT(AND(MOVIMIENTOS!$B11="PROCESO",MOVIMIENTOS!$C11&lt;&gt;"Chancho")),NOT(AND(MOVIMIENTOS!$B11="SALDO INICIAL",MOVIMIENTOS!$C11="Chancho"))),IF(MOVIMIENTOS!$B11="RECHAZO",MOVIMIENTOS!$E11&amp;" jabas rechazadas · van a reproceso",IF(MOVIMIENTOS!$B11="REPROCESO",MOVIMIENTOS!$E11&amp;" kg recuperados (merma del día: "&amp;TEXT(SUMPRODUCT((MOVIMIENTOS!$A$5:$A$400=MOVIMIENTOS!$A11)*(MOVIMIENTOS!$B$5:$B$400="RECHAZO")*(MOVIMIENTOS!$D$5:$D$400="jabas")*MOVIMIENTOS!$E$5:$E$400*IFERROR(_xlfn.SWITCH(MOVIMIENTOS!$C$5:$C$400,"A",15,"P",18,"C",17,"M",17,0),0))-SUMPRODUCT((MOVIMIENTOS!$A$5:$A$400=MOVIMIENTOS!$A11)*(MOVIMIENTOS!$B$5:$B$400="REPROCESO")*MOVIMIENTOS!$I$5:$I$400),"+#,##0;-#,##0;0")&amp;" kg)",TRIM(IF(MOVIMIENTOS!$G11&lt;&gt;"",MOVIMIENTOS!$G11&amp;"  ","")&amp;IF(N(MOVIMIENTOS!$D11)&gt;0,MOVIMIENTOS!$D11&amp;" "&amp;MOVIMIENTOS!$D11,"")))),"")</f>
        <v/>
      </c>
      <c r="P12" s="48" t="n">
        <f aca="false">N(P11)+N(M12)-N(N12)</f>
        <v>3016</v>
      </c>
      <c r="Q12" s="48"/>
      <c r="R12" s="48"/>
      <c r="S12" s="48"/>
      <c r="T12" s="48"/>
    </row>
    <row r="13" customFormat="false" ht="15" hidden="false" customHeight="true" outlineLevel="0" collapsed="false">
      <c r="A13" s="51" t="n">
        <f aca="false">IFERROR(INDEX(K$6:K$401,MATCH(ROW()-5,J$6:J$401,0)),"")</f>
        <v>46215</v>
      </c>
      <c r="B13" s="56" t="str">
        <f aca="false">IFERROR(INDEX(L$6:L$401,MATCH(ROW()-5,J$6:J$401,0)),"")</f>
        <v>ENVÍO cal. C</v>
      </c>
      <c r="C13" s="52" t="str">
        <f aca="false">IFERROR(INDEX(M$6:M$401,MATCH(ROW()-5,J$6:J$401,0)),"")</f>
        <v/>
      </c>
      <c r="D13" s="52" t="n">
        <f aca="false">IFERROR(INDEX(N$6:N$401,MATCH(ROW()-5,J$6:J$401,0)),"")</f>
        <v>204</v>
      </c>
      <c r="E13" s="56" t="str">
        <f aca="false">IFERROR(INDEX(O$6:O$401,MATCH(ROW()-5,J$6:J$401,0)),"")</f>
        <v>2977</v>
      </c>
      <c r="F13" s="52" t="n">
        <f aca="false">IFERROR(INDEX(P$6:P$401,MATCH(ROW()-5,J$6:J$401,0)),"")</f>
        <v>1039</v>
      </c>
      <c r="G13" s="48"/>
      <c r="H13" s="48"/>
      <c r="I13" s="48"/>
      <c r="J13" s="48" t="str">
        <f aca="false">IF(AND(MOVIMIENTOS!$B12&lt;&gt;"",NOT(AND(MOVIMIENTOS!$B12="PROCESO",MOVIMIENTOS!$C12&lt;&gt;"Chancho")),NOT(AND(MOVIMIENTOS!$B12="SALDO INICIAL",MOVIMIENTOS!$C12="Chancho"))),COUNT(J$6:J12)+1,"")</f>
        <v/>
      </c>
      <c r="K13" s="48" t="str">
        <f aca="false">IF(AND(MOVIMIENTOS!$B12&lt;&gt;"",NOT(AND(MOVIMIENTOS!$B12="PROCESO",MOVIMIENTOS!$C12&lt;&gt;"Chancho")),NOT(AND(MOVIMIENTOS!$B12="SALDO INICIAL",MOVIMIENTOS!$C12="Chancho"))),MOVIMIENTOS!$A12,"")</f>
        <v/>
      </c>
      <c r="L13" s="48" t="str">
        <f aca="false">IF(AND(MOVIMIENTOS!$B12&lt;&gt;"",NOT(AND(MOVIMIENTOS!$B12="PROCESO",MOVIMIENTOS!$C12&lt;&gt;"Chancho")),NOT(AND(MOVIMIENTOS!$B12="SALDO INICIAL",MOVIMIENTOS!$C12="Chancho"))),IF(MOVIMIENTOS!$B12="SALDO INICIAL","APERTURA ("&amp;MOVIMIENTOS!$C12&amp;")",IF(MOVIMIENTOS!$B12="COMPRA","INGRESO (compra)",IF(MOVIMIENTOS!$B12="PROCESO","CHANCHO (proceso)",IF(MOVIMIENTOS!$B12="ENVÍO A SUPESA","ENVÍO cal. "&amp;MOVIMIENTOS!$C12,IF(MOVIMIENTOS!$B12="VENTA CHANCHO","VENTA CHANCHO",IF(MOVIMIENTOS!$B12="VENTA","VENTA cal. "&amp;MOVIMIENTOS!$C12,IF(MOVIMIENTOS!$B12="REGALO","REGALO "&amp;MOVIMIENTOS!$C12,IF(MOVIMIENTOS!$B12="RECHAZO","RECHAZO cal. "&amp;MOVIMIENTOS!$C12&amp;" (va a reproceso)",IF(MOVIMIENTOS!$B12="DEVOLUCIÓN","DEVOLUCIÓN cal. "&amp;MOVIMIENTOS!$C12&amp;" (regresa intacta)",IF(MOVIMIENTOS!$B12="TRASIEGO","TRASIEGO cal. "&amp;MOVIMIENTOS!$C12,MOVIMIENTOS!$B12)))))))))),"")</f>
        <v/>
      </c>
      <c r="M13" s="48" t="str">
        <f aca="false">IF(AND(AND(MOVIMIENTOS!$B12&lt;&gt;"",NOT(AND(MOVIMIENTOS!$B12="PROCESO",MOVIMIENTOS!$C12&lt;&gt;"Chancho")),NOT(AND(MOVIMIENTOS!$B12="SALDO INICIAL",MOVIMIENTOS!$C12="Chancho"))),OR(MOVIMIENTOS!$B12="SALDO INICIAL",MOVIMIENTOS!$B12="COMPRA",MOVIMIENTOS!$B12="REPROCESO",MOVIMIENTOS!$B12="DEVOLUCIÓN",AND(MOVIMIENTOS!$B12="AJUSTE",MOVIMIENTOS!$C12&lt;&gt;"Chancho",N(MOVIMIENTOS!$F12)&gt;=0))),N(MOVIMIENTOS!$F12),"")</f>
        <v/>
      </c>
      <c r="N13" s="48" t="str">
        <f aca="false">IF(AND(AND(MOVIMIENTOS!$B12&lt;&gt;"",NOT(AND(MOVIMIENTOS!$B12="PROCESO",MOVIMIENTOS!$C12&lt;&gt;"Chancho")),NOT(AND(MOVIMIENTOS!$B12="SALDO INICIAL",MOVIMIENTOS!$C12="Chancho"))),OR(MOVIMIENTOS!$B12="ENVÍO A SUPESA",MOVIMIENTOS!$B12="MALOGRADO",MOVIMIENTOS!$B12="OTRA SALIDA",MOVIMIENTOS!$B12="TRASIEGO",AND(MOVIMIENTOS!$B12="PROCESO",MOVIMIENTOS!$C12="Chancho"),AND(MOVIMIENTOS!$B12="REGALO",MOVIMIENTOS!$C12&lt;&gt;"Chancho"),AND(MOVIMIENTOS!$B12="VENTA",MOVIMIENTOS!$C12&lt;&gt;"Chancho"),AND(MOVIMIENTOS!$B12="AJUSTE",MOVIMIENTOS!$C12&lt;&gt;"Chancho",N(MOVIMIENTOS!$F12)&lt;0))),IF(MOVIMIENTOS!$B12="AJUSTE",-N(MOVIMIENTOS!$F12),N(MOVIMIENTOS!$F12)),"")</f>
        <v/>
      </c>
      <c r="O13" s="48" t="str">
        <f aca="false">IF(AND(MOVIMIENTOS!$B12&lt;&gt;"",NOT(AND(MOVIMIENTOS!$B12="PROCESO",MOVIMIENTOS!$C12&lt;&gt;"Chancho")),NOT(AND(MOVIMIENTOS!$B12="SALDO INICIAL",MOVIMIENTOS!$C12="Chancho"))),IF(MOVIMIENTOS!$B12="RECHAZO",MOVIMIENTOS!$E12&amp;" jabas rechazadas · van a reproceso",IF(MOVIMIENTOS!$B12="REPROCESO",MOVIMIENTOS!$E12&amp;" kg recuperados (merma del día: "&amp;TEXT(SUMPRODUCT((MOVIMIENTOS!$A$5:$A$400=MOVIMIENTOS!$A12)*(MOVIMIENTOS!$B$5:$B$400="RECHAZO")*(MOVIMIENTOS!$D$5:$D$400="jabas")*MOVIMIENTOS!$E$5:$E$400*IFERROR(_xlfn.SWITCH(MOVIMIENTOS!$C$5:$C$400,"A",15,"P",18,"C",17,"M",17,0),0))-SUMPRODUCT((MOVIMIENTOS!$A$5:$A$400=MOVIMIENTOS!$A12)*(MOVIMIENTOS!$B$5:$B$400="REPROCESO")*MOVIMIENTOS!$I$5:$I$400),"+#,##0;-#,##0;0")&amp;" kg)",TRIM(IF(MOVIMIENTOS!$G12&lt;&gt;"",MOVIMIENTOS!$G12&amp;"  ","")&amp;IF(N(MOVIMIENTOS!$D12)&gt;0,MOVIMIENTOS!$D12&amp;" "&amp;MOVIMIENTOS!$D12,"")))),"")</f>
        <v/>
      </c>
      <c r="P13" s="48" t="n">
        <f aca="false">N(P12)+N(M13)-N(N13)</f>
        <v>3016</v>
      </c>
      <c r="Q13" s="48"/>
      <c r="R13" s="48"/>
      <c r="S13" s="48"/>
      <c r="T13" s="48"/>
    </row>
    <row r="14" customFormat="false" ht="15" hidden="false" customHeight="true" outlineLevel="0" collapsed="false">
      <c r="A14" s="51" t="n">
        <f aca="false">IFERROR(INDEX(K$6:K$401,MATCH(ROW()-5,J$6:J$401,0)),"")</f>
        <v>46215</v>
      </c>
      <c r="B14" s="56" t="str">
        <f aca="false">IFERROR(INDEX(L$6:L$401,MATCH(ROW()-5,J$6:J$401,0)),"")</f>
        <v>ENVÍO cal. M</v>
      </c>
      <c r="C14" s="52" t="str">
        <f aca="false">IFERROR(INDEX(M$6:M$401,MATCH(ROW()-5,J$6:J$401,0)),"")</f>
        <v/>
      </c>
      <c r="D14" s="52" t="n">
        <f aca="false">IFERROR(INDEX(N$6:N$401,MATCH(ROW()-5,J$6:J$401,0)),"")</f>
        <v>714</v>
      </c>
      <c r="E14" s="56" t="str">
        <f aca="false">IFERROR(INDEX(O$6:O$401,MATCH(ROW()-5,J$6:J$401,0)),"")</f>
        <v>2977</v>
      </c>
      <c r="F14" s="52" t="n">
        <f aca="false">IFERROR(INDEX(P$6:P$401,MATCH(ROW()-5,J$6:J$401,0)),"")</f>
        <v>325</v>
      </c>
      <c r="G14" s="48"/>
      <c r="H14" s="48"/>
      <c r="I14" s="48"/>
      <c r="J14" s="48" t="str">
        <f aca="false">IF(AND(MOVIMIENTOS!$B13&lt;&gt;"",NOT(AND(MOVIMIENTOS!$B13="PROCESO",MOVIMIENTOS!$C13&lt;&gt;"Chancho")),NOT(AND(MOVIMIENTOS!$B13="SALDO INICIAL",MOVIMIENTOS!$C13="Chancho"))),COUNT(J$6:J13)+1,"")</f>
        <v/>
      </c>
      <c r="K14" s="48" t="str">
        <f aca="false">IF(AND(MOVIMIENTOS!$B13&lt;&gt;"",NOT(AND(MOVIMIENTOS!$B13="PROCESO",MOVIMIENTOS!$C13&lt;&gt;"Chancho")),NOT(AND(MOVIMIENTOS!$B13="SALDO INICIAL",MOVIMIENTOS!$C13="Chancho"))),MOVIMIENTOS!$A13,"")</f>
        <v/>
      </c>
      <c r="L14" s="48" t="str">
        <f aca="false">IF(AND(MOVIMIENTOS!$B13&lt;&gt;"",NOT(AND(MOVIMIENTOS!$B13="PROCESO",MOVIMIENTOS!$C13&lt;&gt;"Chancho")),NOT(AND(MOVIMIENTOS!$B13="SALDO INICIAL",MOVIMIENTOS!$C13="Chancho"))),IF(MOVIMIENTOS!$B13="SALDO INICIAL","APERTURA ("&amp;MOVIMIENTOS!$C13&amp;")",IF(MOVIMIENTOS!$B13="COMPRA","INGRESO (compra)",IF(MOVIMIENTOS!$B13="PROCESO","CHANCHO (proceso)",IF(MOVIMIENTOS!$B13="ENVÍO A SUPESA","ENVÍO cal. "&amp;MOVIMIENTOS!$C13,IF(MOVIMIENTOS!$B13="VENTA CHANCHO","VENTA CHANCHO",IF(MOVIMIENTOS!$B13="VENTA","VENTA cal. "&amp;MOVIMIENTOS!$C13,IF(MOVIMIENTOS!$B13="REGALO","REGALO "&amp;MOVIMIENTOS!$C13,IF(MOVIMIENTOS!$B13="RECHAZO","RECHAZO cal. "&amp;MOVIMIENTOS!$C13&amp;" (va a reproceso)",IF(MOVIMIENTOS!$B13="DEVOLUCIÓN","DEVOLUCIÓN cal. "&amp;MOVIMIENTOS!$C13&amp;" (regresa intacta)",IF(MOVIMIENTOS!$B13="TRASIEGO","TRASIEGO cal. "&amp;MOVIMIENTOS!$C13,MOVIMIENTOS!$B13)))))))))),"")</f>
        <v/>
      </c>
      <c r="M14" s="48" t="str">
        <f aca="false">IF(AND(AND(MOVIMIENTOS!$B13&lt;&gt;"",NOT(AND(MOVIMIENTOS!$B13="PROCESO",MOVIMIENTOS!$C13&lt;&gt;"Chancho")),NOT(AND(MOVIMIENTOS!$B13="SALDO INICIAL",MOVIMIENTOS!$C13="Chancho"))),OR(MOVIMIENTOS!$B13="SALDO INICIAL",MOVIMIENTOS!$B13="COMPRA",MOVIMIENTOS!$B13="REPROCESO",MOVIMIENTOS!$B13="DEVOLUCIÓN",AND(MOVIMIENTOS!$B13="AJUSTE",MOVIMIENTOS!$C13&lt;&gt;"Chancho",N(MOVIMIENTOS!$F13)&gt;=0))),N(MOVIMIENTOS!$F13),"")</f>
        <v/>
      </c>
      <c r="N14" s="48" t="str">
        <f aca="false">IF(AND(AND(MOVIMIENTOS!$B13&lt;&gt;"",NOT(AND(MOVIMIENTOS!$B13="PROCESO",MOVIMIENTOS!$C13&lt;&gt;"Chancho")),NOT(AND(MOVIMIENTOS!$B13="SALDO INICIAL",MOVIMIENTOS!$C13="Chancho"))),OR(MOVIMIENTOS!$B13="ENVÍO A SUPESA",MOVIMIENTOS!$B13="MALOGRADO",MOVIMIENTOS!$B13="OTRA SALIDA",MOVIMIENTOS!$B13="TRASIEGO",AND(MOVIMIENTOS!$B13="PROCESO",MOVIMIENTOS!$C13="Chancho"),AND(MOVIMIENTOS!$B13="REGALO",MOVIMIENTOS!$C13&lt;&gt;"Chancho"),AND(MOVIMIENTOS!$B13="VENTA",MOVIMIENTOS!$C13&lt;&gt;"Chancho"),AND(MOVIMIENTOS!$B13="AJUSTE",MOVIMIENTOS!$C13&lt;&gt;"Chancho",N(MOVIMIENTOS!$F13)&lt;0))),IF(MOVIMIENTOS!$B13="AJUSTE",-N(MOVIMIENTOS!$F13),N(MOVIMIENTOS!$F13)),"")</f>
        <v/>
      </c>
      <c r="O14" s="48" t="str">
        <f aca="false">IF(AND(MOVIMIENTOS!$B13&lt;&gt;"",NOT(AND(MOVIMIENTOS!$B13="PROCESO",MOVIMIENTOS!$C13&lt;&gt;"Chancho")),NOT(AND(MOVIMIENTOS!$B13="SALDO INICIAL",MOVIMIENTOS!$C13="Chancho"))),IF(MOVIMIENTOS!$B13="RECHAZO",MOVIMIENTOS!$E13&amp;" jabas rechazadas · van a reproceso",IF(MOVIMIENTOS!$B13="REPROCESO",MOVIMIENTOS!$E13&amp;" kg recuperados (merma del día: "&amp;TEXT(SUMPRODUCT((MOVIMIENTOS!$A$5:$A$400=MOVIMIENTOS!$A13)*(MOVIMIENTOS!$B$5:$B$400="RECHAZO")*(MOVIMIENTOS!$D$5:$D$400="jabas")*MOVIMIENTOS!$E$5:$E$400*IFERROR(_xlfn.SWITCH(MOVIMIENTOS!$C$5:$C$400,"A",15,"P",18,"C",17,"M",17,0),0))-SUMPRODUCT((MOVIMIENTOS!$A$5:$A$400=MOVIMIENTOS!$A13)*(MOVIMIENTOS!$B$5:$B$400="REPROCESO")*MOVIMIENTOS!$I$5:$I$400),"+#,##0;-#,##0;0")&amp;" kg)",TRIM(IF(MOVIMIENTOS!$G13&lt;&gt;"",MOVIMIENTOS!$G13&amp;"  ","")&amp;IF(N(MOVIMIENTOS!$D13)&gt;0,MOVIMIENTOS!$D13&amp;" "&amp;MOVIMIENTOS!$D13,"")))),"")</f>
        <v/>
      </c>
      <c r="P14" s="48" t="n">
        <f aca="false">N(P13)+N(M14)-N(N14)</f>
        <v>3016</v>
      </c>
      <c r="Q14" s="48"/>
      <c r="R14" s="48"/>
      <c r="S14" s="48"/>
      <c r="T14" s="48"/>
    </row>
    <row r="15" customFormat="false" ht="15" hidden="false" customHeight="true" outlineLevel="0" collapsed="false">
      <c r="A15" s="51" t="n">
        <f aca="false">IFERROR(INDEX(K$6:K$401,MATCH(ROW()-5,J$6:J$401,0)),"")</f>
        <v>46216</v>
      </c>
      <c r="B15" s="56" t="str">
        <f aca="false">IFERROR(INDEX(L$6:L$401,MATCH(ROW()-5,J$6:J$401,0)),"")</f>
        <v>INGRESO (compra)</v>
      </c>
      <c r="C15" s="52" t="n">
        <f aca="false">IFERROR(INDEX(M$6:M$401,MATCH(ROW()-5,J$6:J$401,0)),"")</f>
        <v>3800</v>
      </c>
      <c r="D15" s="52" t="str">
        <f aca="false">IFERROR(INDEX(N$6:N$401,MATCH(ROW()-5,J$6:J$401,0)),"")</f>
        <v/>
      </c>
      <c r="E15" s="56" t="str">
        <f aca="false">IFERROR(INDEX(O$6:O$401,MATCH(ROW()-5,J$6:J$401,0)),"")</f>
        <v/>
      </c>
      <c r="F15" s="52" t="n">
        <f aca="false">IFERROR(INDEX(P$6:P$401,MATCH(ROW()-5,J$6:J$401,0)),"")</f>
        <v>4125</v>
      </c>
      <c r="G15" s="48"/>
      <c r="H15" s="48"/>
      <c r="I15" s="48"/>
      <c r="J15" s="48" t="n">
        <f aca="false">IF(AND(MOVIMIENTOS!$B14&lt;&gt;"",NOT(AND(MOVIMIENTOS!$B14="PROCESO",MOVIMIENTOS!$C14&lt;&gt;"Chancho")),NOT(AND(MOVIMIENTOS!$B14="SALDO INICIAL",MOVIMIENTOS!$C14="Chancho"))),COUNT(J$6:J14)+1,"")</f>
        <v>5</v>
      </c>
      <c r="K15" s="53" t="n">
        <f aca="false">IF(AND(MOVIMIENTOS!$B14&lt;&gt;"",NOT(AND(MOVIMIENTOS!$B14="PROCESO",MOVIMIENTOS!$C14&lt;&gt;"Chancho")),NOT(AND(MOVIMIENTOS!$B14="SALDO INICIAL",MOVIMIENTOS!$C14="Chancho"))),MOVIMIENTOS!$A14,"")</f>
        <v>46215</v>
      </c>
      <c r="L15" s="48" t="str">
        <f aca="false">IF(AND(MOVIMIENTOS!$B14&lt;&gt;"",NOT(AND(MOVIMIENTOS!$B14="PROCESO",MOVIMIENTOS!$C14&lt;&gt;"Chancho")),NOT(AND(MOVIMIENTOS!$B14="SALDO INICIAL",MOVIMIENTOS!$C14="Chancho"))),IF(MOVIMIENTOS!$B14="SALDO INICIAL","APERTURA ("&amp;MOVIMIENTOS!$C14&amp;")",IF(MOVIMIENTOS!$B14="COMPRA","INGRESO (compra)",IF(MOVIMIENTOS!$B14="PROCESO","CHANCHO (proceso)",IF(MOVIMIENTOS!$B14="ENVÍO A SUPESA","ENVÍO cal. "&amp;MOVIMIENTOS!$C14,IF(MOVIMIENTOS!$B14="VENTA CHANCHO","VENTA CHANCHO",IF(MOVIMIENTOS!$B14="VENTA","VENTA cal. "&amp;MOVIMIENTOS!$C14,IF(MOVIMIENTOS!$B14="REGALO","REGALO "&amp;MOVIMIENTOS!$C14,IF(MOVIMIENTOS!$B14="RECHAZO","RECHAZO cal. "&amp;MOVIMIENTOS!$C14&amp;" (va a reproceso)",IF(MOVIMIENTOS!$B14="DEVOLUCIÓN","DEVOLUCIÓN cal. "&amp;MOVIMIENTOS!$C14&amp;" (regresa intacta)",IF(MOVIMIENTOS!$B14="TRASIEGO","TRASIEGO cal. "&amp;MOVIMIENTOS!$C14,MOVIMIENTOS!$B14)))))))))),"")</f>
        <v>CHANCHO (proceso)</v>
      </c>
      <c r="M15" s="48" t="str">
        <f aca="false">IF(AND(AND(MOVIMIENTOS!$B14&lt;&gt;"",NOT(AND(MOVIMIENTOS!$B14="PROCESO",MOVIMIENTOS!$C14&lt;&gt;"Chancho")),NOT(AND(MOVIMIENTOS!$B14="SALDO INICIAL",MOVIMIENTOS!$C14="Chancho"))),OR(MOVIMIENTOS!$B14="SALDO INICIAL",MOVIMIENTOS!$B14="COMPRA",MOVIMIENTOS!$B14="REPROCESO",MOVIMIENTOS!$B14="DEVOLUCIÓN",AND(MOVIMIENTOS!$B14="AJUSTE",MOVIMIENTOS!$C14&lt;&gt;"Chancho",N(MOVIMIENTOS!$F14)&gt;=0))),N(MOVIMIENTOS!$F14),"")</f>
        <v/>
      </c>
      <c r="N15" s="48" t="n">
        <f aca="false">IF(AND(AND(MOVIMIENTOS!$B14&lt;&gt;"",NOT(AND(MOVIMIENTOS!$B14="PROCESO",MOVIMIENTOS!$C14&lt;&gt;"Chancho")),NOT(AND(MOVIMIENTOS!$B14="SALDO INICIAL",MOVIMIENTOS!$C14="Chancho"))),OR(MOVIMIENTOS!$B14="ENVÍO A SUPESA",MOVIMIENTOS!$B14="MALOGRADO",MOVIMIENTOS!$B14="OTRA SALIDA",MOVIMIENTOS!$B14="TRASIEGO",AND(MOVIMIENTOS!$B14="PROCESO",MOVIMIENTOS!$C14="Chancho"),AND(MOVIMIENTOS!$B14="REGALO",MOVIMIENTOS!$C14&lt;&gt;"Chancho"),AND(MOVIMIENTOS!$B14="VENTA",MOVIMIENTOS!$C14&lt;&gt;"Chancho"),AND(MOVIMIENTOS!$B14="AJUSTE",MOVIMIENTOS!$C14&lt;&gt;"Chancho",N(MOVIMIENTOS!$F14)&lt;0))),IF(MOVIMIENTOS!$B14="AJUSTE",-N(MOVIMIENTOS!$F14),N(MOVIMIENTOS!$F14)),"")</f>
        <v>570</v>
      </c>
      <c r="O15" s="48" t="str">
        <f aca="false">IF(AND(MOVIMIENTOS!$B14&lt;&gt;"",NOT(AND(MOVIMIENTOS!$B14="PROCESO",MOVIMIENTOS!$C14&lt;&gt;"Chancho")),NOT(AND(MOVIMIENTOS!$B14="SALDO INICIAL",MOVIMIENTOS!$C14="Chancho"))),IF(MOVIMIENTOS!$B14="RECHAZO",MOVIMIENTOS!$E14&amp;" jabas rechazadas · van a reproceso",IF(MOVIMIENTOS!$B14="REPROCESO",MOVIMIENTOS!$E14&amp;" kg recuperados (merma del día: "&amp;TEXT(SUMPRODUCT((MOVIMIENTOS!$A$5:$A$400=MOVIMIENTOS!$A14)*(MOVIMIENTOS!$B$5:$B$400="RECHAZO")*(MOVIMIENTOS!$D$5:$D$400="jabas")*MOVIMIENTOS!$E$5:$E$400*IFERROR(_xlfn.SWITCH(MOVIMIENTOS!$C$5:$C$400,"A",15,"P",18,"C",17,"M",17,0),0))-SUMPRODUCT((MOVIMIENTOS!$A$5:$A$400=MOVIMIENTOS!$A14)*(MOVIMIENTOS!$B$5:$B$400="REPROCESO")*MOVIMIENTOS!$I$5:$I$400),"+#,##0;-#,##0;0")&amp;" kg)",TRIM(IF(MOVIMIENTOS!$G14&lt;&gt;"",MOVIMIENTOS!$G14&amp;"  ","")&amp;IF(N(MOVIMIENTOS!$D14)&gt;0,MOVIMIENTOS!$D14&amp;" "&amp;MOVIMIENTOS!$D14,"")))),"")</f>
        <v/>
      </c>
      <c r="P15" s="48" t="n">
        <f aca="false">N(P14)+N(M15)-N(N15)</f>
        <v>2446</v>
      </c>
      <c r="Q15" s="48"/>
      <c r="R15" s="48"/>
      <c r="S15" s="48"/>
      <c r="T15" s="48"/>
    </row>
    <row r="16" customFormat="false" ht="15" hidden="false" customHeight="true" outlineLevel="0" collapsed="false">
      <c r="A16" s="51" t="n">
        <f aca="false">IFERROR(INDEX(K$6:K$401,MATCH(ROW()-5,J$6:J$401,0)),"")</f>
        <v>46216</v>
      </c>
      <c r="B16" s="56" t="str">
        <f aca="false">IFERROR(INDEX(L$6:L$401,MATCH(ROW()-5,J$6:J$401,0)),"")</f>
        <v>CHANCHO (proceso)</v>
      </c>
      <c r="C16" s="52" t="str">
        <f aca="false">IFERROR(INDEX(M$6:M$401,MATCH(ROW()-5,J$6:J$401,0)),"")</f>
        <v/>
      </c>
      <c r="D16" s="52" t="n">
        <f aca="false">IFERROR(INDEX(N$6:N$401,MATCH(ROW()-5,J$6:J$401,0)),"")</f>
        <v>190</v>
      </c>
      <c r="E16" s="56" t="str">
        <f aca="false">IFERROR(INDEX(O$6:O$401,MATCH(ROW()-5,J$6:J$401,0)),"")</f>
        <v/>
      </c>
      <c r="F16" s="52" t="n">
        <f aca="false">IFERROR(INDEX(P$6:P$401,MATCH(ROW()-5,J$6:J$401,0)),"")</f>
        <v>3935</v>
      </c>
      <c r="G16" s="48"/>
      <c r="H16" s="48"/>
      <c r="I16" s="48"/>
      <c r="J16" s="48" t="n">
        <f aca="false">IF(AND(MOVIMIENTOS!$B15&lt;&gt;"",NOT(AND(MOVIMIENTOS!$B15="PROCESO",MOVIMIENTOS!$C15&lt;&gt;"Chancho")),NOT(AND(MOVIMIENTOS!$B15="SALDO INICIAL",MOVIMIENTOS!$C15="Chancho"))),COUNT(J$6:J15)+1,"")</f>
        <v>6</v>
      </c>
      <c r="K16" s="53" t="n">
        <f aca="false">IF(AND(MOVIMIENTOS!$B15&lt;&gt;"",NOT(AND(MOVIMIENTOS!$B15="PROCESO",MOVIMIENTOS!$C15&lt;&gt;"Chancho")),NOT(AND(MOVIMIENTOS!$B15="SALDO INICIAL",MOVIMIENTOS!$C15="Chancho"))),MOVIMIENTOS!$A15,"")</f>
        <v>46215</v>
      </c>
      <c r="L16" s="48" t="str">
        <f aca="false">IF(AND(MOVIMIENTOS!$B15&lt;&gt;"",NOT(AND(MOVIMIENTOS!$B15="PROCESO",MOVIMIENTOS!$C15&lt;&gt;"Chancho")),NOT(AND(MOVIMIENTOS!$B15="SALDO INICIAL",MOVIMIENTOS!$C15="Chancho"))),IF(MOVIMIENTOS!$B15="SALDO INICIAL","APERTURA ("&amp;MOVIMIENTOS!$C15&amp;")",IF(MOVIMIENTOS!$B15="COMPRA","INGRESO (compra)",IF(MOVIMIENTOS!$B15="PROCESO","CHANCHO (proceso)",IF(MOVIMIENTOS!$B15="ENVÍO A SUPESA","ENVÍO cal. "&amp;MOVIMIENTOS!$C15,IF(MOVIMIENTOS!$B15="VENTA CHANCHO","VENTA CHANCHO",IF(MOVIMIENTOS!$B15="VENTA","VENTA cal. "&amp;MOVIMIENTOS!$C15,IF(MOVIMIENTOS!$B15="REGALO","REGALO "&amp;MOVIMIENTOS!$C15,IF(MOVIMIENTOS!$B15="RECHAZO","RECHAZO cal. "&amp;MOVIMIENTOS!$C15&amp;" (va a reproceso)",IF(MOVIMIENTOS!$B15="DEVOLUCIÓN","DEVOLUCIÓN cal. "&amp;MOVIMIENTOS!$C15&amp;" (regresa intacta)",IF(MOVIMIENTOS!$B15="TRASIEGO","TRASIEGO cal. "&amp;MOVIMIENTOS!$C15,MOVIMIENTOS!$B15)))))))))),"")</f>
        <v>ENVÍO cal. A</v>
      </c>
      <c r="M16" s="48" t="str">
        <f aca="false">IF(AND(AND(MOVIMIENTOS!$B15&lt;&gt;"",NOT(AND(MOVIMIENTOS!$B15="PROCESO",MOVIMIENTOS!$C15&lt;&gt;"Chancho")),NOT(AND(MOVIMIENTOS!$B15="SALDO INICIAL",MOVIMIENTOS!$C15="Chancho"))),OR(MOVIMIENTOS!$B15="SALDO INICIAL",MOVIMIENTOS!$B15="COMPRA",MOVIMIENTOS!$B15="REPROCESO",MOVIMIENTOS!$B15="DEVOLUCIÓN",AND(MOVIMIENTOS!$B15="AJUSTE",MOVIMIENTOS!$C15&lt;&gt;"Chancho",N(MOVIMIENTOS!$F15)&gt;=0))),N(MOVIMIENTOS!$F15),"")</f>
        <v/>
      </c>
      <c r="N16" s="48" t="n">
        <f aca="false">IF(AND(AND(MOVIMIENTOS!$B15&lt;&gt;"",NOT(AND(MOVIMIENTOS!$B15="PROCESO",MOVIMIENTOS!$C15&lt;&gt;"Chancho")),NOT(AND(MOVIMIENTOS!$B15="SALDO INICIAL",MOVIMIENTOS!$C15="Chancho"))),OR(MOVIMIENTOS!$B15="ENVÍO A SUPESA",MOVIMIENTOS!$B15="MALOGRADO",MOVIMIENTOS!$B15="OTRA SALIDA",MOVIMIENTOS!$B15="TRASIEGO",AND(MOVIMIENTOS!$B15="PROCESO",MOVIMIENTOS!$C15="Chancho"),AND(MOVIMIENTOS!$B15="REGALO",MOVIMIENTOS!$C15&lt;&gt;"Chancho"),AND(MOVIMIENTOS!$B15="VENTA",MOVIMIENTOS!$C15&lt;&gt;"Chancho"),AND(MOVIMIENTOS!$B15="AJUSTE",MOVIMIENTOS!$C15&lt;&gt;"Chancho",N(MOVIMIENTOS!$F15)&lt;0))),IF(MOVIMIENTOS!$B15="AJUSTE",-N(MOVIMIENTOS!$F15),N(MOVIMIENTOS!$F15)),"")</f>
        <v>1005</v>
      </c>
      <c r="O16" s="48" t="str">
        <f aca="false">IF(AND(MOVIMIENTOS!$B15&lt;&gt;"",NOT(AND(MOVIMIENTOS!$B15="PROCESO",MOVIMIENTOS!$C15&lt;&gt;"Chancho")),NOT(AND(MOVIMIENTOS!$B15="SALDO INICIAL",MOVIMIENTOS!$C15="Chancho"))),IF(MOVIMIENTOS!$B15="RECHAZO",MOVIMIENTOS!$E15&amp;" jabas rechazadas · van a reproceso",IF(MOVIMIENTOS!$B15="REPROCESO",MOVIMIENTOS!$E15&amp;" kg recuperados (merma del día: "&amp;TEXT(SUMPRODUCT((MOVIMIENTOS!$A$5:$A$400=MOVIMIENTOS!$A15)*(MOVIMIENTOS!$B$5:$B$400="RECHAZO")*(MOVIMIENTOS!$D$5:$D$400="jabas")*MOVIMIENTOS!$E$5:$E$400*IFERROR(_xlfn.SWITCH(MOVIMIENTOS!$C$5:$C$400,"A",15,"P",18,"C",17,"M",17,0),0))-SUMPRODUCT((MOVIMIENTOS!$A$5:$A$400=MOVIMIENTOS!$A15)*(MOVIMIENTOS!$B$5:$B$400="REPROCESO")*MOVIMIENTOS!$I$5:$I$400),"+#,##0;-#,##0;0")&amp;" kg)",TRIM(IF(MOVIMIENTOS!$G15&lt;&gt;"",MOVIMIENTOS!$G15&amp;"  ","")&amp;IF(N(MOVIMIENTOS!$D15)&gt;0,MOVIMIENTOS!$D15&amp;" "&amp;MOVIMIENTOS!$D15,"")))),"")</f>
        <v>2977</v>
      </c>
      <c r="P16" s="48" t="n">
        <f aca="false">N(P15)+N(M16)-N(N16)</f>
        <v>1441</v>
      </c>
      <c r="Q16" s="48"/>
      <c r="R16" s="48"/>
      <c r="S16" s="48"/>
      <c r="T16" s="48"/>
    </row>
    <row r="17" customFormat="false" ht="15" hidden="false" customHeight="true" outlineLevel="0" collapsed="false">
      <c r="A17" s="51" t="n">
        <f aca="false">IFERROR(INDEX(K$6:K$401,MATCH(ROW()-5,J$6:J$401,0)),"")</f>
        <v>46216</v>
      </c>
      <c r="B17" s="56" t="str">
        <f aca="false">IFERROR(INDEX(L$6:L$401,MATCH(ROW()-5,J$6:J$401,0)),"")</f>
        <v>ENVÍO cal. A</v>
      </c>
      <c r="C17" s="52" t="str">
        <f aca="false">IFERROR(INDEX(M$6:M$401,MATCH(ROW()-5,J$6:J$401,0)),"")</f>
        <v/>
      </c>
      <c r="D17" s="52" t="n">
        <f aca="false">IFERROR(INDEX(N$6:N$401,MATCH(ROW()-5,J$6:J$401,0)),"")</f>
        <v>1005</v>
      </c>
      <c r="E17" s="56" t="str">
        <f aca="false">IFERROR(INDEX(O$6:O$401,MATCH(ROW()-5,J$6:J$401,0)),"")</f>
        <v>2980</v>
      </c>
      <c r="F17" s="52" t="n">
        <f aca="false">IFERROR(INDEX(P$6:P$401,MATCH(ROW()-5,J$6:J$401,0)),"")</f>
        <v>2930</v>
      </c>
      <c r="G17" s="48"/>
      <c r="H17" s="48"/>
      <c r="I17" s="48"/>
      <c r="J17" s="48" t="n">
        <f aca="false">IF(AND(MOVIMIENTOS!$B16&lt;&gt;"",NOT(AND(MOVIMIENTOS!$B16="PROCESO",MOVIMIENTOS!$C16&lt;&gt;"Chancho")),NOT(AND(MOVIMIENTOS!$B16="SALDO INICIAL",MOVIMIENTOS!$C16="Chancho"))),COUNT(J$6:J16)+1,"")</f>
        <v>7</v>
      </c>
      <c r="K17" s="53" t="n">
        <f aca="false">IF(AND(MOVIMIENTOS!$B16&lt;&gt;"",NOT(AND(MOVIMIENTOS!$B16="PROCESO",MOVIMIENTOS!$C16&lt;&gt;"Chancho")),NOT(AND(MOVIMIENTOS!$B16="SALDO INICIAL",MOVIMIENTOS!$C16="Chancho"))),MOVIMIENTOS!$A16,"")</f>
        <v>46215</v>
      </c>
      <c r="L17" s="48" t="str">
        <f aca="false">IF(AND(MOVIMIENTOS!$B16&lt;&gt;"",NOT(AND(MOVIMIENTOS!$B16="PROCESO",MOVIMIENTOS!$C16&lt;&gt;"Chancho")),NOT(AND(MOVIMIENTOS!$B16="SALDO INICIAL",MOVIMIENTOS!$C16="Chancho"))),IF(MOVIMIENTOS!$B16="SALDO INICIAL","APERTURA ("&amp;MOVIMIENTOS!$C16&amp;")",IF(MOVIMIENTOS!$B16="COMPRA","INGRESO (compra)",IF(MOVIMIENTOS!$B16="PROCESO","CHANCHO (proceso)",IF(MOVIMIENTOS!$B16="ENVÍO A SUPESA","ENVÍO cal. "&amp;MOVIMIENTOS!$C16,IF(MOVIMIENTOS!$B16="VENTA CHANCHO","VENTA CHANCHO",IF(MOVIMIENTOS!$B16="VENTA","VENTA cal. "&amp;MOVIMIENTOS!$C16,IF(MOVIMIENTOS!$B16="REGALO","REGALO "&amp;MOVIMIENTOS!$C16,IF(MOVIMIENTOS!$B16="RECHAZO","RECHAZO cal. "&amp;MOVIMIENTOS!$C16&amp;" (va a reproceso)",IF(MOVIMIENTOS!$B16="DEVOLUCIÓN","DEVOLUCIÓN cal. "&amp;MOVIMIENTOS!$C16&amp;" (regresa intacta)",IF(MOVIMIENTOS!$B16="TRASIEGO","TRASIEGO cal. "&amp;MOVIMIENTOS!$C16,MOVIMIENTOS!$B16)))))))))),"")</f>
        <v>ENVÍO cal. P</v>
      </c>
      <c r="M17" s="48" t="str">
        <f aca="false">IF(AND(AND(MOVIMIENTOS!$B16&lt;&gt;"",NOT(AND(MOVIMIENTOS!$B16="PROCESO",MOVIMIENTOS!$C16&lt;&gt;"Chancho")),NOT(AND(MOVIMIENTOS!$B16="SALDO INICIAL",MOVIMIENTOS!$C16="Chancho"))),OR(MOVIMIENTOS!$B16="SALDO INICIAL",MOVIMIENTOS!$B16="COMPRA",MOVIMIENTOS!$B16="REPROCESO",MOVIMIENTOS!$B16="DEVOLUCIÓN",AND(MOVIMIENTOS!$B16="AJUSTE",MOVIMIENTOS!$C16&lt;&gt;"Chancho",N(MOVIMIENTOS!$F16)&gt;=0))),N(MOVIMIENTOS!$F16),"")</f>
        <v/>
      </c>
      <c r="N17" s="48" t="n">
        <f aca="false">IF(AND(AND(MOVIMIENTOS!$B16&lt;&gt;"",NOT(AND(MOVIMIENTOS!$B16="PROCESO",MOVIMIENTOS!$C16&lt;&gt;"Chancho")),NOT(AND(MOVIMIENTOS!$B16="SALDO INICIAL",MOVIMIENTOS!$C16="Chancho"))),OR(MOVIMIENTOS!$B16="ENVÍO A SUPESA",MOVIMIENTOS!$B16="MALOGRADO",MOVIMIENTOS!$B16="OTRA SALIDA",MOVIMIENTOS!$B16="TRASIEGO",AND(MOVIMIENTOS!$B16="PROCESO",MOVIMIENTOS!$C16="Chancho"),AND(MOVIMIENTOS!$B16="REGALO",MOVIMIENTOS!$C16&lt;&gt;"Chancho"),AND(MOVIMIENTOS!$B16="VENTA",MOVIMIENTOS!$C16&lt;&gt;"Chancho"),AND(MOVIMIENTOS!$B16="AJUSTE",MOVIMIENTOS!$C16&lt;&gt;"Chancho",N(MOVIMIENTOS!$F16)&lt;0))),IF(MOVIMIENTOS!$B16="AJUSTE",-N(MOVIMIENTOS!$F16),N(MOVIMIENTOS!$F16)),"")</f>
        <v>198</v>
      </c>
      <c r="O17" s="48" t="str">
        <f aca="false">IF(AND(MOVIMIENTOS!$B16&lt;&gt;"",NOT(AND(MOVIMIENTOS!$B16="PROCESO",MOVIMIENTOS!$C16&lt;&gt;"Chancho")),NOT(AND(MOVIMIENTOS!$B16="SALDO INICIAL",MOVIMIENTOS!$C16="Chancho"))),IF(MOVIMIENTOS!$B16="RECHAZO",MOVIMIENTOS!$E16&amp;" jabas rechazadas · van a reproceso",IF(MOVIMIENTOS!$B16="REPROCESO",MOVIMIENTOS!$E16&amp;" kg recuperados (merma del día: "&amp;TEXT(SUMPRODUCT((MOVIMIENTOS!$A$5:$A$400=MOVIMIENTOS!$A16)*(MOVIMIENTOS!$B$5:$B$400="RECHAZO")*(MOVIMIENTOS!$D$5:$D$400="jabas")*MOVIMIENTOS!$E$5:$E$400*IFERROR(_xlfn.SWITCH(MOVIMIENTOS!$C$5:$C$400,"A",15,"P",18,"C",17,"M",17,0),0))-SUMPRODUCT((MOVIMIENTOS!$A$5:$A$400=MOVIMIENTOS!$A16)*(MOVIMIENTOS!$B$5:$B$400="REPROCESO")*MOVIMIENTOS!$I$5:$I$400),"+#,##0;-#,##0;0")&amp;" kg)",TRIM(IF(MOVIMIENTOS!$G16&lt;&gt;"",MOVIMIENTOS!$G16&amp;"  ","")&amp;IF(N(MOVIMIENTOS!$D16)&gt;0,MOVIMIENTOS!$D16&amp;" "&amp;MOVIMIENTOS!$D16,"")))),"")</f>
        <v>2977</v>
      </c>
      <c r="P17" s="48" t="n">
        <f aca="false">N(P16)+N(M17)-N(N17)</f>
        <v>1243</v>
      </c>
      <c r="Q17" s="48"/>
      <c r="R17" s="48"/>
      <c r="S17" s="48"/>
      <c r="T17" s="48"/>
    </row>
    <row r="18" customFormat="false" ht="15" hidden="false" customHeight="true" outlineLevel="0" collapsed="false">
      <c r="A18" s="51" t="n">
        <f aca="false">IFERROR(INDEX(K$6:K$401,MATCH(ROW()-5,J$6:J$401,0)),"")</f>
        <v>46216</v>
      </c>
      <c r="B18" s="56" t="str">
        <f aca="false">IFERROR(INDEX(L$6:L$401,MATCH(ROW()-5,J$6:J$401,0)),"")</f>
        <v>ENVÍO cal. P</v>
      </c>
      <c r="C18" s="52" t="str">
        <f aca="false">IFERROR(INDEX(M$6:M$401,MATCH(ROW()-5,J$6:J$401,0)),"")</f>
        <v/>
      </c>
      <c r="D18" s="52" t="n">
        <f aca="false">IFERROR(INDEX(N$6:N$401,MATCH(ROW()-5,J$6:J$401,0)),"")</f>
        <v>198</v>
      </c>
      <c r="E18" s="56" t="str">
        <f aca="false">IFERROR(INDEX(O$6:O$401,MATCH(ROW()-5,J$6:J$401,0)),"")</f>
        <v>2980</v>
      </c>
      <c r="F18" s="52" t="n">
        <f aca="false">IFERROR(INDEX(P$6:P$401,MATCH(ROW()-5,J$6:J$401,0)),"")</f>
        <v>2732</v>
      </c>
      <c r="G18" s="48"/>
      <c r="H18" s="48"/>
      <c r="I18" s="48"/>
      <c r="J18" s="48" t="n">
        <f aca="false">IF(AND(MOVIMIENTOS!$B17&lt;&gt;"",NOT(AND(MOVIMIENTOS!$B17="PROCESO",MOVIMIENTOS!$C17&lt;&gt;"Chancho")),NOT(AND(MOVIMIENTOS!$B17="SALDO INICIAL",MOVIMIENTOS!$C17="Chancho"))),COUNT(J$6:J17)+1,"")</f>
        <v>8</v>
      </c>
      <c r="K18" s="53" t="n">
        <f aca="false">IF(AND(MOVIMIENTOS!$B17&lt;&gt;"",NOT(AND(MOVIMIENTOS!$B17="PROCESO",MOVIMIENTOS!$C17&lt;&gt;"Chancho")),NOT(AND(MOVIMIENTOS!$B17="SALDO INICIAL",MOVIMIENTOS!$C17="Chancho"))),MOVIMIENTOS!$A17,"")</f>
        <v>46215</v>
      </c>
      <c r="L18" s="48" t="str">
        <f aca="false">IF(AND(MOVIMIENTOS!$B17&lt;&gt;"",NOT(AND(MOVIMIENTOS!$B17="PROCESO",MOVIMIENTOS!$C17&lt;&gt;"Chancho")),NOT(AND(MOVIMIENTOS!$B17="SALDO INICIAL",MOVIMIENTOS!$C17="Chancho"))),IF(MOVIMIENTOS!$B17="SALDO INICIAL","APERTURA ("&amp;MOVIMIENTOS!$C17&amp;")",IF(MOVIMIENTOS!$B17="COMPRA","INGRESO (compra)",IF(MOVIMIENTOS!$B17="PROCESO","CHANCHO (proceso)",IF(MOVIMIENTOS!$B17="ENVÍO A SUPESA","ENVÍO cal. "&amp;MOVIMIENTOS!$C17,IF(MOVIMIENTOS!$B17="VENTA CHANCHO","VENTA CHANCHO",IF(MOVIMIENTOS!$B17="VENTA","VENTA cal. "&amp;MOVIMIENTOS!$C17,IF(MOVIMIENTOS!$B17="REGALO","REGALO "&amp;MOVIMIENTOS!$C17,IF(MOVIMIENTOS!$B17="RECHAZO","RECHAZO cal. "&amp;MOVIMIENTOS!$C17&amp;" (va a reproceso)",IF(MOVIMIENTOS!$B17="DEVOLUCIÓN","DEVOLUCIÓN cal. "&amp;MOVIMIENTOS!$C17&amp;" (regresa intacta)",IF(MOVIMIENTOS!$B17="TRASIEGO","TRASIEGO cal. "&amp;MOVIMIENTOS!$C17,MOVIMIENTOS!$B17)))))))))),"")</f>
        <v>ENVÍO cal. C</v>
      </c>
      <c r="M18" s="48" t="str">
        <f aca="false">IF(AND(AND(MOVIMIENTOS!$B17&lt;&gt;"",NOT(AND(MOVIMIENTOS!$B17="PROCESO",MOVIMIENTOS!$C17&lt;&gt;"Chancho")),NOT(AND(MOVIMIENTOS!$B17="SALDO INICIAL",MOVIMIENTOS!$C17="Chancho"))),OR(MOVIMIENTOS!$B17="SALDO INICIAL",MOVIMIENTOS!$B17="COMPRA",MOVIMIENTOS!$B17="REPROCESO",MOVIMIENTOS!$B17="DEVOLUCIÓN",AND(MOVIMIENTOS!$B17="AJUSTE",MOVIMIENTOS!$C17&lt;&gt;"Chancho",N(MOVIMIENTOS!$F17)&gt;=0))),N(MOVIMIENTOS!$F17),"")</f>
        <v/>
      </c>
      <c r="N18" s="48" t="n">
        <f aca="false">IF(AND(AND(MOVIMIENTOS!$B17&lt;&gt;"",NOT(AND(MOVIMIENTOS!$B17="PROCESO",MOVIMIENTOS!$C17&lt;&gt;"Chancho")),NOT(AND(MOVIMIENTOS!$B17="SALDO INICIAL",MOVIMIENTOS!$C17="Chancho"))),OR(MOVIMIENTOS!$B17="ENVÍO A SUPESA",MOVIMIENTOS!$B17="MALOGRADO",MOVIMIENTOS!$B17="OTRA SALIDA",MOVIMIENTOS!$B17="TRASIEGO",AND(MOVIMIENTOS!$B17="PROCESO",MOVIMIENTOS!$C17="Chancho"),AND(MOVIMIENTOS!$B17="REGALO",MOVIMIENTOS!$C17&lt;&gt;"Chancho"),AND(MOVIMIENTOS!$B17="VENTA",MOVIMIENTOS!$C17&lt;&gt;"Chancho"),AND(MOVIMIENTOS!$B17="AJUSTE",MOVIMIENTOS!$C17&lt;&gt;"Chancho",N(MOVIMIENTOS!$F17)&lt;0))),IF(MOVIMIENTOS!$B17="AJUSTE",-N(MOVIMIENTOS!$F17),N(MOVIMIENTOS!$F17)),"")</f>
        <v>204</v>
      </c>
      <c r="O18" s="48" t="str">
        <f aca="false">IF(AND(MOVIMIENTOS!$B17&lt;&gt;"",NOT(AND(MOVIMIENTOS!$B17="PROCESO",MOVIMIENTOS!$C17&lt;&gt;"Chancho")),NOT(AND(MOVIMIENTOS!$B17="SALDO INICIAL",MOVIMIENTOS!$C17="Chancho"))),IF(MOVIMIENTOS!$B17="RECHAZO",MOVIMIENTOS!$E17&amp;" jabas rechazadas · van a reproceso",IF(MOVIMIENTOS!$B17="REPROCESO",MOVIMIENTOS!$E17&amp;" kg recuperados (merma del día: "&amp;TEXT(SUMPRODUCT((MOVIMIENTOS!$A$5:$A$400=MOVIMIENTOS!$A17)*(MOVIMIENTOS!$B$5:$B$400="RECHAZO")*(MOVIMIENTOS!$D$5:$D$400="jabas")*MOVIMIENTOS!$E$5:$E$400*IFERROR(_xlfn.SWITCH(MOVIMIENTOS!$C$5:$C$400,"A",15,"P",18,"C",17,"M",17,0),0))-SUMPRODUCT((MOVIMIENTOS!$A$5:$A$400=MOVIMIENTOS!$A17)*(MOVIMIENTOS!$B$5:$B$400="REPROCESO")*MOVIMIENTOS!$I$5:$I$400),"+#,##0;-#,##0;0")&amp;" kg)",TRIM(IF(MOVIMIENTOS!$G17&lt;&gt;"",MOVIMIENTOS!$G17&amp;"  ","")&amp;IF(N(MOVIMIENTOS!$D17)&gt;0,MOVIMIENTOS!$D17&amp;" "&amp;MOVIMIENTOS!$D17,"")))),"")</f>
        <v>2977</v>
      </c>
      <c r="P18" s="48" t="n">
        <f aca="false">N(P17)+N(M18)-N(N18)</f>
        <v>1039</v>
      </c>
      <c r="Q18" s="48"/>
      <c r="R18" s="48"/>
      <c r="S18" s="48"/>
      <c r="T18" s="48"/>
    </row>
    <row r="19" customFormat="false" ht="15" hidden="false" customHeight="true" outlineLevel="0" collapsed="false">
      <c r="A19" s="51" t="n">
        <f aca="false">IFERROR(INDEX(K$6:K$401,MATCH(ROW()-5,J$6:J$401,0)),"")</f>
        <v>46216</v>
      </c>
      <c r="B19" s="56" t="str">
        <f aca="false">IFERROR(INDEX(L$6:L$401,MATCH(ROW()-5,J$6:J$401,0)),"")</f>
        <v>ENVÍO cal. C</v>
      </c>
      <c r="C19" s="52" t="str">
        <f aca="false">IFERROR(INDEX(M$6:M$401,MATCH(ROW()-5,J$6:J$401,0)),"")</f>
        <v/>
      </c>
      <c r="D19" s="52" t="n">
        <f aca="false">IFERROR(INDEX(N$6:N$401,MATCH(ROW()-5,J$6:J$401,0)),"")</f>
        <v>204</v>
      </c>
      <c r="E19" s="56" t="str">
        <f aca="false">IFERROR(INDEX(O$6:O$401,MATCH(ROW()-5,J$6:J$401,0)),"")</f>
        <v>2980</v>
      </c>
      <c r="F19" s="52" t="n">
        <f aca="false">IFERROR(INDEX(P$6:P$401,MATCH(ROW()-5,J$6:J$401,0)),"")</f>
        <v>2528</v>
      </c>
      <c r="G19" s="48"/>
      <c r="H19" s="48"/>
      <c r="I19" s="48"/>
      <c r="J19" s="48" t="n">
        <f aca="false">IF(AND(MOVIMIENTOS!$B18&lt;&gt;"",NOT(AND(MOVIMIENTOS!$B18="PROCESO",MOVIMIENTOS!$C18&lt;&gt;"Chancho")),NOT(AND(MOVIMIENTOS!$B18="SALDO INICIAL",MOVIMIENTOS!$C18="Chancho"))),COUNT(J$6:J18)+1,"")</f>
        <v>9</v>
      </c>
      <c r="K19" s="53" t="n">
        <f aca="false">IF(AND(MOVIMIENTOS!$B18&lt;&gt;"",NOT(AND(MOVIMIENTOS!$B18="PROCESO",MOVIMIENTOS!$C18&lt;&gt;"Chancho")),NOT(AND(MOVIMIENTOS!$B18="SALDO INICIAL",MOVIMIENTOS!$C18="Chancho"))),MOVIMIENTOS!$A18,"")</f>
        <v>46215</v>
      </c>
      <c r="L19" s="48" t="str">
        <f aca="false">IF(AND(MOVIMIENTOS!$B18&lt;&gt;"",NOT(AND(MOVIMIENTOS!$B18="PROCESO",MOVIMIENTOS!$C18&lt;&gt;"Chancho")),NOT(AND(MOVIMIENTOS!$B18="SALDO INICIAL",MOVIMIENTOS!$C18="Chancho"))),IF(MOVIMIENTOS!$B18="SALDO INICIAL","APERTURA ("&amp;MOVIMIENTOS!$C18&amp;")",IF(MOVIMIENTOS!$B18="COMPRA","INGRESO (compra)",IF(MOVIMIENTOS!$B18="PROCESO","CHANCHO (proceso)",IF(MOVIMIENTOS!$B18="ENVÍO A SUPESA","ENVÍO cal. "&amp;MOVIMIENTOS!$C18,IF(MOVIMIENTOS!$B18="VENTA CHANCHO","VENTA CHANCHO",IF(MOVIMIENTOS!$B18="VENTA","VENTA cal. "&amp;MOVIMIENTOS!$C18,IF(MOVIMIENTOS!$B18="REGALO","REGALO "&amp;MOVIMIENTOS!$C18,IF(MOVIMIENTOS!$B18="RECHAZO","RECHAZO cal. "&amp;MOVIMIENTOS!$C18&amp;" (va a reproceso)",IF(MOVIMIENTOS!$B18="DEVOLUCIÓN","DEVOLUCIÓN cal. "&amp;MOVIMIENTOS!$C18&amp;" (regresa intacta)",IF(MOVIMIENTOS!$B18="TRASIEGO","TRASIEGO cal. "&amp;MOVIMIENTOS!$C18,MOVIMIENTOS!$B18)))))))))),"")</f>
        <v>ENVÍO cal. M</v>
      </c>
      <c r="M19" s="48" t="str">
        <f aca="false">IF(AND(AND(MOVIMIENTOS!$B18&lt;&gt;"",NOT(AND(MOVIMIENTOS!$B18="PROCESO",MOVIMIENTOS!$C18&lt;&gt;"Chancho")),NOT(AND(MOVIMIENTOS!$B18="SALDO INICIAL",MOVIMIENTOS!$C18="Chancho"))),OR(MOVIMIENTOS!$B18="SALDO INICIAL",MOVIMIENTOS!$B18="COMPRA",MOVIMIENTOS!$B18="REPROCESO",MOVIMIENTOS!$B18="DEVOLUCIÓN",AND(MOVIMIENTOS!$B18="AJUSTE",MOVIMIENTOS!$C18&lt;&gt;"Chancho",N(MOVIMIENTOS!$F18)&gt;=0))),N(MOVIMIENTOS!$F18),"")</f>
        <v/>
      </c>
      <c r="N19" s="48" t="n">
        <f aca="false">IF(AND(AND(MOVIMIENTOS!$B18&lt;&gt;"",NOT(AND(MOVIMIENTOS!$B18="PROCESO",MOVIMIENTOS!$C18&lt;&gt;"Chancho")),NOT(AND(MOVIMIENTOS!$B18="SALDO INICIAL",MOVIMIENTOS!$C18="Chancho"))),OR(MOVIMIENTOS!$B18="ENVÍO A SUPESA",MOVIMIENTOS!$B18="MALOGRADO",MOVIMIENTOS!$B18="OTRA SALIDA",MOVIMIENTOS!$B18="TRASIEGO",AND(MOVIMIENTOS!$B18="PROCESO",MOVIMIENTOS!$C18="Chancho"),AND(MOVIMIENTOS!$B18="REGALO",MOVIMIENTOS!$C18&lt;&gt;"Chancho"),AND(MOVIMIENTOS!$B18="VENTA",MOVIMIENTOS!$C18&lt;&gt;"Chancho"),AND(MOVIMIENTOS!$B18="AJUSTE",MOVIMIENTOS!$C18&lt;&gt;"Chancho",N(MOVIMIENTOS!$F18)&lt;0))),IF(MOVIMIENTOS!$B18="AJUSTE",-N(MOVIMIENTOS!$F18),N(MOVIMIENTOS!$F18)),"")</f>
        <v>714</v>
      </c>
      <c r="O19" s="48" t="str">
        <f aca="false">IF(AND(MOVIMIENTOS!$B18&lt;&gt;"",NOT(AND(MOVIMIENTOS!$B18="PROCESO",MOVIMIENTOS!$C18&lt;&gt;"Chancho")),NOT(AND(MOVIMIENTOS!$B18="SALDO INICIAL",MOVIMIENTOS!$C18="Chancho"))),IF(MOVIMIENTOS!$B18="RECHAZO",MOVIMIENTOS!$E18&amp;" jabas rechazadas · van a reproceso",IF(MOVIMIENTOS!$B18="REPROCESO",MOVIMIENTOS!$E18&amp;" kg recuperados (merma del día: "&amp;TEXT(SUMPRODUCT((MOVIMIENTOS!$A$5:$A$400=MOVIMIENTOS!$A18)*(MOVIMIENTOS!$B$5:$B$400="RECHAZO")*(MOVIMIENTOS!$D$5:$D$400="jabas")*MOVIMIENTOS!$E$5:$E$400*IFERROR(_xlfn.SWITCH(MOVIMIENTOS!$C$5:$C$400,"A",15,"P",18,"C",17,"M",17,0),0))-SUMPRODUCT((MOVIMIENTOS!$A$5:$A$400=MOVIMIENTOS!$A18)*(MOVIMIENTOS!$B$5:$B$400="REPROCESO")*MOVIMIENTOS!$I$5:$I$400),"+#,##0;-#,##0;0")&amp;" kg)",TRIM(IF(MOVIMIENTOS!$G18&lt;&gt;"",MOVIMIENTOS!$G18&amp;"  ","")&amp;IF(N(MOVIMIENTOS!$D18)&gt;0,MOVIMIENTOS!$D18&amp;" "&amp;MOVIMIENTOS!$D18,"")))),"")</f>
        <v>2977</v>
      </c>
      <c r="P19" s="48" t="n">
        <f aca="false">N(P18)+N(M19)-N(N19)</f>
        <v>325</v>
      </c>
      <c r="Q19" s="48"/>
      <c r="R19" s="48"/>
      <c r="S19" s="48"/>
      <c r="T19" s="48"/>
    </row>
    <row r="20" customFormat="false" ht="15" hidden="false" customHeight="true" outlineLevel="0" collapsed="false">
      <c r="A20" s="51" t="n">
        <f aca="false">IFERROR(INDEX(K$6:K$401,MATCH(ROW()-5,J$6:J$401,0)),"")</f>
        <v>46216</v>
      </c>
      <c r="B20" s="56" t="str">
        <f aca="false">IFERROR(INDEX(L$6:L$401,MATCH(ROW()-5,J$6:J$401,0)),"")</f>
        <v>ENVÍO cal. M</v>
      </c>
      <c r="C20" s="52" t="str">
        <f aca="false">IFERROR(INDEX(M$6:M$401,MATCH(ROW()-5,J$6:J$401,0)),"")</f>
        <v/>
      </c>
      <c r="D20" s="52" t="n">
        <f aca="false">IFERROR(INDEX(N$6:N$401,MATCH(ROW()-5,J$6:J$401,0)),"")</f>
        <v>1649</v>
      </c>
      <c r="E20" s="56" t="str">
        <f aca="false">IFERROR(INDEX(O$6:O$401,MATCH(ROW()-5,J$6:J$401,0)),"")</f>
        <v>2980</v>
      </c>
      <c r="F20" s="52" t="n">
        <f aca="false">IFERROR(INDEX(P$6:P$401,MATCH(ROW()-5,J$6:J$401,0)),"")</f>
        <v>879</v>
      </c>
      <c r="G20" s="48"/>
      <c r="H20" s="48"/>
      <c r="I20" s="48"/>
      <c r="J20" s="48" t="n">
        <f aca="false">IF(AND(MOVIMIENTOS!$B19&lt;&gt;"",NOT(AND(MOVIMIENTOS!$B19="PROCESO",MOVIMIENTOS!$C19&lt;&gt;"Chancho")),NOT(AND(MOVIMIENTOS!$B19="SALDO INICIAL",MOVIMIENTOS!$C19="Chancho"))),COUNT(J$6:J19)+1,"")</f>
        <v>10</v>
      </c>
      <c r="K20" s="53" t="n">
        <f aca="false">IF(AND(MOVIMIENTOS!$B19&lt;&gt;"",NOT(AND(MOVIMIENTOS!$B19="PROCESO",MOVIMIENTOS!$C19&lt;&gt;"Chancho")),NOT(AND(MOVIMIENTOS!$B19="SALDO INICIAL",MOVIMIENTOS!$C19="Chancho"))),MOVIMIENTOS!$A19,"")</f>
        <v>46216</v>
      </c>
      <c r="L20" s="48" t="str">
        <f aca="false">IF(AND(MOVIMIENTOS!$B19&lt;&gt;"",NOT(AND(MOVIMIENTOS!$B19="PROCESO",MOVIMIENTOS!$C19&lt;&gt;"Chancho")),NOT(AND(MOVIMIENTOS!$B19="SALDO INICIAL",MOVIMIENTOS!$C19="Chancho"))),IF(MOVIMIENTOS!$B19="SALDO INICIAL","APERTURA ("&amp;MOVIMIENTOS!$C19&amp;")",IF(MOVIMIENTOS!$B19="COMPRA","INGRESO (compra)",IF(MOVIMIENTOS!$B19="PROCESO","CHANCHO (proceso)",IF(MOVIMIENTOS!$B19="ENVÍO A SUPESA","ENVÍO cal. "&amp;MOVIMIENTOS!$C19,IF(MOVIMIENTOS!$B19="VENTA CHANCHO","VENTA CHANCHO",IF(MOVIMIENTOS!$B19="VENTA","VENTA cal. "&amp;MOVIMIENTOS!$C19,IF(MOVIMIENTOS!$B19="REGALO","REGALO "&amp;MOVIMIENTOS!$C19,IF(MOVIMIENTOS!$B19="RECHAZO","RECHAZO cal. "&amp;MOVIMIENTOS!$C19&amp;" (va a reproceso)",IF(MOVIMIENTOS!$B19="DEVOLUCIÓN","DEVOLUCIÓN cal. "&amp;MOVIMIENTOS!$C19&amp;" (regresa intacta)",IF(MOVIMIENTOS!$B19="TRASIEGO","TRASIEGO cal. "&amp;MOVIMIENTOS!$C19,MOVIMIENTOS!$B19)))))))))),"")</f>
        <v>INGRESO (compra)</v>
      </c>
      <c r="M20" s="48" t="n">
        <f aca="false">IF(AND(AND(MOVIMIENTOS!$B19&lt;&gt;"",NOT(AND(MOVIMIENTOS!$B19="PROCESO",MOVIMIENTOS!$C19&lt;&gt;"Chancho")),NOT(AND(MOVIMIENTOS!$B19="SALDO INICIAL",MOVIMIENTOS!$C19="Chancho"))),OR(MOVIMIENTOS!$B19="SALDO INICIAL",MOVIMIENTOS!$B19="COMPRA",MOVIMIENTOS!$B19="REPROCESO",MOVIMIENTOS!$B19="DEVOLUCIÓN",AND(MOVIMIENTOS!$B19="AJUSTE",MOVIMIENTOS!$C19&lt;&gt;"Chancho",N(MOVIMIENTOS!$F19)&gt;=0))),N(MOVIMIENTOS!$F19),"")</f>
        <v>3800</v>
      </c>
      <c r="N20" s="48" t="str">
        <f aca="false">IF(AND(AND(MOVIMIENTOS!$B19&lt;&gt;"",NOT(AND(MOVIMIENTOS!$B19="PROCESO",MOVIMIENTOS!$C19&lt;&gt;"Chancho")),NOT(AND(MOVIMIENTOS!$B19="SALDO INICIAL",MOVIMIENTOS!$C19="Chancho"))),OR(MOVIMIENTOS!$B19="ENVÍO A SUPESA",MOVIMIENTOS!$B19="MALOGRADO",MOVIMIENTOS!$B19="OTRA SALIDA",MOVIMIENTOS!$B19="TRASIEGO",AND(MOVIMIENTOS!$B19="PROCESO",MOVIMIENTOS!$C19="Chancho"),AND(MOVIMIENTOS!$B19="REGALO",MOVIMIENTOS!$C19&lt;&gt;"Chancho"),AND(MOVIMIENTOS!$B19="VENTA",MOVIMIENTOS!$C19&lt;&gt;"Chancho"),AND(MOVIMIENTOS!$B19="AJUSTE",MOVIMIENTOS!$C19&lt;&gt;"Chancho",N(MOVIMIENTOS!$F19)&lt;0))),IF(MOVIMIENTOS!$B19="AJUSTE",-N(MOVIMIENTOS!$F19),N(MOVIMIENTOS!$F19)),"")</f>
        <v/>
      </c>
      <c r="O20" s="48" t="str">
        <f aca="false">IF(AND(MOVIMIENTOS!$B19&lt;&gt;"",NOT(AND(MOVIMIENTOS!$B19="PROCESO",MOVIMIENTOS!$C19&lt;&gt;"Chancho")),NOT(AND(MOVIMIENTOS!$B19="SALDO INICIAL",MOVIMIENTOS!$C19="Chancho"))),IF(MOVIMIENTOS!$B19="RECHAZO",MOVIMIENTOS!$E19&amp;" jabas rechazadas · van a reproceso",IF(MOVIMIENTOS!$B19="REPROCESO",MOVIMIENTOS!$E19&amp;" kg recuperados (merma del día: "&amp;TEXT(SUMPRODUCT((MOVIMIENTOS!$A$5:$A$400=MOVIMIENTOS!$A19)*(MOVIMIENTOS!$B$5:$B$400="RECHAZO")*(MOVIMIENTOS!$D$5:$D$400="jabas")*MOVIMIENTOS!$E$5:$E$400*IFERROR(_xlfn.SWITCH(MOVIMIENTOS!$C$5:$C$400,"A",15,"P",18,"C",17,"M",17,0),0))-SUMPRODUCT((MOVIMIENTOS!$A$5:$A$400=MOVIMIENTOS!$A19)*(MOVIMIENTOS!$B$5:$B$400="REPROCESO")*MOVIMIENTOS!$I$5:$I$400),"+#,##0;-#,##0;0")&amp;" kg)",TRIM(IF(MOVIMIENTOS!$G19&lt;&gt;"",MOVIMIENTOS!$G19&amp;"  ","")&amp;IF(N(MOVIMIENTOS!$D19)&gt;0,MOVIMIENTOS!$D19&amp;" "&amp;MOVIMIENTOS!$D19,"")))),"")</f>
        <v/>
      </c>
      <c r="P20" s="48" t="n">
        <f aca="false">N(P19)+N(M20)-N(N20)</f>
        <v>4125</v>
      </c>
      <c r="Q20" s="48"/>
      <c r="R20" s="48"/>
      <c r="S20" s="48"/>
      <c r="T20" s="48"/>
    </row>
    <row r="21" customFormat="false" ht="15" hidden="false" customHeight="true" outlineLevel="0" collapsed="false">
      <c r="A21" s="51" t="n">
        <f aca="false">IFERROR(INDEX(K$6:K$401,MATCH(ROW()-5,J$6:J$401,0)),"")</f>
        <v>46217</v>
      </c>
      <c r="B21" s="56" t="str">
        <f aca="false">IFERROR(INDEX(L$6:L$401,MATCH(ROW()-5,J$6:J$401,0)),"")</f>
        <v>INGRESO (compra)</v>
      </c>
      <c r="C21" s="52" t="n">
        <f aca="false">IFERROR(INDEX(M$6:M$401,MATCH(ROW()-5,J$6:J$401,0)),"")</f>
        <v>3800</v>
      </c>
      <c r="D21" s="52" t="str">
        <f aca="false">IFERROR(INDEX(N$6:N$401,MATCH(ROW()-5,J$6:J$401,0)),"")</f>
        <v/>
      </c>
      <c r="E21" s="56" t="str">
        <f aca="false">IFERROR(INDEX(O$6:O$401,MATCH(ROW()-5,J$6:J$401,0)),"")</f>
        <v/>
      </c>
      <c r="F21" s="52" t="n">
        <f aca="false">IFERROR(INDEX(P$6:P$401,MATCH(ROW()-5,J$6:J$401,0)),"")</f>
        <v>4679</v>
      </c>
      <c r="G21" s="48"/>
      <c r="H21" s="48"/>
      <c r="I21" s="48"/>
      <c r="J21" s="48" t="str">
        <f aca="false">IF(AND(MOVIMIENTOS!$B20&lt;&gt;"",NOT(AND(MOVIMIENTOS!$B20="PROCESO",MOVIMIENTOS!$C20&lt;&gt;"Chancho")),NOT(AND(MOVIMIENTOS!$B20="SALDO INICIAL",MOVIMIENTOS!$C20="Chancho"))),COUNT(J$6:J20)+1,"")</f>
        <v/>
      </c>
      <c r="K21" s="48" t="str">
        <f aca="false">IF(AND(MOVIMIENTOS!$B20&lt;&gt;"",NOT(AND(MOVIMIENTOS!$B20="PROCESO",MOVIMIENTOS!$C20&lt;&gt;"Chancho")),NOT(AND(MOVIMIENTOS!$B20="SALDO INICIAL",MOVIMIENTOS!$C20="Chancho"))),MOVIMIENTOS!$A20,"")</f>
        <v/>
      </c>
      <c r="L21" s="48" t="str">
        <f aca="false">IF(AND(MOVIMIENTOS!$B20&lt;&gt;"",NOT(AND(MOVIMIENTOS!$B20="PROCESO",MOVIMIENTOS!$C20&lt;&gt;"Chancho")),NOT(AND(MOVIMIENTOS!$B20="SALDO INICIAL",MOVIMIENTOS!$C20="Chancho"))),IF(MOVIMIENTOS!$B20="SALDO INICIAL","APERTURA ("&amp;MOVIMIENTOS!$C20&amp;")",IF(MOVIMIENTOS!$B20="COMPRA","INGRESO (compra)",IF(MOVIMIENTOS!$B20="PROCESO","CHANCHO (proceso)",IF(MOVIMIENTOS!$B20="ENVÍO A SUPESA","ENVÍO cal. "&amp;MOVIMIENTOS!$C20,IF(MOVIMIENTOS!$B20="VENTA CHANCHO","VENTA CHANCHO",IF(MOVIMIENTOS!$B20="VENTA","VENTA cal. "&amp;MOVIMIENTOS!$C20,IF(MOVIMIENTOS!$B20="REGALO","REGALO "&amp;MOVIMIENTOS!$C20,IF(MOVIMIENTOS!$B20="RECHAZO","RECHAZO cal. "&amp;MOVIMIENTOS!$C20&amp;" (va a reproceso)",IF(MOVIMIENTOS!$B20="DEVOLUCIÓN","DEVOLUCIÓN cal. "&amp;MOVIMIENTOS!$C20&amp;" (regresa intacta)",IF(MOVIMIENTOS!$B20="TRASIEGO","TRASIEGO cal. "&amp;MOVIMIENTOS!$C20,MOVIMIENTOS!$B20)))))))))),"")</f>
        <v/>
      </c>
      <c r="M21" s="48" t="str">
        <f aca="false">IF(AND(AND(MOVIMIENTOS!$B20&lt;&gt;"",NOT(AND(MOVIMIENTOS!$B20="PROCESO",MOVIMIENTOS!$C20&lt;&gt;"Chancho")),NOT(AND(MOVIMIENTOS!$B20="SALDO INICIAL",MOVIMIENTOS!$C20="Chancho"))),OR(MOVIMIENTOS!$B20="SALDO INICIAL",MOVIMIENTOS!$B20="COMPRA",MOVIMIENTOS!$B20="REPROCESO",MOVIMIENTOS!$B20="DEVOLUCIÓN",AND(MOVIMIENTOS!$B20="AJUSTE",MOVIMIENTOS!$C20&lt;&gt;"Chancho",N(MOVIMIENTOS!$F20)&gt;=0))),N(MOVIMIENTOS!$F20),"")</f>
        <v/>
      </c>
      <c r="N21" s="48" t="str">
        <f aca="false">IF(AND(AND(MOVIMIENTOS!$B20&lt;&gt;"",NOT(AND(MOVIMIENTOS!$B20="PROCESO",MOVIMIENTOS!$C20&lt;&gt;"Chancho")),NOT(AND(MOVIMIENTOS!$B20="SALDO INICIAL",MOVIMIENTOS!$C20="Chancho"))),OR(MOVIMIENTOS!$B20="ENVÍO A SUPESA",MOVIMIENTOS!$B20="MALOGRADO",MOVIMIENTOS!$B20="OTRA SALIDA",MOVIMIENTOS!$B20="TRASIEGO",AND(MOVIMIENTOS!$B20="PROCESO",MOVIMIENTOS!$C20="Chancho"),AND(MOVIMIENTOS!$B20="REGALO",MOVIMIENTOS!$C20&lt;&gt;"Chancho"),AND(MOVIMIENTOS!$B20="VENTA",MOVIMIENTOS!$C20&lt;&gt;"Chancho"),AND(MOVIMIENTOS!$B20="AJUSTE",MOVIMIENTOS!$C20&lt;&gt;"Chancho",N(MOVIMIENTOS!$F20)&lt;0))),IF(MOVIMIENTOS!$B20="AJUSTE",-N(MOVIMIENTOS!$F20),N(MOVIMIENTOS!$F20)),"")</f>
        <v/>
      </c>
      <c r="O21" s="48" t="str">
        <f aca="false">IF(AND(MOVIMIENTOS!$B20&lt;&gt;"",NOT(AND(MOVIMIENTOS!$B20="PROCESO",MOVIMIENTOS!$C20&lt;&gt;"Chancho")),NOT(AND(MOVIMIENTOS!$B20="SALDO INICIAL",MOVIMIENTOS!$C20="Chancho"))),IF(MOVIMIENTOS!$B20="RECHAZO",MOVIMIENTOS!$E20&amp;" jabas rechazadas · van a reproceso",IF(MOVIMIENTOS!$B20="REPROCESO",MOVIMIENTOS!$E20&amp;" kg recuperados (merma del día: "&amp;TEXT(SUMPRODUCT((MOVIMIENTOS!$A$5:$A$400=MOVIMIENTOS!$A20)*(MOVIMIENTOS!$B$5:$B$400="RECHAZO")*(MOVIMIENTOS!$D$5:$D$400="jabas")*MOVIMIENTOS!$E$5:$E$400*IFERROR(_xlfn.SWITCH(MOVIMIENTOS!$C$5:$C$400,"A",15,"P",18,"C",17,"M",17,0),0))-SUMPRODUCT((MOVIMIENTOS!$A$5:$A$400=MOVIMIENTOS!$A20)*(MOVIMIENTOS!$B$5:$B$400="REPROCESO")*MOVIMIENTOS!$I$5:$I$400),"+#,##0;-#,##0;0")&amp;" kg)",TRIM(IF(MOVIMIENTOS!$G20&lt;&gt;"",MOVIMIENTOS!$G20&amp;"  ","")&amp;IF(N(MOVIMIENTOS!$D20)&gt;0,MOVIMIENTOS!$D20&amp;" "&amp;MOVIMIENTOS!$D20,"")))),"")</f>
        <v/>
      </c>
      <c r="P21" s="48" t="n">
        <f aca="false">N(P20)+N(M21)-N(N21)</f>
        <v>4125</v>
      </c>
      <c r="Q21" s="48"/>
      <c r="R21" s="48"/>
      <c r="S21" s="48"/>
      <c r="T21" s="48"/>
    </row>
    <row r="22" customFormat="false" ht="15" hidden="false" customHeight="true" outlineLevel="0" collapsed="false">
      <c r="A22" s="51" t="n">
        <f aca="false">IFERROR(INDEX(K$6:K$401,MATCH(ROW()-5,J$6:J$401,0)),"")</f>
        <v>46217</v>
      </c>
      <c r="B22" s="56" t="str">
        <f aca="false">IFERROR(INDEX(L$6:L$401,MATCH(ROW()-5,J$6:J$401,0)),"")</f>
        <v>CHANCHO (proceso)</v>
      </c>
      <c r="C22" s="52" t="str">
        <f aca="false">IFERROR(INDEX(M$6:M$401,MATCH(ROW()-5,J$6:J$401,0)),"")</f>
        <v/>
      </c>
      <c r="D22" s="52" t="n">
        <f aca="false">IFERROR(INDEX(N$6:N$401,MATCH(ROW()-5,J$6:J$401,0)),"")</f>
        <v>665</v>
      </c>
      <c r="E22" s="56" t="str">
        <f aca="false">IFERROR(INDEX(O$6:O$401,MATCH(ROW()-5,J$6:J$401,0)),"")</f>
        <v/>
      </c>
      <c r="F22" s="52" t="n">
        <f aca="false">IFERROR(INDEX(P$6:P$401,MATCH(ROW()-5,J$6:J$401,0)),"")</f>
        <v>4014</v>
      </c>
      <c r="G22" s="48"/>
      <c r="H22" s="48"/>
      <c r="I22" s="48"/>
      <c r="J22" s="48" t="str">
        <f aca="false">IF(AND(MOVIMIENTOS!$B21&lt;&gt;"",NOT(AND(MOVIMIENTOS!$B21="PROCESO",MOVIMIENTOS!$C21&lt;&gt;"Chancho")),NOT(AND(MOVIMIENTOS!$B21="SALDO INICIAL",MOVIMIENTOS!$C21="Chancho"))),COUNT(J$6:J21)+1,"")</f>
        <v/>
      </c>
      <c r="K22" s="48" t="str">
        <f aca="false">IF(AND(MOVIMIENTOS!$B21&lt;&gt;"",NOT(AND(MOVIMIENTOS!$B21="PROCESO",MOVIMIENTOS!$C21&lt;&gt;"Chancho")),NOT(AND(MOVIMIENTOS!$B21="SALDO INICIAL",MOVIMIENTOS!$C21="Chancho"))),MOVIMIENTOS!$A21,"")</f>
        <v/>
      </c>
      <c r="L22" s="48" t="str">
        <f aca="false">IF(AND(MOVIMIENTOS!$B21&lt;&gt;"",NOT(AND(MOVIMIENTOS!$B21="PROCESO",MOVIMIENTOS!$C21&lt;&gt;"Chancho")),NOT(AND(MOVIMIENTOS!$B21="SALDO INICIAL",MOVIMIENTOS!$C21="Chancho"))),IF(MOVIMIENTOS!$B21="SALDO INICIAL","APERTURA ("&amp;MOVIMIENTOS!$C21&amp;")",IF(MOVIMIENTOS!$B21="COMPRA","INGRESO (compra)",IF(MOVIMIENTOS!$B21="PROCESO","CHANCHO (proceso)",IF(MOVIMIENTOS!$B21="ENVÍO A SUPESA","ENVÍO cal. "&amp;MOVIMIENTOS!$C21,IF(MOVIMIENTOS!$B21="VENTA CHANCHO","VENTA CHANCHO",IF(MOVIMIENTOS!$B21="VENTA","VENTA cal. "&amp;MOVIMIENTOS!$C21,IF(MOVIMIENTOS!$B21="REGALO","REGALO "&amp;MOVIMIENTOS!$C21,IF(MOVIMIENTOS!$B21="RECHAZO","RECHAZO cal. "&amp;MOVIMIENTOS!$C21&amp;" (va a reproceso)",IF(MOVIMIENTOS!$B21="DEVOLUCIÓN","DEVOLUCIÓN cal. "&amp;MOVIMIENTOS!$C21&amp;" (regresa intacta)",IF(MOVIMIENTOS!$B21="TRASIEGO","TRASIEGO cal. "&amp;MOVIMIENTOS!$C21,MOVIMIENTOS!$B21)))))))))),"")</f>
        <v/>
      </c>
      <c r="M22" s="48" t="str">
        <f aca="false">IF(AND(AND(MOVIMIENTOS!$B21&lt;&gt;"",NOT(AND(MOVIMIENTOS!$B21="PROCESO",MOVIMIENTOS!$C21&lt;&gt;"Chancho")),NOT(AND(MOVIMIENTOS!$B21="SALDO INICIAL",MOVIMIENTOS!$C21="Chancho"))),OR(MOVIMIENTOS!$B21="SALDO INICIAL",MOVIMIENTOS!$B21="COMPRA",MOVIMIENTOS!$B21="REPROCESO",MOVIMIENTOS!$B21="DEVOLUCIÓN",AND(MOVIMIENTOS!$B21="AJUSTE",MOVIMIENTOS!$C21&lt;&gt;"Chancho",N(MOVIMIENTOS!$F21)&gt;=0))),N(MOVIMIENTOS!$F21),"")</f>
        <v/>
      </c>
      <c r="N22" s="48" t="str">
        <f aca="false">IF(AND(AND(MOVIMIENTOS!$B21&lt;&gt;"",NOT(AND(MOVIMIENTOS!$B21="PROCESO",MOVIMIENTOS!$C21&lt;&gt;"Chancho")),NOT(AND(MOVIMIENTOS!$B21="SALDO INICIAL",MOVIMIENTOS!$C21="Chancho"))),OR(MOVIMIENTOS!$B21="ENVÍO A SUPESA",MOVIMIENTOS!$B21="MALOGRADO",MOVIMIENTOS!$B21="OTRA SALIDA",MOVIMIENTOS!$B21="TRASIEGO",AND(MOVIMIENTOS!$B21="PROCESO",MOVIMIENTOS!$C21="Chancho"),AND(MOVIMIENTOS!$B21="REGALO",MOVIMIENTOS!$C21&lt;&gt;"Chancho"),AND(MOVIMIENTOS!$B21="VENTA",MOVIMIENTOS!$C21&lt;&gt;"Chancho"),AND(MOVIMIENTOS!$B21="AJUSTE",MOVIMIENTOS!$C21&lt;&gt;"Chancho",N(MOVIMIENTOS!$F21)&lt;0))),IF(MOVIMIENTOS!$B21="AJUSTE",-N(MOVIMIENTOS!$F21),N(MOVIMIENTOS!$F21)),"")</f>
        <v/>
      </c>
      <c r="O22" s="48" t="str">
        <f aca="false">IF(AND(MOVIMIENTOS!$B21&lt;&gt;"",NOT(AND(MOVIMIENTOS!$B21="PROCESO",MOVIMIENTOS!$C21&lt;&gt;"Chancho")),NOT(AND(MOVIMIENTOS!$B21="SALDO INICIAL",MOVIMIENTOS!$C21="Chancho"))),IF(MOVIMIENTOS!$B21="RECHAZO",MOVIMIENTOS!$E21&amp;" jabas rechazadas · van a reproceso",IF(MOVIMIENTOS!$B21="REPROCESO",MOVIMIENTOS!$E21&amp;" kg recuperados (merma del día: "&amp;TEXT(SUMPRODUCT((MOVIMIENTOS!$A$5:$A$400=MOVIMIENTOS!$A21)*(MOVIMIENTOS!$B$5:$B$400="RECHAZO")*(MOVIMIENTOS!$D$5:$D$400="jabas")*MOVIMIENTOS!$E$5:$E$400*IFERROR(_xlfn.SWITCH(MOVIMIENTOS!$C$5:$C$400,"A",15,"P",18,"C",17,"M",17,0),0))-SUMPRODUCT((MOVIMIENTOS!$A$5:$A$400=MOVIMIENTOS!$A21)*(MOVIMIENTOS!$B$5:$B$400="REPROCESO")*MOVIMIENTOS!$I$5:$I$400),"+#,##0;-#,##0;0")&amp;" kg)",TRIM(IF(MOVIMIENTOS!$G21&lt;&gt;"",MOVIMIENTOS!$G21&amp;"  ","")&amp;IF(N(MOVIMIENTOS!$D21)&gt;0,MOVIMIENTOS!$D21&amp;" "&amp;MOVIMIENTOS!$D21,"")))),"")</f>
        <v/>
      </c>
      <c r="P22" s="48" t="n">
        <f aca="false">N(P21)+N(M22)-N(N22)</f>
        <v>4125</v>
      </c>
      <c r="Q22" s="48"/>
      <c r="R22" s="48"/>
      <c r="S22" s="48"/>
      <c r="T22" s="48"/>
    </row>
    <row r="23" customFormat="false" ht="15" hidden="false" customHeight="true" outlineLevel="0" collapsed="false">
      <c r="A23" s="51" t="n">
        <f aca="false">IFERROR(INDEX(K$6:K$401,MATCH(ROW()-5,J$6:J$401,0)),"")</f>
        <v>46217</v>
      </c>
      <c r="B23" s="56" t="str">
        <f aca="false">IFERROR(INDEX(L$6:L$401,MATCH(ROW()-5,J$6:J$401,0)),"")</f>
        <v>ENVÍO cal. A</v>
      </c>
      <c r="C23" s="52" t="str">
        <f aca="false">IFERROR(INDEX(M$6:M$401,MATCH(ROW()-5,J$6:J$401,0)),"")</f>
        <v/>
      </c>
      <c r="D23" s="52" t="n">
        <f aca="false">IFERROR(INDEX(N$6:N$401,MATCH(ROW()-5,J$6:J$401,0)),"")</f>
        <v>1005</v>
      </c>
      <c r="E23" s="56" t="str">
        <f aca="false">IFERROR(INDEX(O$6:O$401,MATCH(ROW()-5,J$6:J$401,0)),"")</f>
        <v>2984</v>
      </c>
      <c r="F23" s="52" t="n">
        <f aca="false">IFERROR(INDEX(P$6:P$401,MATCH(ROW()-5,J$6:J$401,0)),"")</f>
        <v>3009</v>
      </c>
      <c r="G23" s="48"/>
      <c r="H23" s="48"/>
      <c r="I23" s="48"/>
      <c r="J23" s="48" t="str">
        <f aca="false">IF(AND(MOVIMIENTOS!$B22&lt;&gt;"",NOT(AND(MOVIMIENTOS!$B22="PROCESO",MOVIMIENTOS!$C22&lt;&gt;"Chancho")),NOT(AND(MOVIMIENTOS!$B22="SALDO INICIAL",MOVIMIENTOS!$C22="Chancho"))),COUNT(J$6:J22)+1,"")</f>
        <v/>
      </c>
      <c r="K23" s="48" t="str">
        <f aca="false">IF(AND(MOVIMIENTOS!$B22&lt;&gt;"",NOT(AND(MOVIMIENTOS!$B22="PROCESO",MOVIMIENTOS!$C22&lt;&gt;"Chancho")),NOT(AND(MOVIMIENTOS!$B22="SALDO INICIAL",MOVIMIENTOS!$C22="Chancho"))),MOVIMIENTOS!$A22,"")</f>
        <v/>
      </c>
      <c r="L23" s="48" t="str">
        <f aca="false">IF(AND(MOVIMIENTOS!$B22&lt;&gt;"",NOT(AND(MOVIMIENTOS!$B22="PROCESO",MOVIMIENTOS!$C22&lt;&gt;"Chancho")),NOT(AND(MOVIMIENTOS!$B22="SALDO INICIAL",MOVIMIENTOS!$C22="Chancho"))),IF(MOVIMIENTOS!$B22="SALDO INICIAL","APERTURA ("&amp;MOVIMIENTOS!$C22&amp;")",IF(MOVIMIENTOS!$B22="COMPRA","INGRESO (compra)",IF(MOVIMIENTOS!$B22="PROCESO","CHANCHO (proceso)",IF(MOVIMIENTOS!$B22="ENVÍO A SUPESA","ENVÍO cal. "&amp;MOVIMIENTOS!$C22,IF(MOVIMIENTOS!$B22="VENTA CHANCHO","VENTA CHANCHO",IF(MOVIMIENTOS!$B22="VENTA","VENTA cal. "&amp;MOVIMIENTOS!$C22,IF(MOVIMIENTOS!$B22="REGALO","REGALO "&amp;MOVIMIENTOS!$C22,IF(MOVIMIENTOS!$B22="RECHAZO","RECHAZO cal. "&amp;MOVIMIENTOS!$C22&amp;" (va a reproceso)",IF(MOVIMIENTOS!$B22="DEVOLUCIÓN","DEVOLUCIÓN cal. "&amp;MOVIMIENTOS!$C22&amp;" (regresa intacta)",IF(MOVIMIENTOS!$B22="TRASIEGO","TRASIEGO cal. "&amp;MOVIMIENTOS!$C22,MOVIMIENTOS!$B22)))))))))),"")</f>
        <v/>
      </c>
      <c r="M23" s="48" t="str">
        <f aca="false">IF(AND(AND(MOVIMIENTOS!$B22&lt;&gt;"",NOT(AND(MOVIMIENTOS!$B22="PROCESO",MOVIMIENTOS!$C22&lt;&gt;"Chancho")),NOT(AND(MOVIMIENTOS!$B22="SALDO INICIAL",MOVIMIENTOS!$C22="Chancho"))),OR(MOVIMIENTOS!$B22="SALDO INICIAL",MOVIMIENTOS!$B22="COMPRA",MOVIMIENTOS!$B22="REPROCESO",MOVIMIENTOS!$B22="DEVOLUCIÓN",AND(MOVIMIENTOS!$B22="AJUSTE",MOVIMIENTOS!$C22&lt;&gt;"Chancho",N(MOVIMIENTOS!$F22)&gt;=0))),N(MOVIMIENTOS!$F22),"")</f>
        <v/>
      </c>
      <c r="N23" s="48" t="str">
        <f aca="false">IF(AND(AND(MOVIMIENTOS!$B22&lt;&gt;"",NOT(AND(MOVIMIENTOS!$B22="PROCESO",MOVIMIENTOS!$C22&lt;&gt;"Chancho")),NOT(AND(MOVIMIENTOS!$B22="SALDO INICIAL",MOVIMIENTOS!$C22="Chancho"))),OR(MOVIMIENTOS!$B22="ENVÍO A SUPESA",MOVIMIENTOS!$B22="MALOGRADO",MOVIMIENTOS!$B22="OTRA SALIDA",MOVIMIENTOS!$B22="TRASIEGO",AND(MOVIMIENTOS!$B22="PROCESO",MOVIMIENTOS!$C22="Chancho"),AND(MOVIMIENTOS!$B22="REGALO",MOVIMIENTOS!$C22&lt;&gt;"Chancho"),AND(MOVIMIENTOS!$B22="VENTA",MOVIMIENTOS!$C22&lt;&gt;"Chancho"),AND(MOVIMIENTOS!$B22="AJUSTE",MOVIMIENTOS!$C22&lt;&gt;"Chancho",N(MOVIMIENTOS!$F22)&lt;0))),IF(MOVIMIENTOS!$B22="AJUSTE",-N(MOVIMIENTOS!$F22),N(MOVIMIENTOS!$F22)),"")</f>
        <v/>
      </c>
      <c r="O23" s="48" t="str">
        <f aca="false">IF(AND(MOVIMIENTOS!$B22&lt;&gt;"",NOT(AND(MOVIMIENTOS!$B22="PROCESO",MOVIMIENTOS!$C22&lt;&gt;"Chancho")),NOT(AND(MOVIMIENTOS!$B22="SALDO INICIAL",MOVIMIENTOS!$C22="Chancho"))),IF(MOVIMIENTOS!$B22="RECHAZO",MOVIMIENTOS!$E22&amp;" jabas rechazadas · van a reproceso",IF(MOVIMIENTOS!$B22="REPROCESO",MOVIMIENTOS!$E22&amp;" kg recuperados (merma del día: "&amp;TEXT(SUMPRODUCT((MOVIMIENTOS!$A$5:$A$400=MOVIMIENTOS!$A22)*(MOVIMIENTOS!$B$5:$B$400="RECHAZO")*(MOVIMIENTOS!$D$5:$D$400="jabas")*MOVIMIENTOS!$E$5:$E$400*IFERROR(_xlfn.SWITCH(MOVIMIENTOS!$C$5:$C$400,"A",15,"P",18,"C",17,"M",17,0),0))-SUMPRODUCT((MOVIMIENTOS!$A$5:$A$400=MOVIMIENTOS!$A22)*(MOVIMIENTOS!$B$5:$B$400="REPROCESO")*MOVIMIENTOS!$I$5:$I$400),"+#,##0;-#,##0;0")&amp;" kg)",TRIM(IF(MOVIMIENTOS!$G22&lt;&gt;"",MOVIMIENTOS!$G22&amp;"  ","")&amp;IF(N(MOVIMIENTOS!$D22)&gt;0,MOVIMIENTOS!$D22&amp;" "&amp;MOVIMIENTOS!$D22,"")))),"")</f>
        <v/>
      </c>
      <c r="P23" s="48" t="n">
        <f aca="false">N(P22)+N(M23)-N(N23)</f>
        <v>4125</v>
      </c>
      <c r="Q23" s="48"/>
      <c r="R23" s="48"/>
      <c r="S23" s="48"/>
      <c r="T23" s="48"/>
    </row>
    <row r="24" customFormat="false" ht="15" hidden="false" customHeight="true" outlineLevel="0" collapsed="false">
      <c r="A24" s="51" t="n">
        <f aca="false">IFERROR(INDEX(K$6:K$401,MATCH(ROW()-5,J$6:J$401,0)),"")</f>
        <v>46217</v>
      </c>
      <c r="B24" s="56" t="str">
        <f aca="false">IFERROR(INDEX(L$6:L$401,MATCH(ROW()-5,J$6:J$401,0)),"")</f>
        <v>ENVÍO cal. P</v>
      </c>
      <c r="C24" s="52" t="str">
        <f aca="false">IFERROR(INDEX(M$6:M$401,MATCH(ROW()-5,J$6:J$401,0)),"")</f>
        <v/>
      </c>
      <c r="D24" s="52" t="n">
        <f aca="false">IFERROR(INDEX(N$6:N$401,MATCH(ROW()-5,J$6:J$401,0)),"")</f>
        <v>198</v>
      </c>
      <c r="E24" s="56" t="str">
        <f aca="false">IFERROR(INDEX(O$6:O$401,MATCH(ROW()-5,J$6:J$401,0)),"")</f>
        <v>2984</v>
      </c>
      <c r="F24" s="52" t="n">
        <f aca="false">IFERROR(INDEX(P$6:P$401,MATCH(ROW()-5,J$6:J$401,0)),"")</f>
        <v>2811</v>
      </c>
      <c r="G24" s="48"/>
      <c r="H24" s="48"/>
      <c r="I24" s="48"/>
      <c r="J24" s="48" t="str">
        <f aca="false">IF(AND(MOVIMIENTOS!$B23&lt;&gt;"",NOT(AND(MOVIMIENTOS!$B23="PROCESO",MOVIMIENTOS!$C23&lt;&gt;"Chancho")),NOT(AND(MOVIMIENTOS!$B23="SALDO INICIAL",MOVIMIENTOS!$C23="Chancho"))),COUNT(J$6:J23)+1,"")</f>
        <v/>
      </c>
      <c r="K24" s="48" t="str">
        <f aca="false">IF(AND(MOVIMIENTOS!$B23&lt;&gt;"",NOT(AND(MOVIMIENTOS!$B23="PROCESO",MOVIMIENTOS!$C23&lt;&gt;"Chancho")),NOT(AND(MOVIMIENTOS!$B23="SALDO INICIAL",MOVIMIENTOS!$C23="Chancho"))),MOVIMIENTOS!$A23,"")</f>
        <v/>
      </c>
      <c r="L24" s="48" t="str">
        <f aca="false">IF(AND(MOVIMIENTOS!$B23&lt;&gt;"",NOT(AND(MOVIMIENTOS!$B23="PROCESO",MOVIMIENTOS!$C23&lt;&gt;"Chancho")),NOT(AND(MOVIMIENTOS!$B23="SALDO INICIAL",MOVIMIENTOS!$C23="Chancho"))),IF(MOVIMIENTOS!$B23="SALDO INICIAL","APERTURA ("&amp;MOVIMIENTOS!$C23&amp;")",IF(MOVIMIENTOS!$B23="COMPRA","INGRESO (compra)",IF(MOVIMIENTOS!$B23="PROCESO","CHANCHO (proceso)",IF(MOVIMIENTOS!$B23="ENVÍO A SUPESA","ENVÍO cal. "&amp;MOVIMIENTOS!$C23,IF(MOVIMIENTOS!$B23="VENTA CHANCHO","VENTA CHANCHO",IF(MOVIMIENTOS!$B23="VENTA","VENTA cal. "&amp;MOVIMIENTOS!$C23,IF(MOVIMIENTOS!$B23="REGALO","REGALO "&amp;MOVIMIENTOS!$C23,IF(MOVIMIENTOS!$B23="RECHAZO","RECHAZO cal. "&amp;MOVIMIENTOS!$C23&amp;" (va a reproceso)",IF(MOVIMIENTOS!$B23="DEVOLUCIÓN","DEVOLUCIÓN cal. "&amp;MOVIMIENTOS!$C23&amp;" (regresa intacta)",IF(MOVIMIENTOS!$B23="TRASIEGO","TRASIEGO cal. "&amp;MOVIMIENTOS!$C23,MOVIMIENTOS!$B23)))))))))),"")</f>
        <v/>
      </c>
      <c r="M24" s="48" t="str">
        <f aca="false">IF(AND(AND(MOVIMIENTOS!$B23&lt;&gt;"",NOT(AND(MOVIMIENTOS!$B23="PROCESO",MOVIMIENTOS!$C23&lt;&gt;"Chancho")),NOT(AND(MOVIMIENTOS!$B23="SALDO INICIAL",MOVIMIENTOS!$C23="Chancho"))),OR(MOVIMIENTOS!$B23="SALDO INICIAL",MOVIMIENTOS!$B23="COMPRA",MOVIMIENTOS!$B23="REPROCESO",MOVIMIENTOS!$B23="DEVOLUCIÓN",AND(MOVIMIENTOS!$B23="AJUSTE",MOVIMIENTOS!$C23&lt;&gt;"Chancho",N(MOVIMIENTOS!$F23)&gt;=0))),N(MOVIMIENTOS!$F23),"")</f>
        <v/>
      </c>
      <c r="N24" s="48" t="str">
        <f aca="false">IF(AND(AND(MOVIMIENTOS!$B23&lt;&gt;"",NOT(AND(MOVIMIENTOS!$B23="PROCESO",MOVIMIENTOS!$C23&lt;&gt;"Chancho")),NOT(AND(MOVIMIENTOS!$B23="SALDO INICIAL",MOVIMIENTOS!$C23="Chancho"))),OR(MOVIMIENTOS!$B23="ENVÍO A SUPESA",MOVIMIENTOS!$B23="MALOGRADO",MOVIMIENTOS!$B23="OTRA SALIDA",MOVIMIENTOS!$B23="TRASIEGO",AND(MOVIMIENTOS!$B23="PROCESO",MOVIMIENTOS!$C23="Chancho"),AND(MOVIMIENTOS!$B23="REGALO",MOVIMIENTOS!$C23&lt;&gt;"Chancho"),AND(MOVIMIENTOS!$B23="VENTA",MOVIMIENTOS!$C23&lt;&gt;"Chancho"),AND(MOVIMIENTOS!$B23="AJUSTE",MOVIMIENTOS!$C23&lt;&gt;"Chancho",N(MOVIMIENTOS!$F23)&lt;0))),IF(MOVIMIENTOS!$B23="AJUSTE",-N(MOVIMIENTOS!$F23),N(MOVIMIENTOS!$F23)),"")</f>
        <v/>
      </c>
      <c r="O24" s="48" t="str">
        <f aca="false">IF(AND(MOVIMIENTOS!$B23&lt;&gt;"",NOT(AND(MOVIMIENTOS!$B23="PROCESO",MOVIMIENTOS!$C23&lt;&gt;"Chancho")),NOT(AND(MOVIMIENTOS!$B23="SALDO INICIAL",MOVIMIENTOS!$C23="Chancho"))),IF(MOVIMIENTOS!$B23="RECHAZO",MOVIMIENTOS!$E23&amp;" jabas rechazadas · van a reproceso",IF(MOVIMIENTOS!$B23="REPROCESO",MOVIMIENTOS!$E23&amp;" kg recuperados (merma del día: "&amp;TEXT(SUMPRODUCT((MOVIMIENTOS!$A$5:$A$400=MOVIMIENTOS!$A23)*(MOVIMIENTOS!$B$5:$B$400="RECHAZO")*(MOVIMIENTOS!$D$5:$D$400="jabas")*MOVIMIENTOS!$E$5:$E$400*IFERROR(_xlfn.SWITCH(MOVIMIENTOS!$C$5:$C$400,"A",15,"P",18,"C",17,"M",17,0),0))-SUMPRODUCT((MOVIMIENTOS!$A$5:$A$400=MOVIMIENTOS!$A23)*(MOVIMIENTOS!$B$5:$B$400="REPROCESO")*MOVIMIENTOS!$I$5:$I$400),"+#,##0;-#,##0;0")&amp;" kg)",TRIM(IF(MOVIMIENTOS!$G23&lt;&gt;"",MOVIMIENTOS!$G23&amp;"  ","")&amp;IF(N(MOVIMIENTOS!$D23)&gt;0,MOVIMIENTOS!$D23&amp;" "&amp;MOVIMIENTOS!$D23,"")))),"")</f>
        <v/>
      </c>
      <c r="P24" s="48" t="n">
        <f aca="false">N(P23)+N(M24)-N(N24)</f>
        <v>4125</v>
      </c>
      <c r="Q24" s="48"/>
      <c r="R24" s="48"/>
      <c r="S24" s="48"/>
      <c r="T24" s="48"/>
    </row>
    <row r="25" customFormat="false" ht="15" hidden="false" customHeight="true" outlineLevel="0" collapsed="false">
      <c r="A25" s="51" t="n">
        <f aca="false">IFERROR(INDEX(K$6:K$401,MATCH(ROW()-5,J$6:J$401,0)),"")</f>
        <v>46217</v>
      </c>
      <c r="B25" s="56" t="str">
        <f aca="false">IFERROR(INDEX(L$6:L$401,MATCH(ROW()-5,J$6:J$401,0)),"")</f>
        <v>ENVÍO cal. C</v>
      </c>
      <c r="C25" s="52" t="str">
        <f aca="false">IFERROR(INDEX(M$6:M$401,MATCH(ROW()-5,J$6:J$401,0)),"")</f>
        <v/>
      </c>
      <c r="D25" s="52" t="n">
        <f aca="false">IFERROR(INDEX(N$6:N$401,MATCH(ROW()-5,J$6:J$401,0)),"")</f>
        <v>204</v>
      </c>
      <c r="E25" s="56" t="str">
        <f aca="false">IFERROR(INDEX(O$6:O$401,MATCH(ROW()-5,J$6:J$401,0)),"")</f>
        <v>2984</v>
      </c>
      <c r="F25" s="52" t="n">
        <f aca="false">IFERROR(INDEX(P$6:P$401,MATCH(ROW()-5,J$6:J$401,0)),"")</f>
        <v>2607</v>
      </c>
      <c r="G25" s="48"/>
      <c r="H25" s="48"/>
      <c r="I25" s="48"/>
      <c r="J25" s="48" t="n">
        <f aca="false">IF(AND(MOVIMIENTOS!$B24&lt;&gt;"",NOT(AND(MOVIMIENTOS!$B24="PROCESO",MOVIMIENTOS!$C24&lt;&gt;"Chancho")),NOT(AND(MOVIMIENTOS!$B24="SALDO INICIAL",MOVIMIENTOS!$C24="Chancho"))),COUNT(J$6:J24)+1,"")</f>
        <v>11</v>
      </c>
      <c r="K25" s="53" t="n">
        <f aca="false">IF(AND(MOVIMIENTOS!$B24&lt;&gt;"",NOT(AND(MOVIMIENTOS!$B24="PROCESO",MOVIMIENTOS!$C24&lt;&gt;"Chancho")),NOT(AND(MOVIMIENTOS!$B24="SALDO INICIAL",MOVIMIENTOS!$C24="Chancho"))),MOVIMIENTOS!$A24,"")</f>
        <v>46216</v>
      </c>
      <c r="L25" s="48" t="str">
        <f aca="false">IF(AND(MOVIMIENTOS!$B24&lt;&gt;"",NOT(AND(MOVIMIENTOS!$B24="PROCESO",MOVIMIENTOS!$C24&lt;&gt;"Chancho")),NOT(AND(MOVIMIENTOS!$B24="SALDO INICIAL",MOVIMIENTOS!$C24="Chancho"))),IF(MOVIMIENTOS!$B24="SALDO INICIAL","APERTURA ("&amp;MOVIMIENTOS!$C24&amp;")",IF(MOVIMIENTOS!$B24="COMPRA","INGRESO (compra)",IF(MOVIMIENTOS!$B24="PROCESO","CHANCHO (proceso)",IF(MOVIMIENTOS!$B24="ENVÍO A SUPESA","ENVÍO cal. "&amp;MOVIMIENTOS!$C24,IF(MOVIMIENTOS!$B24="VENTA CHANCHO","VENTA CHANCHO",IF(MOVIMIENTOS!$B24="VENTA","VENTA cal. "&amp;MOVIMIENTOS!$C24,IF(MOVIMIENTOS!$B24="REGALO","REGALO "&amp;MOVIMIENTOS!$C24,IF(MOVIMIENTOS!$B24="RECHAZO","RECHAZO cal. "&amp;MOVIMIENTOS!$C24&amp;" (va a reproceso)",IF(MOVIMIENTOS!$B24="DEVOLUCIÓN","DEVOLUCIÓN cal. "&amp;MOVIMIENTOS!$C24&amp;" (regresa intacta)",IF(MOVIMIENTOS!$B24="TRASIEGO","TRASIEGO cal. "&amp;MOVIMIENTOS!$C24,MOVIMIENTOS!$B24)))))))))),"")</f>
        <v>CHANCHO (proceso)</v>
      </c>
      <c r="M25" s="48" t="str">
        <f aca="false">IF(AND(AND(MOVIMIENTOS!$B24&lt;&gt;"",NOT(AND(MOVIMIENTOS!$B24="PROCESO",MOVIMIENTOS!$C24&lt;&gt;"Chancho")),NOT(AND(MOVIMIENTOS!$B24="SALDO INICIAL",MOVIMIENTOS!$C24="Chancho"))),OR(MOVIMIENTOS!$B24="SALDO INICIAL",MOVIMIENTOS!$B24="COMPRA",MOVIMIENTOS!$B24="REPROCESO",MOVIMIENTOS!$B24="DEVOLUCIÓN",AND(MOVIMIENTOS!$B24="AJUSTE",MOVIMIENTOS!$C24&lt;&gt;"Chancho",N(MOVIMIENTOS!$F24)&gt;=0))),N(MOVIMIENTOS!$F24),"")</f>
        <v/>
      </c>
      <c r="N25" s="48" t="n">
        <f aca="false">IF(AND(AND(MOVIMIENTOS!$B24&lt;&gt;"",NOT(AND(MOVIMIENTOS!$B24="PROCESO",MOVIMIENTOS!$C24&lt;&gt;"Chancho")),NOT(AND(MOVIMIENTOS!$B24="SALDO INICIAL",MOVIMIENTOS!$C24="Chancho"))),OR(MOVIMIENTOS!$B24="ENVÍO A SUPESA",MOVIMIENTOS!$B24="MALOGRADO",MOVIMIENTOS!$B24="OTRA SALIDA",MOVIMIENTOS!$B24="TRASIEGO",AND(MOVIMIENTOS!$B24="PROCESO",MOVIMIENTOS!$C24="Chancho"),AND(MOVIMIENTOS!$B24="REGALO",MOVIMIENTOS!$C24&lt;&gt;"Chancho"),AND(MOVIMIENTOS!$B24="VENTA",MOVIMIENTOS!$C24&lt;&gt;"Chancho"),AND(MOVIMIENTOS!$B24="AJUSTE",MOVIMIENTOS!$C24&lt;&gt;"Chancho",N(MOVIMIENTOS!$F24)&lt;0))),IF(MOVIMIENTOS!$B24="AJUSTE",-N(MOVIMIENTOS!$F24),N(MOVIMIENTOS!$F24)),"")</f>
        <v>190</v>
      </c>
      <c r="O25" s="48" t="str">
        <f aca="false">IF(AND(MOVIMIENTOS!$B24&lt;&gt;"",NOT(AND(MOVIMIENTOS!$B24="PROCESO",MOVIMIENTOS!$C24&lt;&gt;"Chancho")),NOT(AND(MOVIMIENTOS!$B24="SALDO INICIAL",MOVIMIENTOS!$C24="Chancho"))),IF(MOVIMIENTOS!$B24="RECHAZO",MOVIMIENTOS!$E24&amp;" jabas rechazadas · van a reproceso",IF(MOVIMIENTOS!$B24="REPROCESO",MOVIMIENTOS!$E24&amp;" kg recuperados (merma del día: "&amp;TEXT(SUMPRODUCT((MOVIMIENTOS!$A$5:$A$400=MOVIMIENTOS!$A24)*(MOVIMIENTOS!$B$5:$B$400="RECHAZO")*(MOVIMIENTOS!$D$5:$D$400="jabas")*MOVIMIENTOS!$E$5:$E$400*IFERROR(_xlfn.SWITCH(MOVIMIENTOS!$C$5:$C$400,"A",15,"P",18,"C",17,"M",17,0),0))-SUMPRODUCT((MOVIMIENTOS!$A$5:$A$400=MOVIMIENTOS!$A24)*(MOVIMIENTOS!$B$5:$B$400="REPROCESO")*MOVIMIENTOS!$I$5:$I$400),"+#,##0;-#,##0;0")&amp;" kg)",TRIM(IF(MOVIMIENTOS!$G24&lt;&gt;"",MOVIMIENTOS!$G24&amp;"  ","")&amp;IF(N(MOVIMIENTOS!$D24)&gt;0,MOVIMIENTOS!$D24&amp;" "&amp;MOVIMIENTOS!$D24,"")))),"")</f>
        <v/>
      </c>
      <c r="P25" s="48" t="n">
        <f aca="false">N(P24)+N(M25)-N(N25)</f>
        <v>3935</v>
      </c>
      <c r="Q25" s="48"/>
      <c r="R25" s="48"/>
      <c r="S25" s="48"/>
      <c r="T25" s="48"/>
    </row>
    <row r="26" customFormat="false" ht="15" hidden="false" customHeight="true" outlineLevel="0" collapsed="false">
      <c r="A26" s="51" t="n">
        <f aca="false">IFERROR(INDEX(K$6:K$401,MATCH(ROW()-5,J$6:J$401,0)),"")</f>
        <v>46217</v>
      </c>
      <c r="B26" s="56" t="str">
        <f aca="false">IFERROR(INDEX(L$6:L$401,MATCH(ROW()-5,J$6:J$401,0)),"")</f>
        <v>ENVÍO cal. M</v>
      </c>
      <c r="C26" s="52" t="str">
        <f aca="false">IFERROR(INDEX(M$6:M$401,MATCH(ROW()-5,J$6:J$401,0)),"")</f>
        <v/>
      </c>
      <c r="D26" s="52" t="n">
        <f aca="false">IFERROR(INDEX(N$6:N$401,MATCH(ROW()-5,J$6:J$401,0)),"")</f>
        <v>1972</v>
      </c>
      <c r="E26" s="56" t="str">
        <f aca="false">IFERROR(INDEX(O$6:O$401,MATCH(ROW()-5,J$6:J$401,0)),"")</f>
        <v>2984</v>
      </c>
      <c r="F26" s="52" t="n">
        <f aca="false">IFERROR(INDEX(P$6:P$401,MATCH(ROW()-5,J$6:J$401,0)),"")</f>
        <v>635</v>
      </c>
      <c r="G26" s="48"/>
      <c r="H26" s="48"/>
      <c r="I26" s="48"/>
      <c r="J26" s="48" t="n">
        <f aca="false">IF(AND(MOVIMIENTOS!$B25&lt;&gt;"",NOT(AND(MOVIMIENTOS!$B25="PROCESO",MOVIMIENTOS!$C25&lt;&gt;"Chancho")),NOT(AND(MOVIMIENTOS!$B25="SALDO INICIAL",MOVIMIENTOS!$C25="Chancho"))),COUNT(J$6:J25)+1,"")</f>
        <v>12</v>
      </c>
      <c r="K26" s="53" t="n">
        <f aca="false">IF(AND(MOVIMIENTOS!$B25&lt;&gt;"",NOT(AND(MOVIMIENTOS!$B25="PROCESO",MOVIMIENTOS!$C25&lt;&gt;"Chancho")),NOT(AND(MOVIMIENTOS!$B25="SALDO INICIAL",MOVIMIENTOS!$C25="Chancho"))),MOVIMIENTOS!$A25,"")</f>
        <v>46216</v>
      </c>
      <c r="L26" s="48" t="str">
        <f aca="false">IF(AND(MOVIMIENTOS!$B25&lt;&gt;"",NOT(AND(MOVIMIENTOS!$B25="PROCESO",MOVIMIENTOS!$C25&lt;&gt;"Chancho")),NOT(AND(MOVIMIENTOS!$B25="SALDO INICIAL",MOVIMIENTOS!$C25="Chancho"))),IF(MOVIMIENTOS!$B25="SALDO INICIAL","APERTURA ("&amp;MOVIMIENTOS!$C25&amp;")",IF(MOVIMIENTOS!$B25="COMPRA","INGRESO (compra)",IF(MOVIMIENTOS!$B25="PROCESO","CHANCHO (proceso)",IF(MOVIMIENTOS!$B25="ENVÍO A SUPESA","ENVÍO cal. "&amp;MOVIMIENTOS!$C25,IF(MOVIMIENTOS!$B25="VENTA CHANCHO","VENTA CHANCHO",IF(MOVIMIENTOS!$B25="VENTA","VENTA cal. "&amp;MOVIMIENTOS!$C25,IF(MOVIMIENTOS!$B25="REGALO","REGALO "&amp;MOVIMIENTOS!$C25,IF(MOVIMIENTOS!$B25="RECHAZO","RECHAZO cal. "&amp;MOVIMIENTOS!$C25&amp;" (va a reproceso)",IF(MOVIMIENTOS!$B25="DEVOLUCIÓN","DEVOLUCIÓN cal. "&amp;MOVIMIENTOS!$C25&amp;" (regresa intacta)",IF(MOVIMIENTOS!$B25="TRASIEGO","TRASIEGO cal. "&amp;MOVIMIENTOS!$C25,MOVIMIENTOS!$B25)))))))))),"")</f>
        <v>ENVÍO cal. A</v>
      </c>
      <c r="M26" s="48" t="str">
        <f aca="false">IF(AND(AND(MOVIMIENTOS!$B25&lt;&gt;"",NOT(AND(MOVIMIENTOS!$B25="PROCESO",MOVIMIENTOS!$C25&lt;&gt;"Chancho")),NOT(AND(MOVIMIENTOS!$B25="SALDO INICIAL",MOVIMIENTOS!$C25="Chancho"))),OR(MOVIMIENTOS!$B25="SALDO INICIAL",MOVIMIENTOS!$B25="COMPRA",MOVIMIENTOS!$B25="REPROCESO",MOVIMIENTOS!$B25="DEVOLUCIÓN",AND(MOVIMIENTOS!$B25="AJUSTE",MOVIMIENTOS!$C25&lt;&gt;"Chancho",N(MOVIMIENTOS!$F25)&gt;=0))),N(MOVIMIENTOS!$F25),"")</f>
        <v/>
      </c>
      <c r="N26" s="48" t="n">
        <f aca="false">IF(AND(AND(MOVIMIENTOS!$B25&lt;&gt;"",NOT(AND(MOVIMIENTOS!$B25="PROCESO",MOVIMIENTOS!$C25&lt;&gt;"Chancho")),NOT(AND(MOVIMIENTOS!$B25="SALDO INICIAL",MOVIMIENTOS!$C25="Chancho"))),OR(MOVIMIENTOS!$B25="ENVÍO A SUPESA",MOVIMIENTOS!$B25="MALOGRADO",MOVIMIENTOS!$B25="OTRA SALIDA",MOVIMIENTOS!$B25="TRASIEGO",AND(MOVIMIENTOS!$B25="PROCESO",MOVIMIENTOS!$C25="Chancho"),AND(MOVIMIENTOS!$B25="REGALO",MOVIMIENTOS!$C25&lt;&gt;"Chancho"),AND(MOVIMIENTOS!$B25="VENTA",MOVIMIENTOS!$C25&lt;&gt;"Chancho"),AND(MOVIMIENTOS!$B25="AJUSTE",MOVIMIENTOS!$C25&lt;&gt;"Chancho",N(MOVIMIENTOS!$F25)&lt;0))),IF(MOVIMIENTOS!$B25="AJUSTE",-N(MOVIMIENTOS!$F25),N(MOVIMIENTOS!$F25)),"")</f>
        <v>1005</v>
      </c>
      <c r="O26" s="48" t="str">
        <f aca="false">IF(AND(MOVIMIENTOS!$B25&lt;&gt;"",NOT(AND(MOVIMIENTOS!$B25="PROCESO",MOVIMIENTOS!$C25&lt;&gt;"Chancho")),NOT(AND(MOVIMIENTOS!$B25="SALDO INICIAL",MOVIMIENTOS!$C25="Chancho"))),IF(MOVIMIENTOS!$B25="RECHAZO",MOVIMIENTOS!$E25&amp;" jabas rechazadas · van a reproceso",IF(MOVIMIENTOS!$B25="REPROCESO",MOVIMIENTOS!$E25&amp;" kg recuperados (merma del día: "&amp;TEXT(SUMPRODUCT((MOVIMIENTOS!$A$5:$A$400=MOVIMIENTOS!$A25)*(MOVIMIENTOS!$B$5:$B$400="RECHAZO")*(MOVIMIENTOS!$D$5:$D$400="jabas")*MOVIMIENTOS!$E$5:$E$400*IFERROR(_xlfn.SWITCH(MOVIMIENTOS!$C$5:$C$400,"A",15,"P",18,"C",17,"M",17,0),0))-SUMPRODUCT((MOVIMIENTOS!$A$5:$A$400=MOVIMIENTOS!$A25)*(MOVIMIENTOS!$B$5:$B$400="REPROCESO")*MOVIMIENTOS!$I$5:$I$400),"+#,##0;-#,##0;0")&amp;" kg)",TRIM(IF(MOVIMIENTOS!$G25&lt;&gt;"",MOVIMIENTOS!$G25&amp;"  ","")&amp;IF(N(MOVIMIENTOS!$D25)&gt;0,MOVIMIENTOS!$D25&amp;" "&amp;MOVIMIENTOS!$D25,"")))),"")</f>
        <v>2980</v>
      </c>
      <c r="P26" s="48" t="n">
        <f aca="false">N(P25)+N(M26)-N(N26)</f>
        <v>2930</v>
      </c>
      <c r="Q26" s="48"/>
      <c r="R26" s="48"/>
      <c r="S26" s="48"/>
      <c r="T26" s="48"/>
    </row>
    <row r="27" customFormat="false" ht="15" hidden="false" customHeight="true" outlineLevel="0" collapsed="false">
      <c r="A27" s="51" t="n">
        <f aca="false">IFERROR(INDEX(K$6:K$401,MATCH(ROW()-5,J$6:J$401,0)),"")</f>
        <v>46218</v>
      </c>
      <c r="B27" s="56" t="str">
        <f aca="false">IFERROR(INDEX(L$6:L$401,MATCH(ROW()-5,J$6:J$401,0)),"")</f>
        <v>INGRESO (compra)</v>
      </c>
      <c r="C27" s="52" t="n">
        <f aca="false">IFERROR(INDEX(M$6:M$401,MATCH(ROW()-5,J$6:J$401,0)),"")</f>
        <v>3800</v>
      </c>
      <c r="D27" s="52" t="str">
        <f aca="false">IFERROR(INDEX(N$6:N$401,MATCH(ROW()-5,J$6:J$401,0)),"")</f>
        <v/>
      </c>
      <c r="E27" s="56" t="str">
        <f aca="false">IFERROR(INDEX(O$6:O$401,MATCH(ROW()-5,J$6:J$401,0)),"")</f>
        <v/>
      </c>
      <c r="F27" s="52" t="n">
        <f aca="false">IFERROR(INDEX(P$6:P$401,MATCH(ROW()-5,J$6:J$401,0)),"")</f>
        <v>4435</v>
      </c>
      <c r="G27" s="48"/>
      <c r="H27" s="48"/>
      <c r="I27" s="48"/>
      <c r="J27" s="48" t="n">
        <f aca="false">IF(AND(MOVIMIENTOS!$B26&lt;&gt;"",NOT(AND(MOVIMIENTOS!$B26="PROCESO",MOVIMIENTOS!$C26&lt;&gt;"Chancho")),NOT(AND(MOVIMIENTOS!$B26="SALDO INICIAL",MOVIMIENTOS!$C26="Chancho"))),COUNT(J$6:J26)+1,"")</f>
        <v>13</v>
      </c>
      <c r="K27" s="53" t="n">
        <f aca="false">IF(AND(MOVIMIENTOS!$B26&lt;&gt;"",NOT(AND(MOVIMIENTOS!$B26="PROCESO",MOVIMIENTOS!$C26&lt;&gt;"Chancho")),NOT(AND(MOVIMIENTOS!$B26="SALDO INICIAL",MOVIMIENTOS!$C26="Chancho"))),MOVIMIENTOS!$A26,"")</f>
        <v>46216</v>
      </c>
      <c r="L27" s="48" t="str">
        <f aca="false">IF(AND(MOVIMIENTOS!$B26&lt;&gt;"",NOT(AND(MOVIMIENTOS!$B26="PROCESO",MOVIMIENTOS!$C26&lt;&gt;"Chancho")),NOT(AND(MOVIMIENTOS!$B26="SALDO INICIAL",MOVIMIENTOS!$C26="Chancho"))),IF(MOVIMIENTOS!$B26="SALDO INICIAL","APERTURA ("&amp;MOVIMIENTOS!$C26&amp;")",IF(MOVIMIENTOS!$B26="COMPRA","INGRESO (compra)",IF(MOVIMIENTOS!$B26="PROCESO","CHANCHO (proceso)",IF(MOVIMIENTOS!$B26="ENVÍO A SUPESA","ENVÍO cal. "&amp;MOVIMIENTOS!$C26,IF(MOVIMIENTOS!$B26="VENTA CHANCHO","VENTA CHANCHO",IF(MOVIMIENTOS!$B26="VENTA","VENTA cal. "&amp;MOVIMIENTOS!$C26,IF(MOVIMIENTOS!$B26="REGALO","REGALO "&amp;MOVIMIENTOS!$C26,IF(MOVIMIENTOS!$B26="RECHAZO","RECHAZO cal. "&amp;MOVIMIENTOS!$C26&amp;" (va a reproceso)",IF(MOVIMIENTOS!$B26="DEVOLUCIÓN","DEVOLUCIÓN cal. "&amp;MOVIMIENTOS!$C26&amp;" (regresa intacta)",IF(MOVIMIENTOS!$B26="TRASIEGO","TRASIEGO cal. "&amp;MOVIMIENTOS!$C26,MOVIMIENTOS!$B26)))))))))),"")</f>
        <v>ENVÍO cal. P</v>
      </c>
      <c r="M27" s="48" t="str">
        <f aca="false">IF(AND(AND(MOVIMIENTOS!$B26&lt;&gt;"",NOT(AND(MOVIMIENTOS!$B26="PROCESO",MOVIMIENTOS!$C26&lt;&gt;"Chancho")),NOT(AND(MOVIMIENTOS!$B26="SALDO INICIAL",MOVIMIENTOS!$C26="Chancho"))),OR(MOVIMIENTOS!$B26="SALDO INICIAL",MOVIMIENTOS!$B26="COMPRA",MOVIMIENTOS!$B26="REPROCESO",MOVIMIENTOS!$B26="DEVOLUCIÓN",AND(MOVIMIENTOS!$B26="AJUSTE",MOVIMIENTOS!$C26&lt;&gt;"Chancho",N(MOVIMIENTOS!$F26)&gt;=0))),N(MOVIMIENTOS!$F26),"")</f>
        <v/>
      </c>
      <c r="N27" s="48" t="n">
        <f aca="false">IF(AND(AND(MOVIMIENTOS!$B26&lt;&gt;"",NOT(AND(MOVIMIENTOS!$B26="PROCESO",MOVIMIENTOS!$C26&lt;&gt;"Chancho")),NOT(AND(MOVIMIENTOS!$B26="SALDO INICIAL",MOVIMIENTOS!$C26="Chancho"))),OR(MOVIMIENTOS!$B26="ENVÍO A SUPESA",MOVIMIENTOS!$B26="MALOGRADO",MOVIMIENTOS!$B26="OTRA SALIDA",MOVIMIENTOS!$B26="TRASIEGO",AND(MOVIMIENTOS!$B26="PROCESO",MOVIMIENTOS!$C26="Chancho"),AND(MOVIMIENTOS!$B26="REGALO",MOVIMIENTOS!$C26&lt;&gt;"Chancho"),AND(MOVIMIENTOS!$B26="VENTA",MOVIMIENTOS!$C26&lt;&gt;"Chancho"),AND(MOVIMIENTOS!$B26="AJUSTE",MOVIMIENTOS!$C26&lt;&gt;"Chancho",N(MOVIMIENTOS!$F26)&lt;0))),IF(MOVIMIENTOS!$B26="AJUSTE",-N(MOVIMIENTOS!$F26),N(MOVIMIENTOS!$F26)),"")</f>
        <v>198</v>
      </c>
      <c r="O27" s="48" t="str">
        <f aca="false">IF(AND(MOVIMIENTOS!$B26&lt;&gt;"",NOT(AND(MOVIMIENTOS!$B26="PROCESO",MOVIMIENTOS!$C26&lt;&gt;"Chancho")),NOT(AND(MOVIMIENTOS!$B26="SALDO INICIAL",MOVIMIENTOS!$C26="Chancho"))),IF(MOVIMIENTOS!$B26="RECHAZO",MOVIMIENTOS!$E26&amp;" jabas rechazadas · van a reproceso",IF(MOVIMIENTOS!$B26="REPROCESO",MOVIMIENTOS!$E26&amp;" kg recuperados (merma del día: "&amp;TEXT(SUMPRODUCT((MOVIMIENTOS!$A$5:$A$400=MOVIMIENTOS!$A26)*(MOVIMIENTOS!$B$5:$B$400="RECHAZO")*(MOVIMIENTOS!$D$5:$D$400="jabas")*MOVIMIENTOS!$E$5:$E$400*IFERROR(_xlfn.SWITCH(MOVIMIENTOS!$C$5:$C$400,"A",15,"P",18,"C",17,"M",17,0),0))-SUMPRODUCT((MOVIMIENTOS!$A$5:$A$400=MOVIMIENTOS!$A26)*(MOVIMIENTOS!$B$5:$B$400="REPROCESO")*MOVIMIENTOS!$I$5:$I$400),"+#,##0;-#,##0;0")&amp;" kg)",TRIM(IF(MOVIMIENTOS!$G26&lt;&gt;"",MOVIMIENTOS!$G26&amp;"  ","")&amp;IF(N(MOVIMIENTOS!$D26)&gt;0,MOVIMIENTOS!$D26&amp;" "&amp;MOVIMIENTOS!$D26,"")))),"")</f>
        <v>2980</v>
      </c>
      <c r="P27" s="48" t="n">
        <f aca="false">N(P26)+N(M27)-N(N27)</f>
        <v>2732</v>
      </c>
      <c r="Q27" s="48"/>
      <c r="R27" s="48"/>
      <c r="S27" s="48"/>
      <c r="T27" s="48"/>
    </row>
    <row r="28" customFormat="false" ht="15" hidden="false" customHeight="true" outlineLevel="0" collapsed="false">
      <c r="A28" s="51" t="n">
        <f aca="false">IFERROR(INDEX(K$6:K$401,MATCH(ROW()-5,J$6:J$401,0)),"")</f>
        <v>46218</v>
      </c>
      <c r="B28" s="56" t="str">
        <f aca="false">IFERROR(INDEX(L$6:L$401,MATCH(ROW()-5,J$6:J$401,0)),"")</f>
        <v>CHANCHO (proceso)</v>
      </c>
      <c r="C28" s="52" t="str">
        <f aca="false">IFERROR(INDEX(M$6:M$401,MATCH(ROW()-5,J$6:J$401,0)),"")</f>
        <v/>
      </c>
      <c r="D28" s="52" t="n">
        <f aca="false">IFERROR(INDEX(N$6:N$401,MATCH(ROW()-5,J$6:J$401,0)),"")</f>
        <v>475</v>
      </c>
      <c r="E28" s="56" t="str">
        <f aca="false">IFERROR(INDEX(O$6:O$401,MATCH(ROW()-5,J$6:J$401,0)),"")</f>
        <v/>
      </c>
      <c r="F28" s="52" t="n">
        <f aca="false">IFERROR(INDEX(P$6:P$401,MATCH(ROW()-5,J$6:J$401,0)),"")</f>
        <v>3960</v>
      </c>
      <c r="G28" s="48"/>
      <c r="H28" s="48"/>
      <c r="I28" s="48"/>
      <c r="J28" s="48" t="n">
        <f aca="false">IF(AND(MOVIMIENTOS!$B27&lt;&gt;"",NOT(AND(MOVIMIENTOS!$B27="PROCESO",MOVIMIENTOS!$C27&lt;&gt;"Chancho")),NOT(AND(MOVIMIENTOS!$B27="SALDO INICIAL",MOVIMIENTOS!$C27="Chancho"))),COUNT(J$6:J27)+1,"")</f>
        <v>14</v>
      </c>
      <c r="K28" s="53" t="n">
        <f aca="false">IF(AND(MOVIMIENTOS!$B27&lt;&gt;"",NOT(AND(MOVIMIENTOS!$B27="PROCESO",MOVIMIENTOS!$C27&lt;&gt;"Chancho")),NOT(AND(MOVIMIENTOS!$B27="SALDO INICIAL",MOVIMIENTOS!$C27="Chancho"))),MOVIMIENTOS!$A27,"")</f>
        <v>46216</v>
      </c>
      <c r="L28" s="48" t="str">
        <f aca="false">IF(AND(MOVIMIENTOS!$B27&lt;&gt;"",NOT(AND(MOVIMIENTOS!$B27="PROCESO",MOVIMIENTOS!$C27&lt;&gt;"Chancho")),NOT(AND(MOVIMIENTOS!$B27="SALDO INICIAL",MOVIMIENTOS!$C27="Chancho"))),IF(MOVIMIENTOS!$B27="SALDO INICIAL","APERTURA ("&amp;MOVIMIENTOS!$C27&amp;")",IF(MOVIMIENTOS!$B27="COMPRA","INGRESO (compra)",IF(MOVIMIENTOS!$B27="PROCESO","CHANCHO (proceso)",IF(MOVIMIENTOS!$B27="ENVÍO A SUPESA","ENVÍO cal. "&amp;MOVIMIENTOS!$C27,IF(MOVIMIENTOS!$B27="VENTA CHANCHO","VENTA CHANCHO",IF(MOVIMIENTOS!$B27="VENTA","VENTA cal. "&amp;MOVIMIENTOS!$C27,IF(MOVIMIENTOS!$B27="REGALO","REGALO "&amp;MOVIMIENTOS!$C27,IF(MOVIMIENTOS!$B27="RECHAZO","RECHAZO cal. "&amp;MOVIMIENTOS!$C27&amp;" (va a reproceso)",IF(MOVIMIENTOS!$B27="DEVOLUCIÓN","DEVOLUCIÓN cal. "&amp;MOVIMIENTOS!$C27&amp;" (regresa intacta)",IF(MOVIMIENTOS!$B27="TRASIEGO","TRASIEGO cal. "&amp;MOVIMIENTOS!$C27,MOVIMIENTOS!$B27)))))))))),"")</f>
        <v>ENVÍO cal. C</v>
      </c>
      <c r="M28" s="48" t="str">
        <f aca="false">IF(AND(AND(MOVIMIENTOS!$B27&lt;&gt;"",NOT(AND(MOVIMIENTOS!$B27="PROCESO",MOVIMIENTOS!$C27&lt;&gt;"Chancho")),NOT(AND(MOVIMIENTOS!$B27="SALDO INICIAL",MOVIMIENTOS!$C27="Chancho"))),OR(MOVIMIENTOS!$B27="SALDO INICIAL",MOVIMIENTOS!$B27="COMPRA",MOVIMIENTOS!$B27="REPROCESO",MOVIMIENTOS!$B27="DEVOLUCIÓN",AND(MOVIMIENTOS!$B27="AJUSTE",MOVIMIENTOS!$C27&lt;&gt;"Chancho",N(MOVIMIENTOS!$F27)&gt;=0))),N(MOVIMIENTOS!$F27),"")</f>
        <v/>
      </c>
      <c r="N28" s="48" t="n">
        <f aca="false">IF(AND(AND(MOVIMIENTOS!$B27&lt;&gt;"",NOT(AND(MOVIMIENTOS!$B27="PROCESO",MOVIMIENTOS!$C27&lt;&gt;"Chancho")),NOT(AND(MOVIMIENTOS!$B27="SALDO INICIAL",MOVIMIENTOS!$C27="Chancho"))),OR(MOVIMIENTOS!$B27="ENVÍO A SUPESA",MOVIMIENTOS!$B27="MALOGRADO",MOVIMIENTOS!$B27="OTRA SALIDA",MOVIMIENTOS!$B27="TRASIEGO",AND(MOVIMIENTOS!$B27="PROCESO",MOVIMIENTOS!$C27="Chancho"),AND(MOVIMIENTOS!$B27="REGALO",MOVIMIENTOS!$C27&lt;&gt;"Chancho"),AND(MOVIMIENTOS!$B27="VENTA",MOVIMIENTOS!$C27&lt;&gt;"Chancho"),AND(MOVIMIENTOS!$B27="AJUSTE",MOVIMIENTOS!$C27&lt;&gt;"Chancho",N(MOVIMIENTOS!$F27)&lt;0))),IF(MOVIMIENTOS!$B27="AJUSTE",-N(MOVIMIENTOS!$F27),N(MOVIMIENTOS!$F27)),"")</f>
        <v>204</v>
      </c>
      <c r="O28" s="48" t="str">
        <f aca="false">IF(AND(MOVIMIENTOS!$B27&lt;&gt;"",NOT(AND(MOVIMIENTOS!$B27="PROCESO",MOVIMIENTOS!$C27&lt;&gt;"Chancho")),NOT(AND(MOVIMIENTOS!$B27="SALDO INICIAL",MOVIMIENTOS!$C27="Chancho"))),IF(MOVIMIENTOS!$B27="RECHAZO",MOVIMIENTOS!$E27&amp;" jabas rechazadas · van a reproceso",IF(MOVIMIENTOS!$B27="REPROCESO",MOVIMIENTOS!$E27&amp;" kg recuperados (merma del día: "&amp;TEXT(SUMPRODUCT((MOVIMIENTOS!$A$5:$A$400=MOVIMIENTOS!$A27)*(MOVIMIENTOS!$B$5:$B$400="RECHAZO")*(MOVIMIENTOS!$D$5:$D$400="jabas")*MOVIMIENTOS!$E$5:$E$400*IFERROR(_xlfn.SWITCH(MOVIMIENTOS!$C$5:$C$400,"A",15,"P",18,"C",17,"M",17,0),0))-SUMPRODUCT((MOVIMIENTOS!$A$5:$A$400=MOVIMIENTOS!$A27)*(MOVIMIENTOS!$B$5:$B$400="REPROCESO")*MOVIMIENTOS!$I$5:$I$400),"+#,##0;-#,##0;0")&amp;" kg)",TRIM(IF(MOVIMIENTOS!$G27&lt;&gt;"",MOVIMIENTOS!$G27&amp;"  ","")&amp;IF(N(MOVIMIENTOS!$D27)&gt;0,MOVIMIENTOS!$D27&amp;" "&amp;MOVIMIENTOS!$D27,"")))),"")</f>
        <v>2980</v>
      </c>
      <c r="P28" s="48" t="n">
        <f aca="false">N(P27)+N(M28)-N(N28)</f>
        <v>2528</v>
      </c>
      <c r="Q28" s="48"/>
      <c r="R28" s="48"/>
      <c r="S28" s="48"/>
      <c r="T28" s="48"/>
    </row>
    <row r="29" customFormat="false" ht="15" hidden="false" customHeight="true" outlineLevel="0" collapsed="false">
      <c r="A29" s="51" t="n">
        <f aca="false">IFERROR(INDEX(K$6:K$401,MATCH(ROW()-5,J$6:J$401,0)),"")</f>
        <v>46218</v>
      </c>
      <c r="B29" s="56" t="str">
        <f aca="false">IFERROR(INDEX(L$6:L$401,MATCH(ROW()-5,J$6:J$401,0)),"")</f>
        <v>ENVÍO cal. A</v>
      </c>
      <c r="C29" s="52" t="str">
        <f aca="false">IFERROR(INDEX(M$6:M$401,MATCH(ROW()-5,J$6:J$401,0)),"")</f>
        <v/>
      </c>
      <c r="D29" s="52" t="n">
        <f aca="false">IFERROR(INDEX(N$6:N$401,MATCH(ROW()-5,J$6:J$401,0)),"")</f>
        <v>1005</v>
      </c>
      <c r="E29" s="56" t="str">
        <f aca="false">IFERROR(INDEX(O$6:O$401,MATCH(ROW()-5,J$6:J$401,0)),"")</f>
        <v>2986</v>
      </c>
      <c r="F29" s="52" t="n">
        <f aca="false">IFERROR(INDEX(P$6:P$401,MATCH(ROW()-5,J$6:J$401,0)),"")</f>
        <v>2955</v>
      </c>
      <c r="G29" s="48"/>
      <c r="H29" s="48"/>
      <c r="I29" s="48"/>
      <c r="J29" s="48" t="n">
        <f aca="false">IF(AND(MOVIMIENTOS!$B28&lt;&gt;"",NOT(AND(MOVIMIENTOS!$B28="PROCESO",MOVIMIENTOS!$C28&lt;&gt;"Chancho")),NOT(AND(MOVIMIENTOS!$B28="SALDO INICIAL",MOVIMIENTOS!$C28="Chancho"))),COUNT(J$6:J28)+1,"")</f>
        <v>15</v>
      </c>
      <c r="K29" s="53" t="n">
        <f aca="false">IF(AND(MOVIMIENTOS!$B28&lt;&gt;"",NOT(AND(MOVIMIENTOS!$B28="PROCESO",MOVIMIENTOS!$C28&lt;&gt;"Chancho")),NOT(AND(MOVIMIENTOS!$B28="SALDO INICIAL",MOVIMIENTOS!$C28="Chancho"))),MOVIMIENTOS!$A28,"")</f>
        <v>46216</v>
      </c>
      <c r="L29" s="48" t="str">
        <f aca="false">IF(AND(MOVIMIENTOS!$B28&lt;&gt;"",NOT(AND(MOVIMIENTOS!$B28="PROCESO",MOVIMIENTOS!$C28&lt;&gt;"Chancho")),NOT(AND(MOVIMIENTOS!$B28="SALDO INICIAL",MOVIMIENTOS!$C28="Chancho"))),IF(MOVIMIENTOS!$B28="SALDO INICIAL","APERTURA ("&amp;MOVIMIENTOS!$C28&amp;")",IF(MOVIMIENTOS!$B28="COMPRA","INGRESO (compra)",IF(MOVIMIENTOS!$B28="PROCESO","CHANCHO (proceso)",IF(MOVIMIENTOS!$B28="ENVÍO A SUPESA","ENVÍO cal. "&amp;MOVIMIENTOS!$C28,IF(MOVIMIENTOS!$B28="VENTA CHANCHO","VENTA CHANCHO",IF(MOVIMIENTOS!$B28="VENTA","VENTA cal. "&amp;MOVIMIENTOS!$C28,IF(MOVIMIENTOS!$B28="REGALO","REGALO "&amp;MOVIMIENTOS!$C28,IF(MOVIMIENTOS!$B28="RECHAZO","RECHAZO cal. "&amp;MOVIMIENTOS!$C28&amp;" (va a reproceso)",IF(MOVIMIENTOS!$B28="DEVOLUCIÓN","DEVOLUCIÓN cal. "&amp;MOVIMIENTOS!$C28&amp;" (regresa intacta)",IF(MOVIMIENTOS!$B28="TRASIEGO","TRASIEGO cal. "&amp;MOVIMIENTOS!$C28,MOVIMIENTOS!$B28)))))))))),"")</f>
        <v>ENVÍO cal. M</v>
      </c>
      <c r="M29" s="48" t="str">
        <f aca="false">IF(AND(AND(MOVIMIENTOS!$B28&lt;&gt;"",NOT(AND(MOVIMIENTOS!$B28="PROCESO",MOVIMIENTOS!$C28&lt;&gt;"Chancho")),NOT(AND(MOVIMIENTOS!$B28="SALDO INICIAL",MOVIMIENTOS!$C28="Chancho"))),OR(MOVIMIENTOS!$B28="SALDO INICIAL",MOVIMIENTOS!$B28="COMPRA",MOVIMIENTOS!$B28="REPROCESO",MOVIMIENTOS!$B28="DEVOLUCIÓN",AND(MOVIMIENTOS!$B28="AJUSTE",MOVIMIENTOS!$C28&lt;&gt;"Chancho",N(MOVIMIENTOS!$F28)&gt;=0))),N(MOVIMIENTOS!$F28),"")</f>
        <v/>
      </c>
      <c r="N29" s="48" t="n">
        <f aca="false">IF(AND(AND(MOVIMIENTOS!$B28&lt;&gt;"",NOT(AND(MOVIMIENTOS!$B28="PROCESO",MOVIMIENTOS!$C28&lt;&gt;"Chancho")),NOT(AND(MOVIMIENTOS!$B28="SALDO INICIAL",MOVIMIENTOS!$C28="Chancho"))),OR(MOVIMIENTOS!$B28="ENVÍO A SUPESA",MOVIMIENTOS!$B28="MALOGRADO",MOVIMIENTOS!$B28="OTRA SALIDA",MOVIMIENTOS!$B28="TRASIEGO",AND(MOVIMIENTOS!$B28="PROCESO",MOVIMIENTOS!$C28="Chancho"),AND(MOVIMIENTOS!$B28="REGALO",MOVIMIENTOS!$C28&lt;&gt;"Chancho"),AND(MOVIMIENTOS!$B28="VENTA",MOVIMIENTOS!$C28&lt;&gt;"Chancho"),AND(MOVIMIENTOS!$B28="AJUSTE",MOVIMIENTOS!$C28&lt;&gt;"Chancho",N(MOVIMIENTOS!$F28)&lt;0))),IF(MOVIMIENTOS!$B28="AJUSTE",-N(MOVIMIENTOS!$F28),N(MOVIMIENTOS!$F28)),"")</f>
        <v>1649</v>
      </c>
      <c r="O29" s="48" t="str">
        <f aca="false">IF(AND(MOVIMIENTOS!$B28&lt;&gt;"",NOT(AND(MOVIMIENTOS!$B28="PROCESO",MOVIMIENTOS!$C28&lt;&gt;"Chancho")),NOT(AND(MOVIMIENTOS!$B28="SALDO INICIAL",MOVIMIENTOS!$C28="Chancho"))),IF(MOVIMIENTOS!$B28="RECHAZO",MOVIMIENTOS!$E28&amp;" jabas rechazadas · van a reproceso",IF(MOVIMIENTOS!$B28="REPROCESO",MOVIMIENTOS!$E28&amp;" kg recuperados (merma del día: "&amp;TEXT(SUMPRODUCT((MOVIMIENTOS!$A$5:$A$400=MOVIMIENTOS!$A28)*(MOVIMIENTOS!$B$5:$B$400="RECHAZO")*(MOVIMIENTOS!$D$5:$D$400="jabas")*MOVIMIENTOS!$E$5:$E$400*IFERROR(_xlfn.SWITCH(MOVIMIENTOS!$C$5:$C$400,"A",15,"P",18,"C",17,"M",17,0),0))-SUMPRODUCT((MOVIMIENTOS!$A$5:$A$400=MOVIMIENTOS!$A28)*(MOVIMIENTOS!$B$5:$B$400="REPROCESO")*MOVIMIENTOS!$I$5:$I$400),"+#,##0;-#,##0;0")&amp;" kg)",TRIM(IF(MOVIMIENTOS!$G28&lt;&gt;"",MOVIMIENTOS!$G28&amp;"  ","")&amp;IF(N(MOVIMIENTOS!$D28)&gt;0,MOVIMIENTOS!$D28&amp;" "&amp;MOVIMIENTOS!$D28,"")))),"")</f>
        <v>2980</v>
      </c>
      <c r="P29" s="48" t="n">
        <f aca="false">N(P28)+N(M29)-N(N29)</f>
        <v>879</v>
      </c>
      <c r="Q29" s="48"/>
      <c r="R29" s="48"/>
      <c r="S29" s="48"/>
      <c r="T29" s="48"/>
    </row>
    <row r="30" customFormat="false" ht="15" hidden="false" customHeight="true" outlineLevel="0" collapsed="false">
      <c r="A30" s="51" t="n">
        <f aca="false">IFERROR(INDEX(K$6:K$401,MATCH(ROW()-5,J$6:J$401,0)),"")</f>
        <v>46218</v>
      </c>
      <c r="B30" s="56" t="str">
        <f aca="false">IFERROR(INDEX(L$6:L$401,MATCH(ROW()-5,J$6:J$401,0)),"")</f>
        <v>ENVÍO cal. P</v>
      </c>
      <c r="C30" s="52" t="str">
        <f aca="false">IFERROR(INDEX(M$6:M$401,MATCH(ROW()-5,J$6:J$401,0)),"")</f>
        <v/>
      </c>
      <c r="D30" s="52" t="n">
        <f aca="false">IFERROR(INDEX(N$6:N$401,MATCH(ROW()-5,J$6:J$401,0)),"")</f>
        <v>198</v>
      </c>
      <c r="E30" s="56" t="str">
        <f aca="false">IFERROR(INDEX(O$6:O$401,MATCH(ROW()-5,J$6:J$401,0)),"")</f>
        <v>2986</v>
      </c>
      <c r="F30" s="52" t="n">
        <f aca="false">IFERROR(INDEX(P$6:P$401,MATCH(ROW()-5,J$6:J$401,0)),"")</f>
        <v>2757</v>
      </c>
      <c r="G30" s="48"/>
      <c r="H30" s="48"/>
      <c r="I30" s="48"/>
      <c r="J30" s="48" t="n">
        <f aca="false">IF(AND(MOVIMIENTOS!$B29&lt;&gt;"",NOT(AND(MOVIMIENTOS!$B29="PROCESO",MOVIMIENTOS!$C29&lt;&gt;"Chancho")),NOT(AND(MOVIMIENTOS!$B29="SALDO INICIAL",MOVIMIENTOS!$C29="Chancho"))),COUNT(J$6:J29)+1,"")</f>
        <v>16</v>
      </c>
      <c r="K30" s="53" t="n">
        <f aca="false">IF(AND(MOVIMIENTOS!$B29&lt;&gt;"",NOT(AND(MOVIMIENTOS!$B29="PROCESO",MOVIMIENTOS!$C29&lt;&gt;"Chancho")),NOT(AND(MOVIMIENTOS!$B29="SALDO INICIAL",MOVIMIENTOS!$C29="Chancho"))),MOVIMIENTOS!$A29,"")</f>
        <v>46217</v>
      </c>
      <c r="L30" s="48" t="str">
        <f aca="false">IF(AND(MOVIMIENTOS!$B29&lt;&gt;"",NOT(AND(MOVIMIENTOS!$B29="PROCESO",MOVIMIENTOS!$C29&lt;&gt;"Chancho")),NOT(AND(MOVIMIENTOS!$B29="SALDO INICIAL",MOVIMIENTOS!$C29="Chancho"))),IF(MOVIMIENTOS!$B29="SALDO INICIAL","APERTURA ("&amp;MOVIMIENTOS!$C29&amp;")",IF(MOVIMIENTOS!$B29="COMPRA","INGRESO (compra)",IF(MOVIMIENTOS!$B29="PROCESO","CHANCHO (proceso)",IF(MOVIMIENTOS!$B29="ENVÍO A SUPESA","ENVÍO cal. "&amp;MOVIMIENTOS!$C29,IF(MOVIMIENTOS!$B29="VENTA CHANCHO","VENTA CHANCHO",IF(MOVIMIENTOS!$B29="VENTA","VENTA cal. "&amp;MOVIMIENTOS!$C29,IF(MOVIMIENTOS!$B29="REGALO","REGALO "&amp;MOVIMIENTOS!$C29,IF(MOVIMIENTOS!$B29="RECHAZO","RECHAZO cal. "&amp;MOVIMIENTOS!$C29&amp;" (va a reproceso)",IF(MOVIMIENTOS!$B29="DEVOLUCIÓN","DEVOLUCIÓN cal. "&amp;MOVIMIENTOS!$C29&amp;" (regresa intacta)",IF(MOVIMIENTOS!$B29="TRASIEGO","TRASIEGO cal. "&amp;MOVIMIENTOS!$C29,MOVIMIENTOS!$B29)))))))))),"")</f>
        <v>INGRESO (compra)</v>
      </c>
      <c r="M30" s="48" t="n">
        <f aca="false">IF(AND(AND(MOVIMIENTOS!$B29&lt;&gt;"",NOT(AND(MOVIMIENTOS!$B29="PROCESO",MOVIMIENTOS!$C29&lt;&gt;"Chancho")),NOT(AND(MOVIMIENTOS!$B29="SALDO INICIAL",MOVIMIENTOS!$C29="Chancho"))),OR(MOVIMIENTOS!$B29="SALDO INICIAL",MOVIMIENTOS!$B29="COMPRA",MOVIMIENTOS!$B29="REPROCESO",MOVIMIENTOS!$B29="DEVOLUCIÓN",AND(MOVIMIENTOS!$B29="AJUSTE",MOVIMIENTOS!$C29&lt;&gt;"Chancho",N(MOVIMIENTOS!$F29)&gt;=0))),N(MOVIMIENTOS!$F29),"")</f>
        <v>3800</v>
      </c>
      <c r="N30" s="48" t="str">
        <f aca="false">IF(AND(AND(MOVIMIENTOS!$B29&lt;&gt;"",NOT(AND(MOVIMIENTOS!$B29="PROCESO",MOVIMIENTOS!$C29&lt;&gt;"Chancho")),NOT(AND(MOVIMIENTOS!$B29="SALDO INICIAL",MOVIMIENTOS!$C29="Chancho"))),OR(MOVIMIENTOS!$B29="ENVÍO A SUPESA",MOVIMIENTOS!$B29="MALOGRADO",MOVIMIENTOS!$B29="OTRA SALIDA",MOVIMIENTOS!$B29="TRASIEGO",AND(MOVIMIENTOS!$B29="PROCESO",MOVIMIENTOS!$C29="Chancho"),AND(MOVIMIENTOS!$B29="REGALO",MOVIMIENTOS!$C29&lt;&gt;"Chancho"),AND(MOVIMIENTOS!$B29="VENTA",MOVIMIENTOS!$C29&lt;&gt;"Chancho"),AND(MOVIMIENTOS!$B29="AJUSTE",MOVIMIENTOS!$C29&lt;&gt;"Chancho",N(MOVIMIENTOS!$F29)&lt;0))),IF(MOVIMIENTOS!$B29="AJUSTE",-N(MOVIMIENTOS!$F29),N(MOVIMIENTOS!$F29)),"")</f>
        <v/>
      </c>
      <c r="O30" s="48" t="str">
        <f aca="false">IF(AND(MOVIMIENTOS!$B29&lt;&gt;"",NOT(AND(MOVIMIENTOS!$B29="PROCESO",MOVIMIENTOS!$C29&lt;&gt;"Chancho")),NOT(AND(MOVIMIENTOS!$B29="SALDO INICIAL",MOVIMIENTOS!$C29="Chancho"))),IF(MOVIMIENTOS!$B29="RECHAZO",MOVIMIENTOS!$E29&amp;" jabas rechazadas · van a reproceso",IF(MOVIMIENTOS!$B29="REPROCESO",MOVIMIENTOS!$E29&amp;" kg recuperados (merma del día: "&amp;TEXT(SUMPRODUCT((MOVIMIENTOS!$A$5:$A$400=MOVIMIENTOS!$A29)*(MOVIMIENTOS!$B$5:$B$400="RECHAZO")*(MOVIMIENTOS!$D$5:$D$400="jabas")*MOVIMIENTOS!$E$5:$E$400*IFERROR(_xlfn.SWITCH(MOVIMIENTOS!$C$5:$C$400,"A",15,"P",18,"C",17,"M",17,0),0))-SUMPRODUCT((MOVIMIENTOS!$A$5:$A$400=MOVIMIENTOS!$A29)*(MOVIMIENTOS!$B$5:$B$400="REPROCESO")*MOVIMIENTOS!$I$5:$I$400),"+#,##0;-#,##0;0")&amp;" kg)",TRIM(IF(MOVIMIENTOS!$G29&lt;&gt;"",MOVIMIENTOS!$G29&amp;"  ","")&amp;IF(N(MOVIMIENTOS!$D29)&gt;0,MOVIMIENTOS!$D29&amp;" "&amp;MOVIMIENTOS!$D29,"")))),"")</f>
        <v/>
      </c>
      <c r="P30" s="48" t="n">
        <f aca="false">N(P29)+N(M30)-N(N30)</f>
        <v>4679</v>
      </c>
      <c r="Q30" s="48"/>
      <c r="R30" s="48"/>
      <c r="S30" s="48"/>
      <c r="T30" s="48"/>
    </row>
    <row r="31" customFormat="false" ht="15" hidden="false" customHeight="true" outlineLevel="0" collapsed="false">
      <c r="A31" s="51" t="n">
        <f aca="false">IFERROR(INDEX(K$6:K$401,MATCH(ROW()-5,J$6:J$401,0)),"")</f>
        <v>46218</v>
      </c>
      <c r="B31" s="56" t="str">
        <f aca="false">IFERROR(INDEX(L$6:L$401,MATCH(ROW()-5,J$6:J$401,0)),"")</f>
        <v>ENVÍO cal. C</v>
      </c>
      <c r="C31" s="52" t="str">
        <f aca="false">IFERROR(INDEX(M$6:M$401,MATCH(ROW()-5,J$6:J$401,0)),"")</f>
        <v/>
      </c>
      <c r="D31" s="52" t="n">
        <f aca="false">IFERROR(INDEX(N$6:N$401,MATCH(ROW()-5,J$6:J$401,0)),"")</f>
        <v>153</v>
      </c>
      <c r="E31" s="56" t="str">
        <f aca="false">IFERROR(INDEX(O$6:O$401,MATCH(ROW()-5,J$6:J$401,0)),"")</f>
        <v>2986</v>
      </c>
      <c r="F31" s="52" t="n">
        <f aca="false">IFERROR(INDEX(P$6:P$401,MATCH(ROW()-5,J$6:J$401,0)),"")</f>
        <v>2604</v>
      </c>
      <c r="G31" s="48"/>
      <c r="H31" s="48"/>
      <c r="I31" s="48"/>
      <c r="J31" s="48" t="str">
        <f aca="false">IF(AND(MOVIMIENTOS!$B30&lt;&gt;"",NOT(AND(MOVIMIENTOS!$B30="PROCESO",MOVIMIENTOS!$C30&lt;&gt;"Chancho")),NOT(AND(MOVIMIENTOS!$B30="SALDO INICIAL",MOVIMIENTOS!$C30="Chancho"))),COUNT(J$6:J30)+1,"")</f>
        <v/>
      </c>
      <c r="K31" s="48" t="str">
        <f aca="false">IF(AND(MOVIMIENTOS!$B30&lt;&gt;"",NOT(AND(MOVIMIENTOS!$B30="PROCESO",MOVIMIENTOS!$C30&lt;&gt;"Chancho")),NOT(AND(MOVIMIENTOS!$B30="SALDO INICIAL",MOVIMIENTOS!$C30="Chancho"))),MOVIMIENTOS!$A30,"")</f>
        <v/>
      </c>
      <c r="L31" s="48" t="str">
        <f aca="false">IF(AND(MOVIMIENTOS!$B30&lt;&gt;"",NOT(AND(MOVIMIENTOS!$B30="PROCESO",MOVIMIENTOS!$C30&lt;&gt;"Chancho")),NOT(AND(MOVIMIENTOS!$B30="SALDO INICIAL",MOVIMIENTOS!$C30="Chancho"))),IF(MOVIMIENTOS!$B30="SALDO INICIAL","APERTURA ("&amp;MOVIMIENTOS!$C30&amp;")",IF(MOVIMIENTOS!$B30="COMPRA","INGRESO (compra)",IF(MOVIMIENTOS!$B30="PROCESO","CHANCHO (proceso)",IF(MOVIMIENTOS!$B30="ENVÍO A SUPESA","ENVÍO cal. "&amp;MOVIMIENTOS!$C30,IF(MOVIMIENTOS!$B30="VENTA CHANCHO","VENTA CHANCHO",IF(MOVIMIENTOS!$B30="VENTA","VENTA cal. "&amp;MOVIMIENTOS!$C30,IF(MOVIMIENTOS!$B30="REGALO","REGALO "&amp;MOVIMIENTOS!$C30,IF(MOVIMIENTOS!$B30="RECHAZO","RECHAZO cal. "&amp;MOVIMIENTOS!$C30&amp;" (va a reproceso)",IF(MOVIMIENTOS!$B30="DEVOLUCIÓN","DEVOLUCIÓN cal. "&amp;MOVIMIENTOS!$C30&amp;" (regresa intacta)",IF(MOVIMIENTOS!$B30="TRASIEGO","TRASIEGO cal. "&amp;MOVIMIENTOS!$C30,MOVIMIENTOS!$B30)))))))))),"")</f>
        <v/>
      </c>
      <c r="M31" s="48" t="str">
        <f aca="false">IF(AND(AND(MOVIMIENTOS!$B30&lt;&gt;"",NOT(AND(MOVIMIENTOS!$B30="PROCESO",MOVIMIENTOS!$C30&lt;&gt;"Chancho")),NOT(AND(MOVIMIENTOS!$B30="SALDO INICIAL",MOVIMIENTOS!$C30="Chancho"))),OR(MOVIMIENTOS!$B30="SALDO INICIAL",MOVIMIENTOS!$B30="COMPRA",MOVIMIENTOS!$B30="REPROCESO",MOVIMIENTOS!$B30="DEVOLUCIÓN",AND(MOVIMIENTOS!$B30="AJUSTE",MOVIMIENTOS!$C30&lt;&gt;"Chancho",N(MOVIMIENTOS!$F30)&gt;=0))),N(MOVIMIENTOS!$F30),"")</f>
        <v/>
      </c>
      <c r="N31" s="48" t="str">
        <f aca="false">IF(AND(AND(MOVIMIENTOS!$B30&lt;&gt;"",NOT(AND(MOVIMIENTOS!$B30="PROCESO",MOVIMIENTOS!$C30&lt;&gt;"Chancho")),NOT(AND(MOVIMIENTOS!$B30="SALDO INICIAL",MOVIMIENTOS!$C30="Chancho"))),OR(MOVIMIENTOS!$B30="ENVÍO A SUPESA",MOVIMIENTOS!$B30="MALOGRADO",MOVIMIENTOS!$B30="OTRA SALIDA",MOVIMIENTOS!$B30="TRASIEGO",AND(MOVIMIENTOS!$B30="PROCESO",MOVIMIENTOS!$C30="Chancho"),AND(MOVIMIENTOS!$B30="REGALO",MOVIMIENTOS!$C30&lt;&gt;"Chancho"),AND(MOVIMIENTOS!$B30="VENTA",MOVIMIENTOS!$C30&lt;&gt;"Chancho"),AND(MOVIMIENTOS!$B30="AJUSTE",MOVIMIENTOS!$C30&lt;&gt;"Chancho",N(MOVIMIENTOS!$F30)&lt;0))),IF(MOVIMIENTOS!$B30="AJUSTE",-N(MOVIMIENTOS!$F30),N(MOVIMIENTOS!$F30)),"")</f>
        <v/>
      </c>
      <c r="O31" s="48" t="str">
        <f aca="false">IF(AND(MOVIMIENTOS!$B30&lt;&gt;"",NOT(AND(MOVIMIENTOS!$B30="PROCESO",MOVIMIENTOS!$C30&lt;&gt;"Chancho")),NOT(AND(MOVIMIENTOS!$B30="SALDO INICIAL",MOVIMIENTOS!$C30="Chancho"))),IF(MOVIMIENTOS!$B30="RECHAZO",MOVIMIENTOS!$E30&amp;" jabas rechazadas · van a reproceso",IF(MOVIMIENTOS!$B30="REPROCESO",MOVIMIENTOS!$E30&amp;" kg recuperados (merma del día: "&amp;TEXT(SUMPRODUCT((MOVIMIENTOS!$A$5:$A$400=MOVIMIENTOS!$A30)*(MOVIMIENTOS!$B$5:$B$400="RECHAZO")*(MOVIMIENTOS!$D$5:$D$400="jabas")*MOVIMIENTOS!$E$5:$E$400*IFERROR(_xlfn.SWITCH(MOVIMIENTOS!$C$5:$C$400,"A",15,"P",18,"C",17,"M",17,0),0))-SUMPRODUCT((MOVIMIENTOS!$A$5:$A$400=MOVIMIENTOS!$A30)*(MOVIMIENTOS!$B$5:$B$400="REPROCESO")*MOVIMIENTOS!$I$5:$I$400),"+#,##0;-#,##0;0")&amp;" kg)",TRIM(IF(MOVIMIENTOS!$G30&lt;&gt;"",MOVIMIENTOS!$G30&amp;"  ","")&amp;IF(N(MOVIMIENTOS!$D30)&gt;0,MOVIMIENTOS!$D30&amp;" "&amp;MOVIMIENTOS!$D30,"")))),"")</f>
        <v/>
      </c>
      <c r="P31" s="48" t="n">
        <f aca="false">N(P30)+N(M31)-N(N31)</f>
        <v>4679</v>
      </c>
      <c r="Q31" s="48"/>
      <c r="R31" s="48"/>
      <c r="S31" s="48"/>
      <c r="T31" s="48"/>
    </row>
    <row r="32" customFormat="false" ht="15" hidden="false" customHeight="true" outlineLevel="0" collapsed="false">
      <c r="A32" s="51" t="n">
        <f aca="false">IFERROR(INDEX(K$6:K$401,MATCH(ROW()-5,J$6:J$401,0)),"")</f>
        <v>46218</v>
      </c>
      <c r="B32" s="56" t="str">
        <f aca="false">IFERROR(INDEX(L$6:L$401,MATCH(ROW()-5,J$6:J$401,0)),"")</f>
        <v>ENVÍO cal. M</v>
      </c>
      <c r="C32" s="52" t="str">
        <f aca="false">IFERROR(INDEX(M$6:M$401,MATCH(ROW()-5,J$6:J$401,0)),"")</f>
        <v/>
      </c>
      <c r="D32" s="52" t="n">
        <f aca="false">IFERROR(INDEX(N$6:N$401,MATCH(ROW()-5,J$6:J$401,0)),"")</f>
        <v>1615</v>
      </c>
      <c r="E32" s="56" t="str">
        <f aca="false">IFERROR(INDEX(O$6:O$401,MATCH(ROW()-5,J$6:J$401,0)),"")</f>
        <v>2986</v>
      </c>
      <c r="F32" s="52" t="n">
        <f aca="false">IFERROR(INDEX(P$6:P$401,MATCH(ROW()-5,J$6:J$401,0)),"")</f>
        <v>989</v>
      </c>
      <c r="G32" s="48"/>
      <c r="H32" s="48"/>
      <c r="I32" s="48"/>
      <c r="J32" s="48" t="str">
        <f aca="false">IF(AND(MOVIMIENTOS!$B31&lt;&gt;"",NOT(AND(MOVIMIENTOS!$B31="PROCESO",MOVIMIENTOS!$C31&lt;&gt;"Chancho")),NOT(AND(MOVIMIENTOS!$B31="SALDO INICIAL",MOVIMIENTOS!$C31="Chancho"))),COUNT(J$6:J31)+1,"")</f>
        <v/>
      </c>
      <c r="K32" s="48" t="str">
        <f aca="false">IF(AND(MOVIMIENTOS!$B31&lt;&gt;"",NOT(AND(MOVIMIENTOS!$B31="PROCESO",MOVIMIENTOS!$C31&lt;&gt;"Chancho")),NOT(AND(MOVIMIENTOS!$B31="SALDO INICIAL",MOVIMIENTOS!$C31="Chancho"))),MOVIMIENTOS!$A31,"")</f>
        <v/>
      </c>
      <c r="L32" s="48" t="str">
        <f aca="false">IF(AND(MOVIMIENTOS!$B31&lt;&gt;"",NOT(AND(MOVIMIENTOS!$B31="PROCESO",MOVIMIENTOS!$C31&lt;&gt;"Chancho")),NOT(AND(MOVIMIENTOS!$B31="SALDO INICIAL",MOVIMIENTOS!$C31="Chancho"))),IF(MOVIMIENTOS!$B31="SALDO INICIAL","APERTURA ("&amp;MOVIMIENTOS!$C31&amp;")",IF(MOVIMIENTOS!$B31="COMPRA","INGRESO (compra)",IF(MOVIMIENTOS!$B31="PROCESO","CHANCHO (proceso)",IF(MOVIMIENTOS!$B31="ENVÍO A SUPESA","ENVÍO cal. "&amp;MOVIMIENTOS!$C31,IF(MOVIMIENTOS!$B31="VENTA CHANCHO","VENTA CHANCHO",IF(MOVIMIENTOS!$B31="VENTA","VENTA cal. "&amp;MOVIMIENTOS!$C31,IF(MOVIMIENTOS!$B31="REGALO","REGALO "&amp;MOVIMIENTOS!$C31,IF(MOVIMIENTOS!$B31="RECHAZO","RECHAZO cal. "&amp;MOVIMIENTOS!$C31&amp;" (va a reproceso)",IF(MOVIMIENTOS!$B31="DEVOLUCIÓN","DEVOLUCIÓN cal. "&amp;MOVIMIENTOS!$C31&amp;" (regresa intacta)",IF(MOVIMIENTOS!$B31="TRASIEGO","TRASIEGO cal. "&amp;MOVIMIENTOS!$C31,MOVIMIENTOS!$B31)))))))))),"")</f>
        <v/>
      </c>
      <c r="M32" s="48" t="str">
        <f aca="false">IF(AND(AND(MOVIMIENTOS!$B31&lt;&gt;"",NOT(AND(MOVIMIENTOS!$B31="PROCESO",MOVIMIENTOS!$C31&lt;&gt;"Chancho")),NOT(AND(MOVIMIENTOS!$B31="SALDO INICIAL",MOVIMIENTOS!$C31="Chancho"))),OR(MOVIMIENTOS!$B31="SALDO INICIAL",MOVIMIENTOS!$B31="COMPRA",MOVIMIENTOS!$B31="REPROCESO",MOVIMIENTOS!$B31="DEVOLUCIÓN",AND(MOVIMIENTOS!$B31="AJUSTE",MOVIMIENTOS!$C31&lt;&gt;"Chancho",N(MOVIMIENTOS!$F31)&gt;=0))),N(MOVIMIENTOS!$F31),"")</f>
        <v/>
      </c>
      <c r="N32" s="48" t="str">
        <f aca="false">IF(AND(AND(MOVIMIENTOS!$B31&lt;&gt;"",NOT(AND(MOVIMIENTOS!$B31="PROCESO",MOVIMIENTOS!$C31&lt;&gt;"Chancho")),NOT(AND(MOVIMIENTOS!$B31="SALDO INICIAL",MOVIMIENTOS!$C31="Chancho"))),OR(MOVIMIENTOS!$B31="ENVÍO A SUPESA",MOVIMIENTOS!$B31="MALOGRADO",MOVIMIENTOS!$B31="OTRA SALIDA",MOVIMIENTOS!$B31="TRASIEGO",AND(MOVIMIENTOS!$B31="PROCESO",MOVIMIENTOS!$C31="Chancho"),AND(MOVIMIENTOS!$B31="REGALO",MOVIMIENTOS!$C31&lt;&gt;"Chancho"),AND(MOVIMIENTOS!$B31="VENTA",MOVIMIENTOS!$C31&lt;&gt;"Chancho"),AND(MOVIMIENTOS!$B31="AJUSTE",MOVIMIENTOS!$C31&lt;&gt;"Chancho",N(MOVIMIENTOS!$F31)&lt;0))),IF(MOVIMIENTOS!$B31="AJUSTE",-N(MOVIMIENTOS!$F31),N(MOVIMIENTOS!$F31)),"")</f>
        <v/>
      </c>
      <c r="O32" s="48" t="str">
        <f aca="false">IF(AND(MOVIMIENTOS!$B31&lt;&gt;"",NOT(AND(MOVIMIENTOS!$B31="PROCESO",MOVIMIENTOS!$C31&lt;&gt;"Chancho")),NOT(AND(MOVIMIENTOS!$B31="SALDO INICIAL",MOVIMIENTOS!$C31="Chancho"))),IF(MOVIMIENTOS!$B31="RECHAZO",MOVIMIENTOS!$E31&amp;" jabas rechazadas · van a reproceso",IF(MOVIMIENTOS!$B31="REPROCESO",MOVIMIENTOS!$E31&amp;" kg recuperados (merma del día: "&amp;TEXT(SUMPRODUCT((MOVIMIENTOS!$A$5:$A$400=MOVIMIENTOS!$A31)*(MOVIMIENTOS!$B$5:$B$400="RECHAZO")*(MOVIMIENTOS!$D$5:$D$400="jabas")*MOVIMIENTOS!$E$5:$E$400*IFERROR(_xlfn.SWITCH(MOVIMIENTOS!$C$5:$C$400,"A",15,"P",18,"C",17,"M",17,0),0))-SUMPRODUCT((MOVIMIENTOS!$A$5:$A$400=MOVIMIENTOS!$A31)*(MOVIMIENTOS!$B$5:$B$400="REPROCESO")*MOVIMIENTOS!$I$5:$I$400),"+#,##0;-#,##0;0")&amp;" kg)",TRIM(IF(MOVIMIENTOS!$G31&lt;&gt;"",MOVIMIENTOS!$G31&amp;"  ","")&amp;IF(N(MOVIMIENTOS!$D31)&gt;0,MOVIMIENTOS!$D31&amp;" "&amp;MOVIMIENTOS!$D31,"")))),"")</f>
        <v/>
      </c>
      <c r="P32" s="48" t="n">
        <f aca="false">N(P31)+N(M32)-N(N32)</f>
        <v>4679</v>
      </c>
      <c r="Q32" s="48"/>
      <c r="R32" s="48"/>
      <c r="S32" s="48"/>
      <c r="T32" s="48"/>
    </row>
    <row r="33" customFormat="false" ht="15" hidden="false" customHeight="true" outlineLevel="0" collapsed="false">
      <c r="A33" s="51" t="n">
        <f aca="false">IFERROR(INDEX(K$6:K$401,MATCH(ROW()-5,J$6:J$401,0)),"")</f>
        <v>46218</v>
      </c>
      <c r="B33" s="56" t="str">
        <f aca="false">IFERROR(INDEX(L$6:L$401,MATCH(ROW()-5,J$6:J$401,0)),"")</f>
        <v>VENTA CHANCHO</v>
      </c>
      <c r="C33" s="52" t="str">
        <f aca="false">IFERROR(INDEX(M$6:M$401,MATCH(ROW()-5,J$6:J$401,0)),"")</f>
        <v/>
      </c>
      <c r="D33" s="52" t="str">
        <f aca="false">IFERROR(INDEX(N$6:N$401,MATCH(ROW()-5,J$6:J$401,0)),"")</f>
        <v/>
      </c>
      <c r="E33" s="56" t="str">
        <f aca="false">IFERROR(INDEX(O$6:O$401,MATCH(ROW()-5,J$6:J$401,0)),"")</f>
        <v>TCK002-724</v>
      </c>
      <c r="F33" s="52" t="n">
        <f aca="false">IFERROR(INDEX(P$6:P$401,MATCH(ROW()-5,J$6:J$401,0)),"")</f>
        <v>989</v>
      </c>
      <c r="G33" s="48"/>
      <c r="H33" s="48"/>
      <c r="I33" s="48"/>
      <c r="J33" s="48" t="str">
        <f aca="false">IF(AND(MOVIMIENTOS!$B32&lt;&gt;"",NOT(AND(MOVIMIENTOS!$B32="PROCESO",MOVIMIENTOS!$C32&lt;&gt;"Chancho")),NOT(AND(MOVIMIENTOS!$B32="SALDO INICIAL",MOVIMIENTOS!$C32="Chancho"))),COUNT(J$6:J32)+1,"")</f>
        <v/>
      </c>
      <c r="K33" s="48" t="str">
        <f aca="false">IF(AND(MOVIMIENTOS!$B32&lt;&gt;"",NOT(AND(MOVIMIENTOS!$B32="PROCESO",MOVIMIENTOS!$C32&lt;&gt;"Chancho")),NOT(AND(MOVIMIENTOS!$B32="SALDO INICIAL",MOVIMIENTOS!$C32="Chancho"))),MOVIMIENTOS!$A32,"")</f>
        <v/>
      </c>
      <c r="L33" s="48" t="str">
        <f aca="false">IF(AND(MOVIMIENTOS!$B32&lt;&gt;"",NOT(AND(MOVIMIENTOS!$B32="PROCESO",MOVIMIENTOS!$C32&lt;&gt;"Chancho")),NOT(AND(MOVIMIENTOS!$B32="SALDO INICIAL",MOVIMIENTOS!$C32="Chancho"))),IF(MOVIMIENTOS!$B32="SALDO INICIAL","APERTURA ("&amp;MOVIMIENTOS!$C32&amp;")",IF(MOVIMIENTOS!$B32="COMPRA","INGRESO (compra)",IF(MOVIMIENTOS!$B32="PROCESO","CHANCHO (proceso)",IF(MOVIMIENTOS!$B32="ENVÍO A SUPESA","ENVÍO cal. "&amp;MOVIMIENTOS!$C32,IF(MOVIMIENTOS!$B32="VENTA CHANCHO","VENTA CHANCHO",IF(MOVIMIENTOS!$B32="VENTA","VENTA cal. "&amp;MOVIMIENTOS!$C32,IF(MOVIMIENTOS!$B32="REGALO","REGALO "&amp;MOVIMIENTOS!$C32,IF(MOVIMIENTOS!$B32="RECHAZO","RECHAZO cal. "&amp;MOVIMIENTOS!$C32&amp;" (va a reproceso)",IF(MOVIMIENTOS!$B32="DEVOLUCIÓN","DEVOLUCIÓN cal. "&amp;MOVIMIENTOS!$C32&amp;" (regresa intacta)",IF(MOVIMIENTOS!$B32="TRASIEGO","TRASIEGO cal. "&amp;MOVIMIENTOS!$C32,MOVIMIENTOS!$B32)))))))))),"")</f>
        <v/>
      </c>
      <c r="M33" s="48" t="str">
        <f aca="false">IF(AND(AND(MOVIMIENTOS!$B32&lt;&gt;"",NOT(AND(MOVIMIENTOS!$B32="PROCESO",MOVIMIENTOS!$C32&lt;&gt;"Chancho")),NOT(AND(MOVIMIENTOS!$B32="SALDO INICIAL",MOVIMIENTOS!$C32="Chancho"))),OR(MOVIMIENTOS!$B32="SALDO INICIAL",MOVIMIENTOS!$B32="COMPRA",MOVIMIENTOS!$B32="REPROCESO",MOVIMIENTOS!$B32="DEVOLUCIÓN",AND(MOVIMIENTOS!$B32="AJUSTE",MOVIMIENTOS!$C32&lt;&gt;"Chancho",N(MOVIMIENTOS!$F32)&gt;=0))),N(MOVIMIENTOS!$F32),"")</f>
        <v/>
      </c>
      <c r="N33" s="48" t="str">
        <f aca="false">IF(AND(AND(MOVIMIENTOS!$B32&lt;&gt;"",NOT(AND(MOVIMIENTOS!$B32="PROCESO",MOVIMIENTOS!$C32&lt;&gt;"Chancho")),NOT(AND(MOVIMIENTOS!$B32="SALDO INICIAL",MOVIMIENTOS!$C32="Chancho"))),OR(MOVIMIENTOS!$B32="ENVÍO A SUPESA",MOVIMIENTOS!$B32="MALOGRADO",MOVIMIENTOS!$B32="OTRA SALIDA",MOVIMIENTOS!$B32="TRASIEGO",AND(MOVIMIENTOS!$B32="PROCESO",MOVIMIENTOS!$C32="Chancho"),AND(MOVIMIENTOS!$B32="REGALO",MOVIMIENTOS!$C32&lt;&gt;"Chancho"),AND(MOVIMIENTOS!$B32="VENTA",MOVIMIENTOS!$C32&lt;&gt;"Chancho"),AND(MOVIMIENTOS!$B32="AJUSTE",MOVIMIENTOS!$C32&lt;&gt;"Chancho",N(MOVIMIENTOS!$F32)&lt;0))),IF(MOVIMIENTOS!$B32="AJUSTE",-N(MOVIMIENTOS!$F32),N(MOVIMIENTOS!$F32)),"")</f>
        <v/>
      </c>
      <c r="O33" s="48" t="str">
        <f aca="false">IF(AND(MOVIMIENTOS!$B32&lt;&gt;"",NOT(AND(MOVIMIENTOS!$B32="PROCESO",MOVIMIENTOS!$C32&lt;&gt;"Chancho")),NOT(AND(MOVIMIENTOS!$B32="SALDO INICIAL",MOVIMIENTOS!$C32="Chancho"))),IF(MOVIMIENTOS!$B32="RECHAZO",MOVIMIENTOS!$E32&amp;" jabas rechazadas · van a reproceso",IF(MOVIMIENTOS!$B32="REPROCESO",MOVIMIENTOS!$E32&amp;" kg recuperados (merma del día: "&amp;TEXT(SUMPRODUCT((MOVIMIENTOS!$A$5:$A$400=MOVIMIENTOS!$A32)*(MOVIMIENTOS!$B$5:$B$400="RECHAZO")*(MOVIMIENTOS!$D$5:$D$400="jabas")*MOVIMIENTOS!$E$5:$E$400*IFERROR(_xlfn.SWITCH(MOVIMIENTOS!$C$5:$C$400,"A",15,"P",18,"C",17,"M",17,0),0))-SUMPRODUCT((MOVIMIENTOS!$A$5:$A$400=MOVIMIENTOS!$A32)*(MOVIMIENTOS!$B$5:$B$400="REPROCESO")*MOVIMIENTOS!$I$5:$I$400),"+#,##0;-#,##0;0")&amp;" kg)",TRIM(IF(MOVIMIENTOS!$G32&lt;&gt;"",MOVIMIENTOS!$G32&amp;"  ","")&amp;IF(N(MOVIMIENTOS!$D32)&gt;0,MOVIMIENTOS!$D32&amp;" "&amp;MOVIMIENTOS!$D32,"")))),"")</f>
        <v/>
      </c>
      <c r="P33" s="48" t="n">
        <f aca="false">N(P32)+N(M33)-N(N33)</f>
        <v>4679</v>
      </c>
      <c r="Q33" s="48"/>
      <c r="R33" s="48"/>
      <c r="S33" s="48"/>
      <c r="T33" s="48"/>
    </row>
    <row r="34" customFormat="false" ht="15" hidden="false" customHeight="true" outlineLevel="0" collapsed="false">
      <c r="A34" s="51" t="n">
        <f aca="false">IFERROR(INDEX(K$6:K$401,MATCH(ROW()-5,J$6:J$401,0)),"")</f>
        <v>46219</v>
      </c>
      <c r="B34" s="56" t="str">
        <f aca="false">IFERROR(INDEX(L$6:L$401,MATCH(ROW()-5,J$6:J$401,0)),"")</f>
        <v>INGRESO (compra)</v>
      </c>
      <c r="C34" s="52" t="n">
        <f aca="false">IFERROR(INDEX(M$6:M$401,MATCH(ROW()-5,J$6:J$401,0)),"")</f>
        <v>3800</v>
      </c>
      <c r="D34" s="52" t="str">
        <f aca="false">IFERROR(INDEX(N$6:N$401,MATCH(ROW()-5,J$6:J$401,0)),"")</f>
        <v/>
      </c>
      <c r="E34" s="56" t="str">
        <f aca="false">IFERROR(INDEX(O$6:O$401,MATCH(ROW()-5,J$6:J$401,0)),"")</f>
        <v/>
      </c>
      <c r="F34" s="52" t="n">
        <f aca="false">IFERROR(INDEX(P$6:P$401,MATCH(ROW()-5,J$6:J$401,0)),"")</f>
        <v>4789</v>
      </c>
      <c r="G34" s="48"/>
      <c r="H34" s="48"/>
      <c r="I34" s="48"/>
      <c r="J34" s="48" t="str">
        <f aca="false">IF(AND(MOVIMIENTOS!$B33&lt;&gt;"",NOT(AND(MOVIMIENTOS!$B33="PROCESO",MOVIMIENTOS!$C33&lt;&gt;"Chancho")),NOT(AND(MOVIMIENTOS!$B33="SALDO INICIAL",MOVIMIENTOS!$C33="Chancho"))),COUNT(J$6:J33)+1,"")</f>
        <v/>
      </c>
      <c r="K34" s="48" t="str">
        <f aca="false">IF(AND(MOVIMIENTOS!$B33&lt;&gt;"",NOT(AND(MOVIMIENTOS!$B33="PROCESO",MOVIMIENTOS!$C33&lt;&gt;"Chancho")),NOT(AND(MOVIMIENTOS!$B33="SALDO INICIAL",MOVIMIENTOS!$C33="Chancho"))),MOVIMIENTOS!$A33,"")</f>
        <v/>
      </c>
      <c r="L34" s="48" t="str">
        <f aca="false">IF(AND(MOVIMIENTOS!$B33&lt;&gt;"",NOT(AND(MOVIMIENTOS!$B33="PROCESO",MOVIMIENTOS!$C33&lt;&gt;"Chancho")),NOT(AND(MOVIMIENTOS!$B33="SALDO INICIAL",MOVIMIENTOS!$C33="Chancho"))),IF(MOVIMIENTOS!$B33="SALDO INICIAL","APERTURA ("&amp;MOVIMIENTOS!$C33&amp;")",IF(MOVIMIENTOS!$B33="COMPRA","INGRESO (compra)",IF(MOVIMIENTOS!$B33="PROCESO","CHANCHO (proceso)",IF(MOVIMIENTOS!$B33="ENVÍO A SUPESA","ENVÍO cal. "&amp;MOVIMIENTOS!$C33,IF(MOVIMIENTOS!$B33="VENTA CHANCHO","VENTA CHANCHO",IF(MOVIMIENTOS!$B33="VENTA","VENTA cal. "&amp;MOVIMIENTOS!$C33,IF(MOVIMIENTOS!$B33="REGALO","REGALO "&amp;MOVIMIENTOS!$C33,IF(MOVIMIENTOS!$B33="RECHAZO","RECHAZO cal. "&amp;MOVIMIENTOS!$C33&amp;" (va a reproceso)",IF(MOVIMIENTOS!$B33="DEVOLUCIÓN","DEVOLUCIÓN cal. "&amp;MOVIMIENTOS!$C33&amp;" (regresa intacta)",IF(MOVIMIENTOS!$B33="TRASIEGO","TRASIEGO cal. "&amp;MOVIMIENTOS!$C33,MOVIMIENTOS!$B33)))))))))),"")</f>
        <v/>
      </c>
      <c r="M34" s="48" t="str">
        <f aca="false">IF(AND(AND(MOVIMIENTOS!$B33&lt;&gt;"",NOT(AND(MOVIMIENTOS!$B33="PROCESO",MOVIMIENTOS!$C33&lt;&gt;"Chancho")),NOT(AND(MOVIMIENTOS!$B33="SALDO INICIAL",MOVIMIENTOS!$C33="Chancho"))),OR(MOVIMIENTOS!$B33="SALDO INICIAL",MOVIMIENTOS!$B33="COMPRA",MOVIMIENTOS!$B33="REPROCESO",MOVIMIENTOS!$B33="DEVOLUCIÓN",AND(MOVIMIENTOS!$B33="AJUSTE",MOVIMIENTOS!$C33&lt;&gt;"Chancho",N(MOVIMIENTOS!$F33)&gt;=0))),N(MOVIMIENTOS!$F33),"")</f>
        <v/>
      </c>
      <c r="N34" s="48" t="str">
        <f aca="false">IF(AND(AND(MOVIMIENTOS!$B33&lt;&gt;"",NOT(AND(MOVIMIENTOS!$B33="PROCESO",MOVIMIENTOS!$C33&lt;&gt;"Chancho")),NOT(AND(MOVIMIENTOS!$B33="SALDO INICIAL",MOVIMIENTOS!$C33="Chancho"))),OR(MOVIMIENTOS!$B33="ENVÍO A SUPESA",MOVIMIENTOS!$B33="MALOGRADO",MOVIMIENTOS!$B33="OTRA SALIDA",MOVIMIENTOS!$B33="TRASIEGO",AND(MOVIMIENTOS!$B33="PROCESO",MOVIMIENTOS!$C33="Chancho"),AND(MOVIMIENTOS!$B33="REGALO",MOVIMIENTOS!$C33&lt;&gt;"Chancho"),AND(MOVIMIENTOS!$B33="VENTA",MOVIMIENTOS!$C33&lt;&gt;"Chancho"),AND(MOVIMIENTOS!$B33="AJUSTE",MOVIMIENTOS!$C33&lt;&gt;"Chancho",N(MOVIMIENTOS!$F33)&lt;0))),IF(MOVIMIENTOS!$B33="AJUSTE",-N(MOVIMIENTOS!$F33),N(MOVIMIENTOS!$F33)),"")</f>
        <v/>
      </c>
      <c r="O34" s="48" t="str">
        <f aca="false">IF(AND(MOVIMIENTOS!$B33&lt;&gt;"",NOT(AND(MOVIMIENTOS!$B33="PROCESO",MOVIMIENTOS!$C33&lt;&gt;"Chancho")),NOT(AND(MOVIMIENTOS!$B33="SALDO INICIAL",MOVIMIENTOS!$C33="Chancho"))),IF(MOVIMIENTOS!$B33="RECHAZO",MOVIMIENTOS!$E33&amp;" jabas rechazadas · van a reproceso",IF(MOVIMIENTOS!$B33="REPROCESO",MOVIMIENTOS!$E33&amp;" kg recuperados (merma del día: "&amp;TEXT(SUMPRODUCT((MOVIMIENTOS!$A$5:$A$400=MOVIMIENTOS!$A33)*(MOVIMIENTOS!$B$5:$B$400="RECHAZO")*(MOVIMIENTOS!$D$5:$D$400="jabas")*MOVIMIENTOS!$E$5:$E$400*IFERROR(_xlfn.SWITCH(MOVIMIENTOS!$C$5:$C$400,"A",15,"P",18,"C",17,"M",17,0),0))-SUMPRODUCT((MOVIMIENTOS!$A$5:$A$400=MOVIMIENTOS!$A33)*(MOVIMIENTOS!$B$5:$B$400="REPROCESO")*MOVIMIENTOS!$I$5:$I$400),"+#,##0;-#,##0;0")&amp;" kg)",TRIM(IF(MOVIMIENTOS!$G33&lt;&gt;"",MOVIMIENTOS!$G33&amp;"  ","")&amp;IF(N(MOVIMIENTOS!$D33)&gt;0,MOVIMIENTOS!$D33&amp;" "&amp;MOVIMIENTOS!$D33,"")))),"")</f>
        <v/>
      </c>
      <c r="P34" s="48" t="n">
        <f aca="false">N(P33)+N(M34)-N(N34)</f>
        <v>4679</v>
      </c>
      <c r="Q34" s="48"/>
      <c r="R34" s="48"/>
      <c r="S34" s="48"/>
      <c r="T34" s="48"/>
    </row>
    <row r="35" customFormat="false" ht="15" hidden="false" customHeight="true" outlineLevel="0" collapsed="false">
      <c r="A35" s="51" t="n">
        <f aca="false">IFERROR(INDEX(K$6:K$401,MATCH(ROW()-5,J$6:J$401,0)),"")</f>
        <v>46219</v>
      </c>
      <c r="B35" s="56" t="str">
        <f aca="false">IFERROR(INDEX(L$6:L$401,MATCH(ROW()-5,J$6:J$401,0)),"")</f>
        <v>CHANCHO (proceso)</v>
      </c>
      <c r="C35" s="52" t="str">
        <f aca="false">IFERROR(INDEX(M$6:M$401,MATCH(ROW()-5,J$6:J$401,0)),"")</f>
        <v/>
      </c>
      <c r="D35" s="52" t="n">
        <f aca="false">IFERROR(INDEX(N$6:N$401,MATCH(ROW()-5,J$6:J$401,0)),"")</f>
        <v>380</v>
      </c>
      <c r="E35" s="56" t="str">
        <f aca="false">IFERROR(INDEX(O$6:O$401,MATCH(ROW()-5,J$6:J$401,0)),"")</f>
        <v/>
      </c>
      <c r="F35" s="52" t="n">
        <f aca="false">IFERROR(INDEX(P$6:P$401,MATCH(ROW()-5,J$6:J$401,0)),"")</f>
        <v>4409</v>
      </c>
      <c r="G35" s="48"/>
      <c r="H35" s="48"/>
      <c r="I35" s="48"/>
      <c r="J35" s="48" t="n">
        <f aca="false">IF(AND(MOVIMIENTOS!$B34&lt;&gt;"",NOT(AND(MOVIMIENTOS!$B34="PROCESO",MOVIMIENTOS!$C34&lt;&gt;"Chancho")),NOT(AND(MOVIMIENTOS!$B34="SALDO INICIAL",MOVIMIENTOS!$C34="Chancho"))),COUNT(J$6:J34)+1,"")</f>
        <v>17</v>
      </c>
      <c r="K35" s="53" t="n">
        <f aca="false">IF(AND(MOVIMIENTOS!$B34&lt;&gt;"",NOT(AND(MOVIMIENTOS!$B34="PROCESO",MOVIMIENTOS!$C34&lt;&gt;"Chancho")),NOT(AND(MOVIMIENTOS!$B34="SALDO INICIAL",MOVIMIENTOS!$C34="Chancho"))),MOVIMIENTOS!$A34,"")</f>
        <v>46217</v>
      </c>
      <c r="L35" s="48" t="str">
        <f aca="false">IF(AND(MOVIMIENTOS!$B34&lt;&gt;"",NOT(AND(MOVIMIENTOS!$B34="PROCESO",MOVIMIENTOS!$C34&lt;&gt;"Chancho")),NOT(AND(MOVIMIENTOS!$B34="SALDO INICIAL",MOVIMIENTOS!$C34="Chancho"))),IF(MOVIMIENTOS!$B34="SALDO INICIAL","APERTURA ("&amp;MOVIMIENTOS!$C34&amp;")",IF(MOVIMIENTOS!$B34="COMPRA","INGRESO (compra)",IF(MOVIMIENTOS!$B34="PROCESO","CHANCHO (proceso)",IF(MOVIMIENTOS!$B34="ENVÍO A SUPESA","ENVÍO cal. "&amp;MOVIMIENTOS!$C34,IF(MOVIMIENTOS!$B34="VENTA CHANCHO","VENTA CHANCHO",IF(MOVIMIENTOS!$B34="VENTA","VENTA cal. "&amp;MOVIMIENTOS!$C34,IF(MOVIMIENTOS!$B34="REGALO","REGALO "&amp;MOVIMIENTOS!$C34,IF(MOVIMIENTOS!$B34="RECHAZO","RECHAZO cal. "&amp;MOVIMIENTOS!$C34&amp;" (va a reproceso)",IF(MOVIMIENTOS!$B34="DEVOLUCIÓN","DEVOLUCIÓN cal. "&amp;MOVIMIENTOS!$C34&amp;" (regresa intacta)",IF(MOVIMIENTOS!$B34="TRASIEGO","TRASIEGO cal. "&amp;MOVIMIENTOS!$C34,MOVIMIENTOS!$B34)))))))))),"")</f>
        <v>CHANCHO (proceso)</v>
      </c>
      <c r="M35" s="48" t="str">
        <f aca="false">IF(AND(AND(MOVIMIENTOS!$B34&lt;&gt;"",NOT(AND(MOVIMIENTOS!$B34="PROCESO",MOVIMIENTOS!$C34&lt;&gt;"Chancho")),NOT(AND(MOVIMIENTOS!$B34="SALDO INICIAL",MOVIMIENTOS!$C34="Chancho"))),OR(MOVIMIENTOS!$B34="SALDO INICIAL",MOVIMIENTOS!$B34="COMPRA",MOVIMIENTOS!$B34="REPROCESO",MOVIMIENTOS!$B34="DEVOLUCIÓN",AND(MOVIMIENTOS!$B34="AJUSTE",MOVIMIENTOS!$C34&lt;&gt;"Chancho",N(MOVIMIENTOS!$F34)&gt;=0))),N(MOVIMIENTOS!$F34),"")</f>
        <v/>
      </c>
      <c r="N35" s="48" t="n">
        <f aca="false">IF(AND(AND(MOVIMIENTOS!$B34&lt;&gt;"",NOT(AND(MOVIMIENTOS!$B34="PROCESO",MOVIMIENTOS!$C34&lt;&gt;"Chancho")),NOT(AND(MOVIMIENTOS!$B34="SALDO INICIAL",MOVIMIENTOS!$C34="Chancho"))),OR(MOVIMIENTOS!$B34="ENVÍO A SUPESA",MOVIMIENTOS!$B34="MALOGRADO",MOVIMIENTOS!$B34="OTRA SALIDA",MOVIMIENTOS!$B34="TRASIEGO",AND(MOVIMIENTOS!$B34="PROCESO",MOVIMIENTOS!$C34="Chancho"),AND(MOVIMIENTOS!$B34="REGALO",MOVIMIENTOS!$C34&lt;&gt;"Chancho"),AND(MOVIMIENTOS!$B34="VENTA",MOVIMIENTOS!$C34&lt;&gt;"Chancho"),AND(MOVIMIENTOS!$B34="AJUSTE",MOVIMIENTOS!$C34&lt;&gt;"Chancho",N(MOVIMIENTOS!$F34)&lt;0))),IF(MOVIMIENTOS!$B34="AJUSTE",-N(MOVIMIENTOS!$F34),N(MOVIMIENTOS!$F34)),"")</f>
        <v>665</v>
      </c>
      <c r="O35" s="48" t="str">
        <f aca="false">IF(AND(MOVIMIENTOS!$B34&lt;&gt;"",NOT(AND(MOVIMIENTOS!$B34="PROCESO",MOVIMIENTOS!$C34&lt;&gt;"Chancho")),NOT(AND(MOVIMIENTOS!$B34="SALDO INICIAL",MOVIMIENTOS!$C34="Chancho"))),IF(MOVIMIENTOS!$B34="RECHAZO",MOVIMIENTOS!$E34&amp;" jabas rechazadas · van a reproceso",IF(MOVIMIENTOS!$B34="REPROCESO",MOVIMIENTOS!$E34&amp;" kg recuperados (merma del día: "&amp;TEXT(SUMPRODUCT((MOVIMIENTOS!$A$5:$A$400=MOVIMIENTOS!$A34)*(MOVIMIENTOS!$B$5:$B$400="RECHAZO")*(MOVIMIENTOS!$D$5:$D$400="jabas")*MOVIMIENTOS!$E$5:$E$400*IFERROR(_xlfn.SWITCH(MOVIMIENTOS!$C$5:$C$400,"A",15,"P",18,"C",17,"M",17,0),0))-SUMPRODUCT((MOVIMIENTOS!$A$5:$A$400=MOVIMIENTOS!$A34)*(MOVIMIENTOS!$B$5:$B$400="REPROCESO")*MOVIMIENTOS!$I$5:$I$400),"+#,##0;-#,##0;0")&amp;" kg)",TRIM(IF(MOVIMIENTOS!$G34&lt;&gt;"",MOVIMIENTOS!$G34&amp;"  ","")&amp;IF(N(MOVIMIENTOS!$D34)&gt;0,MOVIMIENTOS!$D34&amp;" "&amp;MOVIMIENTOS!$D34,"")))),"")</f>
        <v/>
      </c>
      <c r="P35" s="48" t="n">
        <f aca="false">N(P34)+N(M35)-N(N35)</f>
        <v>4014</v>
      </c>
      <c r="Q35" s="48"/>
      <c r="R35" s="48"/>
      <c r="S35" s="48"/>
      <c r="T35" s="48"/>
    </row>
    <row r="36" customFormat="false" ht="15" hidden="false" customHeight="true" outlineLevel="0" collapsed="false">
      <c r="A36" s="51" t="n">
        <f aca="false">IFERROR(INDEX(K$6:K$401,MATCH(ROW()-5,J$6:J$401,0)),"")</f>
        <v>46219</v>
      </c>
      <c r="B36" s="56" t="str">
        <f aca="false">IFERROR(INDEX(L$6:L$401,MATCH(ROW()-5,J$6:J$401,0)),"")</f>
        <v>ENVÍO cal. A</v>
      </c>
      <c r="C36" s="52" t="str">
        <f aca="false">IFERROR(INDEX(M$6:M$401,MATCH(ROW()-5,J$6:J$401,0)),"")</f>
        <v/>
      </c>
      <c r="D36" s="52" t="n">
        <f aca="false">IFERROR(INDEX(N$6:N$401,MATCH(ROW()-5,J$6:J$401,0)),"")</f>
        <v>945</v>
      </c>
      <c r="E36" s="56" t="str">
        <f aca="false">IFERROR(INDEX(O$6:O$401,MATCH(ROW()-5,J$6:J$401,0)),"")</f>
        <v>2992</v>
      </c>
      <c r="F36" s="52" t="n">
        <f aca="false">IFERROR(INDEX(P$6:P$401,MATCH(ROW()-5,J$6:J$401,0)),"")</f>
        <v>3464</v>
      </c>
      <c r="G36" s="48"/>
      <c r="H36" s="48"/>
      <c r="I36" s="48"/>
      <c r="J36" s="48" t="n">
        <f aca="false">IF(AND(MOVIMIENTOS!$B35&lt;&gt;"",NOT(AND(MOVIMIENTOS!$B35="PROCESO",MOVIMIENTOS!$C35&lt;&gt;"Chancho")),NOT(AND(MOVIMIENTOS!$B35="SALDO INICIAL",MOVIMIENTOS!$C35="Chancho"))),COUNT(J$6:J35)+1,"")</f>
        <v>18</v>
      </c>
      <c r="K36" s="53" t="n">
        <f aca="false">IF(AND(MOVIMIENTOS!$B35&lt;&gt;"",NOT(AND(MOVIMIENTOS!$B35="PROCESO",MOVIMIENTOS!$C35&lt;&gt;"Chancho")),NOT(AND(MOVIMIENTOS!$B35="SALDO INICIAL",MOVIMIENTOS!$C35="Chancho"))),MOVIMIENTOS!$A35,"")</f>
        <v>46217</v>
      </c>
      <c r="L36" s="48" t="str">
        <f aca="false">IF(AND(MOVIMIENTOS!$B35&lt;&gt;"",NOT(AND(MOVIMIENTOS!$B35="PROCESO",MOVIMIENTOS!$C35&lt;&gt;"Chancho")),NOT(AND(MOVIMIENTOS!$B35="SALDO INICIAL",MOVIMIENTOS!$C35="Chancho"))),IF(MOVIMIENTOS!$B35="SALDO INICIAL","APERTURA ("&amp;MOVIMIENTOS!$C35&amp;")",IF(MOVIMIENTOS!$B35="COMPRA","INGRESO (compra)",IF(MOVIMIENTOS!$B35="PROCESO","CHANCHO (proceso)",IF(MOVIMIENTOS!$B35="ENVÍO A SUPESA","ENVÍO cal. "&amp;MOVIMIENTOS!$C35,IF(MOVIMIENTOS!$B35="VENTA CHANCHO","VENTA CHANCHO",IF(MOVIMIENTOS!$B35="VENTA","VENTA cal. "&amp;MOVIMIENTOS!$C35,IF(MOVIMIENTOS!$B35="REGALO","REGALO "&amp;MOVIMIENTOS!$C35,IF(MOVIMIENTOS!$B35="RECHAZO","RECHAZO cal. "&amp;MOVIMIENTOS!$C35&amp;" (va a reproceso)",IF(MOVIMIENTOS!$B35="DEVOLUCIÓN","DEVOLUCIÓN cal. "&amp;MOVIMIENTOS!$C35&amp;" (regresa intacta)",IF(MOVIMIENTOS!$B35="TRASIEGO","TRASIEGO cal. "&amp;MOVIMIENTOS!$C35,MOVIMIENTOS!$B35)))))))))),"")</f>
        <v>ENVÍO cal. A</v>
      </c>
      <c r="M36" s="48" t="str">
        <f aca="false">IF(AND(AND(MOVIMIENTOS!$B35&lt;&gt;"",NOT(AND(MOVIMIENTOS!$B35="PROCESO",MOVIMIENTOS!$C35&lt;&gt;"Chancho")),NOT(AND(MOVIMIENTOS!$B35="SALDO INICIAL",MOVIMIENTOS!$C35="Chancho"))),OR(MOVIMIENTOS!$B35="SALDO INICIAL",MOVIMIENTOS!$B35="COMPRA",MOVIMIENTOS!$B35="REPROCESO",MOVIMIENTOS!$B35="DEVOLUCIÓN",AND(MOVIMIENTOS!$B35="AJUSTE",MOVIMIENTOS!$C35&lt;&gt;"Chancho",N(MOVIMIENTOS!$F35)&gt;=0))),N(MOVIMIENTOS!$F35),"")</f>
        <v/>
      </c>
      <c r="N36" s="48" t="n">
        <f aca="false">IF(AND(AND(MOVIMIENTOS!$B35&lt;&gt;"",NOT(AND(MOVIMIENTOS!$B35="PROCESO",MOVIMIENTOS!$C35&lt;&gt;"Chancho")),NOT(AND(MOVIMIENTOS!$B35="SALDO INICIAL",MOVIMIENTOS!$C35="Chancho"))),OR(MOVIMIENTOS!$B35="ENVÍO A SUPESA",MOVIMIENTOS!$B35="MALOGRADO",MOVIMIENTOS!$B35="OTRA SALIDA",MOVIMIENTOS!$B35="TRASIEGO",AND(MOVIMIENTOS!$B35="PROCESO",MOVIMIENTOS!$C35="Chancho"),AND(MOVIMIENTOS!$B35="REGALO",MOVIMIENTOS!$C35&lt;&gt;"Chancho"),AND(MOVIMIENTOS!$B35="VENTA",MOVIMIENTOS!$C35&lt;&gt;"Chancho"),AND(MOVIMIENTOS!$B35="AJUSTE",MOVIMIENTOS!$C35&lt;&gt;"Chancho",N(MOVIMIENTOS!$F35)&lt;0))),IF(MOVIMIENTOS!$B35="AJUSTE",-N(MOVIMIENTOS!$F35),N(MOVIMIENTOS!$F35)),"")</f>
        <v>1005</v>
      </c>
      <c r="O36" s="48" t="str">
        <f aca="false">IF(AND(MOVIMIENTOS!$B35&lt;&gt;"",NOT(AND(MOVIMIENTOS!$B35="PROCESO",MOVIMIENTOS!$C35&lt;&gt;"Chancho")),NOT(AND(MOVIMIENTOS!$B35="SALDO INICIAL",MOVIMIENTOS!$C35="Chancho"))),IF(MOVIMIENTOS!$B35="RECHAZO",MOVIMIENTOS!$E35&amp;" jabas rechazadas · van a reproceso",IF(MOVIMIENTOS!$B35="REPROCESO",MOVIMIENTOS!$E35&amp;" kg recuperados (merma del día: "&amp;TEXT(SUMPRODUCT((MOVIMIENTOS!$A$5:$A$400=MOVIMIENTOS!$A35)*(MOVIMIENTOS!$B$5:$B$400="RECHAZO")*(MOVIMIENTOS!$D$5:$D$400="jabas")*MOVIMIENTOS!$E$5:$E$400*IFERROR(_xlfn.SWITCH(MOVIMIENTOS!$C$5:$C$400,"A",15,"P",18,"C",17,"M",17,0),0))-SUMPRODUCT((MOVIMIENTOS!$A$5:$A$400=MOVIMIENTOS!$A35)*(MOVIMIENTOS!$B$5:$B$400="REPROCESO")*MOVIMIENTOS!$I$5:$I$400),"+#,##0;-#,##0;0")&amp;" kg)",TRIM(IF(MOVIMIENTOS!$G35&lt;&gt;"",MOVIMIENTOS!$G35&amp;"  ","")&amp;IF(N(MOVIMIENTOS!$D35)&gt;0,MOVIMIENTOS!$D35&amp;" "&amp;MOVIMIENTOS!$D35,"")))),"")</f>
        <v>2984</v>
      </c>
      <c r="P36" s="48" t="n">
        <f aca="false">N(P35)+N(M36)-N(N36)</f>
        <v>3009</v>
      </c>
      <c r="Q36" s="48"/>
      <c r="R36" s="48"/>
      <c r="S36" s="48"/>
      <c r="T36" s="48"/>
    </row>
    <row r="37" customFormat="false" ht="15" hidden="false" customHeight="true" outlineLevel="0" collapsed="false">
      <c r="A37" s="51" t="n">
        <f aca="false">IFERROR(INDEX(K$6:K$401,MATCH(ROW()-5,J$6:J$401,0)),"")</f>
        <v>46219</v>
      </c>
      <c r="B37" s="56" t="str">
        <f aca="false">IFERROR(INDEX(L$6:L$401,MATCH(ROW()-5,J$6:J$401,0)),"")</f>
        <v>ENVÍO cal. P</v>
      </c>
      <c r="C37" s="52" t="str">
        <f aca="false">IFERROR(INDEX(M$6:M$401,MATCH(ROW()-5,J$6:J$401,0)),"")</f>
        <v/>
      </c>
      <c r="D37" s="52" t="n">
        <f aca="false">IFERROR(INDEX(N$6:N$401,MATCH(ROW()-5,J$6:J$401,0)),"")</f>
        <v>198</v>
      </c>
      <c r="E37" s="56" t="str">
        <f aca="false">IFERROR(INDEX(O$6:O$401,MATCH(ROW()-5,J$6:J$401,0)),"")</f>
        <v>2992</v>
      </c>
      <c r="F37" s="52" t="n">
        <f aca="false">IFERROR(INDEX(P$6:P$401,MATCH(ROW()-5,J$6:J$401,0)),"")</f>
        <v>3266</v>
      </c>
      <c r="G37" s="48"/>
      <c r="H37" s="48"/>
      <c r="I37" s="48"/>
      <c r="J37" s="48" t="n">
        <f aca="false">IF(AND(MOVIMIENTOS!$B36&lt;&gt;"",NOT(AND(MOVIMIENTOS!$B36="PROCESO",MOVIMIENTOS!$C36&lt;&gt;"Chancho")),NOT(AND(MOVIMIENTOS!$B36="SALDO INICIAL",MOVIMIENTOS!$C36="Chancho"))),COUNT(J$6:J36)+1,"")</f>
        <v>19</v>
      </c>
      <c r="K37" s="53" t="n">
        <f aca="false">IF(AND(MOVIMIENTOS!$B36&lt;&gt;"",NOT(AND(MOVIMIENTOS!$B36="PROCESO",MOVIMIENTOS!$C36&lt;&gt;"Chancho")),NOT(AND(MOVIMIENTOS!$B36="SALDO INICIAL",MOVIMIENTOS!$C36="Chancho"))),MOVIMIENTOS!$A36,"")</f>
        <v>46217</v>
      </c>
      <c r="L37" s="48" t="str">
        <f aca="false">IF(AND(MOVIMIENTOS!$B36&lt;&gt;"",NOT(AND(MOVIMIENTOS!$B36="PROCESO",MOVIMIENTOS!$C36&lt;&gt;"Chancho")),NOT(AND(MOVIMIENTOS!$B36="SALDO INICIAL",MOVIMIENTOS!$C36="Chancho"))),IF(MOVIMIENTOS!$B36="SALDO INICIAL","APERTURA ("&amp;MOVIMIENTOS!$C36&amp;")",IF(MOVIMIENTOS!$B36="COMPRA","INGRESO (compra)",IF(MOVIMIENTOS!$B36="PROCESO","CHANCHO (proceso)",IF(MOVIMIENTOS!$B36="ENVÍO A SUPESA","ENVÍO cal. "&amp;MOVIMIENTOS!$C36,IF(MOVIMIENTOS!$B36="VENTA CHANCHO","VENTA CHANCHO",IF(MOVIMIENTOS!$B36="VENTA","VENTA cal. "&amp;MOVIMIENTOS!$C36,IF(MOVIMIENTOS!$B36="REGALO","REGALO "&amp;MOVIMIENTOS!$C36,IF(MOVIMIENTOS!$B36="RECHAZO","RECHAZO cal. "&amp;MOVIMIENTOS!$C36&amp;" (va a reproceso)",IF(MOVIMIENTOS!$B36="DEVOLUCIÓN","DEVOLUCIÓN cal. "&amp;MOVIMIENTOS!$C36&amp;" (regresa intacta)",IF(MOVIMIENTOS!$B36="TRASIEGO","TRASIEGO cal. "&amp;MOVIMIENTOS!$C36,MOVIMIENTOS!$B36)))))))))),"")</f>
        <v>ENVÍO cal. P</v>
      </c>
      <c r="M37" s="48" t="str">
        <f aca="false">IF(AND(AND(MOVIMIENTOS!$B36&lt;&gt;"",NOT(AND(MOVIMIENTOS!$B36="PROCESO",MOVIMIENTOS!$C36&lt;&gt;"Chancho")),NOT(AND(MOVIMIENTOS!$B36="SALDO INICIAL",MOVIMIENTOS!$C36="Chancho"))),OR(MOVIMIENTOS!$B36="SALDO INICIAL",MOVIMIENTOS!$B36="COMPRA",MOVIMIENTOS!$B36="REPROCESO",MOVIMIENTOS!$B36="DEVOLUCIÓN",AND(MOVIMIENTOS!$B36="AJUSTE",MOVIMIENTOS!$C36&lt;&gt;"Chancho",N(MOVIMIENTOS!$F36)&gt;=0))),N(MOVIMIENTOS!$F36),"")</f>
        <v/>
      </c>
      <c r="N37" s="48" t="n">
        <f aca="false">IF(AND(AND(MOVIMIENTOS!$B36&lt;&gt;"",NOT(AND(MOVIMIENTOS!$B36="PROCESO",MOVIMIENTOS!$C36&lt;&gt;"Chancho")),NOT(AND(MOVIMIENTOS!$B36="SALDO INICIAL",MOVIMIENTOS!$C36="Chancho"))),OR(MOVIMIENTOS!$B36="ENVÍO A SUPESA",MOVIMIENTOS!$B36="MALOGRADO",MOVIMIENTOS!$B36="OTRA SALIDA",MOVIMIENTOS!$B36="TRASIEGO",AND(MOVIMIENTOS!$B36="PROCESO",MOVIMIENTOS!$C36="Chancho"),AND(MOVIMIENTOS!$B36="REGALO",MOVIMIENTOS!$C36&lt;&gt;"Chancho"),AND(MOVIMIENTOS!$B36="VENTA",MOVIMIENTOS!$C36&lt;&gt;"Chancho"),AND(MOVIMIENTOS!$B36="AJUSTE",MOVIMIENTOS!$C36&lt;&gt;"Chancho",N(MOVIMIENTOS!$F36)&lt;0))),IF(MOVIMIENTOS!$B36="AJUSTE",-N(MOVIMIENTOS!$F36),N(MOVIMIENTOS!$F36)),"")</f>
        <v>198</v>
      </c>
      <c r="O37" s="48" t="str">
        <f aca="false">IF(AND(MOVIMIENTOS!$B36&lt;&gt;"",NOT(AND(MOVIMIENTOS!$B36="PROCESO",MOVIMIENTOS!$C36&lt;&gt;"Chancho")),NOT(AND(MOVIMIENTOS!$B36="SALDO INICIAL",MOVIMIENTOS!$C36="Chancho"))),IF(MOVIMIENTOS!$B36="RECHAZO",MOVIMIENTOS!$E36&amp;" jabas rechazadas · van a reproceso",IF(MOVIMIENTOS!$B36="REPROCESO",MOVIMIENTOS!$E36&amp;" kg recuperados (merma del día: "&amp;TEXT(SUMPRODUCT((MOVIMIENTOS!$A$5:$A$400=MOVIMIENTOS!$A36)*(MOVIMIENTOS!$B$5:$B$400="RECHAZO")*(MOVIMIENTOS!$D$5:$D$400="jabas")*MOVIMIENTOS!$E$5:$E$400*IFERROR(_xlfn.SWITCH(MOVIMIENTOS!$C$5:$C$400,"A",15,"P",18,"C",17,"M",17,0),0))-SUMPRODUCT((MOVIMIENTOS!$A$5:$A$400=MOVIMIENTOS!$A36)*(MOVIMIENTOS!$B$5:$B$400="REPROCESO")*MOVIMIENTOS!$I$5:$I$400),"+#,##0;-#,##0;0")&amp;" kg)",TRIM(IF(MOVIMIENTOS!$G36&lt;&gt;"",MOVIMIENTOS!$G36&amp;"  ","")&amp;IF(N(MOVIMIENTOS!$D36)&gt;0,MOVIMIENTOS!$D36&amp;" "&amp;MOVIMIENTOS!$D36,"")))),"")</f>
        <v>2984</v>
      </c>
      <c r="P37" s="48" t="n">
        <f aca="false">N(P36)+N(M37)-N(N37)</f>
        <v>2811</v>
      </c>
      <c r="Q37" s="48"/>
      <c r="R37" s="48"/>
      <c r="S37" s="48"/>
      <c r="T37" s="48"/>
    </row>
    <row r="38" customFormat="false" ht="15" hidden="false" customHeight="true" outlineLevel="0" collapsed="false">
      <c r="A38" s="51" t="n">
        <f aca="false">IFERROR(INDEX(K$6:K$401,MATCH(ROW()-5,J$6:J$401,0)),"")</f>
        <v>46219</v>
      </c>
      <c r="B38" s="56" t="str">
        <f aca="false">IFERROR(INDEX(L$6:L$401,MATCH(ROW()-5,J$6:J$401,0)),"")</f>
        <v>ENVÍO cal. C</v>
      </c>
      <c r="C38" s="52" t="str">
        <f aca="false">IFERROR(INDEX(M$6:M$401,MATCH(ROW()-5,J$6:J$401,0)),"")</f>
        <v/>
      </c>
      <c r="D38" s="52" t="n">
        <f aca="false">IFERROR(INDEX(N$6:N$401,MATCH(ROW()-5,J$6:J$401,0)),"")</f>
        <v>204</v>
      </c>
      <c r="E38" s="56" t="str">
        <f aca="false">IFERROR(INDEX(O$6:O$401,MATCH(ROW()-5,J$6:J$401,0)),"")</f>
        <v>2992</v>
      </c>
      <c r="F38" s="52" t="n">
        <f aca="false">IFERROR(INDEX(P$6:P$401,MATCH(ROW()-5,J$6:J$401,0)),"")</f>
        <v>3062</v>
      </c>
      <c r="G38" s="48"/>
      <c r="H38" s="48"/>
      <c r="I38" s="48"/>
      <c r="J38" s="48" t="n">
        <f aca="false">IF(AND(MOVIMIENTOS!$B37&lt;&gt;"",NOT(AND(MOVIMIENTOS!$B37="PROCESO",MOVIMIENTOS!$C37&lt;&gt;"Chancho")),NOT(AND(MOVIMIENTOS!$B37="SALDO INICIAL",MOVIMIENTOS!$C37="Chancho"))),COUNT(J$6:J37)+1,"")</f>
        <v>20</v>
      </c>
      <c r="K38" s="53" t="n">
        <f aca="false">IF(AND(MOVIMIENTOS!$B37&lt;&gt;"",NOT(AND(MOVIMIENTOS!$B37="PROCESO",MOVIMIENTOS!$C37&lt;&gt;"Chancho")),NOT(AND(MOVIMIENTOS!$B37="SALDO INICIAL",MOVIMIENTOS!$C37="Chancho"))),MOVIMIENTOS!$A37,"")</f>
        <v>46217</v>
      </c>
      <c r="L38" s="48" t="str">
        <f aca="false">IF(AND(MOVIMIENTOS!$B37&lt;&gt;"",NOT(AND(MOVIMIENTOS!$B37="PROCESO",MOVIMIENTOS!$C37&lt;&gt;"Chancho")),NOT(AND(MOVIMIENTOS!$B37="SALDO INICIAL",MOVIMIENTOS!$C37="Chancho"))),IF(MOVIMIENTOS!$B37="SALDO INICIAL","APERTURA ("&amp;MOVIMIENTOS!$C37&amp;")",IF(MOVIMIENTOS!$B37="COMPRA","INGRESO (compra)",IF(MOVIMIENTOS!$B37="PROCESO","CHANCHO (proceso)",IF(MOVIMIENTOS!$B37="ENVÍO A SUPESA","ENVÍO cal. "&amp;MOVIMIENTOS!$C37,IF(MOVIMIENTOS!$B37="VENTA CHANCHO","VENTA CHANCHO",IF(MOVIMIENTOS!$B37="VENTA","VENTA cal. "&amp;MOVIMIENTOS!$C37,IF(MOVIMIENTOS!$B37="REGALO","REGALO "&amp;MOVIMIENTOS!$C37,IF(MOVIMIENTOS!$B37="RECHAZO","RECHAZO cal. "&amp;MOVIMIENTOS!$C37&amp;" (va a reproceso)",IF(MOVIMIENTOS!$B37="DEVOLUCIÓN","DEVOLUCIÓN cal. "&amp;MOVIMIENTOS!$C37&amp;" (regresa intacta)",IF(MOVIMIENTOS!$B37="TRASIEGO","TRASIEGO cal. "&amp;MOVIMIENTOS!$C37,MOVIMIENTOS!$B37)))))))))),"")</f>
        <v>ENVÍO cal. C</v>
      </c>
      <c r="M38" s="48" t="str">
        <f aca="false">IF(AND(AND(MOVIMIENTOS!$B37&lt;&gt;"",NOT(AND(MOVIMIENTOS!$B37="PROCESO",MOVIMIENTOS!$C37&lt;&gt;"Chancho")),NOT(AND(MOVIMIENTOS!$B37="SALDO INICIAL",MOVIMIENTOS!$C37="Chancho"))),OR(MOVIMIENTOS!$B37="SALDO INICIAL",MOVIMIENTOS!$B37="COMPRA",MOVIMIENTOS!$B37="REPROCESO",MOVIMIENTOS!$B37="DEVOLUCIÓN",AND(MOVIMIENTOS!$B37="AJUSTE",MOVIMIENTOS!$C37&lt;&gt;"Chancho",N(MOVIMIENTOS!$F37)&gt;=0))),N(MOVIMIENTOS!$F37),"")</f>
        <v/>
      </c>
      <c r="N38" s="48" t="n">
        <f aca="false">IF(AND(AND(MOVIMIENTOS!$B37&lt;&gt;"",NOT(AND(MOVIMIENTOS!$B37="PROCESO",MOVIMIENTOS!$C37&lt;&gt;"Chancho")),NOT(AND(MOVIMIENTOS!$B37="SALDO INICIAL",MOVIMIENTOS!$C37="Chancho"))),OR(MOVIMIENTOS!$B37="ENVÍO A SUPESA",MOVIMIENTOS!$B37="MALOGRADO",MOVIMIENTOS!$B37="OTRA SALIDA",MOVIMIENTOS!$B37="TRASIEGO",AND(MOVIMIENTOS!$B37="PROCESO",MOVIMIENTOS!$C37="Chancho"),AND(MOVIMIENTOS!$B37="REGALO",MOVIMIENTOS!$C37&lt;&gt;"Chancho"),AND(MOVIMIENTOS!$B37="VENTA",MOVIMIENTOS!$C37&lt;&gt;"Chancho"),AND(MOVIMIENTOS!$B37="AJUSTE",MOVIMIENTOS!$C37&lt;&gt;"Chancho",N(MOVIMIENTOS!$F37)&lt;0))),IF(MOVIMIENTOS!$B37="AJUSTE",-N(MOVIMIENTOS!$F37),N(MOVIMIENTOS!$F37)),"")</f>
        <v>204</v>
      </c>
      <c r="O38" s="48" t="str">
        <f aca="false">IF(AND(MOVIMIENTOS!$B37&lt;&gt;"",NOT(AND(MOVIMIENTOS!$B37="PROCESO",MOVIMIENTOS!$C37&lt;&gt;"Chancho")),NOT(AND(MOVIMIENTOS!$B37="SALDO INICIAL",MOVIMIENTOS!$C37="Chancho"))),IF(MOVIMIENTOS!$B37="RECHAZO",MOVIMIENTOS!$E37&amp;" jabas rechazadas · van a reproceso",IF(MOVIMIENTOS!$B37="REPROCESO",MOVIMIENTOS!$E37&amp;" kg recuperados (merma del día: "&amp;TEXT(SUMPRODUCT((MOVIMIENTOS!$A$5:$A$400=MOVIMIENTOS!$A37)*(MOVIMIENTOS!$B$5:$B$400="RECHAZO")*(MOVIMIENTOS!$D$5:$D$400="jabas")*MOVIMIENTOS!$E$5:$E$400*IFERROR(_xlfn.SWITCH(MOVIMIENTOS!$C$5:$C$400,"A",15,"P",18,"C",17,"M",17,0),0))-SUMPRODUCT((MOVIMIENTOS!$A$5:$A$400=MOVIMIENTOS!$A37)*(MOVIMIENTOS!$B$5:$B$400="REPROCESO")*MOVIMIENTOS!$I$5:$I$400),"+#,##0;-#,##0;0")&amp;" kg)",TRIM(IF(MOVIMIENTOS!$G37&lt;&gt;"",MOVIMIENTOS!$G37&amp;"  ","")&amp;IF(N(MOVIMIENTOS!$D37)&gt;0,MOVIMIENTOS!$D37&amp;" "&amp;MOVIMIENTOS!$D37,"")))),"")</f>
        <v>2984</v>
      </c>
      <c r="P38" s="48" t="n">
        <f aca="false">N(P37)+N(M38)-N(N38)</f>
        <v>2607</v>
      </c>
      <c r="Q38" s="48"/>
      <c r="R38" s="48"/>
      <c r="S38" s="48"/>
      <c r="T38" s="48"/>
    </row>
    <row r="39" customFormat="false" ht="15" hidden="false" customHeight="true" outlineLevel="0" collapsed="false">
      <c r="A39" s="51" t="n">
        <f aca="false">IFERROR(INDEX(K$6:K$401,MATCH(ROW()-5,J$6:J$401,0)),"")</f>
        <v>46219</v>
      </c>
      <c r="B39" s="56" t="str">
        <f aca="false">IFERROR(INDEX(L$6:L$401,MATCH(ROW()-5,J$6:J$401,0)),"")</f>
        <v>ENVÍO cal. M</v>
      </c>
      <c r="C39" s="52" t="str">
        <f aca="false">IFERROR(INDEX(M$6:M$401,MATCH(ROW()-5,J$6:J$401,0)),"")</f>
        <v/>
      </c>
      <c r="D39" s="52" t="n">
        <f aca="false">IFERROR(INDEX(N$6:N$401,MATCH(ROW()-5,J$6:J$401,0)),"")</f>
        <v>1955</v>
      </c>
      <c r="E39" s="56" t="str">
        <f aca="false">IFERROR(INDEX(O$6:O$401,MATCH(ROW()-5,J$6:J$401,0)),"")</f>
        <v>2992</v>
      </c>
      <c r="F39" s="52" t="n">
        <f aca="false">IFERROR(INDEX(P$6:P$401,MATCH(ROW()-5,J$6:J$401,0)),"")</f>
        <v>1107</v>
      </c>
      <c r="G39" s="48"/>
      <c r="H39" s="48"/>
      <c r="I39" s="48"/>
      <c r="J39" s="48" t="n">
        <f aca="false">IF(AND(MOVIMIENTOS!$B38&lt;&gt;"",NOT(AND(MOVIMIENTOS!$B38="PROCESO",MOVIMIENTOS!$C38&lt;&gt;"Chancho")),NOT(AND(MOVIMIENTOS!$B38="SALDO INICIAL",MOVIMIENTOS!$C38="Chancho"))),COUNT(J$6:J38)+1,"")</f>
        <v>21</v>
      </c>
      <c r="K39" s="53" t="n">
        <f aca="false">IF(AND(MOVIMIENTOS!$B38&lt;&gt;"",NOT(AND(MOVIMIENTOS!$B38="PROCESO",MOVIMIENTOS!$C38&lt;&gt;"Chancho")),NOT(AND(MOVIMIENTOS!$B38="SALDO INICIAL",MOVIMIENTOS!$C38="Chancho"))),MOVIMIENTOS!$A38,"")</f>
        <v>46217</v>
      </c>
      <c r="L39" s="48" t="str">
        <f aca="false">IF(AND(MOVIMIENTOS!$B38&lt;&gt;"",NOT(AND(MOVIMIENTOS!$B38="PROCESO",MOVIMIENTOS!$C38&lt;&gt;"Chancho")),NOT(AND(MOVIMIENTOS!$B38="SALDO INICIAL",MOVIMIENTOS!$C38="Chancho"))),IF(MOVIMIENTOS!$B38="SALDO INICIAL","APERTURA ("&amp;MOVIMIENTOS!$C38&amp;")",IF(MOVIMIENTOS!$B38="COMPRA","INGRESO (compra)",IF(MOVIMIENTOS!$B38="PROCESO","CHANCHO (proceso)",IF(MOVIMIENTOS!$B38="ENVÍO A SUPESA","ENVÍO cal. "&amp;MOVIMIENTOS!$C38,IF(MOVIMIENTOS!$B38="VENTA CHANCHO","VENTA CHANCHO",IF(MOVIMIENTOS!$B38="VENTA","VENTA cal. "&amp;MOVIMIENTOS!$C38,IF(MOVIMIENTOS!$B38="REGALO","REGALO "&amp;MOVIMIENTOS!$C38,IF(MOVIMIENTOS!$B38="RECHAZO","RECHAZO cal. "&amp;MOVIMIENTOS!$C38&amp;" (va a reproceso)",IF(MOVIMIENTOS!$B38="DEVOLUCIÓN","DEVOLUCIÓN cal. "&amp;MOVIMIENTOS!$C38&amp;" (regresa intacta)",IF(MOVIMIENTOS!$B38="TRASIEGO","TRASIEGO cal. "&amp;MOVIMIENTOS!$C38,MOVIMIENTOS!$B38)))))))))),"")</f>
        <v>ENVÍO cal. M</v>
      </c>
      <c r="M39" s="48" t="str">
        <f aca="false">IF(AND(AND(MOVIMIENTOS!$B38&lt;&gt;"",NOT(AND(MOVIMIENTOS!$B38="PROCESO",MOVIMIENTOS!$C38&lt;&gt;"Chancho")),NOT(AND(MOVIMIENTOS!$B38="SALDO INICIAL",MOVIMIENTOS!$C38="Chancho"))),OR(MOVIMIENTOS!$B38="SALDO INICIAL",MOVIMIENTOS!$B38="COMPRA",MOVIMIENTOS!$B38="REPROCESO",MOVIMIENTOS!$B38="DEVOLUCIÓN",AND(MOVIMIENTOS!$B38="AJUSTE",MOVIMIENTOS!$C38&lt;&gt;"Chancho",N(MOVIMIENTOS!$F38)&gt;=0))),N(MOVIMIENTOS!$F38),"")</f>
        <v/>
      </c>
      <c r="N39" s="48" t="n">
        <f aca="false">IF(AND(AND(MOVIMIENTOS!$B38&lt;&gt;"",NOT(AND(MOVIMIENTOS!$B38="PROCESO",MOVIMIENTOS!$C38&lt;&gt;"Chancho")),NOT(AND(MOVIMIENTOS!$B38="SALDO INICIAL",MOVIMIENTOS!$C38="Chancho"))),OR(MOVIMIENTOS!$B38="ENVÍO A SUPESA",MOVIMIENTOS!$B38="MALOGRADO",MOVIMIENTOS!$B38="OTRA SALIDA",MOVIMIENTOS!$B38="TRASIEGO",AND(MOVIMIENTOS!$B38="PROCESO",MOVIMIENTOS!$C38="Chancho"),AND(MOVIMIENTOS!$B38="REGALO",MOVIMIENTOS!$C38&lt;&gt;"Chancho"),AND(MOVIMIENTOS!$B38="VENTA",MOVIMIENTOS!$C38&lt;&gt;"Chancho"),AND(MOVIMIENTOS!$B38="AJUSTE",MOVIMIENTOS!$C38&lt;&gt;"Chancho",N(MOVIMIENTOS!$F38)&lt;0))),IF(MOVIMIENTOS!$B38="AJUSTE",-N(MOVIMIENTOS!$F38),N(MOVIMIENTOS!$F38)),"")</f>
        <v>1972</v>
      </c>
      <c r="O39" s="48" t="str">
        <f aca="false">IF(AND(MOVIMIENTOS!$B38&lt;&gt;"",NOT(AND(MOVIMIENTOS!$B38="PROCESO",MOVIMIENTOS!$C38&lt;&gt;"Chancho")),NOT(AND(MOVIMIENTOS!$B38="SALDO INICIAL",MOVIMIENTOS!$C38="Chancho"))),IF(MOVIMIENTOS!$B38="RECHAZO",MOVIMIENTOS!$E38&amp;" jabas rechazadas · van a reproceso",IF(MOVIMIENTOS!$B38="REPROCESO",MOVIMIENTOS!$E38&amp;" kg recuperados (merma del día: "&amp;TEXT(SUMPRODUCT((MOVIMIENTOS!$A$5:$A$400=MOVIMIENTOS!$A38)*(MOVIMIENTOS!$B$5:$B$400="RECHAZO")*(MOVIMIENTOS!$D$5:$D$400="jabas")*MOVIMIENTOS!$E$5:$E$400*IFERROR(_xlfn.SWITCH(MOVIMIENTOS!$C$5:$C$400,"A",15,"P",18,"C",17,"M",17,0),0))-SUMPRODUCT((MOVIMIENTOS!$A$5:$A$400=MOVIMIENTOS!$A38)*(MOVIMIENTOS!$B$5:$B$400="REPROCESO")*MOVIMIENTOS!$I$5:$I$400),"+#,##0;-#,##0;0")&amp;" kg)",TRIM(IF(MOVIMIENTOS!$G38&lt;&gt;"",MOVIMIENTOS!$G38&amp;"  ","")&amp;IF(N(MOVIMIENTOS!$D38)&gt;0,MOVIMIENTOS!$D38&amp;" "&amp;MOVIMIENTOS!$D38,"")))),"")</f>
        <v>2984</v>
      </c>
      <c r="P39" s="48" t="n">
        <f aca="false">N(P38)+N(M39)-N(N39)</f>
        <v>635</v>
      </c>
      <c r="Q39" s="48"/>
      <c r="R39" s="48"/>
      <c r="S39" s="48"/>
      <c r="T39" s="48"/>
    </row>
    <row r="40" customFormat="false" ht="15" hidden="false" customHeight="true" outlineLevel="0" collapsed="false">
      <c r="A40" s="51" t="n">
        <f aca="false">IFERROR(INDEX(K$6:K$401,MATCH(ROW()-5,J$6:J$401,0)),"")</f>
        <v>46220</v>
      </c>
      <c r="B40" s="56" t="str">
        <f aca="false">IFERROR(INDEX(L$6:L$401,MATCH(ROW()-5,J$6:J$401,0)),"")</f>
        <v>INGRESO (compra)</v>
      </c>
      <c r="C40" s="52" t="n">
        <f aca="false">IFERROR(INDEX(M$6:M$401,MATCH(ROW()-5,J$6:J$401,0)),"")</f>
        <v>5700</v>
      </c>
      <c r="D40" s="52" t="str">
        <f aca="false">IFERROR(INDEX(N$6:N$401,MATCH(ROW()-5,J$6:J$401,0)),"")</f>
        <v/>
      </c>
      <c r="E40" s="56" t="str">
        <f aca="false">IFERROR(INDEX(O$6:O$401,MATCH(ROW()-5,J$6:J$401,0)),"")</f>
        <v/>
      </c>
      <c r="F40" s="52" t="n">
        <f aca="false">IFERROR(INDEX(P$6:P$401,MATCH(ROW()-5,J$6:J$401,0)),"")</f>
        <v>6807</v>
      </c>
      <c r="G40" s="48"/>
      <c r="H40" s="48"/>
      <c r="I40" s="48"/>
      <c r="J40" s="48" t="n">
        <f aca="false">IF(AND(MOVIMIENTOS!$B39&lt;&gt;"",NOT(AND(MOVIMIENTOS!$B39="PROCESO",MOVIMIENTOS!$C39&lt;&gt;"Chancho")),NOT(AND(MOVIMIENTOS!$B39="SALDO INICIAL",MOVIMIENTOS!$C39="Chancho"))),COUNT(J$6:J39)+1,"")</f>
        <v>22</v>
      </c>
      <c r="K40" s="53" t="n">
        <f aca="false">IF(AND(MOVIMIENTOS!$B39&lt;&gt;"",NOT(AND(MOVIMIENTOS!$B39="PROCESO",MOVIMIENTOS!$C39&lt;&gt;"Chancho")),NOT(AND(MOVIMIENTOS!$B39="SALDO INICIAL",MOVIMIENTOS!$C39="Chancho"))),MOVIMIENTOS!$A39,"")</f>
        <v>46218</v>
      </c>
      <c r="L40" s="48" t="str">
        <f aca="false">IF(AND(MOVIMIENTOS!$B39&lt;&gt;"",NOT(AND(MOVIMIENTOS!$B39="PROCESO",MOVIMIENTOS!$C39&lt;&gt;"Chancho")),NOT(AND(MOVIMIENTOS!$B39="SALDO INICIAL",MOVIMIENTOS!$C39="Chancho"))),IF(MOVIMIENTOS!$B39="SALDO INICIAL","APERTURA ("&amp;MOVIMIENTOS!$C39&amp;")",IF(MOVIMIENTOS!$B39="COMPRA","INGRESO (compra)",IF(MOVIMIENTOS!$B39="PROCESO","CHANCHO (proceso)",IF(MOVIMIENTOS!$B39="ENVÍO A SUPESA","ENVÍO cal. "&amp;MOVIMIENTOS!$C39,IF(MOVIMIENTOS!$B39="VENTA CHANCHO","VENTA CHANCHO",IF(MOVIMIENTOS!$B39="VENTA","VENTA cal. "&amp;MOVIMIENTOS!$C39,IF(MOVIMIENTOS!$B39="REGALO","REGALO "&amp;MOVIMIENTOS!$C39,IF(MOVIMIENTOS!$B39="RECHAZO","RECHAZO cal. "&amp;MOVIMIENTOS!$C39&amp;" (va a reproceso)",IF(MOVIMIENTOS!$B39="DEVOLUCIÓN","DEVOLUCIÓN cal. "&amp;MOVIMIENTOS!$C39&amp;" (regresa intacta)",IF(MOVIMIENTOS!$B39="TRASIEGO","TRASIEGO cal. "&amp;MOVIMIENTOS!$C39,MOVIMIENTOS!$B39)))))))))),"")</f>
        <v>INGRESO (compra)</v>
      </c>
      <c r="M40" s="48" t="n">
        <f aca="false">IF(AND(AND(MOVIMIENTOS!$B39&lt;&gt;"",NOT(AND(MOVIMIENTOS!$B39="PROCESO",MOVIMIENTOS!$C39&lt;&gt;"Chancho")),NOT(AND(MOVIMIENTOS!$B39="SALDO INICIAL",MOVIMIENTOS!$C39="Chancho"))),OR(MOVIMIENTOS!$B39="SALDO INICIAL",MOVIMIENTOS!$B39="COMPRA",MOVIMIENTOS!$B39="REPROCESO",MOVIMIENTOS!$B39="DEVOLUCIÓN",AND(MOVIMIENTOS!$B39="AJUSTE",MOVIMIENTOS!$C39&lt;&gt;"Chancho",N(MOVIMIENTOS!$F39)&gt;=0))),N(MOVIMIENTOS!$F39),"")</f>
        <v>3800</v>
      </c>
      <c r="N40" s="48" t="str">
        <f aca="false">IF(AND(AND(MOVIMIENTOS!$B39&lt;&gt;"",NOT(AND(MOVIMIENTOS!$B39="PROCESO",MOVIMIENTOS!$C39&lt;&gt;"Chancho")),NOT(AND(MOVIMIENTOS!$B39="SALDO INICIAL",MOVIMIENTOS!$C39="Chancho"))),OR(MOVIMIENTOS!$B39="ENVÍO A SUPESA",MOVIMIENTOS!$B39="MALOGRADO",MOVIMIENTOS!$B39="OTRA SALIDA",MOVIMIENTOS!$B39="TRASIEGO",AND(MOVIMIENTOS!$B39="PROCESO",MOVIMIENTOS!$C39="Chancho"),AND(MOVIMIENTOS!$B39="REGALO",MOVIMIENTOS!$C39&lt;&gt;"Chancho"),AND(MOVIMIENTOS!$B39="VENTA",MOVIMIENTOS!$C39&lt;&gt;"Chancho"),AND(MOVIMIENTOS!$B39="AJUSTE",MOVIMIENTOS!$C39&lt;&gt;"Chancho",N(MOVIMIENTOS!$F39)&lt;0))),IF(MOVIMIENTOS!$B39="AJUSTE",-N(MOVIMIENTOS!$F39),N(MOVIMIENTOS!$F39)),"")</f>
        <v/>
      </c>
      <c r="O40" s="48" t="str">
        <f aca="false">IF(AND(MOVIMIENTOS!$B39&lt;&gt;"",NOT(AND(MOVIMIENTOS!$B39="PROCESO",MOVIMIENTOS!$C39&lt;&gt;"Chancho")),NOT(AND(MOVIMIENTOS!$B39="SALDO INICIAL",MOVIMIENTOS!$C39="Chancho"))),IF(MOVIMIENTOS!$B39="RECHAZO",MOVIMIENTOS!$E39&amp;" jabas rechazadas · van a reproceso",IF(MOVIMIENTOS!$B39="REPROCESO",MOVIMIENTOS!$E39&amp;" kg recuperados (merma del día: "&amp;TEXT(SUMPRODUCT((MOVIMIENTOS!$A$5:$A$400=MOVIMIENTOS!$A39)*(MOVIMIENTOS!$B$5:$B$400="RECHAZO")*(MOVIMIENTOS!$D$5:$D$400="jabas")*MOVIMIENTOS!$E$5:$E$400*IFERROR(_xlfn.SWITCH(MOVIMIENTOS!$C$5:$C$400,"A",15,"P",18,"C",17,"M",17,0),0))-SUMPRODUCT((MOVIMIENTOS!$A$5:$A$400=MOVIMIENTOS!$A39)*(MOVIMIENTOS!$B$5:$B$400="REPROCESO")*MOVIMIENTOS!$I$5:$I$400),"+#,##0;-#,##0;0")&amp;" kg)",TRIM(IF(MOVIMIENTOS!$G39&lt;&gt;"",MOVIMIENTOS!$G39&amp;"  ","")&amp;IF(N(MOVIMIENTOS!$D39)&gt;0,MOVIMIENTOS!$D39&amp;" "&amp;MOVIMIENTOS!$D39,"")))),"")</f>
        <v/>
      </c>
      <c r="P40" s="48" t="n">
        <f aca="false">N(P39)+N(M40)-N(N40)</f>
        <v>4435</v>
      </c>
      <c r="Q40" s="48"/>
      <c r="R40" s="48"/>
      <c r="S40" s="48"/>
      <c r="T40" s="48"/>
    </row>
    <row r="41" customFormat="false" ht="15" hidden="false" customHeight="true" outlineLevel="0" collapsed="false">
      <c r="A41" s="51" t="n">
        <f aca="false">IFERROR(INDEX(K$6:K$401,MATCH(ROW()-5,J$6:J$401,0)),"")</f>
        <v>46220</v>
      </c>
      <c r="B41" s="56" t="str">
        <f aca="false">IFERROR(INDEX(L$6:L$401,MATCH(ROW()-5,J$6:J$401,0)),"")</f>
        <v>CHANCHO (proceso)</v>
      </c>
      <c r="C41" s="52" t="str">
        <f aca="false">IFERROR(INDEX(M$6:M$401,MATCH(ROW()-5,J$6:J$401,0)),"")</f>
        <v/>
      </c>
      <c r="D41" s="52" t="n">
        <f aca="false">IFERROR(INDEX(N$6:N$401,MATCH(ROW()-5,J$6:J$401,0)),"")</f>
        <v>950</v>
      </c>
      <c r="E41" s="56" t="str">
        <f aca="false">IFERROR(INDEX(O$6:O$401,MATCH(ROW()-5,J$6:J$401,0)),"")</f>
        <v/>
      </c>
      <c r="F41" s="52" t="n">
        <f aca="false">IFERROR(INDEX(P$6:P$401,MATCH(ROW()-5,J$6:J$401,0)),"")</f>
        <v>5857</v>
      </c>
      <c r="G41" s="48"/>
      <c r="H41" s="48"/>
      <c r="I41" s="48"/>
      <c r="J41" s="48" t="str">
        <f aca="false">IF(AND(MOVIMIENTOS!$B40&lt;&gt;"",NOT(AND(MOVIMIENTOS!$B40="PROCESO",MOVIMIENTOS!$C40&lt;&gt;"Chancho")),NOT(AND(MOVIMIENTOS!$B40="SALDO INICIAL",MOVIMIENTOS!$C40="Chancho"))),COUNT(J$6:J40)+1,"")</f>
        <v/>
      </c>
      <c r="K41" s="48" t="str">
        <f aca="false">IF(AND(MOVIMIENTOS!$B40&lt;&gt;"",NOT(AND(MOVIMIENTOS!$B40="PROCESO",MOVIMIENTOS!$C40&lt;&gt;"Chancho")),NOT(AND(MOVIMIENTOS!$B40="SALDO INICIAL",MOVIMIENTOS!$C40="Chancho"))),MOVIMIENTOS!$A40,"")</f>
        <v/>
      </c>
      <c r="L41" s="48" t="str">
        <f aca="false">IF(AND(MOVIMIENTOS!$B40&lt;&gt;"",NOT(AND(MOVIMIENTOS!$B40="PROCESO",MOVIMIENTOS!$C40&lt;&gt;"Chancho")),NOT(AND(MOVIMIENTOS!$B40="SALDO INICIAL",MOVIMIENTOS!$C40="Chancho"))),IF(MOVIMIENTOS!$B40="SALDO INICIAL","APERTURA ("&amp;MOVIMIENTOS!$C40&amp;")",IF(MOVIMIENTOS!$B40="COMPRA","INGRESO (compra)",IF(MOVIMIENTOS!$B40="PROCESO","CHANCHO (proceso)",IF(MOVIMIENTOS!$B40="ENVÍO A SUPESA","ENVÍO cal. "&amp;MOVIMIENTOS!$C40,IF(MOVIMIENTOS!$B40="VENTA CHANCHO","VENTA CHANCHO",IF(MOVIMIENTOS!$B40="VENTA","VENTA cal. "&amp;MOVIMIENTOS!$C40,IF(MOVIMIENTOS!$B40="REGALO","REGALO "&amp;MOVIMIENTOS!$C40,IF(MOVIMIENTOS!$B40="RECHAZO","RECHAZO cal. "&amp;MOVIMIENTOS!$C40&amp;" (va a reproceso)",IF(MOVIMIENTOS!$B40="DEVOLUCIÓN","DEVOLUCIÓN cal. "&amp;MOVIMIENTOS!$C40&amp;" (regresa intacta)",IF(MOVIMIENTOS!$B40="TRASIEGO","TRASIEGO cal. "&amp;MOVIMIENTOS!$C40,MOVIMIENTOS!$B40)))))))))),"")</f>
        <v/>
      </c>
      <c r="M41" s="48" t="str">
        <f aca="false">IF(AND(AND(MOVIMIENTOS!$B40&lt;&gt;"",NOT(AND(MOVIMIENTOS!$B40="PROCESO",MOVIMIENTOS!$C40&lt;&gt;"Chancho")),NOT(AND(MOVIMIENTOS!$B40="SALDO INICIAL",MOVIMIENTOS!$C40="Chancho"))),OR(MOVIMIENTOS!$B40="SALDO INICIAL",MOVIMIENTOS!$B40="COMPRA",MOVIMIENTOS!$B40="REPROCESO",MOVIMIENTOS!$B40="DEVOLUCIÓN",AND(MOVIMIENTOS!$B40="AJUSTE",MOVIMIENTOS!$C40&lt;&gt;"Chancho",N(MOVIMIENTOS!$F40)&gt;=0))),N(MOVIMIENTOS!$F40),"")</f>
        <v/>
      </c>
      <c r="N41" s="48" t="str">
        <f aca="false">IF(AND(AND(MOVIMIENTOS!$B40&lt;&gt;"",NOT(AND(MOVIMIENTOS!$B40="PROCESO",MOVIMIENTOS!$C40&lt;&gt;"Chancho")),NOT(AND(MOVIMIENTOS!$B40="SALDO INICIAL",MOVIMIENTOS!$C40="Chancho"))),OR(MOVIMIENTOS!$B40="ENVÍO A SUPESA",MOVIMIENTOS!$B40="MALOGRADO",MOVIMIENTOS!$B40="OTRA SALIDA",MOVIMIENTOS!$B40="TRASIEGO",AND(MOVIMIENTOS!$B40="PROCESO",MOVIMIENTOS!$C40="Chancho"),AND(MOVIMIENTOS!$B40="REGALO",MOVIMIENTOS!$C40&lt;&gt;"Chancho"),AND(MOVIMIENTOS!$B40="VENTA",MOVIMIENTOS!$C40&lt;&gt;"Chancho"),AND(MOVIMIENTOS!$B40="AJUSTE",MOVIMIENTOS!$C40&lt;&gt;"Chancho",N(MOVIMIENTOS!$F40)&lt;0))),IF(MOVIMIENTOS!$B40="AJUSTE",-N(MOVIMIENTOS!$F40),N(MOVIMIENTOS!$F40)),"")</f>
        <v/>
      </c>
      <c r="O41" s="48" t="str">
        <f aca="false">IF(AND(MOVIMIENTOS!$B40&lt;&gt;"",NOT(AND(MOVIMIENTOS!$B40="PROCESO",MOVIMIENTOS!$C40&lt;&gt;"Chancho")),NOT(AND(MOVIMIENTOS!$B40="SALDO INICIAL",MOVIMIENTOS!$C40="Chancho"))),IF(MOVIMIENTOS!$B40="RECHAZO",MOVIMIENTOS!$E40&amp;" jabas rechazadas · van a reproceso",IF(MOVIMIENTOS!$B40="REPROCESO",MOVIMIENTOS!$E40&amp;" kg recuperados (merma del día: "&amp;TEXT(SUMPRODUCT((MOVIMIENTOS!$A$5:$A$400=MOVIMIENTOS!$A40)*(MOVIMIENTOS!$B$5:$B$400="RECHAZO")*(MOVIMIENTOS!$D$5:$D$400="jabas")*MOVIMIENTOS!$E$5:$E$400*IFERROR(_xlfn.SWITCH(MOVIMIENTOS!$C$5:$C$400,"A",15,"P",18,"C",17,"M",17,0),0))-SUMPRODUCT((MOVIMIENTOS!$A$5:$A$400=MOVIMIENTOS!$A40)*(MOVIMIENTOS!$B$5:$B$400="REPROCESO")*MOVIMIENTOS!$I$5:$I$400),"+#,##0;-#,##0;0")&amp;" kg)",TRIM(IF(MOVIMIENTOS!$G40&lt;&gt;"",MOVIMIENTOS!$G40&amp;"  ","")&amp;IF(N(MOVIMIENTOS!$D40)&gt;0,MOVIMIENTOS!$D40&amp;" "&amp;MOVIMIENTOS!$D40,"")))),"")</f>
        <v/>
      </c>
      <c r="P41" s="48" t="n">
        <f aca="false">N(P40)+N(M41)-N(N41)</f>
        <v>4435</v>
      </c>
      <c r="Q41" s="48"/>
      <c r="R41" s="48"/>
      <c r="S41" s="48"/>
      <c r="T41" s="48"/>
    </row>
    <row r="42" customFormat="false" ht="15" hidden="false" customHeight="true" outlineLevel="0" collapsed="false">
      <c r="A42" s="51" t="n">
        <f aca="false">IFERROR(INDEX(K$6:K$401,MATCH(ROW()-5,J$6:J$401,0)),"")</f>
        <v>46220</v>
      </c>
      <c r="B42" s="56" t="str">
        <f aca="false">IFERROR(INDEX(L$6:L$401,MATCH(ROW()-5,J$6:J$401,0)),"")</f>
        <v>ENVÍO cal. A</v>
      </c>
      <c r="C42" s="52" t="str">
        <f aca="false">IFERROR(INDEX(M$6:M$401,MATCH(ROW()-5,J$6:J$401,0)),"")</f>
        <v/>
      </c>
      <c r="D42" s="52" t="n">
        <f aca="false">IFERROR(INDEX(N$6:N$401,MATCH(ROW()-5,J$6:J$401,0)),"")</f>
        <v>1005</v>
      </c>
      <c r="E42" s="56" t="str">
        <f aca="false">IFERROR(INDEX(O$6:O$401,MATCH(ROW()-5,J$6:J$401,0)),"")</f>
        <v>2994</v>
      </c>
      <c r="F42" s="52" t="n">
        <f aca="false">IFERROR(INDEX(P$6:P$401,MATCH(ROW()-5,J$6:J$401,0)),"")</f>
        <v>4852</v>
      </c>
      <c r="G42" s="48"/>
      <c r="H42" s="48"/>
      <c r="I42" s="48"/>
      <c r="J42" s="48" t="str">
        <f aca="false">IF(AND(MOVIMIENTOS!$B41&lt;&gt;"",NOT(AND(MOVIMIENTOS!$B41="PROCESO",MOVIMIENTOS!$C41&lt;&gt;"Chancho")),NOT(AND(MOVIMIENTOS!$B41="SALDO INICIAL",MOVIMIENTOS!$C41="Chancho"))),COUNT(J$6:J41)+1,"")</f>
        <v/>
      </c>
      <c r="K42" s="48" t="str">
        <f aca="false">IF(AND(MOVIMIENTOS!$B41&lt;&gt;"",NOT(AND(MOVIMIENTOS!$B41="PROCESO",MOVIMIENTOS!$C41&lt;&gt;"Chancho")),NOT(AND(MOVIMIENTOS!$B41="SALDO INICIAL",MOVIMIENTOS!$C41="Chancho"))),MOVIMIENTOS!$A41,"")</f>
        <v/>
      </c>
      <c r="L42" s="48" t="str">
        <f aca="false">IF(AND(MOVIMIENTOS!$B41&lt;&gt;"",NOT(AND(MOVIMIENTOS!$B41="PROCESO",MOVIMIENTOS!$C41&lt;&gt;"Chancho")),NOT(AND(MOVIMIENTOS!$B41="SALDO INICIAL",MOVIMIENTOS!$C41="Chancho"))),IF(MOVIMIENTOS!$B41="SALDO INICIAL","APERTURA ("&amp;MOVIMIENTOS!$C41&amp;")",IF(MOVIMIENTOS!$B41="COMPRA","INGRESO (compra)",IF(MOVIMIENTOS!$B41="PROCESO","CHANCHO (proceso)",IF(MOVIMIENTOS!$B41="ENVÍO A SUPESA","ENVÍO cal. "&amp;MOVIMIENTOS!$C41,IF(MOVIMIENTOS!$B41="VENTA CHANCHO","VENTA CHANCHO",IF(MOVIMIENTOS!$B41="VENTA","VENTA cal. "&amp;MOVIMIENTOS!$C41,IF(MOVIMIENTOS!$B41="REGALO","REGALO "&amp;MOVIMIENTOS!$C41,IF(MOVIMIENTOS!$B41="RECHAZO","RECHAZO cal. "&amp;MOVIMIENTOS!$C41&amp;" (va a reproceso)",IF(MOVIMIENTOS!$B41="DEVOLUCIÓN","DEVOLUCIÓN cal. "&amp;MOVIMIENTOS!$C41&amp;" (regresa intacta)",IF(MOVIMIENTOS!$B41="TRASIEGO","TRASIEGO cal. "&amp;MOVIMIENTOS!$C41,MOVIMIENTOS!$B41)))))))))),"")</f>
        <v/>
      </c>
      <c r="M42" s="48" t="str">
        <f aca="false">IF(AND(AND(MOVIMIENTOS!$B41&lt;&gt;"",NOT(AND(MOVIMIENTOS!$B41="PROCESO",MOVIMIENTOS!$C41&lt;&gt;"Chancho")),NOT(AND(MOVIMIENTOS!$B41="SALDO INICIAL",MOVIMIENTOS!$C41="Chancho"))),OR(MOVIMIENTOS!$B41="SALDO INICIAL",MOVIMIENTOS!$B41="COMPRA",MOVIMIENTOS!$B41="REPROCESO",MOVIMIENTOS!$B41="DEVOLUCIÓN",AND(MOVIMIENTOS!$B41="AJUSTE",MOVIMIENTOS!$C41&lt;&gt;"Chancho",N(MOVIMIENTOS!$F41)&gt;=0))),N(MOVIMIENTOS!$F41),"")</f>
        <v/>
      </c>
      <c r="N42" s="48" t="str">
        <f aca="false">IF(AND(AND(MOVIMIENTOS!$B41&lt;&gt;"",NOT(AND(MOVIMIENTOS!$B41="PROCESO",MOVIMIENTOS!$C41&lt;&gt;"Chancho")),NOT(AND(MOVIMIENTOS!$B41="SALDO INICIAL",MOVIMIENTOS!$C41="Chancho"))),OR(MOVIMIENTOS!$B41="ENVÍO A SUPESA",MOVIMIENTOS!$B41="MALOGRADO",MOVIMIENTOS!$B41="OTRA SALIDA",MOVIMIENTOS!$B41="TRASIEGO",AND(MOVIMIENTOS!$B41="PROCESO",MOVIMIENTOS!$C41="Chancho"),AND(MOVIMIENTOS!$B41="REGALO",MOVIMIENTOS!$C41&lt;&gt;"Chancho"),AND(MOVIMIENTOS!$B41="VENTA",MOVIMIENTOS!$C41&lt;&gt;"Chancho"),AND(MOVIMIENTOS!$B41="AJUSTE",MOVIMIENTOS!$C41&lt;&gt;"Chancho",N(MOVIMIENTOS!$F41)&lt;0))),IF(MOVIMIENTOS!$B41="AJUSTE",-N(MOVIMIENTOS!$F41),N(MOVIMIENTOS!$F41)),"")</f>
        <v/>
      </c>
      <c r="O42" s="48" t="str">
        <f aca="false">IF(AND(MOVIMIENTOS!$B41&lt;&gt;"",NOT(AND(MOVIMIENTOS!$B41="PROCESO",MOVIMIENTOS!$C41&lt;&gt;"Chancho")),NOT(AND(MOVIMIENTOS!$B41="SALDO INICIAL",MOVIMIENTOS!$C41="Chancho"))),IF(MOVIMIENTOS!$B41="RECHAZO",MOVIMIENTOS!$E41&amp;" jabas rechazadas · van a reproceso",IF(MOVIMIENTOS!$B41="REPROCESO",MOVIMIENTOS!$E41&amp;" kg recuperados (merma del día: "&amp;TEXT(SUMPRODUCT((MOVIMIENTOS!$A$5:$A$400=MOVIMIENTOS!$A41)*(MOVIMIENTOS!$B$5:$B$400="RECHAZO")*(MOVIMIENTOS!$D$5:$D$400="jabas")*MOVIMIENTOS!$E$5:$E$400*IFERROR(_xlfn.SWITCH(MOVIMIENTOS!$C$5:$C$400,"A",15,"P",18,"C",17,"M",17,0),0))-SUMPRODUCT((MOVIMIENTOS!$A$5:$A$400=MOVIMIENTOS!$A41)*(MOVIMIENTOS!$B$5:$B$400="REPROCESO")*MOVIMIENTOS!$I$5:$I$400),"+#,##0;-#,##0;0")&amp;" kg)",TRIM(IF(MOVIMIENTOS!$G41&lt;&gt;"",MOVIMIENTOS!$G41&amp;"  ","")&amp;IF(N(MOVIMIENTOS!$D41)&gt;0,MOVIMIENTOS!$D41&amp;" "&amp;MOVIMIENTOS!$D41,"")))),"")</f>
        <v/>
      </c>
      <c r="P42" s="48" t="n">
        <f aca="false">N(P41)+N(M42)-N(N42)</f>
        <v>4435</v>
      </c>
      <c r="Q42" s="48"/>
      <c r="R42" s="48"/>
      <c r="S42" s="48"/>
      <c r="T42" s="48"/>
    </row>
    <row r="43" customFormat="false" ht="15" hidden="false" customHeight="true" outlineLevel="0" collapsed="false">
      <c r="A43" s="51" t="n">
        <f aca="false">IFERROR(INDEX(K$6:K$401,MATCH(ROW()-5,J$6:J$401,0)),"")</f>
        <v>46220</v>
      </c>
      <c r="B43" s="56" t="str">
        <f aca="false">IFERROR(INDEX(L$6:L$401,MATCH(ROW()-5,J$6:J$401,0)),"")</f>
        <v>ENVÍO cal. P</v>
      </c>
      <c r="C43" s="52" t="str">
        <f aca="false">IFERROR(INDEX(M$6:M$401,MATCH(ROW()-5,J$6:J$401,0)),"")</f>
        <v/>
      </c>
      <c r="D43" s="52" t="n">
        <f aca="false">IFERROR(INDEX(N$6:N$401,MATCH(ROW()-5,J$6:J$401,0)),"")</f>
        <v>198</v>
      </c>
      <c r="E43" s="56" t="str">
        <f aca="false">IFERROR(INDEX(O$6:O$401,MATCH(ROW()-5,J$6:J$401,0)),"")</f>
        <v>2994</v>
      </c>
      <c r="F43" s="52" t="n">
        <f aca="false">IFERROR(INDEX(P$6:P$401,MATCH(ROW()-5,J$6:J$401,0)),"")</f>
        <v>4654</v>
      </c>
      <c r="G43" s="48"/>
      <c r="H43" s="48"/>
      <c r="I43" s="48"/>
      <c r="J43" s="48" t="str">
        <f aca="false">IF(AND(MOVIMIENTOS!$B42&lt;&gt;"",NOT(AND(MOVIMIENTOS!$B42="PROCESO",MOVIMIENTOS!$C42&lt;&gt;"Chancho")),NOT(AND(MOVIMIENTOS!$B42="SALDO INICIAL",MOVIMIENTOS!$C42="Chancho"))),COUNT(J$6:J42)+1,"")</f>
        <v/>
      </c>
      <c r="K43" s="48" t="str">
        <f aca="false">IF(AND(MOVIMIENTOS!$B42&lt;&gt;"",NOT(AND(MOVIMIENTOS!$B42="PROCESO",MOVIMIENTOS!$C42&lt;&gt;"Chancho")),NOT(AND(MOVIMIENTOS!$B42="SALDO INICIAL",MOVIMIENTOS!$C42="Chancho"))),MOVIMIENTOS!$A42,"")</f>
        <v/>
      </c>
      <c r="L43" s="48" t="str">
        <f aca="false">IF(AND(MOVIMIENTOS!$B42&lt;&gt;"",NOT(AND(MOVIMIENTOS!$B42="PROCESO",MOVIMIENTOS!$C42&lt;&gt;"Chancho")),NOT(AND(MOVIMIENTOS!$B42="SALDO INICIAL",MOVIMIENTOS!$C42="Chancho"))),IF(MOVIMIENTOS!$B42="SALDO INICIAL","APERTURA ("&amp;MOVIMIENTOS!$C42&amp;")",IF(MOVIMIENTOS!$B42="COMPRA","INGRESO (compra)",IF(MOVIMIENTOS!$B42="PROCESO","CHANCHO (proceso)",IF(MOVIMIENTOS!$B42="ENVÍO A SUPESA","ENVÍO cal. "&amp;MOVIMIENTOS!$C42,IF(MOVIMIENTOS!$B42="VENTA CHANCHO","VENTA CHANCHO",IF(MOVIMIENTOS!$B42="VENTA","VENTA cal. "&amp;MOVIMIENTOS!$C42,IF(MOVIMIENTOS!$B42="REGALO","REGALO "&amp;MOVIMIENTOS!$C42,IF(MOVIMIENTOS!$B42="RECHAZO","RECHAZO cal. "&amp;MOVIMIENTOS!$C42&amp;" (va a reproceso)",IF(MOVIMIENTOS!$B42="DEVOLUCIÓN","DEVOLUCIÓN cal. "&amp;MOVIMIENTOS!$C42&amp;" (regresa intacta)",IF(MOVIMIENTOS!$B42="TRASIEGO","TRASIEGO cal. "&amp;MOVIMIENTOS!$C42,MOVIMIENTOS!$B42)))))))))),"")</f>
        <v/>
      </c>
      <c r="M43" s="48" t="str">
        <f aca="false">IF(AND(AND(MOVIMIENTOS!$B42&lt;&gt;"",NOT(AND(MOVIMIENTOS!$B42="PROCESO",MOVIMIENTOS!$C42&lt;&gt;"Chancho")),NOT(AND(MOVIMIENTOS!$B42="SALDO INICIAL",MOVIMIENTOS!$C42="Chancho"))),OR(MOVIMIENTOS!$B42="SALDO INICIAL",MOVIMIENTOS!$B42="COMPRA",MOVIMIENTOS!$B42="REPROCESO",MOVIMIENTOS!$B42="DEVOLUCIÓN",AND(MOVIMIENTOS!$B42="AJUSTE",MOVIMIENTOS!$C42&lt;&gt;"Chancho",N(MOVIMIENTOS!$F42)&gt;=0))),N(MOVIMIENTOS!$F42),"")</f>
        <v/>
      </c>
      <c r="N43" s="48" t="str">
        <f aca="false">IF(AND(AND(MOVIMIENTOS!$B42&lt;&gt;"",NOT(AND(MOVIMIENTOS!$B42="PROCESO",MOVIMIENTOS!$C42&lt;&gt;"Chancho")),NOT(AND(MOVIMIENTOS!$B42="SALDO INICIAL",MOVIMIENTOS!$C42="Chancho"))),OR(MOVIMIENTOS!$B42="ENVÍO A SUPESA",MOVIMIENTOS!$B42="MALOGRADO",MOVIMIENTOS!$B42="OTRA SALIDA",MOVIMIENTOS!$B42="TRASIEGO",AND(MOVIMIENTOS!$B42="PROCESO",MOVIMIENTOS!$C42="Chancho"),AND(MOVIMIENTOS!$B42="REGALO",MOVIMIENTOS!$C42&lt;&gt;"Chancho"),AND(MOVIMIENTOS!$B42="VENTA",MOVIMIENTOS!$C42&lt;&gt;"Chancho"),AND(MOVIMIENTOS!$B42="AJUSTE",MOVIMIENTOS!$C42&lt;&gt;"Chancho",N(MOVIMIENTOS!$F42)&lt;0))),IF(MOVIMIENTOS!$B42="AJUSTE",-N(MOVIMIENTOS!$F42),N(MOVIMIENTOS!$F42)),"")</f>
        <v/>
      </c>
      <c r="O43" s="48" t="str">
        <f aca="false">IF(AND(MOVIMIENTOS!$B42&lt;&gt;"",NOT(AND(MOVIMIENTOS!$B42="PROCESO",MOVIMIENTOS!$C42&lt;&gt;"Chancho")),NOT(AND(MOVIMIENTOS!$B42="SALDO INICIAL",MOVIMIENTOS!$C42="Chancho"))),IF(MOVIMIENTOS!$B42="RECHAZO",MOVIMIENTOS!$E42&amp;" jabas rechazadas · van a reproceso",IF(MOVIMIENTOS!$B42="REPROCESO",MOVIMIENTOS!$E42&amp;" kg recuperados (merma del día: "&amp;TEXT(SUMPRODUCT((MOVIMIENTOS!$A$5:$A$400=MOVIMIENTOS!$A42)*(MOVIMIENTOS!$B$5:$B$400="RECHAZO")*(MOVIMIENTOS!$D$5:$D$400="jabas")*MOVIMIENTOS!$E$5:$E$400*IFERROR(_xlfn.SWITCH(MOVIMIENTOS!$C$5:$C$400,"A",15,"P",18,"C",17,"M",17,0),0))-SUMPRODUCT((MOVIMIENTOS!$A$5:$A$400=MOVIMIENTOS!$A42)*(MOVIMIENTOS!$B$5:$B$400="REPROCESO")*MOVIMIENTOS!$I$5:$I$400),"+#,##0;-#,##0;0")&amp;" kg)",TRIM(IF(MOVIMIENTOS!$G42&lt;&gt;"",MOVIMIENTOS!$G42&amp;"  ","")&amp;IF(N(MOVIMIENTOS!$D42)&gt;0,MOVIMIENTOS!$D42&amp;" "&amp;MOVIMIENTOS!$D42,"")))),"")</f>
        <v/>
      </c>
      <c r="P43" s="48" t="n">
        <f aca="false">N(P42)+N(M43)-N(N43)</f>
        <v>4435</v>
      </c>
      <c r="Q43" s="48"/>
      <c r="R43" s="48"/>
      <c r="S43" s="48"/>
      <c r="T43" s="48"/>
    </row>
    <row r="44" customFormat="false" ht="15" hidden="false" customHeight="true" outlineLevel="0" collapsed="false">
      <c r="A44" s="51" t="n">
        <f aca="false">IFERROR(INDEX(K$6:K$401,MATCH(ROW()-5,J$6:J$401,0)),"")</f>
        <v>46220</v>
      </c>
      <c r="B44" s="56" t="str">
        <f aca="false">IFERROR(INDEX(L$6:L$401,MATCH(ROW()-5,J$6:J$401,0)),"")</f>
        <v>ENVÍO cal. C</v>
      </c>
      <c r="C44" s="52" t="str">
        <f aca="false">IFERROR(INDEX(M$6:M$401,MATCH(ROW()-5,J$6:J$401,0)),"")</f>
        <v/>
      </c>
      <c r="D44" s="52" t="n">
        <f aca="false">IFERROR(INDEX(N$6:N$401,MATCH(ROW()-5,J$6:J$401,0)),"")</f>
        <v>204</v>
      </c>
      <c r="E44" s="56" t="str">
        <f aca="false">IFERROR(INDEX(O$6:O$401,MATCH(ROW()-5,J$6:J$401,0)),"")</f>
        <v>2994</v>
      </c>
      <c r="F44" s="52" t="n">
        <f aca="false">IFERROR(INDEX(P$6:P$401,MATCH(ROW()-5,J$6:J$401,0)),"")</f>
        <v>4450</v>
      </c>
      <c r="G44" s="48"/>
      <c r="H44" s="48"/>
      <c r="I44" s="48"/>
      <c r="J44" s="48" t="str">
        <f aca="false">IF(AND(MOVIMIENTOS!$B43&lt;&gt;"",NOT(AND(MOVIMIENTOS!$B43="PROCESO",MOVIMIENTOS!$C43&lt;&gt;"Chancho")),NOT(AND(MOVIMIENTOS!$B43="SALDO INICIAL",MOVIMIENTOS!$C43="Chancho"))),COUNT(J$6:J43)+1,"")</f>
        <v/>
      </c>
      <c r="K44" s="48" t="str">
        <f aca="false">IF(AND(MOVIMIENTOS!$B43&lt;&gt;"",NOT(AND(MOVIMIENTOS!$B43="PROCESO",MOVIMIENTOS!$C43&lt;&gt;"Chancho")),NOT(AND(MOVIMIENTOS!$B43="SALDO INICIAL",MOVIMIENTOS!$C43="Chancho"))),MOVIMIENTOS!$A43,"")</f>
        <v/>
      </c>
      <c r="L44" s="48" t="str">
        <f aca="false">IF(AND(MOVIMIENTOS!$B43&lt;&gt;"",NOT(AND(MOVIMIENTOS!$B43="PROCESO",MOVIMIENTOS!$C43&lt;&gt;"Chancho")),NOT(AND(MOVIMIENTOS!$B43="SALDO INICIAL",MOVIMIENTOS!$C43="Chancho"))),IF(MOVIMIENTOS!$B43="SALDO INICIAL","APERTURA ("&amp;MOVIMIENTOS!$C43&amp;")",IF(MOVIMIENTOS!$B43="COMPRA","INGRESO (compra)",IF(MOVIMIENTOS!$B43="PROCESO","CHANCHO (proceso)",IF(MOVIMIENTOS!$B43="ENVÍO A SUPESA","ENVÍO cal. "&amp;MOVIMIENTOS!$C43,IF(MOVIMIENTOS!$B43="VENTA CHANCHO","VENTA CHANCHO",IF(MOVIMIENTOS!$B43="VENTA","VENTA cal. "&amp;MOVIMIENTOS!$C43,IF(MOVIMIENTOS!$B43="REGALO","REGALO "&amp;MOVIMIENTOS!$C43,IF(MOVIMIENTOS!$B43="RECHAZO","RECHAZO cal. "&amp;MOVIMIENTOS!$C43&amp;" (va a reproceso)",IF(MOVIMIENTOS!$B43="DEVOLUCIÓN","DEVOLUCIÓN cal. "&amp;MOVIMIENTOS!$C43&amp;" (regresa intacta)",IF(MOVIMIENTOS!$B43="TRASIEGO","TRASIEGO cal. "&amp;MOVIMIENTOS!$C43,MOVIMIENTOS!$B43)))))))))),"")</f>
        <v/>
      </c>
      <c r="M44" s="48" t="str">
        <f aca="false">IF(AND(AND(MOVIMIENTOS!$B43&lt;&gt;"",NOT(AND(MOVIMIENTOS!$B43="PROCESO",MOVIMIENTOS!$C43&lt;&gt;"Chancho")),NOT(AND(MOVIMIENTOS!$B43="SALDO INICIAL",MOVIMIENTOS!$C43="Chancho"))),OR(MOVIMIENTOS!$B43="SALDO INICIAL",MOVIMIENTOS!$B43="COMPRA",MOVIMIENTOS!$B43="REPROCESO",MOVIMIENTOS!$B43="DEVOLUCIÓN",AND(MOVIMIENTOS!$B43="AJUSTE",MOVIMIENTOS!$C43&lt;&gt;"Chancho",N(MOVIMIENTOS!$F43)&gt;=0))),N(MOVIMIENTOS!$F43),"")</f>
        <v/>
      </c>
      <c r="N44" s="48" t="str">
        <f aca="false">IF(AND(AND(MOVIMIENTOS!$B43&lt;&gt;"",NOT(AND(MOVIMIENTOS!$B43="PROCESO",MOVIMIENTOS!$C43&lt;&gt;"Chancho")),NOT(AND(MOVIMIENTOS!$B43="SALDO INICIAL",MOVIMIENTOS!$C43="Chancho"))),OR(MOVIMIENTOS!$B43="ENVÍO A SUPESA",MOVIMIENTOS!$B43="MALOGRADO",MOVIMIENTOS!$B43="OTRA SALIDA",MOVIMIENTOS!$B43="TRASIEGO",AND(MOVIMIENTOS!$B43="PROCESO",MOVIMIENTOS!$C43="Chancho"),AND(MOVIMIENTOS!$B43="REGALO",MOVIMIENTOS!$C43&lt;&gt;"Chancho"),AND(MOVIMIENTOS!$B43="VENTA",MOVIMIENTOS!$C43&lt;&gt;"Chancho"),AND(MOVIMIENTOS!$B43="AJUSTE",MOVIMIENTOS!$C43&lt;&gt;"Chancho",N(MOVIMIENTOS!$F43)&lt;0))),IF(MOVIMIENTOS!$B43="AJUSTE",-N(MOVIMIENTOS!$F43),N(MOVIMIENTOS!$F43)),"")</f>
        <v/>
      </c>
      <c r="O44" s="48" t="str">
        <f aca="false">IF(AND(MOVIMIENTOS!$B43&lt;&gt;"",NOT(AND(MOVIMIENTOS!$B43="PROCESO",MOVIMIENTOS!$C43&lt;&gt;"Chancho")),NOT(AND(MOVIMIENTOS!$B43="SALDO INICIAL",MOVIMIENTOS!$C43="Chancho"))),IF(MOVIMIENTOS!$B43="RECHAZO",MOVIMIENTOS!$E43&amp;" jabas rechazadas · van a reproceso",IF(MOVIMIENTOS!$B43="REPROCESO",MOVIMIENTOS!$E43&amp;" kg recuperados (merma del día: "&amp;TEXT(SUMPRODUCT((MOVIMIENTOS!$A$5:$A$400=MOVIMIENTOS!$A43)*(MOVIMIENTOS!$B$5:$B$400="RECHAZO")*(MOVIMIENTOS!$D$5:$D$400="jabas")*MOVIMIENTOS!$E$5:$E$400*IFERROR(_xlfn.SWITCH(MOVIMIENTOS!$C$5:$C$400,"A",15,"P",18,"C",17,"M",17,0),0))-SUMPRODUCT((MOVIMIENTOS!$A$5:$A$400=MOVIMIENTOS!$A43)*(MOVIMIENTOS!$B$5:$B$400="REPROCESO")*MOVIMIENTOS!$I$5:$I$400),"+#,##0;-#,##0;0")&amp;" kg)",TRIM(IF(MOVIMIENTOS!$G43&lt;&gt;"",MOVIMIENTOS!$G43&amp;"  ","")&amp;IF(N(MOVIMIENTOS!$D43)&gt;0,MOVIMIENTOS!$D43&amp;" "&amp;MOVIMIENTOS!$D43,"")))),"")</f>
        <v/>
      </c>
      <c r="P44" s="48" t="n">
        <f aca="false">N(P43)+N(M44)-N(N44)</f>
        <v>4435</v>
      </c>
      <c r="Q44" s="48"/>
      <c r="R44" s="48"/>
      <c r="S44" s="48"/>
      <c r="T44" s="48"/>
    </row>
    <row r="45" customFormat="false" ht="15" hidden="false" customHeight="true" outlineLevel="0" collapsed="false">
      <c r="A45" s="51" t="n">
        <f aca="false">IFERROR(INDEX(K$6:K$401,MATCH(ROW()-5,J$6:J$401,0)),"")</f>
        <v>46220</v>
      </c>
      <c r="B45" s="56" t="str">
        <f aca="false">IFERROR(INDEX(L$6:L$401,MATCH(ROW()-5,J$6:J$401,0)),"")</f>
        <v>ENVÍO cal. M</v>
      </c>
      <c r="C45" s="52" t="str">
        <f aca="false">IFERROR(INDEX(M$6:M$401,MATCH(ROW()-5,J$6:J$401,0)),"")</f>
        <v/>
      </c>
      <c r="D45" s="52" t="n">
        <f aca="false">IFERROR(INDEX(N$6:N$401,MATCH(ROW()-5,J$6:J$401,0)),"")</f>
        <v>2006</v>
      </c>
      <c r="E45" s="56" t="str">
        <f aca="false">IFERROR(INDEX(O$6:O$401,MATCH(ROW()-5,J$6:J$401,0)),"")</f>
        <v>2994</v>
      </c>
      <c r="F45" s="52" t="n">
        <f aca="false">IFERROR(INDEX(P$6:P$401,MATCH(ROW()-5,J$6:J$401,0)),"")</f>
        <v>2444</v>
      </c>
      <c r="G45" s="48"/>
      <c r="H45" s="48"/>
      <c r="I45" s="48"/>
      <c r="J45" s="48" t="n">
        <f aca="false">IF(AND(MOVIMIENTOS!$B44&lt;&gt;"",NOT(AND(MOVIMIENTOS!$B44="PROCESO",MOVIMIENTOS!$C44&lt;&gt;"Chancho")),NOT(AND(MOVIMIENTOS!$B44="SALDO INICIAL",MOVIMIENTOS!$C44="Chancho"))),COUNT(J$6:J44)+1,"")</f>
        <v>23</v>
      </c>
      <c r="K45" s="53" t="n">
        <f aca="false">IF(AND(MOVIMIENTOS!$B44&lt;&gt;"",NOT(AND(MOVIMIENTOS!$B44="PROCESO",MOVIMIENTOS!$C44&lt;&gt;"Chancho")),NOT(AND(MOVIMIENTOS!$B44="SALDO INICIAL",MOVIMIENTOS!$C44="Chancho"))),MOVIMIENTOS!$A44,"")</f>
        <v>46218</v>
      </c>
      <c r="L45" s="48" t="str">
        <f aca="false">IF(AND(MOVIMIENTOS!$B44&lt;&gt;"",NOT(AND(MOVIMIENTOS!$B44="PROCESO",MOVIMIENTOS!$C44&lt;&gt;"Chancho")),NOT(AND(MOVIMIENTOS!$B44="SALDO INICIAL",MOVIMIENTOS!$C44="Chancho"))),IF(MOVIMIENTOS!$B44="SALDO INICIAL","APERTURA ("&amp;MOVIMIENTOS!$C44&amp;")",IF(MOVIMIENTOS!$B44="COMPRA","INGRESO (compra)",IF(MOVIMIENTOS!$B44="PROCESO","CHANCHO (proceso)",IF(MOVIMIENTOS!$B44="ENVÍO A SUPESA","ENVÍO cal. "&amp;MOVIMIENTOS!$C44,IF(MOVIMIENTOS!$B44="VENTA CHANCHO","VENTA CHANCHO",IF(MOVIMIENTOS!$B44="VENTA","VENTA cal. "&amp;MOVIMIENTOS!$C44,IF(MOVIMIENTOS!$B44="REGALO","REGALO "&amp;MOVIMIENTOS!$C44,IF(MOVIMIENTOS!$B44="RECHAZO","RECHAZO cal. "&amp;MOVIMIENTOS!$C44&amp;" (va a reproceso)",IF(MOVIMIENTOS!$B44="DEVOLUCIÓN","DEVOLUCIÓN cal. "&amp;MOVIMIENTOS!$C44&amp;" (regresa intacta)",IF(MOVIMIENTOS!$B44="TRASIEGO","TRASIEGO cal. "&amp;MOVIMIENTOS!$C44,MOVIMIENTOS!$B44)))))))))),"")</f>
        <v>CHANCHO (proceso)</v>
      </c>
      <c r="M45" s="48" t="str">
        <f aca="false">IF(AND(AND(MOVIMIENTOS!$B44&lt;&gt;"",NOT(AND(MOVIMIENTOS!$B44="PROCESO",MOVIMIENTOS!$C44&lt;&gt;"Chancho")),NOT(AND(MOVIMIENTOS!$B44="SALDO INICIAL",MOVIMIENTOS!$C44="Chancho"))),OR(MOVIMIENTOS!$B44="SALDO INICIAL",MOVIMIENTOS!$B44="COMPRA",MOVIMIENTOS!$B44="REPROCESO",MOVIMIENTOS!$B44="DEVOLUCIÓN",AND(MOVIMIENTOS!$B44="AJUSTE",MOVIMIENTOS!$C44&lt;&gt;"Chancho",N(MOVIMIENTOS!$F44)&gt;=0))),N(MOVIMIENTOS!$F44),"")</f>
        <v/>
      </c>
      <c r="N45" s="48" t="n">
        <f aca="false">IF(AND(AND(MOVIMIENTOS!$B44&lt;&gt;"",NOT(AND(MOVIMIENTOS!$B44="PROCESO",MOVIMIENTOS!$C44&lt;&gt;"Chancho")),NOT(AND(MOVIMIENTOS!$B44="SALDO INICIAL",MOVIMIENTOS!$C44="Chancho"))),OR(MOVIMIENTOS!$B44="ENVÍO A SUPESA",MOVIMIENTOS!$B44="MALOGRADO",MOVIMIENTOS!$B44="OTRA SALIDA",MOVIMIENTOS!$B44="TRASIEGO",AND(MOVIMIENTOS!$B44="PROCESO",MOVIMIENTOS!$C44="Chancho"),AND(MOVIMIENTOS!$B44="REGALO",MOVIMIENTOS!$C44&lt;&gt;"Chancho"),AND(MOVIMIENTOS!$B44="VENTA",MOVIMIENTOS!$C44&lt;&gt;"Chancho"),AND(MOVIMIENTOS!$B44="AJUSTE",MOVIMIENTOS!$C44&lt;&gt;"Chancho",N(MOVIMIENTOS!$F44)&lt;0))),IF(MOVIMIENTOS!$B44="AJUSTE",-N(MOVIMIENTOS!$F44),N(MOVIMIENTOS!$F44)),"")</f>
        <v>475</v>
      </c>
      <c r="O45" s="48" t="str">
        <f aca="false">IF(AND(MOVIMIENTOS!$B44&lt;&gt;"",NOT(AND(MOVIMIENTOS!$B44="PROCESO",MOVIMIENTOS!$C44&lt;&gt;"Chancho")),NOT(AND(MOVIMIENTOS!$B44="SALDO INICIAL",MOVIMIENTOS!$C44="Chancho"))),IF(MOVIMIENTOS!$B44="RECHAZO",MOVIMIENTOS!$E44&amp;" jabas rechazadas · van a reproceso",IF(MOVIMIENTOS!$B44="REPROCESO",MOVIMIENTOS!$E44&amp;" kg recuperados (merma del día: "&amp;TEXT(SUMPRODUCT((MOVIMIENTOS!$A$5:$A$400=MOVIMIENTOS!$A44)*(MOVIMIENTOS!$B$5:$B$400="RECHAZO")*(MOVIMIENTOS!$D$5:$D$400="jabas")*MOVIMIENTOS!$E$5:$E$400*IFERROR(_xlfn.SWITCH(MOVIMIENTOS!$C$5:$C$400,"A",15,"P",18,"C",17,"M",17,0),0))-SUMPRODUCT((MOVIMIENTOS!$A$5:$A$400=MOVIMIENTOS!$A44)*(MOVIMIENTOS!$B$5:$B$400="REPROCESO")*MOVIMIENTOS!$I$5:$I$400),"+#,##0;-#,##0;0")&amp;" kg)",TRIM(IF(MOVIMIENTOS!$G44&lt;&gt;"",MOVIMIENTOS!$G44&amp;"  ","")&amp;IF(N(MOVIMIENTOS!$D44)&gt;0,MOVIMIENTOS!$D44&amp;" "&amp;MOVIMIENTOS!$D44,"")))),"")</f>
        <v/>
      </c>
      <c r="P45" s="48" t="n">
        <f aca="false">N(P44)+N(M45)-N(N45)</f>
        <v>3960</v>
      </c>
      <c r="Q45" s="48"/>
      <c r="R45" s="48"/>
      <c r="S45" s="48"/>
      <c r="T45" s="48"/>
    </row>
    <row r="46" customFormat="false" ht="15" hidden="false" customHeight="true" outlineLevel="0" collapsed="false">
      <c r="A46" s="51" t="n">
        <f aca="false">IFERROR(INDEX(K$6:K$401,MATCH(ROW()-5,J$6:J$401,0)),"")</f>
        <v>46220</v>
      </c>
      <c r="B46" s="56" t="str">
        <f aca="false">IFERROR(INDEX(L$6:L$401,MATCH(ROW()-5,J$6:J$401,0)),"")</f>
        <v>VENTA CHANCHO</v>
      </c>
      <c r="C46" s="52" t="str">
        <f aca="false">IFERROR(INDEX(M$6:M$401,MATCH(ROW()-5,J$6:J$401,0)),"")</f>
        <v/>
      </c>
      <c r="D46" s="52" t="str">
        <f aca="false">IFERROR(INDEX(N$6:N$401,MATCH(ROW()-5,J$6:J$401,0)),"")</f>
        <v/>
      </c>
      <c r="E46" s="56" t="str">
        <f aca="false">IFERROR(INDEX(O$6:O$401,MATCH(ROW()-5,J$6:J$401,0)),"")</f>
        <v>TCK002-725</v>
      </c>
      <c r="F46" s="52" t="n">
        <f aca="false">IFERROR(INDEX(P$6:P$401,MATCH(ROW()-5,J$6:J$401,0)),"")</f>
        <v>2444</v>
      </c>
      <c r="G46" s="48"/>
      <c r="H46" s="48"/>
      <c r="I46" s="48"/>
      <c r="J46" s="48" t="n">
        <f aca="false">IF(AND(MOVIMIENTOS!$B45&lt;&gt;"",NOT(AND(MOVIMIENTOS!$B45="PROCESO",MOVIMIENTOS!$C45&lt;&gt;"Chancho")),NOT(AND(MOVIMIENTOS!$B45="SALDO INICIAL",MOVIMIENTOS!$C45="Chancho"))),COUNT(J$6:J45)+1,"")</f>
        <v>24</v>
      </c>
      <c r="K46" s="53" t="n">
        <f aca="false">IF(AND(MOVIMIENTOS!$B45&lt;&gt;"",NOT(AND(MOVIMIENTOS!$B45="PROCESO",MOVIMIENTOS!$C45&lt;&gt;"Chancho")),NOT(AND(MOVIMIENTOS!$B45="SALDO INICIAL",MOVIMIENTOS!$C45="Chancho"))),MOVIMIENTOS!$A45,"")</f>
        <v>46218</v>
      </c>
      <c r="L46" s="48" t="str">
        <f aca="false">IF(AND(MOVIMIENTOS!$B45&lt;&gt;"",NOT(AND(MOVIMIENTOS!$B45="PROCESO",MOVIMIENTOS!$C45&lt;&gt;"Chancho")),NOT(AND(MOVIMIENTOS!$B45="SALDO INICIAL",MOVIMIENTOS!$C45="Chancho"))),IF(MOVIMIENTOS!$B45="SALDO INICIAL","APERTURA ("&amp;MOVIMIENTOS!$C45&amp;")",IF(MOVIMIENTOS!$B45="COMPRA","INGRESO (compra)",IF(MOVIMIENTOS!$B45="PROCESO","CHANCHO (proceso)",IF(MOVIMIENTOS!$B45="ENVÍO A SUPESA","ENVÍO cal. "&amp;MOVIMIENTOS!$C45,IF(MOVIMIENTOS!$B45="VENTA CHANCHO","VENTA CHANCHO",IF(MOVIMIENTOS!$B45="VENTA","VENTA cal. "&amp;MOVIMIENTOS!$C45,IF(MOVIMIENTOS!$B45="REGALO","REGALO "&amp;MOVIMIENTOS!$C45,IF(MOVIMIENTOS!$B45="RECHAZO","RECHAZO cal. "&amp;MOVIMIENTOS!$C45&amp;" (va a reproceso)",IF(MOVIMIENTOS!$B45="DEVOLUCIÓN","DEVOLUCIÓN cal. "&amp;MOVIMIENTOS!$C45&amp;" (regresa intacta)",IF(MOVIMIENTOS!$B45="TRASIEGO","TRASIEGO cal. "&amp;MOVIMIENTOS!$C45,MOVIMIENTOS!$B45)))))))))),"")</f>
        <v>ENVÍO cal. A</v>
      </c>
      <c r="M46" s="48" t="str">
        <f aca="false">IF(AND(AND(MOVIMIENTOS!$B45&lt;&gt;"",NOT(AND(MOVIMIENTOS!$B45="PROCESO",MOVIMIENTOS!$C45&lt;&gt;"Chancho")),NOT(AND(MOVIMIENTOS!$B45="SALDO INICIAL",MOVIMIENTOS!$C45="Chancho"))),OR(MOVIMIENTOS!$B45="SALDO INICIAL",MOVIMIENTOS!$B45="COMPRA",MOVIMIENTOS!$B45="REPROCESO",MOVIMIENTOS!$B45="DEVOLUCIÓN",AND(MOVIMIENTOS!$B45="AJUSTE",MOVIMIENTOS!$C45&lt;&gt;"Chancho",N(MOVIMIENTOS!$F45)&gt;=0))),N(MOVIMIENTOS!$F45),"")</f>
        <v/>
      </c>
      <c r="N46" s="48" t="n">
        <f aca="false">IF(AND(AND(MOVIMIENTOS!$B45&lt;&gt;"",NOT(AND(MOVIMIENTOS!$B45="PROCESO",MOVIMIENTOS!$C45&lt;&gt;"Chancho")),NOT(AND(MOVIMIENTOS!$B45="SALDO INICIAL",MOVIMIENTOS!$C45="Chancho"))),OR(MOVIMIENTOS!$B45="ENVÍO A SUPESA",MOVIMIENTOS!$B45="MALOGRADO",MOVIMIENTOS!$B45="OTRA SALIDA",MOVIMIENTOS!$B45="TRASIEGO",AND(MOVIMIENTOS!$B45="PROCESO",MOVIMIENTOS!$C45="Chancho"),AND(MOVIMIENTOS!$B45="REGALO",MOVIMIENTOS!$C45&lt;&gt;"Chancho"),AND(MOVIMIENTOS!$B45="VENTA",MOVIMIENTOS!$C45&lt;&gt;"Chancho"),AND(MOVIMIENTOS!$B45="AJUSTE",MOVIMIENTOS!$C45&lt;&gt;"Chancho",N(MOVIMIENTOS!$F45)&lt;0))),IF(MOVIMIENTOS!$B45="AJUSTE",-N(MOVIMIENTOS!$F45),N(MOVIMIENTOS!$F45)),"")</f>
        <v>1005</v>
      </c>
      <c r="O46" s="48" t="str">
        <f aca="false">IF(AND(MOVIMIENTOS!$B45&lt;&gt;"",NOT(AND(MOVIMIENTOS!$B45="PROCESO",MOVIMIENTOS!$C45&lt;&gt;"Chancho")),NOT(AND(MOVIMIENTOS!$B45="SALDO INICIAL",MOVIMIENTOS!$C45="Chancho"))),IF(MOVIMIENTOS!$B45="RECHAZO",MOVIMIENTOS!$E45&amp;" jabas rechazadas · van a reproceso",IF(MOVIMIENTOS!$B45="REPROCESO",MOVIMIENTOS!$E45&amp;" kg recuperados (merma del día: "&amp;TEXT(SUMPRODUCT((MOVIMIENTOS!$A$5:$A$400=MOVIMIENTOS!$A45)*(MOVIMIENTOS!$B$5:$B$400="RECHAZO")*(MOVIMIENTOS!$D$5:$D$400="jabas")*MOVIMIENTOS!$E$5:$E$400*IFERROR(_xlfn.SWITCH(MOVIMIENTOS!$C$5:$C$400,"A",15,"P",18,"C",17,"M",17,0),0))-SUMPRODUCT((MOVIMIENTOS!$A$5:$A$400=MOVIMIENTOS!$A45)*(MOVIMIENTOS!$B$5:$B$400="REPROCESO")*MOVIMIENTOS!$I$5:$I$400),"+#,##0;-#,##0;0")&amp;" kg)",TRIM(IF(MOVIMIENTOS!$G45&lt;&gt;"",MOVIMIENTOS!$G45&amp;"  ","")&amp;IF(N(MOVIMIENTOS!$D45)&gt;0,MOVIMIENTOS!$D45&amp;" "&amp;MOVIMIENTOS!$D45,"")))),"")</f>
        <v>2986</v>
      </c>
      <c r="P46" s="48" t="n">
        <f aca="false">N(P45)+N(M46)-N(N46)</f>
        <v>2955</v>
      </c>
      <c r="Q46" s="48"/>
      <c r="R46" s="48"/>
      <c r="S46" s="48"/>
      <c r="T46" s="48"/>
    </row>
    <row r="47" customFormat="false" ht="15" hidden="false" customHeight="true" outlineLevel="0" collapsed="false">
      <c r="A47" s="51" t="n">
        <f aca="false">IFERROR(INDEX(K$6:K$401,MATCH(ROW()-5,J$6:J$401,0)),"")</f>
        <v>46220</v>
      </c>
      <c r="B47" s="56" t="str">
        <f aca="false">IFERROR(INDEX(L$6:L$401,MATCH(ROW()-5,J$6:J$401,0)),"")</f>
        <v>INGRESO (compra)</v>
      </c>
      <c r="C47" s="52" t="n">
        <f aca="false">IFERROR(INDEX(M$6:M$401,MATCH(ROW()-5,J$6:J$401,0)),"")</f>
        <v>475</v>
      </c>
      <c r="D47" s="52" t="str">
        <f aca="false">IFERROR(INDEX(N$6:N$401,MATCH(ROW()-5,J$6:J$401,0)),"")</f>
        <v/>
      </c>
      <c r="E47" s="56" t="str">
        <f aca="false">IFERROR(INDEX(O$6:O$401,MATCH(ROW()-5,J$6:J$401,0)),"")</f>
        <v/>
      </c>
      <c r="F47" s="52" t="n">
        <f aca="false">IFERROR(INDEX(P$6:P$401,MATCH(ROW()-5,J$6:J$401,0)),"")</f>
        <v>2919</v>
      </c>
      <c r="G47" s="48"/>
      <c r="H47" s="48"/>
      <c r="I47" s="48"/>
      <c r="J47" s="48" t="n">
        <f aca="false">IF(AND(MOVIMIENTOS!$B46&lt;&gt;"",NOT(AND(MOVIMIENTOS!$B46="PROCESO",MOVIMIENTOS!$C46&lt;&gt;"Chancho")),NOT(AND(MOVIMIENTOS!$B46="SALDO INICIAL",MOVIMIENTOS!$C46="Chancho"))),COUNT(J$6:J46)+1,"")</f>
        <v>25</v>
      </c>
      <c r="K47" s="53" t="n">
        <f aca="false">IF(AND(MOVIMIENTOS!$B46&lt;&gt;"",NOT(AND(MOVIMIENTOS!$B46="PROCESO",MOVIMIENTOS!$C46&lt;&gt;"Chancho")),NOT(AND(MOVIMIENTOS!$B46="SALDO INICIAL",MOVIMIENTOS!$C46="Chancho"))),MOVIMIENTOS!$A46,"")</f>
        <v>46218</v>
      </c>
      <c r="L47" s="48" t="str">
        <f aca="false">IF(AND(MOVIMIENTOS!$B46&lt;&gt;"",NOT(AND(MOVIMIENTOS!$B46="PROCESO",MOVIMIENTOS!$C46&lt;&gt;"Chancho")),NOT(AND(MOVIMIENTOS!$B46="SALDO INICIAL",MOVIMIENTOS!$C46="Chancho"))),IF(MOVIMIENTOS!$B46="SALDO INICIAL","APERTURA ("&amp;MOVIMIENTOS!$C46&amp;")",IF(MOVIMIENTOS!$B46="COMPRA","INGRESO (compra)",IF(MOVIMIENTOS!$B46="PROCESO","CHANCHO (proceso)",IF(MOVIMIENTOS!$B46="ENVÍO A SUPESA","ENVÍO cal. "&amp;MOVIMIENTOS!$C46,IF(MOVIMIENTOS!$B46="VENTA CHANCHO","VENTA CHANCHO",IF(MOVIMIENTOS!$B46="VENTA","VENTA cal. "&amp;MOVIMIENTOS!$C46,IF(MOVIMIENTOS!$B46="REGALO","REGALO "&amp;MOVIMIENTOS!$C46,IF(MOVIMIENTOS!$B46="RECHAZO","RECHAZO cal. "&amp;MOVIMIENTOS!$C46&amp;" (va a reproceso)",IF(MOVIMIENTOS!$B46="DEVOLUCIÓN","DEVOLUCIÓN cal. "&amp;MOVIMIENTOS!$C46&amp;" (regresa intacta)",IF(MOVIMIENTOS!$B46="TRASIEGO","TRASIEGO cal. "&amp;MOVIMIENTOS!$C46,MOVIMIENTOS!$B46)))))))))),"")</f>
        <v>ENVÍO cal. P</v>
      </c>
      <c r="M47" s="48" t="str">
        <f aca="false">IF(AND(AND(MOVIMIENTOS!$B46&lt;&gt;"",NOT(AND(MOVIMIENTOS!$B46="PROCESO",MOVIMIENTOS!$C46&lt;&gt;"Chancho")),NOT(AND(MOVIMIENTOS!$B46="SALDO INICIAL",MOVIMIENTOS!$C46="Chancho"))),OR(MOVIMIENTOS!$B46="SALDO INICIAL",MOVIMIENTOS!$B46="COMPRA",MOVIMIENTOS!$B46="REPROCESO",MOVIMIENTOS!$B46="DEVOLUCIÓN",AND(MOVIMIENTOS!$B46="AJUSTE",MOVIMIENTOS!$C46&lt;&gt;"Chancho",N(MOVIMIENTOS!$F46)&gt;=0))),N(MOVIMIENTOS!$F46),"")</f>
        <v/>
      </c>
      <c r="N47" s="48" t="n">
        <f aca="false">IF(AND(AND(MOVIMIENTOS!$B46&lt;&gt;"",NOT(AND(MOVIMIENTOS!$B46="PROCESO",MOVIMIENTOS!$C46&lt;&gt;"Chancho")),NOT(AND(MOVIMIENTOS!$B46="SALDO INICIAL",MOVIMIENTOS!$C46="Chancho"))),OR(MOVIMIENTOS!$B46="ENVÍO A SUPESA",MOVIMIENTOS!$B46="MALOGRADO",MOVIMIENTOS!$B46="OTRA SALIDA",MOVIMIENTOS!$B46="TRASIEGO",AND(MOVIMIENTOS!$B46="PROCESO",MOVIMIENTOS!$C46="Chancho"),AND(MOVIMIENTOS!$B46="REGALO",MOVIMIENTOS!$C46&lt;&gt;"Chancho"),AND(MOVIMIENTOS!$B46="VENTA",MOVIMIENTOS!$C46&lt;&gt;"Chancho"),AND(MOVIMIENTOS!$B46="AJUSTE",MOVIMIENTOS!$C46&lt;&gt;"Chancho",N(MOVIMIENTOS!$F46)&lt;0))),IF(MOVIMIENTOS!$B46="AJUSTE",-N(MOVIMIENTOS!$F46),N(MOVIMIENTOS!$F46)),"")</f>
        <v>198</v>
      </c>
      <c r="O47" s="48" t="str">
        <f aca="false">IF(AND(MOVIMIENTOS!$B46&lt;&gt;"",NOT(AND(MOVIMIENTOS!$B46="PROCESO",MOVIMIENTOS!$C46&lt;&gt;"Chancho")),NOT(AND(MOVIMIENTOS!$B46="SALDO INICIAL",MOVIMIENTOS!$C46="Chancho"))),IF(MOVIMIENTOS!$B46="RECHAZO",MOVIMIENTOS!$E46&amp;" jabas rechazadas · van a reproceso",IF(MOVIMIENTOS!$B46="REPROCESO",MOVIMIENTOS!$E46&amp;" kg recuperados (merma del día: "&amp;TEXT(SUMPRODUCT((MOVIMIENTOS!$A$5:$A$400=MOVIMIENTOS!$A46)*(MOVIMIENTOS!$B$5:$B$400="RECHAZO")*(MOVIMIENTOS!$D$5:$D$400="jabas")*MOVIMIENTOS!$E$5:$E$400*IFERROR(_xlfn.SWITCH(MOVIMIENTOS!$C$5:$C$400,"A",15,"P",18,"C",17,"M",17,0),0))-SUMPRODUCT((MOVIMIENTOS!$A$5:$A$400=MOVIMIENTOS!$A46)*(MOVIMIENTOS!$B$5:$B$400="REPROCESO")*MOVIMIENTOS!$I$5:$I$400),"+#,##0;-#,##0;0")&amp;" kg)",TRIM(IF(MOVIMIENTOS!$G46&lt;&gt;"",MOVIMIENTOS!$G46&amp;"  ","")&amp;IF(N(MOVIMIENTOS!$D46)&gt;0,MOVIMIENTOS!$D46&amp;" "&amp;MOVIMIENTOS!$D46,"")))),"")</f>
        <v>2986</v>
      </c>
      <c r="P47" s="48" t="n">
        <f aca="false">N(P46)+N(M47)-N(N47)</f>
        <v>2757</v>
      </c>
      <c r="Q47" s="48"/>
      <c r="R47" s="48"/>
      <c r="S47" s="48"/>
      <c r="T47" s="48"/>
    </row>
    <row r="48" customFormat="false" ht="15" hidden="false" customHeight="true" outlineLevel="0" collapsed="false">
      <c r="A48" s="51" t="n">
        <f aca="false">IFERROR(INDEX(K$6:K$401,MATCH(ROW()-5,J$6:J$401,0)),"")</f>
        <v>46220</v>
      </c>
      <c r="B48" s="56" t="str">
        <f aca="false">IFERROR(INDEX(L$6:L$401,MATCH(ROW()-5,J$6:J$401,0)),"")</f>
        <v>CHANCHO (proceso)</v>
      </c>
      <c r="C48" s="52" t="str">
        <f aca="false">IFERROR(INDEX(M$6:M$401,MATCH(ROW()-5,J$6:J$401,0)),"")</f>
        <v/>
      </c>
      <c r="D48" s="52" t="n">
        <f aca="false">IFERROR(INDEX(N$6:N$401,MATCH(ROW()-5,J$6:J$401,0)),"")</f>
        <v>95</v>
      </c>
      <c r="E48" s="56" t="str">
        <f aca="false">IFERROR(INDEX(O$6:O$401,MATCH(ROW()-5,J$6:J$401,0)),"")</f>
        <v/>
      </c>
      <c r="F48" s="52" t="n">
        <f aca="false">IFERROR(INDEX(P$6:P$401,MATCH(ROW()-5,J$6:J$401,0)),"")</f>
        <v>2824</v>
      </c>
      <c r="G48" s="48"/>
      <c r="H48" s="48"/>
      <c r="I48" s="48"/>
      <c r="J48" s="48" t="n">
        <f aca="false">IF(AND(MOVIMIENTOS!$B47&lt;&gt;"",NOT(AND(MOVIMIENTOS!$B47="PROCESO",MOVIMIENTOS!$C47&lt;&gt;"Chancho")),NOT(AND(MOVIMIENTOS!$B47="SALDO INICIAL",MOVIMIENTOS!$C47="Chancho"))),COUNT(J$6:J47)+1,"")</f>
        <v>26</v>
      </c>
      <c r="K48" s="53" t="n">
        <f aca="false">IF(AND(MOVIMIENTOS!$B47&lt;&gt;"",NOT(AND(MOVIMIENTOS!$B47="PROCESO",MOVIMIENTOS!$C47&lt;&gt;"Chancho")),NOT(AND(MOVIMIENTOS!$B47="SALDO INICIAL",MOVIMIENTOS!$C47="Chancho"))),MOVIMIENTOS!$A47,"")</f>
        <v>46218</v>
      </c>
      <c r="L48" s="48" t="str">
        <f aca="false">IF(AND(MOVIMIENTOS!$B47&lt;&gt;"",NOT(AND(MOVIMIENTOS!$B47="PROCESO",MOVIMIENTOS!$C47&lt;&gt;"Chancho")),NOT(AND(MOVIMIENTOS!$B47="SALDO INICIAL",MOVIMIENTOS!$C47="Chancho"))),IF(MOVIMIENTOS!$B47="SALDO INICIAL","APERTURA ("&amp;MOVIMIENTOS!$C47&amp;")",IF(MOVIMIENTOS!$B47="COMPRA","INGRESO (compra)",IF(MOVIMIENTOS!$B47="PROCESO","CHANCHO (proceso)",IF(MOVIMIENTOS!$B47="ENVÍO A SUPESA","ENVÍO cal. "&amp;MOVIMIENTOS!$C47,IF(MOVIMIENTOS!$B47="VENTA CHANCHO","VENTA CHANCHO",IF(MOVIMIENTOS!$B47="VENTA","VENTA cal. "&amp;MOVIMIENTOS!$C47,IF(MOVIMIENTOS!$B47="REGALO","REGALO "&amp;MOVIMIENTOS!$C47,IF(MOVIMIENTOS!$B47="RECHAZO","RECHAZO cal. "&amp;MOVIMIENTOS!$C47&amp;" (va a reproceso)",IF(MOVIMIENTOS!$B47="DEVOLUCIÓN","DEVOLUCIÓN cal. "&amp;MOVIMIENTOS!$C47&amp;" (regresa intacta)",IF(MOVIMIENTOS!$B47="TRASIEGO","TRASIEGO cal. "&amp;MOVIMIENTOS!$C47,MOVIMIENTOS!$B47)))))))))),"")</f>
        <v>ENVÍO cal. C</v>
      </c>
      <c r="M48" s="48" t="str">
        <f aca="false">IF(AND(AND(MOVIMIENTOS!$B47&lt;&gt;"",NOT(AND(MOVIMIENTOS!$B47="PROCESO",MOVIMIENTOS!$C47&lt;&gt;"Chancho")),NOT(AND(MOVIMIENTOS!$B47="SALDO INICIAL",MOVIMIENTOS!$C47="Chancho"))),OR(MOVIMIENTOS!$B47="SALDO INICIAL",MOVIMIENTOS!$B47="COMPRA",MOVIMIENTOS!$B47="REPROCESO",MOVIMIENTOS!$B47="DEVOLUCIÓN",AND(MOVIMIENTOS!$B47="AJUSTE",MOVIMIENTOS!$C47&lt;&gt;"Chancho",N(MOVIMIENTOS!$F47)&gt;=0))),N(MOVIMIENTOS!$F47),"")</f>
        <v/>
      </c>
      <c r="N48" s="48" t="n">
        <f aca="false">IF(AND(AND(MOVIMIENTOS!$B47&lt;&gt;"",NOT(AND(MOVIMIENTOS!$B47="PROCESO",MOVIMIENTOS!$C47&lt;&gt;"Chancho")),NOT(AND(MOVIMIENTOS!$B47="SALDO INICIAL",MOVIMIENTOS!$C47="Chancho"))),OR(MOVIMIENTOS!$B47="ENVÍO A SUPESA",MOVIMIENTOS!$B47="MALOGRADO",MOVIMIENTOS!$B47="OTRA SALIDA",MOVIMIENTOS!$B47="TRASIEGO",AND(MOVIMIENTOS!$B47="PROCESO",MOVIMIENTOS!$C47="Chancho"),AND(MOVIMIENTOS!$B47="REGALO",MOVIMIENTOS!$C47&lt;&gt;"Chancho"),AND(MOVIMIENTOS!$B47="VENTA",MOVIMIENTOS!$C47&lt;&gt;"Chancho"),AND(MOVIMIENTOS!$B47="AJUSTE",MOVIMIENTOS!$C47&lt;&gt;"Chancho",N(MOVIMIENTOS!$F47)&lt;0))),IF(MOVIMIENTOS!$B47="AJUSTE",-N(MOVIMIENTOS!$F47),N(MOVIMIENTOS!$F47)),"")</f>
        <v>153</v>
      </c>
      <c r="O48" s="48" t="str">
        <f aca="false">IF(AND(MOVIMIENTOS!$B47&lt;&gt;"",NOT(AND(MOVIMIENTOS!$B47="PROCESO",MOVIMIENTOS!$C47&lt;&gt;"Chancho")),NOT(AND(MOVIMIENTOS!$B47="SALDO INICIAL",MOVIMIENTOS!$C47="Chancho"))),IF(MOVIMIENTOS!$B47="RECHAZO",MOVIMIENTOS!$E47&amp;" jabas rechazadas · van a reproceso",IF(MOVIMIENTOS!$B47="REPROCESO",MOVIMIENTOS!$E47&amp;" kg recuperados (merma del día: "&amp;TEXT(SUMPRODUCT((MOVIMIENTOS!$A$5:$A$400=MOVIMIENTOS!$A47)*(MOVIMIENTOS!$B$5:$B$400="RECHAZO")*(MOVIMIENTOS!$D$5:$D$400="jabas")*MOVIMIENTOS!$E$5:$E$400*IFERROR(_xlfn.SWITCH(MOVIMIENTOS!$C$5:$C$400,"A",15,"P",18,"C",17,"M",17,0),0))-SUMPRODUCT((MOVIMIENTOS!$A$5:$A$400=MOVIMIENTOS!$A47)*(MOVIMIENTOS!$B$5:$B$400="REPROCESO")*MOVIMIENTOS!$I$5:$I$400),"+#,##0;-#,##0;0")&amp;" kg)",TRIM(IF(MOVIMIENTOS!$G47&lt;&gt;"",MOVIMIENTOS!$G47&amp;"  ","")&amp;IF(N(MOVIMIENTOS!$D47)&gt;0,MOVIMIENTOS!$D47&amp;" "&amp;MOVIMIENTOS!$D47,"")))),"")</f>
        <v>2986</v>
      </c>
      <c r="P48" s="48" t="n">
        <f aca="false">N(P47)+N(M48)-N(N48)</f>
        <v>2604</v>
      </c>
      <c r="Q48" s="48"/>
      <c r="R48" s="48"/>
      <c r="S48" s="48"/>
      <c r="T48" s="48"/>
    </row>
    <row r="49" customFormat="false" ht="15" hidden="false" customHeight="true" outlineLevel="0" collapsed="false">
      <c r="A49" s="51" t="n">
        <f aca="false">IFERROR(INDEX(K$6:K$401,MATCH(ROW()-5,J$6:J$401,0)),"")</f>
        <v>46221</v>
      </c>
      <c r="B49" s="56" t="str">
        <f aca="false">IFERROR(INDEX(L$6:L$401,MATCH(ROW()-5,J$6:J$401,0)),"")</f>
        <v>ENVÍO cal. A</v>
      </c>
      <c r="C49" s="52" t="str">
        <f aca="false">IFERROR(INDEX(M$6:M$401,MATCH(ROW()-5,J$6:J$401,0)),"")</f>
        <v/>
      </c>
      <c r="D49" s="52" t="n">
        <f aca="false">IFERROR(INDEX(N$6:N$401,MATCH(ROW()-5,J$6:J$401,0)),"")</f>
        <v>1005</v>
      </c>
      <c r="E49" s="56" t="str">
        <f aca="false">IFERROR(INDEX(O$6:O$401,MATCH(ROW()-5,J$6:J$401,0)),"")</f>
        <v>2996</v>
      </c>
      <c r="F49" s="52" t="n">
        <f aca="false">IFERROR(INDEX(P$6:P$401,MATCH(ROW()-5,J$6:J$401,0)),"")</f>
        <v>1819</v>
      </c>
      <c r="G49" s="48"/>
      <c r="H49" s="48"/>
      <c r="I49" s="48"/>
      <c r="J49" s="48" t="n">
        <f aca="false">IF(AND(MOVIMIENTOS!$B48&lt;&gt;"",NOT(AND(MOVIMIENTOS!$B48="PROCESO",MOVIMIENTOS!$C48&lt;&gt;"Chancho")),NOT(AND(MOVIMIENTOS!$B48="SALDO INICIAL",MOVIMIENTOS!$C48="Chancho"))),COUNT(J$6:J48)+1,"")</f>
        <v>27</v>
      </c>
      <c r="K49" s="53" t="n">
        <f aca="false">IF(AND(MOVIMIENTOS!$B48&lt;&gt;"",NOT(AND(MOVIMIENTOS!$B48="PROCESO",MOVIMIENTOS!$C48&lt;&gt;"Chancho")),NOT(AND(MOVIMIENTOS!$B48="SALDO INICIAL",MOVIMIENTOS!$C48="Chancho"))),MOVIMIENTOS!$A48,"")</f>
        <v>46218</v>
      </c>
      <c r="L49" s="48" t="str">
        <f aca="false">IF(AND(MOVIMIENTOS!$B48&lt;&gt;"",NOT(AND(MOVIMIENTOS!$B48="PROCESO",MOVIMIENTOS!$C48&lt;&gt;"Chancho")),NOT(AND(MOVIMIENTOS!$B48="SALDO INICIAL",MOVIMIENTOS!$C48="Chancho"))),IF(MOVIMIENTOS!$B48="SALDO INICIAL","APERTURA ("&amp;MOVIMIENTOS!$C48&amp;")",IF(MOVIMIENTOS!$B48="COMPRA","INGRESO (compra)",IF(MOVIMIENTOS!$B48="PROCESO","CHANCHO (proceso)",IF(MOVIMIENTOS!$B48="ENVÍO A SUPESA","ENVÍO cal. "&amp;MOVIMIENTOS!$C48,IF(MOVIMIENTOS!$B48="VENTA CHANCHO","VENTA CHANCHO",IF(MOVIMIENTOS!$B48="VENTA","VENTA cal. "&amp;MOVIMIENTOS!$C48,IF(MOVIMIENTOS!$B48="REGALO","REGALO "&amp;MOVIMIENTOS!$C48,IF(MOVIMIENTOS!$B48="RECHAZO","RECHAZO cal. "&amp;MOVIMIENTOS!$C48&amp;" (va a reproceso)",IF(MOVIMIENTOS!$B48="DEVOLUCIÓN","DEVOLUCIÓN cal. "&amp;MOVIMIENTOS!$C48&amp;" (regresa intacta)",IF(MOVIMIENTOS!$B48="TRASIEGO","TRASIEGO cal. "&amp;MOVIMIENTOS!$C48,MOVIMIENTOS!$B48)))))))))),"")</f>
        <v>ENVÍO cal. M</v>
      </c>
      <c r="M49" s="48" t="str">
        <f aca="false">IF(AND(AND(MOVIMIENTOS!$B48&lt;&gt;"",NOT(AND(MOVIMIENTOS!$B48="PROCESO",MOVIMIENTOS!$C48&lt;&gt;"Chancho")),NOT(AND(MOVIMIENTOS!$B48="SALDO INICIAL",MOVIMIENTOS!$C48="Chancho"))),OR(MOVIMIENTOS!$B48="SALDO INICIAL",MOVIMIENTOS!$B48="COMPRA",MOVIMIENTOS!$B48="REPROCESO",MOVIMIENTOS!$B48="DEVOLUCIÓN",AND(MOVIMIENTOS!$B48="AJUSTE",MOVIMIENTOS!$C48&lt;&gt;"Chancho",N(MOVIMIENTOS!$F48)&gt;=0))),N(MOVIMIENTOS!$F48),"")</f>
        <v/>
      </c>
      <c r="N49" s="48" t="n">
        <f aca="false">IF(AND(AND(MOVIMIENTOS!$B48&lt;&gt;"",NOT(AND(MOVIMIENTOS!$B48="PROCESO",MOVIMIENTOS!$C48&lt;&gt;"Chancho")),NOT(AND(MOVIMIENTOS!$B48="SALDO INICIAL",MOVIMIENTOS!$C48="Chancho"))),OR(MOVIMIENTOS!$B48="ENVÍO A SUPESA",MOVIMIENTOS!$B48="MALOGRADO",MOVIMIENTOS!$B48="OTRA SALIDA",MOVIMIENTOS!$B48="TRASIEGO",AND(MOVIMIENTOS!$B48="PROCESO",MOVIMIENTOS!$C48="Chancho"),AND(MOVIMIENTOS!$B48="REGALO",MOVIMIENTOS!$C48&lt;&gt;"Chancho"),AND(MOVIMIENTOS!$B48="VENTA",MOVIMIENTOS!$C48&lt;&gt;"Chancho"),AND(MOVIMIENTOS!$B48="AJUSTE",MOVIMIENTOS!$C48&lt;&gt;"Chancho",N(MOVIMIENTOS!$F48)&lt;0))),IF(MOVIMIENTOS!$B48="AJUSTE",-N(MOVIMIENTOS!$F48),N(MOVIMIENTOS!$F48)),"")</f>
        <v>1615</v>
      </c>
      <c r="O49" s="48" t="str">
        <f aca="false">IF(AND(MOVIMIENTOS!$B48&lt;&gt;"",NOT(AND(MOVIMIENTOS!$B48="PROCESO",MOVIMIENTOS!$C48&lt;&gt;"Chancho")),NOT(AND(MOVIMIENTOS!$B48="SALDO INICIAL",MOVIMIENTOS!$C48="Chancho"))),IF(MOVIMIENTOS!$B48="RECHAZO",MOVIMIENTOS!$E48&amp;" jabas rechazadas · van a reproceso",IF(MOVIMIENTOS!$B48="REPROCESO",MOVIMIENTOS!$E48&amp;" kg recuperados (merma del día: "&amp;TEXT(SUMPRODUCT((MOVIMIENTOS!$A$5:$A$400=MOVIMIENTOS!$A48)*(MOVIMIENTOS!$B$5:$B$400="RECHAZO")*(MOVIMIENTOS!$D$5:$D$400="jabas")*MOVIMIENTOS!$E$5:$E$400*IFERROR(_xlfn.SWITCH(MOVIMIENTOS!$C$5:$C$400,"A",15,"P",18,"C",17,"M",17,0),0))-SUMPRODUCT((MOVIMIENTOS!$A$5:$A$400=MOVIMIENTOS!$A48)*(MOVIMIENTOS!$B$5:$B$400="REPROCESO")*MOVIMIENTOS!$I$5:$I$400),"+#,##0;-#,##0;0")&amp;" kg)",TRIM(IF(MOVIMIENTOS!$G48&lt;&gt;"",MOVIMIENTOS!$G48&amp;"  ","")&amp;IF(N(MOVIMIENTOS!$D48)&gt;0,MOVIMIENTOS!$D48&amp;" "&amp;MOVIMIENTOS!$D48,"")))),"")</f>
        <v>2986</v>
      </c>
      <c r="P49" s="48" t="n">
        <f aca="false">N(P48)+N(M49)-N(N49)</f>
        <v>989</v>
      </c>
      <c r="Q49" s="48"/>
      <c r="R49" s="48"/>
      <c r="S49" s="48"/>
      <c r="T49" s="48"/>
    </row>
    <row r="50" customFormat="false" ht="15" hidden="false" customHeight="true" outlineLevel="0" collapsed="false">
      <c r="A50" s="51" t="n">
        <f aca="false">IFERROR(INDEX(K$6:K$401,MATCH(ROW()-5,J$6:J$401,0)),"")</f>
        <v>46221</v>
      </c>
      <c r="B50" s="56" t="str">
        <f aca="false">IFERROR(INDEX(L$6:L$401,MATCH(ROW()-5,J$6:J$401,0)),"")</f>
        <v>ENVÍO cal. P</v>
      </c>
      <c r="C50" s="52" t="str">
        <f aca="false">IFERROR(INDEX(M$6:M$401,MATCH(ROW()-5,J$6:J$401,0)),"")</f>
        <v/>
      </c>
      <c r="D50" s="52" t="n">
        <f aca="false">IFERROR(INDEX(N$6:N$401,MATCH(ROW()-5,J$6:J$401,0)),"")</f>
        <v>72</v>
      </c>
      <c r="E50" s="56" t="str">
        <f aca="false">IFERROR(INDEX(O$6:O$401,MATCH(ROW()-5,J$6:J$401,0)),"")</f>
        <v>2996</v>
      </c>
      <c r="F50" s="52" t="n">
        <f aca="false">IFERROR(INDEX(P$6:P$401,MATCH(ROW()-5,J$6:J$401,0)),"")</f>
        <v>1747</v>
      </c>
      <c r="G50" s="48"/>
      <c r="H50" s="48"/>
      <c r="I50" s="48"/>
      <c r="J50" s="48" t="n">
        <f aca="false">IF(AND(MOVIMIENTOS!$B49&lt;&gt;"",NOT(AND(MOVIMIENTOS!$B49="PROCESO",MOVIMIENTOS!$C49&lt;&gt;"Chancho")),NOT(AND(MOVIMIENTOS!$B49="SALDO INICIAL",MOVIMIENTOS!$C49="Chancho"))),COUNT(J$6:J49)+1,"")</f>
        <v>28</v>
      </c>
      <c r="K50" s="53" t="n">
        <f aca="false">IF(AND(MOVIMIENTOS!$B49&lt;&gt;"",NOT(AND(MOVIMIENTOS!$B49="PROCESO",MOVIMIENTOS!$C49&lt;&gt;"Chancho")),NOT(AND(MOVIMIENTOS!$B49="SALDO INICIAL",MOVIMIENTOS!$C49="Chancho"))),MOVIMIENTOS!$A49,"")</f>
        <v>46218</v>
      </c>
      <c r="L50" s="48" t="str">
        <f aca="false">IF(AND(MOVIMIENTOS!$B49&lt;&gt;"",NOT(AND(MOVIMIENTOS!$B49="PROCESO",MOVIMIENTOS!$C49&lt;&gt;"Chancho")),NOT(AND(MOVIMIENTOS!$B49="SALDO INICIAL",MOVIMIENTOS!$C49="Chancho"))),IF(MOVIMIENTOS!$B49="SALDO INICIAL","APERTURA ("&amp;MOVIMIENTOS!$C49&amp;")",IF(MOVIMIENTOS!$B49="COMPRA","INGRESO (compra)",IF(MOVIMIENTOS!$B49="PROCESO","CHANCHO (proceso)",IF(MOVIMIENTOS!$B49="ENVÍO A SUPESA","ENVÍO cal. "&amp;MOVIMIENTOS!$C49,IF(MOVIMIENTOS!$B49="VENTA CHANCHO","VENTA CHANCHO",IF(MOVIMIENTOS!$B49="VENTA","VENTA cal. "&amp;MOVIMIENTOS!$C49,IF(MOVIMIENTOS!$B49="REGALO","REGALO "&amp;MOVIMIENTOS!$C49,IF(MOVIMIENTOS!$B49="RECHAZO","RECHAZO cal. "&amp;MOVIMIENTOS!$C49&amp;" (va a reproceso)",IF(MOVIMIENTOS!$B49="DEVOLUCIÓN","DEVOLUCIÓN cal. "&amp;MOVIMIENTOS!$C49&amp;" (regresa intacta)",IF(MOVIMIENTOS!$B49="TRASIEGO","TRASIEGO cal. "&amp;MOVIMIENTOS!$C49,MOVIMIENTOS!$B49)))))))))),"")</f>
        <v>VENTA CHANCHO</v>
      </c>
      <c r="M50" s="48" t="str">
        <f aca="false">IF(AND(AND(MOVIMIENTOS!$B49&lt;&gt;"",NOT(AND(MOVIMIENTOS!$B49="PROCESO",MOVIMIENTOS!$C49&lt;&gt;"Chancho")),NOT(AND(MOVIMIENTOS!$B49="SALDO INICIAL",MOVIMIENTOS!$C49="Chancho"))),OR(MOVIMIENTOS!$B49="SALDO INICIAL",MOVIMIENTOS!$B49="COMPRA",MOVIMIENTOS!$B49="REPROCESO",MOVIMIENTOS!$B49="DEVOLUCIÓN",AND(MOVIMIENTOS!$B49="AJUSTE",MOVIMIENTOS!$C49&lt;&gt;"Chancho",N(MOVIMIENTOS!$F49)&gt;=0))),N(MOVIMIENTOS!$F49),"")</f>
        <v/>
      </c>
      <c r="N50" s="48" t="str">
        <f aca="false">IF(AND(AND(MOVIMIENTOS!$B49&lt;&gt;"",NOT(AND(MOVIMIENTOS!$B49="PROCESO",MOVIMIENTOS!$C49&lt;&gt;"Chancho")),NOT(AND(MOVIMIENTOS!$B49="SALDO INICIAL",MOVIMIENTOS!$C49="Chancho"))),OR(MOVIMIENTOS!$B49="ENVÍO A SUPESA",MOVIMIENTOS!$B49="MALOGRADO",MOVIMIENTOS!$B49="OTRA SALIDA",MOVIMIENTOS!$B49="TRASIEGO",AND(MOVIMIENTOS!$B49="PROCESO",MOVIMIENTOS!$C49="Chancho"),AND(MOVIMIENTOS!$B49="REGALO",MOVIMIENTOS!$C49&lt;&gt;"Chancho"),AND(MOVIMIENTOS!$B49="VENTA",MOVIMIENTOS!$C49&lt;&gt;"Chancho"),AND(MOVIMIENTOS!$B49="AJUSTE",MOVIMIENTOS!$C49&lt;&gt;"Chancho",N(MOVIMIENTOS!$F49)&lt;0))),IF(MOVIMIENTOS!$B49="AJUSTE",-N(MOVIMIENTOS!$F49),N(MOVIMIENTOS!$F49)),"")</f>
        <v/>
      </c>
      <c r="O50" s="48" t="str">
        <f aca="false">IF(AND(MOVIMIENTOS!$B49&lt;&gt;"",NOT(AND(MOVIMIENTOS!$B49="PROCESO",MOVIMIENTOS!$C49&lt;&gt;"Chancho")),NOT(AND(MOVIMIENTOS!$B49="SALDO INICIAL",MOVIMIENTOS!$C49="Chancho"))),IF(MOVIMIENTOS!$B49="RECHAZO",MOVIMIENTOS!$E49&amp;" jabas rechazadas · van a reproceso",IF(MOVIMIENTOS!$B49="REPROCESO",MOVIMIENTOS!$E49&amp;" kg recuperados (merma del día: "&amp;TEXT(SUMPRODUCT((MOVIMIENTOS!$A$5:$A$400=MOVIMIENTOS!$A49)*(MOVIMIENTOS!$B$5:$B$400="RECHAZO")*(MOVIMIENTOS!$D$5:$D$400="jabas")*MOVIMIENTOS!$E$5:$E$400*IFERROR(_xlfn.SWITCH(MOVIMIENTOS!$C$5:$C$400,"A",15,"P",18,"C",17,"M",17,0),0))-SUMPRODUCT((MOVIMIENTOS!$A$5:$A$400=MOVIMIENTOS!$A49)*(MOVIMIENTOS!$B$5:$B$400="REPROCESO")*MOVIMIENTOS!$I$5:$I$400),"+#,##0;-#,##0;0")&amp;" kg)",TRIM(IF(MOVIMIENTOS!$G49&lt;&gt;"",MOVIMIENTOS!$G49&amp;"  ","")&amp;IF(N(MOVIMIENTOS!$D49)&gt;0,MOVIMIENTOS!$D49&amp;" "&amp;MOVIMIENTOS!$D49,"")))),"")</f>
        <v>TCK002-724</v>
      </c>
      <c r="P50" s="48" t="n">
        <f aca="false">N(P49)+N(M50)-N(N50)</f>
        <v>989</v>
      </c>
      <c r="Q50" s="48"/>
      <c r="R50" s="48"/>
      <c r="S50" s="48"/>
      <c r="T50" s="48"/>
    </row>
    <row r="51" customFormat="false" ht="15" hidden="false" customHeight="true" outlineLevel="0" collapsed="false">
      <c r="A51" s="51" t="n">
        <f aca="false">IFERROR(INDEX(K$6:K$401,MATCH(ROW()-5,J$6:J$401,0)),"")</f>
        <v>46221</v>
      </c>
      <c r="B51" s="56" t="str">
        <f aca="false">IFERROR(INDEX(L$6:L$401,MATCH(ROW()-5,J$6:J$401,0)),"")</f>
        <v>ENVÍO cal. C</v>
      </c>
      <c r="C51" s="52" t="str">
        <f aca="false">IFERROR(INDEX(M$6:M$401,MATCH(ROW()-5,J$6:J$401,0)),"")</f>
        <v/>
      </c>
      <c r="D51" s="52" t="n">
        <f aca="false">IFERROR(INDEX(N$6:N$401,MATCH(ROW()-5,J$6:J$401,0)),"")</f>
        <v>153</v>
      </c>
      <c r="E51" s="56" t="str">
        <f aca="false">IFERROR(INDEX(O$6:O$401,MATCH(ROW()-5,J$6:J$401,0)),"")</f>
        <v>2996</v>
      </c>
      <c r="F51" s="52" t="n">
        <f aca="false">IFERROR(INDEX(P$6:P$401,MATCH(ROW()-5,J$6:J$401,0)),"")</f>
        <v>1594</v>
      </c>
      <c r="G51" s="48"/>
      <c r="H51" s="48"/>
      <c r="I51" s="48"/>
      <c r="J51" s="48" t="n">
        <f aca="false">IF(AND(MOVIMIENTOS!$B50&lt;&gt;"",NOT(AND(MOVIMIENTOS!$B50="PROCESO",MOVIMIENTOS!$C50&lt;&gt;"Chancho")),NOT(AND(MOVIMIENTOS!$B50="SALDO INICIAL",MOVIMIENTOS!$C50="Chancho"))),COUNT(J$6:J50)+1,"")</f>
        <v>29</v>
      </c>
      <c r="K51" s="53" t="n">
        <f aca="false">IF(AND(MOVIMIENTOS!$B50&lt;&gt;"",NOT(AND(MOVIMIENTOS!$B50="PROCESO",MOVIMIENTOS!$C50&lt;&gt;"Chancho")),NOT(AND(MOVIMIENTOS!$B50="SALDO INICIAL",MOVIMIENTOS!$C50="Chancho"))),MOVIMIENTOS!$A50,"")</f>
        <v>46219</v>
      </c>
      <c r="L51" s="48" t="str">
        <f aca="false">IF(AND(MOVIMIENTOS!$B50&lt;&gt;"",NOT(AND(MOVIMIENTOS!$B50="PROCESO",MOVIMIENTOS!$C50&lt;&gt;"Chancho")),NOT(AND(MOVIMIENTOS!$B50="SALDO INICIAL",MOVIMIENTOS!$C50="Chancho"))),IF(MOVIMIENTOS!$B50="SALDO INICIAL","APERTURA ("&amp;MOVIMIENTOS!$C50&amp;")",IF(MOVIMIENTOS!$B50="COMPRA","INGRESO (compra)",IF(MOVIMIENTOS!$B50="PROCESO","CHANCHO (proceso)",IF(MOVIMIENTOS!$B50="ENVÍO A SUPESA","ENVÍO cal. "&amp;MOVIMIENTOS!$C50,IF(MOVIMIENTOS!$B50="VENTA CHANCHO","VENTA CHANCHO",IF(MOVIMIENTOS!$B50="VENTA","VENTA cal. "&amp;MOVIMIENTOS!$C50,IF(MOVIMIENTOS!$B50="REGALO","REGALO "&amp;MOVIMIENTOS!$C50,IF(MOVIMIENTOS!$B50="RECHAZO","RECHAZO cal. "&amp;MOVIMIENTOS!$C50&amp;" (va a reproceso)",IF(MOVIMIENTOS!$B50="DEVOLUCIÓN","DEVOLUCIÓN cal. "&amp;MOVIMIENTOS!$C50&amp;" (regresa intacta)",IF(MOVIMIENTOS!$B50="TRASIEGO","TRASIEGO cal. "&amp;MOVIMIENTOS!$C50,MOVIMIENTOS!$B50)))))))))),"")</f>
        <v>INGRESO (compra)</v>
      </c>
      <c r="M51" s="48" t="n">
        <f aca="false">IF(AND(AND(MOVIMIENTOS!$B50&lt;&gt;"",NOT(AND(MOVIMIENTOS!$B50="PROCESO",MOVIMIENTOS!$C50&lt;&gt;"Chancho")),NOT(AND(MOVIMIENTOS!$B50="SALDO INICIAL",MOVIMIENTOS!$C50="Chancho"))),OR(MOVIMIENTOS!$B50="SALDO INICIAL",MOVIMIENTOS!$B50="COMPRA",MOVIMIENTOS!$B50="REPROCESO",MOVIMIENTOS!$B50="DEVOLUCIÓN",AND(MOVIMIENTOS!$B50="AJUSTE",MOVIMIENTOS!$C50&lt;&gt;"Chancho",N(MOVIMIENTOS!$F50)&gt;=0))),N(MOVIMIENTOS!$F50),"")</f>
        <v>3800</v>
      </c>
      <c r="N51" s="48" t="str">
        <f aca="false">IF(AND(AND(MOVIMIENTOS!$B50&lt;&gt;"",NOT(AND(MOVIMIENTOS!$B50="PROCESO",MOVIMIENTOS!$C50&lt;&gt;"Chancho")),NOT(AND(MOVIMIENTOS!$B50="SALDO INICIAL",MOVIMIENTOS!$C50="Chancho"))),OR(MOVIMIENTOS!$B50="ENVÍO A SUPESA",MOVIMIENTOS!$B50="MALOGRADO",MOVIMIENTOS!$B50="OTRA SALIDA",MOVIMIENTOS!$B50="TRASIEGO",AND(MOVIMIENTOS!$B50="PROCESO",MOVIMIENTOS!$C50="Chancho"),AND(MOVIMIENTOS!$B50="REGALO",MOVIMIENTOS!$C50&lt;&gt;"Chancho"),AND(MOVIMIENTOS!$B50="VENTA",MOVIMIENTOS!$C50&lt;&gt;"Chancho"),AND(MOVIMIENTOS!$B50="AJUSTE",MOVIMIENTOS!$C50&lt;&gt;"Chancho",N(MOVIMIENTOS!$F50)&lt;0))),IF(MOVIMIENTOS!$B50="AJUSTE",-N(MOVIMIENTOS!$F50),N(MOVIMIENTOS!$F50)),"")</f>
        <v/>
      </c>
      <c r="O51" s="48" t="str">
        <f aca="false">IF(AND(MOVIMIENTOS!$B50&lt;&gt;"",NOT(AND(MOVIMIENTOS!$B50="PROCESO",MOVIMIENTOS!$C50&lt;&gt;"Chancho")),NOT(AND(MOVIMIENTOS!$B50="SALDO INICIAL",MOVIMIENTOS!$C50="Chancho"))),IF(MOVIMIENTOS!$B50="RECHAZO",MOVIMIENTOS!$E50&amp;" jabas rechazadas · van a reproceso",IF(MOVIMIENTOS!$B50="REPROCESO",MOVIMIENTOS!$E50&amp;" kg recuperados (merma del día: "&amp;TEXT(SUMPRODUCT((MOVIMIENTOS!$A$5:$A$400=MOVIMIENTOS!$A50)*(MOVIMIENTOS!$B$5:$B$400="RECHAZO")*(MOVIMIENTOS!$D$5:$D$400="jabas")*MOVIMIENTOS!$E$5:$E$400*IFERROR(_xlfn.SWITCH(MOVIMIENTOS!$C$5:$C$400,"A",15,"P",18,"C",17,"M",17,0),0))-SUMPRODUCT((MOVIMIENTOS!$A$5:$A$400=MOVIMIENTOS!$A50)*(MOVIMIENTOS!$B$5:$B$400="REPROCESO")*MOVIMIENTOS!$I$5:$I$400),"+#,##0;-#,##0;0")&amp;" kg)",TRIM(IF(MOVIMIENTOS!$G50&lt;&gt;"",MOVIMIENTOS!$G50&amp;"  ","")&amp;IF(N(MOVIMIENTOS!$D50)&gt;0,MOVIMIENTOS!$D50&amp;" "&amp;MOVIMIENTOS!$D50,"")))),"")</f>
        <v/>
      </c>
      <c r="P51" s="48" t="n">
        <f aca="false">N(P50)+N(M51)-N(N51)</f>
        <v>4789</v>
      </c>
      <c r="Q51" s="48"/>
      <c r="R51" s="48"/>
      <c r="S51" s="48"/>
      <c r="T51" s="48"/>
    </row>
    <row r="52" customFormat="false" ht="15" hidden="false" customHeight="true" outlineLevel="0" collapsed="false">
      <c r="A52" s="51" t="n">
        <f aca="false">IFERROR(INDEX(K$6:K$401,MATCH(ROW()-5,J$6:J$401,0)),"")</f>
        <v>46221</v>
      </c>
      <c r="B52" s="56" t="str">
        <f aca="false">IFERROR(INDEX(L$6:L$401,MATCH(ROW()-5,J$6:J$401,0)),"")</f>
        <v>ENVÍO cal. M</v>
      </c>
      <c r="C52" s="52" t="str">
        <f aca="false">IFERROR(INDEX(M$6:M$401,MATCH(ROW()-5,J$6:J$401,0)),"")</f>
        <v/>
      </c>
      <c r="D52" s="52" t="n">
        <f aca="false">IFERROR(INDEX(N$6:N$401,MATCH(ROW()-5,J$6:J$401,0)),"")</f>
        <v>1938</v>
      </c>
      <c r="E52" s="56" t="str">
        <f aca="false">IFERROR(INDEX(O$6:O$401,MATCH(ROW()-5,J$6:J$401,0)),"")</f>
        <v>2996</v>
      </c>
      <c r="F52" s="52" t="n">
        <f aca="false">IFERROR(INDEX(P$6:P$401,MATCH(ROW()-5,J$6:J$401,0)),"")</f>
        <v>-344</v>
      </c>
      <c r="G52" s="48"/>
      <c r="H52" s="48"/>
      <c r="I52" s="48"/>
      <c r="J52" s="48" t="str">
        <f aca="false">IF(AND(MOVIMIENTOS!$B51&lt;&gt;"",NOT(AND(MOVIMIENTOS!$B51="PROCESO",MOVIMIENTOS!$C51&lt;&gt;"Chancho")),NOT(AND(MOVIMIENTOS!$B51="SALDO INICIAL",MOVIMIENTOS!$C51="Chancho"))),COUNT(J$6:J51)+1,"")</f>
        <v/>
      </c>
      <c r="K52" s="48" t="str">
        <f aca="false">IF(AND(MOVIMIENTOS!$B51&lt;&gt;"",NOT(AND(MOVIMIENTOS!$B51="PROCESO",MOVIMIENTOS!$C51&lt;&gt;"Chancho")),NOT(AND(MOVIMIENTOS!$B51="SALDO INICIAL",MOVIMIENTOS!$C51="Chancho"))),MOVIMIENTOS!$A51,"")</f>
        <v/>
      </c>
      <c r="L52" s="48" t="str">
        <f aca="false">IF(AND(MOVIMIENTOS!$B51&lt;&gt;"",NOT(AND(MOVIMIENTOS!$B51="PROCESO",MOVIMIENTOS!$C51&lt;&gt;"Chancho")),NOT(AND(MOVIMIENTOS!$B51="SALDO INICIAL",MOVIMIENTOS!$C51="Chancho"))),IF(MOVIMIENTOS!$B51="SALDO INICIAL","APERTURA ("&amp;MOVIMIENTOS!$C51&amp;")",IF(MOVIMIENTOS!$B51="COMPRA","INGRESO (compra)",IF(MOVIMIENTOS!$B51="PROCESO","CHANCHO (proceso)",IF(MOVIMIENTOS!$B51="ENVÍO A SUPESA","ENVÍO cal. "&amp;MOVIMIENTOS!$C51,IF(MOVIMIENTOS!$B51="VENTA CHANCHO","VENTA CHANCHO",IF(MOVIMIENTOS!$B51="VENTA","VENTA cal. "&amp;MOVIMIENTOS!$C51,IF(MOVIMIENTOS!$B51="REGALO","REGALO "&amp;MOVIMIENTOS!$C51,IF(MOVIMIENTOS!$B51="RECHAZO","RECHAZO cal. "&amp;MOVIMIENTOS!$C51&amp;" (va a reproceso)",IF(MOVIMIENTOS!$B51="DEVOLUCIÓN","DEVOLUCIÓN cal. "&amp;MOVIMIENTOS!$C51&amp;" (regresa intacta)",IF(MOVIMIENTOS!$B51="TRASIEGO","TRASIEGO cal. "&amp;MOVIMIENTOS!$C51,MOVIMIENTOS!$B51)))))))))),"")</f>
        <v/>
      </c>
      <c r="M52" s="48" t="str">
        <f aca="false">IF(AND(AND(MOVIMIENTOS!$B51&lt;&gt;"",NOT(AND(MOVIMIENTOS!$B51="PROCESO",MOVIMIENTOS!$C51&lt;&gt;"Chancho")),NOT(AND(MOVIMIENTOS!$B51="SALDO INICIAL",MOVIMIENTOS!$C51="Chancho"))),OR(MOVIMIENTOS!$B51="SALDO INICIAL",MOVIMIENTOS!$B51="COMPRA",MOVIMIENTOS!$B51="REPROCESO",MOVIMIENTOS!$B51="DEVOLUCIÓN",AND(MOVIMIENTOS!$B51="AJUSTE",MOVIMIENTOS!$C51&lt;&gt;"Chancho",N(MOVIMIENTOS!$F51)&gt;=0))),N(MOVIMIENTOS!$F51),"")</f>
        <v/>
      </c>
      <c r="N52" s="48" t="str">
        <f aca="false">IF(AND(AND(MOVIMIENTOS!$B51&lt;&gt;"",NOT(AND(MOVIMIENTOS!$B51="PROCESO",MOVIMIENTOS!$C51&lt;&gt;"Chancho")),NOT(AND(MOVIMIENTOS!$B51="SALDO INICIAL",MOVIMIENTOS!$C51="Chancho"))),OR(MOVIMIENTOS!$B51="ENVÍO A SUPESA",MOVIMIENTOS!$B51="MALOGRADO",MOVIMIENTOS!$B51="OTRA SALIDA",MOVIMIENTOS!$B51="TRASIEGO",AND(MOVIMIENTOS!$B51="PROCESO",MOVIMIENTOS!$C51="Chancho"),AND(MOVIMIENTOS!$B51="REGALO",MOVIMIENTOS!$C51&lt;&gt;"Chancho"),AND(MOVIMIENTOS!$B51="VENTA",MOVIMIENTOS!$C51&lt;&gt;"Chancho"),AND(MOVIMIENTOS!$B51="AJUSTE",MOVIMIENTOS!$C51&lt;&gt;"Chancho",N(MOVIMIENTOS!$F51)&lt;0))),IF(MOVIMIENTOS!$B51="AJUSTE",-N(MOVIMIENTOS!$F51),N(MOVIMIENTOS!$F51)),"")</f>
        <v/>
      </c>
      <c r="O52" s="48" t="str">
        <f aca="false">IF(AND(MOVIMIENTOS!$B51&lt;&gt;"",NOT(AND(MOVIMIENTOS!$B51="PROCESO",MOVIMIENTOS!$C51&lt;&gt;"Chancho")),NOT(AND(MOVIMIENTOS!$B51="SALDO INICIAL",MOVIMIENTOS!$C51="Chancho"))),IF(MOVIMIENTOS!$B51="RECHAZO",MOVIMIENTOS!$E51&amp;" jabas rechazadas · van a reproceso",IF(MOVIMIENTOS!$B51="REPROCESO",MOVIMIENTOS!$E51&amp;" kg recuperados (merma del día: "&amp;TEXT(SUMPRODUCT((MOVIMIENTOS!$A$5:$A$400=MOVIMIENTOS!$A51)*(MOVIMIENTOS!$B$5:$B$400="RECHAZO")*(MOVIMIENTOS!$D$5:$D$400="jabas")*MOVIMIENTOS!$E$5:$E$400*IFERROR(_xlfn.SWITCH(MOVIMIENTOS!$C$5:$C$400,"A",15,"P",18,"C",17,"M",17,0),0))-SUMPRODUCT((MOVIMIENTOS!$A$5:$A$400=MOVIMIENTOS!$A51)*(MOVIMIENTOS!$B$5:$B$400="REPROCESO")*MOVIMIENTOS!$I$5:$I$400),"+#,##0;-#,##0;0")&amp;" kg)",TRIM(IF(MOVIMIENTOS!$G51&lt;&gt;"",MOVIMIENTOS!$G51&amp;"  ","")&amp;IF(N(MOVIMIENTOS!$D51)&gt;0,MOVIMIENTOS!$D51&amp;" "&amp;MOVIMIENTOS!$D51,"")))),"")</f>
        <v/>
      </c>
      <c r="P52" s="48" t="n">
        <f aca="false">N(P51)+N(M52)-N(N52)</f>
        <v>4789</v>
      </c>
      <c r="Q52" s="48"/>
      <c r="R52" s="48"/>
      <c r="S52" s="48"/>
      <c r="T52" s="48"/>
    </row>
    <row r="53" customFormat="false" ht="15" hidden="false" customHeight="true" outlineLevel="0" collapsed="false">
      <c r="A53" s="51" t="n">
        <f aca="false">IFERROR(INDEX(K$6:K$401,MATCH(ROW()-5,J$6:J$401,0)),"")</f>
        <v>46221</v>
      </c>
      <c r="B53" s="56" t="str">
        <f aca="false">IFERROR(INDEX(L$6:L$401,MATCH(ROW()-5,J$6:J$401,0)),"")</f>
        <v>CHANCHO (proceso)</v>
      </c>
      <c r="C53" s="52" t="str">
        <f aca="false">IFERROR(INDEX(M$6:M$401,MATCH(ROW()-5,J$6:J$401,0)),"")</f>
        <v/>
      </c>
      <c r="D53" s="52" t="n">
        <f aca="false">IFERROR(INDEX(N$6:N$401,MATCH(ROW()-5,J$6:J$401,0)),"")</f>
        <v>950</v>
      </c>
      <c r="E53" s="56" t="str">
        <f aca="false">IFERROR(INDEX(O$6:O$401,MATCH(ROW()-5,J$6:J$401,0)),"")</f>
        <v/>
      </c>
      <c r="F53" s="52" t="n">
        <f aca="false">IFERROR(INDEX(P$6:P$401,MATCH(ROW()-5,J$6:J$401,0)),"")</f>
        <v>-1294</v>
      </c>
      <c r="G53" s="48"/>
      <c r="H53" s="48"/>
      <c r="I53" s="48"/>
      <c r="J53" s="48" t="str">
        <f aca="false">IF(AND(MOVIMIENTOS!$B52&lt;&gt;"",NOT(AND(MOVIMIENTOS!$B52="PROCESO",MOVIMIENTOS!$C52&lt;&gt;"Chancho")),NOT(AND(MOVIMIENTOS!$B52="SALDO INICIAL",MOVIMIENTOS!$C52="Chancho"))),COUNT(J$6:J52)+1,"")</f>
        <v/>
      </c>
      <c r="K53" s="48" t="str">
        <f aca="false">IF(AND(MOVIMIENTOS!$B52&lt;&gt;"",NOT(AND(MOVIMIENTOS!$B52="PROCESO",MOVIMIENTOS!$C52&lt;&gt;"Chancho")),NOT(AND(MOVIMIENTOS!$B52="SALDO INICIAL",MOVIMIENTOS!$C52="Chancho"))),MOVIMIENTOS!$A52,"")</f>
        <v/>
      </c>
      <c r="L53" s="48" t="str">
        <f aca="false">IF(AND(MOVIMIENTOS!$B52&lt;&gt;"",NOT(AND(MOVIMIENTOS!$B52="PROCESO",MOVIMIENTOS!$C52&lt;&gt;"Chancho")),NOT(AND(MOVIMIENTOS!$B52="SALDO INICIAL",MOVIMIENTOS!$C52="Chancho"))),IF(MOVIMIENTOS!$B52="SALDO INICIAL","APERTURA ("&amp;MOVIMIENTOS!$C52&amp;")",IF(MOVIMIENTOS!$B52="COMPRA","INGRESO (compra)",IF(MOVIMIENTOS!$B52="PROCESO","CHANCHO (proceso)",IF(MOVIMIENTOS!$B52="ENVÍO A SUPESA","ENVÍO cal. "&amp;MOVIMIENTOS!$C52,IF(MOVIMIENTOS!$B52="VENTA CHANCHO","VENTA CHANCHO",IF(MOVIMIENTOS!$B52="VENTA","VENTA cal. "&amp;MOVIMIENTOS!$C52,IF(MOVIMIENTOS!$B52="REGALO","REGALO "&amp;MOVIMIENTOS!$C52,IF(MOVIMIENTOS!$B52="RECHAZO","RECHAZO cal. "&amp;MOVIMIENTOS!$C52&amp;" (va a reproceso)",IF(MOVIMIENTOS!$B52="DEVOLUCIÓN","DEVOLUCIÓN cal. "&amp;MOVIMIENTOS!$C52&amp;" (regresa intacta)",IF(MOVIMIENTOS!$B52="TRASIEGO","TRASIEGO cal. "&amp;MOVIMIENTOS!$C52,MOVIMIENTOS!$B52)))))))))),"")</f>
        <v/>
      </c>
      <c r="M53" s="48" t="str">
        <f aca="false">IF(AND(AND(MOVIMIENTOS!$B52&lt;&gt;"",NOT(AND(MOVIMIENTOS!$B52="PROCESO",MOVIMIENTOS!$C52&lt;&gt;"Chancho")),NOT(AND(MOVIMIENTOS!$B52="SALDO INICIAL",MOVIMIENTOS!$C52="Chancho"))),OR(MOVIMIENTOS!$B52="SALDO INICIAL",MOVIMIENTOS!$B52="COMPRA",MOVIMIENTOS!$B52="REPROCESO",MOVIMIENTOS!$B52="DEVOLUCIÓN",AND(MOVIMIENTOS!$B52="AJUSTE",MOVIMIENTOS!$C52&lt;&gt;"Chancho",N(MOVIMIENTOS!$F52)&gt;=0))),N(MOVIMIENTOS!$F52),"")</f>
        <v/>
      </c>
      <c r="N53" s="48" t="str">
        <f aca="false">IF(AND(AND(MOVIMIENTOS!$B52&lt;&gt;"",NOT(AND(MOVIMIENTOS!$B52="PROCESO",MOVIMIENTOS!$C52&lt;&gt;"Chancho")),NOT(AND(MOVIMIENTOS!$B52="SALDO INICIAL",MOVIMIENTOS!$C52="Chancho"))),OR(MOVIMIENTOS!$B52="ENVÍO A SUPESA",MOVIMIENTOS!$B52="MALOGRADO",MOVIMIENTOS!$B52="OTRA SALIDA",MOVIMIENTOS!$B52="TRASIEGO",AND(MOVIMIENTOS!$B52="PROCESO",MOVIMIENTOS!$C52="Chancho"),AND(MOVIMIENTOS!$B52="REGALO",MOVIMIENTOS!$C52&lt;&gt;"Chancho"),AND(MOVIMIENTOS!$B52="VENTA",MOVIMIENTOS!$C52&lt;&gt;"Chancho"),AND(MOVIMIENTOS!$B52="AJUSTE",MOVIMIENTOS!$C52&lt;&gt;"Chancho",N(MOVIMIENTOS!$F52)&lt;0))),IF(MOVIMIENTOS!$B52="AJUSTE",-N(MOVIMIENTOS!$F52),N(MOVIMIENTOS!$F52)),"")</f>
        <v/>
      </c>
      <c r="O53" s="48" t="str">
        <f aca="false">IF(AND(MOVIMIENTOS!$B52&lt;&gt;"",NOT(AND(MOVIMIENTOS!$B52="PROCESO",MOVIMIENTOS!$C52&lt;&gt;"Chancho")),NOT(AND(MOVIMIENTOS!$B52="SALDO INICIAL",MOVIMIENTOS!$C52="Chancho"))),IF(MOVIMIENTOS!$B52="RECHAZO",MOVIMIENTOS!$E52&amp;" jabas rechazadas · van a reproceso",IF(MOVIMIENTOS!$B52="REPROCESO",MOVIMIENTOS!$E52&amp;" kg recuperados (merma del día: "&amp;TEXT(SUMPRODUCT((MOVIMIENTOS!$A$5:$A$400=MOVIMIENTOS!$A52)*(MOVIMIENTOS!$B$5:$B$400="RECHAZO")*(MOVIMIENTOS!$D$5:$D$400="jabas")*MOVIMIENTOS!$E$5:$E$400*IFERROR(_xlfn.SWITCH(MOVIMIENTOS!$C$5:$C$400,"A",15,"P",18,"C",17,"M",17,0),0))-SUMPRODUCT((MOVIMIENTOS!$A$5:$A$400=MOVIMIENTOS!$A52)*(MOVIMIENTOS!$B$5:$B$400="REPROCESO")*MOVIMIENTOS!$I$5:$I$400),"+#,##0;-#,##0;0")&amp;" kg)",TRIM(IF(MOVIMIENTOS!$G52&lt;&gt;"",MOVIMIENTOS!$G52&amp;"  ","")&amp;IF(N(MOVIMIENTOS!$D52)&gt;0,MOVIMIENTOS!$D52&amp;" "&amp;MOVIMIENTOS!$D52,"")))),"")</f>
        <v/>
      </c>
      <c r="P53" s="48" t="n">
        <f aca="false">N(P52)+N(M53)-N(N53)</f>
        <v>4789</v>
      </c>
      <c r="Q53" s="48"/>
      <c r="R53" s="48"/>
      <c r="S53" s="48"/>
      <c r="T53" s="48"/>
    </row>
    <row r="54" customFormat="false" ht="15" hidden="false" customHeight="true" outlineLevel="0" collapsed="false">
      <c r="A54" s="51" t="n">
        <f aca="false">IFERROR(INDEX(K$6:K$401,MATCH(ROW()-5,J$6:J$401,0)),"")</f>
        <v>46221</v>
      </c>
      <c r="B54" s="56" t="str">
        <f aca="false">IFERROR(INDEX(L$6:L$401,MATCH(ROW()-5,J$6:J$401,0)),"")</f>
        <v>TRASIEGO cal. A</v>
      </c>
      <c r="C54" s="52" t="str">
        <f aca="false">IFERROR(INDEX(M$6:M$401,MATCH(ROW()-5,J$6:J$401,0)),"")</f>
        <v/>
      </c>
      <c r="D54" s="52" t="n">
        <f aca="false">IFERROR(INDEX(N$6:N$401,MATCH(ROW()-5,J$6:J$401,0)),"")</f>
        <v>15</v>
      </c>
      <c r="E54" s="56" t="str">
        <f aca="false">IFERROR(INDEX(O$6:O$401,MATCH(ROW()-5,J$6:J$401,0)),"")</f>
        <v/>
      </c>
      <c r="F54" s="52" t="n">
        <f aca="false">IFERROR(INDEX(P$6:P$401,MATCH(ROW()-5,J$6:J$401,0)),"")</f>
        <v>-1309</v>
      </c>
      <c r="G54" s="48"/>
      <c r="H54" s="48"/>
      <c r="I54" s="48"/>
      <c r="J54" s="48" t="str">
        <f aca="false">IF(AND(MOVIMIENTOS!$B53&lt;&gt;"",NOT(AND(MOVIMIENTOS!$B53="PROCESO",MOVIMIENTOS!$C53&lt;&gt;"Chancho")),NOT(AND(MOVIMIENTOS!$B53="SALDO INICIAL",MOVIMIENTOS!$C53="Chancho"))),COUNT(J$6:J53)+1,"")</f>
        <v/>
      </c>
      <c r="K54" s="48" t="str">
        <f aca="false">IF(AND(MOVIMIENTOS!$B53&lt;&gt;"",NOT(AND(MOVIMIENTOS!$B53="PROCESO",MOVIMIENTOS!$C53&lt;&gt;"Chancho")),NOT(AND(MOVIMIENTOS!$B53="SALDO INICIAL",MOVIMIENTOS!$C53="Chancho"))),MOVIMIENTOS!$A53,"")</f>
        <v/>
      </c>
      <c r="L54" s="48" t="str">
        <f aca="false">IF(AND(MOVIMIENTOS!$B53&lt;&gt;"",NOT(AND(MOVIMIENTOS!$B53="PROCESO",MOVIMIENTOS!$C53&lt;&gt;"Chancho")),NOT(AND(MOVIMIENTOS!$B53="SALDO INICIAL",MOVIMIENTOS!$C53="Chancho"))),IF(MOVIMIENTOS!$B53="SALDO INICIAL","APERTURA ("&amp;MOVIMIENTOS!$C53&amp;")",IF(MOVIMIENTOS!$B53="COMPRA","INGRESO (compra)",IF(MOVIMIENTOS!$B53="PROCESO","CHANCHO (proceso)",IF(MOVIMIENTOS!$B53="ENVÍO A SUPESA","ENVÍO cal. "&amp;MOVIMIENTOS!$C53,IF(MOVIMIENTOS!$B53="VENTA CHANCHO","VENTA CHANCHO",IF(MOVIMIENTOS!$B53="VENTA","VENTA cal. "&amp;MOVIMIENTOS!$C53,IF(MOVIMIENTOS!$B53="REGALO","REGALO "&amp;MOVIMIENTOS!$C53,IF(MOVIMIENTOS!$B53="RECHAZO","RECHAZO cal. "&amp;MOVIMIENTOS!$C53&amp;" (va a reproceso)",IF(MOVIMIENTOS!$B53="DEVOLUCIÓN","DEVOLUCIÓN cal. "&amp;MOVIMIENTOS!$C53&amp;" (regresa intacta)",IF(MOVIMIENTOS!$B53="TRASIEGO","TRASIEGO cal. "&amp;MOVIMIENTOS!$C53,MOVIMIENTOS!$B53)))))))))),"")</f>
        <v/>
      </c>
      <c r="M54" s="48" t="str">
        <f aca="false">IF(AND(AND(MOVIMIENTOS!$B53&lt;&gt;"",NOT(AND(MOVIMIENTOS!$B53="PROCESO",MOVIMIENTOS!$C53&lt;&gt;"Chancho")),NOT(AND(MOVIMIENTOS!$B53="SALDO INICIAL",MOVIMIENTOS!$C53="Chancho"))),OR(MOVIMIENTOS!$B53="SALDO INICIAL",MOVIMIENTOS!$B53="COMPRA",MOVIMIENTOS!$B53="REPROCESO",MOVIMIENTOS!$B53="DEVOLUCIÓN",AND(MOVIMIENTOS!$B53="AJUSTE",MOVIMIENTOS!$C53&lt;&gt;"Chancho",N(MOVIMIENTOS!$F53)&gt;=0))),N(MOVIMIENTOS!$F53),"")</f>
        <v/>
      </c>
      <c r="N54" s="48" t="str">
        <f aca="false">IF(AND(AND(MOVIMIENTOS!$B53&lt;&gt;"",NOT(AND(MOVIMIENTOS!$B53="PROCESO",MOVIMIENTOS!$C53&lt;&gt;"Chancho")),NOT(AND(MOVIMIENTOS!$B53="SALDO INICIAL",MOVIMIENTOS!$C53="Chancho"))),OR(MOVIMIENTOS!$B53="ENVÍO A SUPESA",MOVIMIENTOS!$B53="MALOGRADO",MOVIMIENTOS!$B53="OTRA SALIDA",MOVIMIENTOS!$B53="TRASIEGO",AND(MOVIMIENTOS!$B53="PROCESO",MOVIMIENTOS!$C53="Chancho"),AND(MOVIMIENTOS!$B53="REGALO",MOVIMIENTOS!$C53&lt;&gt;"Chancho"),AND(MOVIMIENTOS!$B53="VENTA",MOVIMIENTOS!$C53&lt;&gt;"Chancho"),AND(MOVIMIENTOS!$B53="AJUSTE",MOVIMIENTOS!$C53&lt;&gt;"Chancho",N(MOVIMIENTOS!$F53)&lt;0))),IF(MOVIMIENTOS!$B53="AJUSTE",-N(MOVIMIENTOS!$F53),N(MOVIMIENTOS!$F53)),"")</f>
        <v/>
      </c>
      <c r="O54" s="48" t="str">
        <f aca="false">IF(AND(MOVIMIENTOS!$B53&lt;&gt;"",NOT(AND(MOVIMIENTOS!$B53="PROCESO",MOVIMIENTOS!$C53&lt;&gt;"Chancho")),NOT(AND(MOVIMIENTOS!$B53="SALDO INICIAL",MOVIMIENTOS!$C53="Chancho"))),IF(MOVIMIENTOS!$B53="RECHAZO",MOVIMIENTOS!$E53&amp;" jabas rechazadas · van a reproceso",IF(MOVIMIENTOS!$B53="REPROCESO",MOVIMIENTOS!$E53&amp;" kg recuperados (merma del día: "&amp;TEXT(SUMPRODUCT((MOVIMIENTOS!$A$5:$A$400=MOVIMIENTOS!$A53)*(MOVIMIENTOS!$B$5:$B$400="RECHAZO")*(MOVIMIENTOS!$D$5:$D$400="jabas")*MOVIMIENTOS!$E$5:$E$400*IFERROR(_xlfn.SWITCH(MOVIMIENTOS!$C$5:$C$400,"A",15,"P",18,"C",17,"M",17,0),0))-SUMPRODUCT((MOVIMIENTOS!$A$5:$A$400=MOVIMIENTOS!$A53)*(MOVIMIENTOS!$B$5:$B$400="REPROCESO")*MOVIMIENTOS!$I$5:$I$400),"+#,##0;-#,##0;0")&amp;" kg)",TRIM(IF(MOVIMIENTOS!$G53&lt;&gt;"",MOVIMIENTOS!$G53&amp;"  ","")&amp;IF(N(MOVIMIENTOS!$D53)&gt;0,MOVIMIENTOS!$D53&amp;" "&amp;MOVIMIENTOS!$D53,"")))),"")</f>
        <v/>
      </c>
      <c r="P54" s="48" t="n">
        <f aca="false">N(P53)+N(M54)-N(N54)</f>
        <v>4789</v>
      </c>
      <c r="Q54" s="48"/>
      <c r="R54" s="48"/>
      <c r="S54" s="48"/>
      <c r="T54" s="48"/>
    </row>
    <row r="55" customFormat="false" ht="15" hidden="false" customHeight="true" outlineLevel="0" collapsed="false">
      <c r="A55" s="51" t="n">
        <f aca="false">IFERROR(INDEX(K$6:K$401,MATCH(ROW()-5,J$6:J$401,0)),"")</f>
        <v>46221</v>
      </c>
      <c r="B55" s="56" t="str">
        <f aca="false">IFERROR(INDEX(L$6:L$401,MATCH(ROW()-5,J$6:J$401,0)),"")</f>
        <v>INGRESO (compra)</v>
      </c>
      <c r="C55" s="52" t="n">
        <f aca="false">IFERROR(INDEX(M$6:M$401,MATCH(ROW()-5,J$6:J$401,0)),"")</f>
        <v>3135</v>
      </c>
      <c r="D55" s="52" t="str">
        <f aca="false">IFERROR(INDEX(N$6:N$401,MATCH(ROW()-5,J$6:J$401,0)),"")</f>
        <v/>
      </c>
      <c r="E55" s="56" t="str">
        <f aca="false">IFERROR(INDEX(O$6:O$401,MATCH(ROW()-5,J$6:J$401,0)),"")</f>
        <v/>
      </c>
      <c r="F55" s="52" t="n">
        <f aca="false">IFERROR(INDEX(P$6:P$401,MATCH(ROW()-5,J$6:J$401,0)),"")</f>
        <v>1826</v>
      </c>
      <c r="G55" s="48"/>
      <c r="H55" s="48"/>
      <c r="I55" s="48"/>
      <c r="J55" s="48" t="str">
        <f aca="false">IF(AND(MOVIMIENTOS!$B54&lt;&gt;"",NOT(AND(MOVIMIENTOS!$B54="PROCESO",MOVIMIENTOS!$C54&lt;&gt;"Chancho")),NOT(AND(MOVIMIENTOS!$B54="SALDO INICIAL",MOVIMIENTOS!$C54="Chancho"))),COUNT(J$6:J54)+1,"")</f>
        <v/>
      </c>
      <c r="K55" s="48" t="str">
        <f aca="false">IF(AND(MOVIMIENTOS!$B54&lt;&gt;"",NOT(AND(MOVIMIENTOS!$B54="PROCESO",MOVIMIENTOS!$C54&lt;&gt;"Chancho")),NOT(AND(MOVIMIENTOS!$B54="SALDO INICIAL",MOVIMIENTOS!$C54="Chancho"))),MOVIMIENTOS!$A54,"")</f>
        <v/>
      </c>
      <c r="L55" s="48" t="str">
        <f aca="false">IF(AND(MOVIMIENTOS!$B54&lt;&gt;"",NOT(AND(MOVIMIENTOS!$B54="PROCESO",MOVIMIENTOS!$C54&lt;&gt;"Chancho")),NOT(AND(MOVIMIENTOS!$B54="SALDO INICIAL",MOVIMIENTOS!$C54="Chancho"))),IF(MOVIMIENTOS!$B54="SALDO INICIAL","APERTURA ("&amp;MOVIMIENTOS!$C54&amp;")",IF(MOVIMIENTOS!$B54="COMPRA","INGRESO (compra)",IF(MOVIMIENTOS!$B54="PROCESO","CHANCHO (proceso)",IF(MOVIMIENTOS!$B54="ENVÍO A SUPESA","ENVÍO cal. "&amp;MOVIMIENTOS!$C54,IF(MOVIMIENTOS!$B54="VENTA CHANCHO","VENTA CHANCHO",IF(MOVIMIENTOS!$B54="VENTA","VENTA cal. "&amp;MOVIMIENTOS!$C54,IF(MOVIMIENTOS!$B54="REGALO","REGALO "&amp;MOVIMIENTOS!$C54,IF(MOVIMIENTOS!$B54="RECHAZO","RECHAZO cal. "&amp;MOVIMIENTOS!$C54&amp;" (va a reproceso)",IF(MOVIMIENTOS!$B54="DEVOLUCIÓN","DEVOLUCIÓN cal. "&amp;MOVIMIENTOS!$C54&amp;" (regresa intacta)",IF(MOVIMIENTOS!$B54="TRASIEGO","TRASIEGO cal. "&amp;MOVIMIENTOS!$C54,MOVIMIENTOS!$B54)))))))))),"")</f>
        <v/>
      </c>
      <c r="M55" s="48" t="str">
        <f aca="false">IF(AND(AND(MOVIMIENTOS!$B54&lt;&gt;"",NOT(AND(MOVIMIENTOS!$B54="PROCESO",MOVIMIENTOS!$C54&lt;&gt;"Chancho")),NOT(AND(MOVIMIENTOS!$B54="SALDO INICIAL",MOVIMIENTOS!$C54="Chancho"))),OR(MOVIMIENTOS!$B54="SALDO INICIAL",MOVIMIENTOS!$B54="COMPRA",MOVIMIENTOS!$B54="REPROCESO",MOVIMIENTOS!$B54="DEVOLUCIÓN",AND(MOVIMIENTOS!$B54="AJUSTE",MOVIMIENTOS!$C54&lt;&gt;"Chancho",N(MOVIMIENTOS!$F54)&gt;=0))),N(MOVIMIENTOS!$F54),"")</f>
        <v/>
      </c>
      <c r="N55" s="48" t="str">
        <f aca="false">IF(AND(AND(MOVIMIENTOS!$B54&lt;&gt;"",NOT(AND(MOVIMIENTOS!$B54="PROCESO",MOVIMIENTOS!$C54&lt;&gt;"Chancho")),NOT(AND(MOVIMIENTOS!$B54="SALDO INICIAL",MOVIMIENTOS!$C54="Chancho"))),OR(MOVIMIENTOS!$B54="ENVÍO A SUPESA",MOVIMIENTOS!$B54="MALOGRADO",MOVIMIENTOS!$B54="OTRA SALIDA",MOVIMIENTOS!$B54="TRASIEGO",AND(MOVIMIENTOS!$B54="PROCESO",MOVIMIENTOS!$C54="Chancho"),AND(MOVIMIENTOS!$B54="REGALO",MOVIMIENTOS!$C54&lt;&gt;"Chancho"),AND(MOVIMIENTOS!$B54="VENTA",MOVIMIENTOS!$C54&lt;&gt;"Chancho"),AND(MOVIMIENTOS!$B54="AJUSTE",MOVIMIENTOS!$C54&lt;&gt;"Chancho",N(MOVIMIENTOS!$F54)&lt;0))),IF(MOVIMIENTOS!$B54="AJUSTE",-N(MOVIMIENTOS!$F54),N(MOVIMIENTOS!$F54)),"")</f>
        <v/>
      </c>
      <c r="O55" s="48" t="str">
        <f aca="false">IF(AND(MOVIMIENTOS!$B54&lt;&gt;"",NOT(AND(MOVIMIENTOS!$B54="PROCESO",MOVIMIENTOS!$C54&lt;&gt;"Chancho")),NOT(AND(MOVIMIENTOS!$B54="SALDO INICIAL",MOVIMIENTOS!$C54="Chancho"))),IF(MOVIMIENTOS!$B54="RECHAZO",MOVIMIENTOS!$E54&amp;" jabas rechazadas · van a reproceso",IF(MOVIMIENTOS!$B54="REPROCESO",MOVIMIENTOS!$E54&amp;" kg recuperados (merma del día: "&amp;TEXT(SUMPRODUCT((MOVIMIENTOS!$A$5:$A$400=MOVIMIENTOS!$A54)*(MOVIMIENTOS!$B$5:$B$400="RECHAZO")*(MOVIMIENTOS!$D$5:$D$400="jabas")*MOVIMIENTOS!$E$5:$E$400*IFERROR(_xlfn.SWITCH(MOVIMIENTOS!$C$5:$C$400,"A",15,"P",18,"C",17,"M",17,0),0))-SUMPRODUCT((MOVIMIENTOS!$A$5:$A$400=MOVIMIENTOS!$A54)*(MOVIMIENTOS!$B$5:$B$400="REPROCESO")*MOVIMIENTOS!$I$5:$I$400),"+#,##0;-#,##0;0")&amp;" kg)",TRIM(IF(MOVIMIENTOS!$G54&lt;&gt;"",MOVIMIENTOS!$G54&amp;"  ","")&amp;IF(N(MOVIMIENTOS!$D54)&gt;0,MOVIMIENTOS!$D54&amp;" "&amp;MOVIMIENTOS!$D54,"")))),"")</f>
        <v/>
      </c>
      <c r="P55" s="48" t="n">
        <f aca="false">N(P54)+N(M55)-N(N55)</f>
        <v>4789</v>
      </c>
      <c r="Q55" s="48"/>
      <c r="R55" s="48"/>
      <c r="S55" s="48"/>
      <c r="T55" s="48"/>
    </row>
    <row r="56" customFormat="false" ht="15" hidden="false" customHeight="true" outlineLevel="0" collapsed="false">
      <c r="A56" s="51" t="n">
        <f aca="false">IFERROR(INDEX(K$6:K$401,MATCH(ROW()-5,J$6:J$401,0)),"")</f>
        <v>46222</v>
      </c>
      <c r="B56" s="56" t="str">
        <f aca="false">IFERROR(INDEX(L$6:L$401,MATCH(ROW()-5,J$6:J$401,0)),"")</f>
        <v>CHANCHO (proceso)</v>
      </c>
      <c r="C56" s="52" t="str">
        <f aca="false">IFERROR(INDEX(M$6:M$401,MATCH(ROW()-5,J$6:J$401,0)),"")</f>
        <v/>
      </c>
      <c r="D56" s="52" t="n">
        <f aca="false">IFERROR(INDEX(N$6:N$401,MATCH(ROW()-5,J$6:J$401,0)),"")</f>
        <v>285</v>
      </c>
      <c r="E56" s="56" t="str">
        <f aca="false">IFERROR(INDEX(O$6:O$401,MATCH(ROW()-5,J$6:J$401,0)),"")</f>
        <v/>
      </c>
      <c r="F56" s="52" t="n">
        <f aca="false">IFERROR(INDEX(P$6:P$401,MATCH(ROW()-5,J$6:J$401,0)),"")</f>
        <v>1541</v>
      </c>
      <c r="G56" s="48"/>
      <c r="H56" s="48"/>
      <c r="I56" s="48"/>
      <c r="J56" s="48" t="n">
        <f aca="false">IF(AND(MOVIMIENTOS!$B55&lt;&gt;"",NOT(AND(MOVIMIENTOS!$B55="PROCESO",MOVIMIENTOS!$C55&lt;&gt;"Chancho")),NOT(AND(MOVIMIENTOS!$B55="SALDO INICIAL",MOVIMIENTOS!$C55="Chancho"))),COUNT(J$6:J55)+1,"")</f>
        <v>30</v>
      </c>
      <c r="K56" s="53" t="n">
        <f aca="false">IF(AND(MOVIMIENTOS!$B55&lt;&gt;"",NOT(AND(MOVIMIENTOS!$B55="PROCESO",MOVIMIENTOS!$C55&lt;&gt;"Chancho")),NOT(AND(MOVIMIENTOS!$B55="SALDO INICIAL",MOVIMIENTOS!$C55="Chancho"))),MOVIMIENTOS!$A55,"")</f>
        <v>46219</v>
      </c>
      <c r="L56" s="48" t="str">
        <f aca="false">IF(AND(MOVIMIENTOS!$B55&lt;&gt;"",NOT(AND(MOVIMIENTOS!$B55="PROCESO",MOVIMIENTOS!$C55&lt;&gt;"Chancho")),NOT(AND(MOVIMIENTOS!$B55="SALDO INICIAL",MOVIMIENTOS!$C55="Chancho"))),IF(MOVIMIENTOS!$B55="SALDO INICIAL","APERTURA ("&amp;MOVIMIENTOS!$C55&amp;")",IF(MOVIMIENTOS!$B55="COMPRA","INGRESO (compra)",IF(MOVIMIENTOS!$B55="PROCESO","CHANCHO (proceso)",IF(MOVIMIENTOS!$B55="ENVÍO A SUPESA","ENVÍO cal. "&amp;MOVIMIENTOS!$C55,IF(MOVIMIENTOS!$B55="VENTA CHANCHO","VENTA CHANCHO",IF(MOVIMIENTOS!$B55="VENTA","VENTA cal. "&amp;MOVIMIENTOS!$C55,IF(MOVIMIENTOS!$B55="REGALO","REGALO "&amp;MOVIMIENTOS!$C55,IF(MOVIMIENTOS!$B55="RECHAZO","RECHAZO cal. "&amp;MOVIMIENTOS!$C55&amp;" (va a reproceso)",IF(MOVIMIENTOS!$B55="DEVOLUCIÓN","DEVOLUCIÓN cal. "&amp;MOVIMIENTOS!$C55&amp;" (regresa intacta)",IF(MOVIMIENTOS!$B55="TRASIEGO","TRASIEGO cal. "&amp;MOVIMIENTOS!$C55,MOVIMIENTOS!$B55)))))))))),"")</f>
        <v>CHANCHO (proceso)</v>
      </c>
      <c r="M56" s="48" t="str">
        <f aca="false">IF(AND(AND(MOVIMIENTOS!$B55&lt;&gt;"",NOT(AND(MOVIMIENTOS!$B55="PROCESO",MOVIMIENTOS!$C55&lt;&gt;"Chancho")),NOT(AND(MOVIMIENTOS!$B55="SALDO INICIAL",MOVIMIENTOS!$C55="Chancho"))),OR(MOVIMIENTOS!$B55="SALDO INICIAL",MOVIMIENTOS!$B55="COMPRA",MOVIMIENTOS!$B55="REPROCESO",MOVIMIENTOS!$B55="DEVOLUCIÓN",AND(MOVIMIENTOS!$B55="AJUSTE",MOVIMIENTOS!$C55&lt;&gt;"Chancho",N(MOVIMIENTOS!$F55)&gt;=0))),N(MOVIMIENTOS!$F55),"")</f>
        <v/>
      </c>
      <c r="N56" s="48" t="n">
        <f aca="false">IF(AND(AND(MOVIMIENTOS!$B55&lt;&gt;"",NOT(AND(MOVIMIENTOS!$B55="PROCESO",MOVIMIENTOS!$C55&lt;&gt;"Chancho")),NOT(AND(MOVIMIENTOS!$B55="SALDO INICIAL",MOVIMIENTOS!$C55="Chancho"))),OR(MOVIMIENTOS!$B55="ENVÍO A SUPESA",MOVIMIENTOS!$B55="MALOGRADO",MOVIMIENTOS!$B55="OTRA SALIDA",MOVIMIENTOS!$B55="TRASIEGO",AND(MOVIMIENTOS!$B55="PROCESO",MOVIMIENTOS!$C55="Chancho"),AND(MOVIMIENTOS!$B55="REGALO",MOVIMIENTOS!$C55&lt;&gt;"Chancho"),AND(MOVIMIENTOS!$B55="VENTA",MOVIMIENTOS!$C55&lt;&gt;"Chancho"),AND(MOVIMIENTOS!$B55="AJUSTE",MOVIMIENTOS!$C55&lt;&gt;"Chancho",N(MOVIMIENTOS!$F55)&lt;0))),IF(MOVIMIENTOS!$B55="AJUSTE",-N(MOVIMIENTOS!$F55),N(MOVIMIENTOS!$F55)),"")</f>
        <v>380</v>
      </c>
      <c r="O56" s="48" t="str">
        <f aca="false">IF(AND(MOVIMIENTOS!$B55&lt;&gt;"",NOT(AND(MOVIMIENTOS!$B55="PROCESO",MOVIMIENTOS!$C55&lt;&gt;"Chancho")),NOT(AND(MOVIMIENTOS!$B55="SALDO INICIAL",MOVIMIENTOS!$C55="Chancho"))),IF(MOVIMIENTOS!$B55="RECHAZO",MOVIMIENTOS!$E55&amp;" jabas rechazadas · van a reproceso",IF(MOVIMIENTOS!$B55="REPROCESO",MOVIMIENTOS!$E55&amp;" kg recuperados (merma del día: "&amp;TEXT(SUMPRODUCT((MOVIMIENTOS!$A$5:$A$400=MOVIMIENTOS!$A55)*(MOVIMIENTOS!$B$5:$B$400="RECHAZO")*(MOVIMIENTOS!$D$5:$D$400="jabas")*MOVIMIENTOS!$E$5:$E$400*IFERROR(_xlfn.SWITCH(MOVIMIENTOS!$C$5:$C$400,"A",15,"P",18,"C",17,"M",17,0),0))-SUMPRODUCT((MOVIMIENTOS!$A$5:$A$400=MOVIMIENTOS!$A55)*(MOVIMIENTOS!$B$5:$B$400="REPROCESO")*MOVIMIENTOS!$I$5:$I$400),"+#,##0;-#,##0;0")&amp;" kg)",TRIM(IF(MOVIMIENTOS!$G55&lt;&gt;"",MOVIMIENTOS!$G55&amp;"  ","")&amp;IF(N(MOVIMIENTOS!$D55)&gt;0,MOVIMIENTOS!$D55&amp;" "&amp;MOVIMIENTOS!$D55,"")))),"")</f>
        <v/>
      </c>
      <c r="P56" s="48" t="n">
        <f aca="false">N(P55)+N(M56)-N(N56)</f>
        <v>4409</v>
      </c>
      <c r="Q56" s="48"/>
      <c r="R56" s="48"/>
      <c r="S56" s="48"/>
      <c r="T56" s="48"/>
    </row>
    <row r="57" customFormat="false" ht="15" hidden="false" customHeight="true" outlineLevel="0" collapsed="false">
      <c r="A57" s="51" t="n">
        <f aca="false">IFERROR(INDEX(K$6:K$401,MATCH(ROW()-5,J$6:J$401,0)),"")</f>
        <v>46222</v>
      </c>
      <c r="B57" s="56" t="str">
        <f aca="false">IFERROR(INDEX(L$6:L$401,MATCH(ROW()-5,J$6:J$401,0)),"")</f>
        <v>ENVÍO cal. A</v>
      </c>
      <c r="C57" s="52" t="str">
        <f aca="false">IFERROR(INDEX(M$6:M$401,MATCH(ROW()-5,J$6:J$401,0)),"")</f>
        <v/>
      </c>
      <c r="D57" s="52" t="n">
        <f aca="false">IFERROR(INDEX(N$6:N$401,MATCH(ROW()-5,J$6:J$401,0)),"")</f>
        <v>1005</v>
      </c>
      <c r="E57" s="56" t="str">
        <f aca="false">IFERROR(INDEX(O$6:O$401,MATCH(ROW()-5,J$6:J$401,0)),"")</f>
        <v>2998</v>
      </c>
      <c r="F57" s="52" t="n">
        <f aca="false">IFERROR(INDEX(P$6:P$401,MATCH(ROW()-5,J$6:J$401,0)),"")</f>
        <v>536</v>
      </c>
      <c r="G57" s="48"/>
      <c r="H57" s="48"/>
      <c r="I57" s="48"/>
      <c r="J57" s="48" t="n">
        <f aca="false">IF(AND(MOVIMIENTOS!$B56&lt;&gt;"",NOT(AND(MOVIMIENTOS!$B56="PROCESO",MOVIMIENTOS!$C56&lt;&gt;"Chancho")),NOT(AND(MOVIMIENTOS!$B56="SALDO INICIAL",MOVIMIENTOS!$C56="Chancho"))),COUNT(J$6:J56)+1,"")</f>
        <v>31</v>
      </c>
      <c r="K57" s="53" t="n">
        <f aca="false">IF(AND(MOVIMIENTOS!$B56&lt;&gt;"",NOT(AND(MOVIMIENTOS!$B56="PROCESO",MOVIMIENTOS!$C56&lt;&gt;"Chancho")),NOT(AND(MOVIMIENTOS!$B56="SALDO INICIAL",MOVIMIENTOS!$C56="Chancho"))),MOVIMIENTOS!$A56,"")</f>
        <v>46219</v>
      </c>
      <c r="L57" s="48" t="str">
        <f aca="false">IF(AND(MOVIMIENTOS!$B56&lt;&gt;"",NOT(AND(MOVIMIENTOS!$B56="PROCESO",MOVIMIENTOS!$C56&lt;&gt;"Chancho")),NOT(AND(MOVIMIENTOS!$B56="SALDO INICIAL",MOVIMIENTOS!$C56="Chancho"))),IF(MOVIMIENTOS!$B56="SALDO INICIAL","APERTURA ("&amp;MOVIMIENTOS!$C56&amp;")",IF(MOVIMIENTOS!$B56="COMPRA","INGRESO (compra)",IF(MOVIMIENTOS!$B56="PROCESO","CHANCHO (proceso)",IF(MOVIMIENTOS!$B56="ENVÍO A SUPESA","ENVÍO cal. "&amp;MOVIMIENTOS!$C56,IF(MOVIMIENTOS!$B56="VENTA CHANCHO","VENTA CHANCHO",IF(MOVIMIENTOS!$B56="VENTA","VENTA cal. "&amp;MOVIMIENTOS!$C56,IF(MOVIMIENTOS!$B56="REGALO","REGALO "&amp;MOVIMIENTOS!$C56,IF(MOVIMIENTOS!$B56="RECHAZO","RECHAZO cal. "&amp;MOVIMIENTOS!$C56&amp;" (va a reproceso)",IF(MOVIMIENTOS!$B56="DEVOLUCIÓN","DEVOLUCIÓN cal. "&amp;MOVIMIENTOS!$C56&amp;" (regresa intacta)",IF(MOVIMIENTOS!$B56="TRASIEGO","TRASIEGO cal. "&amp;MOVIMIENTOS!$C56,MOVIMIENTOS!$B56)))))))))),"")</f>
        <v>ENVÍO cal. A</v>
      </c>
      <c r="M57" s="48" t="str">
        <f aca="false">IF(AND(AND(MOVIMIENTOS!$B56&lt;&gt;"",NOT(AND(MOVIMIENTOS!$B56="PROCESO",MOVIMIENTOS!$C56&lt;&gt;"Chancho")),NOT(AND(MOVIMIENTOS!$B56="SALDO INICIAL",MOVIMIENTOS!$C56="Chancho"))),OR(MOVIMIENTOS!$B56="SALDO INICIAL",MOVIMIENTOS!$B56="COMPRA",MOVIMIENTOS!$B56="REPROCESO",MOVIMIENTOS!$B56="DEVOLUCIÓN",AND(MOVIMIENTOS!$B56="AJUSTE",MOVIMIENTOS!$C56&lt;&gt;"Chancho",N(MOVIMIENTOS!$F56)&gt;=0))),N(MOVIMIENTOS!$F56),"")</f>
        <v/>
      </c>
      <c r="N57" s="48" t="n">
        <f aca="false">IF(AND(AND(MOVIMIENTOS!$B56&lt;&gt;"",NOT(AND(MOVIMIENTOS!$B56="PROCESO",MOVIMIENTOS!$C56&lt;&gt;"Chancho")),NOT(AND(MOVIMIENTOS!$B56="SALDO INICIAL",MOVIMIENTOS!$C56="Chancho"))),OR(MOVIMIENTOS!$B56="ENVÍO A SUPESA",MOVIMIENTOS!$B56="MALOGRADO",MOVIMIENTOS!$B56="OTRA SALIDA",MOVIMIENTOS!$B56="TRASIEGO",AND(MOVIMIENTOS!$B56="PROCESO",MOVIMIENTOS!$C56="Chancho"),AND(MOVIMIENTOS!$B56="REGALO",MOVIMIENTOS!$C56&lt;&gt;"Chancho"),AND(MOVIMIENTOS!$B56="VENTA",MOVIMIENTOS!$C56&lt;&gt;"Chancho"),AND(MOVIMIENTOS!$B56="AJUSTE",MOVIMIENTOS!$C56&lt;&gt;"Chancho",N(MOVIMIENTOS!$F56)&lt;0))),IF(MOVIMIENTOS!$B56="AJUSTE",-N(MOVIMIENTOS!$F56),N(MOVIMIENTOS!$F56)),"")</f>
        <v>945</v>
      </c>
      <c r="O57" s="48" t="str">
        <f aca="false">IF(AND(MOVIMIENTOS!$B56&lt;&gt;"",NOT(AND(MOVIMIENTOS!$B56="PROCESO",MOVIMIENTOS!$C56&lt;&gt;"Chancho")),NOT(AND(MOVIMIENTOS!$B56="SALDO INICIAL",MOVIMIENTOS!$C56="Chancho"))),IF(MOVIMIENTOS!$B56="RECHAZO",MOVIMIENTOS!$E56&amp;" jabas rechazadas · van a reproceso",IF(MOVIMIENTOS!$B56="REPROCESO",MOVIMIENTOS!$E56&amp;" kg recuperados (merma del día: "&amp;TEXT(SUMPRODUCT((MOVIMIENTOS!$A$5:$A$400=MOVIMIENTOS!$A56)*(MOVIMIENTOS!$B$5:$B$400="RECHAZO")*(MOVIMIENTOS!$D$5:$D$400="jabas")*MOVIMIENTOS!$E$5:$E$400*IFERROR(_xlfn.SWITCH(MOVIMIENTOS!$C$5:$C$400,"A",15,"P",18,"C",17,"M",17,0),0))-SUMPRODUCT((MOVIMIENTOS!$A$5:$A$400=MOVIMIENTOS!$A56)*(MOVIMIENTOS!$B$5:$B$400="REPROCESO")*MOVIMIENTOS!$I$5:$I$400),"+#,##0;-#,##0;0")&amp;" kg)",TRIM(IF(MOVIMIENTOS!$G56&lt;&gt;"",MOVIMIENTOS!$G56&amp;"  ","")&amp;IF(N(MOVIMIENTOS!$D56)&gt;0,MOVIMIENTOS!$D56&amp;" "&amp;MOVIMIENTOS!$D56,"")))),"")</f>
        <v>2992</v>
      </c>
      <c r="P57" s="48" t="n">
        <f aca="false">N(P56)+N(M57)-N(N57)</f>
        <v>3464</v>
      </c>
      <c r="Q57" s="48"/>
      <c r="R57" s="48"/>
      <c r="S57" s="48"/>
      <c r="T57" s="48"/>
    </row>
    <row r="58" customFormat="false" ht="15" hidden="false" customHeight="true" outlineLevel="0" collapsed="false">
      <c r="A58" s="51" t="n">
        <f aca="false">IFERROR(INDEX(K$6:K$401,MATCH(ROW()-5,J$6:J$401,0)),"")</f>
        <v>46222</v>
      </c>
      <c r="B58" s="56" t="str">
        <f aca="false">IFERROR(INDEX(L$6:L$401,MATCH(ROW()-5,J$6:J$401,0)),"")</f>
        <v>ENVÍO cal. P</v>
      </c>
      <c r="C58" s="52" t="str">
        <f aca="false">IFERROR(INDEX(M$6:M$401,MATCH(ROW()-5,J$6:J$401,0)),"")</f>
        <v/>
      </c>
      <c r="D58" s="52" t="n">
        <f aca="false">IFERROR(INDEX(N$6:N$401,MATCH(ROW()-5,J$6:J$401,0)),"")</f>
        <v>198</v>
      </c>
      <c r="E58" s="56" t="str">
        <f aca="false">IFERROR(INDEX(O$6:O$401,MATCH(ROW()-5,J$6:J$401,0)),"")</f>
        <v>2998</v>
      </c>
      <c r="F58" s="52" t="n">
        <f aca="false">IFERROR(INDEX(P$6:P$401,MATCH(ROW()-5,J$6:J$401,0)),"")</f>
        <v>338</v>
      </c>
      <c r="G58" s="48"/>
      <c r="H58" s="48"/>
      <c r="I58" s="48"/>
      <c r="J58" s="48" t="n">
        <f aca="false">IF(AND(MOVIMIENTOS!$B57&lt;&gt;"",NOT(AND(MOVIMIENTOS!$B57="PROCESO",MOVIMIENTOS!$C57&lt;&gt;"Chancho")),NOT(AND(MOVIMIENTOS!$B57="SALDO INICIAL",MOVIMIENTOS!$C57="Chancho"))),COUNT(J$6:J57)+1,"")</f>
        <v>32</v>
      </c>
      <c r="K58" s="53" t="n">
        <f aca="false">IF(AND(MOVIMIENTOS!$B57&lt;&gt;"",NOT(AND(MOVIMIENTOS!$B57="PROCESO",MOVIMIENTOS!$C57&lt;&gt;"Chancho")),NOT(AND(MOVIMIENTOS!$B57="SALDO INICIAL",MOVIMIENTOS!$C57="Chancho"))),MOVIMIENTOS!$A57,"")</f>
        <v>46219</v>
      </c>
      <c r="L58" s="48" t="str">
        <f aca="false">IF(AND(MOVIMIENTOS!$B57&lt;&gt;"",NOT(AND(MOVIMIENTOS!$B57="PROCESO",MOVIMIENTOS!$C57&lt;&gt;"Chancho")),NOT(AND(MOVIMIENTOS!$B57="SALDO INICIAL",MOVIMIENTOS!$C57="Chancho"))),IF(MOVIMIENTOS!$B57="SALDO INICIAL","APERTURA ("&amp;MOVIMIENTOS!$C57&amp;")",IF(MOVIMIENTOS!$B57="COMPRA","INGRESO (compra)",IF(MOVIMIENTOS!$B57="PROCESO","CHANCHO (proceso)",IF(MOVIMIENTOS!$B57="ENVÍO A SUPESA","ENVÍO cal. "&amp;MOVIMIENTOS!$C57,IF(MOVIMIENTOS!$B57="VENTA CHANCHO","VENTA CHANCHO",IF(MOVIMIENTOS!$B57="VENTA","VENTA cal. "&amp;MOVIMIENTOS!$C57,IF(MOVIMIENTOS!$B57="REGALO","REGALO "&amp;MOVIMIENTOS!$C57,IF(MOVIMIENTOS!$B57="RECHAZO","RECHAZO cal. "&amp;MOVIMIENTOS!$C57&amp;" (va a reproceso)",IF(MOVIMIENTOS!$B57="DEVOLUCIÓN","DEVOLUCIÓN cal. "&amp;MOVIMIENTOS!$C57&amp;" (regresa intacta)",IF(MOVIMIENTOS!$B57="TRASIEGO","TRASIEGO cal. "&amp;MOVIMIENTOS!$C57,MOVIMIENTOS!$B57)))))))))),"")</f>
        <v>ENVÍO cal. P</v>
      </c>
      <c r="M58" s="48" t="str">
        <f aca="false">IF(AND(AND(MOVIMIENTOS!$B57&lt;&gt;"",NOT(AND(MOVIMIENTOS!$B57="PROCESO",MOVIMIENTOS!$C57&lt;&gt;"Chancho")),NOT(AND(MOVIMIENTOS!$B57="SALDO INICIAL",MOVIMIENTOS!$C57="Chancho"))),OR(MOVIMIENTOS!$B57="SALDO INICIAL",MOVIMIENTOS!$B57="COMPRA",MOVIMIENTOS!$B57="REPROCESO",MOVIMIENTOS!$B57="DEVOLUCIÓN",AND(MOVIMIENTOS!$B57="AJUSTE",MOVIMIENTOS!$C57&lt;&gt;"Chancho",N(MOVIMIENTOS!$F57)&gt;=0))),N(MOVIMIENTOS!$F57),"")</f>
        <v/>
      </c>
      <c r="N58" s="48" t="n">
        <f aca="false">IF(AND(AND(MOVIMIENTOS!$B57&lt;&gt;"",NOT(AND(MOVIMIENTOS!$B57="PROCESO",MOVIMIENTOS!$C57&lt;&gt;"Chancho")),NOT(AND(MOVIMIENTOS!$B57="SALDO INICIAL",MOVIMIENTOS!$C57="Chancho"))),OR(MOVIMIENTOS!$B57="ENVÍO A SUPESA",MOVIMIENTOS!$B57="MALOGRADO",MOVIMIENTOS!$B57="OTRA SALIDA",MOVIMIENTOS!$B57="TRASIEGO",AND(MOVIMIENTOS!$B57="PROCESO",MOVIMIENTOS!$C57="Chancho"),AND(MOVIMIENTOS!$B57="REGALO",MOVIMIENTOS!$C57&lt;&gt;"Chancho"),AND(MOVIMIENTOS!$B57="VENTA",MOVIMIENTOS!$C57&lt;&gt;"Chancho"),AND(MOVIMIENTOS!$B57="AJUSTE",MOVIMIENTOS!$C57&lt;&gt;"Chancho",N(MOVIMIENTOS!$F57)&lt;0))),IF(MOVIMIENTOS!$B57="AJUSTE",-N(MOVIMIENTOS!$F57),N(MOVIMIENTOS!$F57)),"")</f>
        <v>198</v>
      </c>
      <c r="O58" s="48" t="str">
        <f aca="false">IF(AND(MOVIMIENTOS!$B57&lt;&gt;"",NOT(AND(MOVIMIENTOS!$B57="PROCESO",MOVIMIENTOS!$C57&lt;&gt;"Chancho")),NOT(AND(MOVIMIENTOS!$B57="SALDO INICIAL",MOVIMIENTOS!$C57="Chancho"))),IF(MOVIMIENTOS!$B57="RECHAZO",MOVIMIENTOS!$E57&amp;" jabas rechazadas · van a reproceso",IF(MOVIMIENTOS!$B57="REPROCESO",MOVIMIENTOS!$E57&amp;" kg recuperados (merma del día: "&amp;TEXT(SUMPRODUCT((MOVIMIENTOS!$A$5:$A$400=MOVIMIENTOS!$A57)*(MOVIMIENTOS!$B$5:$B$400="RECHAZO")*(MOVIMIENTOS!$D$5:$D$400="jabas")*MOVIMIENTOS!$E$5:$E$400*IFERROR(_xlfn.SWITCH(MOVIMIENTOS!$C$5:$C$400,"A",15,"P",18,"C",17,"M",17,0),0))-SUMPRODUCT((MOVIMIENTOS!$A$5:$A$400=MOVIMIENTOS!$A57)*(MOVIMIENTOS!$B$5:$B$400="REPROCESO")*MOVIMIENTOS!$I$5:$I$400),"+#,##0;-#,##0;0")&amp;" kg)",TRIM(IF(MOVIMIENTOS!$G57&lt;&gt;"",MOVIMIENTOS!$G57&amp;"  ","")&amp;IF(N(MOVIMIENTOS!$D57)&gt;0,MOVIMIENTOS!$D57&amp;" "&amp;MOVIMIENTOS!$D57,"")))),"")</f>
        <v>2992</v>
      </c>
      <c r="P58" s="48" t="n">
        <f aca="false">N(P57)+N(M58)-N(N58)</f>
        <v>3266</v>
      </c>
      <c r="Q58" s="48"/>
      <c r="R58" s="48"/>
      <c r="S58" s="48"/>
      <c r="T58" s="48"/>
    </row>
    <row r="59" customFormat="false" ht="15" hidden="false" customHeight="true" outlineLevel="0" collapsed="false">
      <c r="A59" s="51" t="n">
        <f aca="false">IFERROR(INDEX(K$6:K$401,MATCH(ROW()-5,J$6:J$401,0)),"")</f>
        <v>46222</v>
      </c>
      <c r="B59" s="56" t="str">
        <f aca="false">IFERROR(INDEX(L$6:L$401,MATCH(ROW()-5,J$6:J$401,0)),"")</f>
        <v>ENVÍO cal. C</v>
      </c>
      <c r="C59" s="52" t="str">
        <f aca="false">IFERROR(INDEX(M$6:M$401,MATCH(ROW()-5,J$6:J$401,0)),"")</f>
        <v/>
      </c>
      <c r="D59" s="52" t="n">
        <f aca="false">IFERROR(INDEX(N$6:N$401,MATCH(ROW()-5,J$6:J$401,0)),"")</f>
        <v>204</v>
      </c>
      <c r="E59" s="56" t="str">
        <f aca="false">IFERROR(INDEX(O$6:O$401,MATCH(ROW()-5,J$6:J$401,0)),"")</f>
        <v>2998</v>
      </c>
      <c r="F59" s="52" t="n">
        <f aca="false">IFERROR(INDEX(P$6:P$401,MATCH(ROW()-5,J$6:J$401,0)),"")</f>
        <v>134</v>
      </c>
      <c r="G59" s="48"/>
      <c r="H59" s="48"/>
      <c r="I59" s="48"/>
      <c r="J59" s="48" t="n">
        <f aca="false">IF(AND(MOVIMIENTOS!$B58&lt;&gt;"",NOT(AND(MOVIMIENTOS!$B58="PROCESO",MOVIMIENTOS!$C58&lt;&gt;"Chancho")),NOT(AND(MOVIMIENTOS!$B58="SALDO INICIAL",MOVIMIENTOS!$C58="Chancho"))),COUNT(J$6:J58)+1,"")</f>
        <v>33</v>
      </c>
      <c r="K59" s="53" t="n">
        <f aca="false">IF(AND(MOVIMIENTOS!$B58&lt;&gt;"",NOT(AND(MOVIMIENTOS!$B58="PROCESO",MOVIMIENTOS!$C58&lt;&gt;"Chancho")),NOT(AND(MOVIMIENTOS!$B58="SALDO INICIAL",MOVIMIENTOS!$C58="Chancho"))),MOVIMIENTOS!$A58,"")</f>
        <v>46219</v>
      </c>
      <c r="L59" s="48" t="str">
        <f aca="false">IF(AND(MOVIMIENTOS!$B58&lt;&gt;"",NOT(AND(MOVIMIENTOS!$B58="PROCESO",MOVIMIENTOS!$C58&lt;&gt;"Chancho")),NOT(AND(MOVIMIENTOS!$B58="SALDO INICIAL",MOVIMIENTOS!$C58="Chancho"))),IF(MOVIMIENTOS!$B58="SALDO INICIAL","APERTURA ("&amp;MOVIMIENTOS!$C58&amp;")",IF(MOVIMIENTOS!$B58="COMPRA","INGRESO (compra)",IF(MOVIMIENTOS!$B58="PROCESO","CHANCHO (proceso)",IF(MOVIMIENTOS!$B58="ENVÍO A SUPESA","ENVÍO cal. "&amp;MOVIMIENTOS!$C58,IF(MOVIMIENTOS!$B58="VENTA CHANCHO","VENTA CHANCHO",IF(MOVIMIENTOS!$B58="VENTA","VENTA cal. "&amp;MOVIMIENTOS!$C58,IF(MOVIMIENTOS!$B58="REGALO","REGALO "&amp;MOVIMIENTOS!$C58,IF(MOVIMIENTOS!$B58="RECHAZO","RECHAZO cal. "&amp;MOVIMIENTOS!$C58&amp;" (va a reproceso)",IF(MOVIMIENTOS!$B58="DEVOLUCIÓN","DEVOLUCIÓN cal. "&amp;MOVIMIENTOS!$C58&amp;" (regresa intacta)",IF(MOVIMIENTOS!$B58="TRASIEGO","TRASIEGO cal. "&amp;MOVIMIENTOS!$C58,MOVIMIENTOS!$B58)))))))))),"")</f>
        <v>ENVÍO cal. C</v>
      </c>
      <c r="M59" s="48" t="str">
        <f aca="false">IF(AND(AND(MOVIMIENTOS!$B58&lt;&gt;"",NOT(AND(MOVIMIENTOS!$B58="PROCESO",MOVIMIENTOS!$C58&lt;&gt;"Chancho")),NOT(AND(MOVIMIENTOS!$B58="SALDO INICIAL",MOVIMIENTOS!$C58="Chancho"))),OR(MOVIMIENTOS!$B58="SALDO INICIAL",MOVIMIENTOS!$B58="COMPRA",MOVIMIENTOS!$B58="REPROCESO",MOVIMIENTOS!$B58="DEVOLUCIÓN",AND(MOVIMIENTOS!$B58="AJUSTE",MOVIMIENTOS!$C58&lt;&gt;"Chancho",N(MOVIMIENTOS!$F58)&gt;=0))),N(MOVIMIENTOS!$F58),"")</f>
        <v/>
      </c>
      <c r="N59" s="48" t="n">
        <f aca="false">IF(AND(AND(MOVIMIENTOS!$B58&lt;&gt;"",NOT(AND(MOVIMIENTOS!$B58="PROCESO",MOVIMIENTOS!$C58&lt;&gt;"Chancho")),NOT(AND(MOVIMIENTOS!$B58="SALDO INICIAL",MOVIMIENTOS!$C58="Chancho"))),OR(MOVIMIENTOS!$B58="ENVÍO A SUPESA",MOVIMIENTOS!$B58="MALOGRADO",MOVIMIENTOS!$B58="OTRA SALIDA",MOVIMIENTOS!$B58="TRASIEGO",AND(MOVIMIENTOS!$B58="PROCESO",MOVIMIENTOS!$C58="Chancho"),AND(MOVIMIENTOS!$B58="REGALO",MOVIMIENTOS!$C58&lt;&gt;"Chancho"),AND(MOVIMIENTOS!$B58="VENTA",MOVIMIENTOS!$C58&lt;&gt;"Chancho"),AND(MOVIMIENTOS!$B58="AJUSTE",MOVIMIENTOS!$C58&lt;&gt;"Chancho",N(MOVIMIENTOS!$F58)&lt;0))),IF(MOVIMIENTOS!$B58="AJUSTE",-N(MOVIMIENTOS!$F58),N(MOVIMIENTOS!$F58)),"")</f>
        <v>204</v>
      </c>
      <c r="O59" s="48" t="str">
        <f aca="false">IF(AND(MOVIMIENTOS!$B58&lt;&gt;"",NOT(AND(MOVIMIENTOS!$B58="PROCESO",MOVIMIENTOS!$C58&lt;&gt;"Chancho")),NOT(AND(MOVIMIENTOS!$B58="SALDO INICIAL",MOVIMIENTOS!$C58="Chancho"))),IF(MOVIMIENTOS!$B58="RECHAZO",MOVIMIENTOS!$E58&amp;" jabas rechazadas · van a reproceso",IF(MOVIMIENTOS!$B58="REPROCESO",MOVIMIENTOS!$E58&amp;" kg recuperados (merma del día: "&amp;TEXT(SUMPRODUCT((MOVIMIENTOS!$A$5:$A$400=MOVIMIENTOS!$A58)*(MOVIMIENTOS!$B$5:$B$400="RECHAZO")*(MOVIMIENTOS!$D$5:$D$400="jabas")*MOVIMIENTOS!$E$5:$E$400*IFERROR(_xlfn.SWITCH(MOVIMIENTOS!$C$5:$C$400,"A",15,"P",18,"C",17,"M",17,0),0))-SUMPRODUCT((MOVIMIENTOS!$A$5:$A$400=MOVIMIENTOS!$A58)*(MOVIMIENTOS!$B$5:$B$400="REPROCESO")*MOVIMIENTOS!$I$5:$I$400),"+#,##0;-#,##0;0")&amp;" kg)",TRIM(IF(MOVIMIENTOS!$G58&lt;&gt;"",MOVIMIENTOS!$G58&amp;"  ","")&amp;IF(N(MOVIMIENTOS!$D58)&gt;0,MOVIMIENTOS!$D58&amp;" "&amp;MOVIMIENTOS!$D58,"")))),"")</f>
        <v>2992</v>
      </c>
      <c r="P59" s="48" t="n">
        <f aca="false">N(P58)+N(M59)-N(N59)</f>
        <v>3062</v>
      </c>
      <c r="Q59" s="48"/>
      <c r="R59" s="48"/>
      <c r="S59" s="48"/>
      <c r="T59" s="48"/>
    </row>
    <row r="60" customFormat="false" ht="15" hidden="false" customHeight="true" outlineLevel="0" collapsed="false">
      <c r="A60" s="51" t="n">
        <f aca="false">IFERROR(INDEX(K$6:K$401,MATCH(ROW()-5,J$6:J$401,0)),"")</f>
        <v>46222</v>
      </c>
      <c r="B60" s="56" t="str">
        <f aca="false">IFERROR(INDEX(L$6:L$401,MATCH(ROW()-5,J$6:J$401,0)),"")</f>
        <v>ENVÍO cal. M</v>
      </c>
      <c r="C60" s="52" t="str">
        <f aca="false">IFERROR(INDEX(M$6:M$401,MATCH(ROW()-5,J$6:J$401,0)),"")</f>
        <v/>
      </c>
      <c r="D60" s="52" t="n">
        <f aca="false">IFERROR(INDEX(N$6:N$401,MATCH(ROW()-5,J$6:J$401,0)),"")</f>
        <v>476</v>
      </c>
      <c r="E60" s="56" t="str">
        <f aca="false">IFERROR(INDEX(O$6:O$401,MATCH(ROW()-5,J$6:J$401,0)),"")</f>
        <v>2998</v>
      </c>
      <c r="F60" s="52" t="n">
        <f aca="false">IFERROR(INDEX(P$6:P$401,MATCH(ROW()-5,J$6:J$401,0)),"")</f>
        <v>-342</v>
      </c>
      <c r="G60" s="48"/>
      <c r="H60" s="48"/>
      <c r="I60" s="48"/>
      <c r="J60" s="48" t="n">
        <f aca="false">IF(AND(MOVIMIENTOS!$B59&lt;&gt;"",NOT(AND(MOVIMIENTOS!$B59="PROCESO",MOVIMIENTOS!$C59&lt;&gt;"Chancho")),NOT(AND(MOVIMIENTOS!$B59="SALDO INICIAL",MOVIMIENTOS!$C59="Chancho"))),COUNT(J$6:J59)+1,"")</f>
        <v>34</v>
      </c>
      <c r="K60" s="53" t="n">
        <f aca="false">IF(AND(MOVIMIENTOS!$B59&lt;&gt;"",NOT(AND(MOVIMIENTOS!$B59="PROCESO",MOVIMIENTOS!$C59&lt;&gt;"Chancho")),NOT(AND(MOVIMIENTOS!$B59="SALDO INICIAL",MOVIMIENTOS!$C59="Chancho"))),MOVIMIENTOS!$A59,"")</f>
        <v>46219</v>
      </c>
      <c r="L60" s="48" t="str">
        <f aca="false">IF(AND(MOVIMIENTOS!$B59&lt;&gt;"",NOT(AND(MOVIMIENTOS!$B59="PROCESO",MOVIMIENTOS!$C59&lt;&gt;"Chancho")),NOT(AND(MOVIMIENTOS!$B59="SALDO INICIAL",MOVIMIENTOS!$C59="Chancho"))),IF(MOVIMIENTOS!$B59="SALDO INICIAL","APERTURA ("&amp;MOVIMIENTOS!$C59&amp;")",IF(MOVIMIENTOS!$B59="COMPRA","INGRESO (compra)",IF(MOVIMIENTOS!$B59="PROCESO","CHANCHO (proceso)",IF(MOVIMIENTOS!$B59="ENVÍO A SUPESA","ENVÍO cal. "&amp;MOVIMIENTOS!$C59,IF(MOVIMIENTOS!$B59="VENTA CHANCHO","VENTA CHANCHO",IF(MOVIMIENTOS!$B59="VENTA","VENTA cal. "&amp;MOVIMIENTOS!$C59,IF(MOVIMIENTOS!$B59="REGALO","REGALO "&amp;MOVIMIENTOS!$C59,IF(MOVIMIENTOS!$B59="RECHAZO","RECHAZO cal. "&amp;MOVIMIENTOS!$C59&amp;" (va a reproceso)",IF(MOVIMIENTOS!$B59="DEVOLUCIÓN","DEVOLUCIÓN cal. "&amp;MOVIMIENTOS!$C59&amp;" (regresa intacta)",IF(MOVIMIENTOS!$B59="TRASIEGO","TRASIEGO cal. "&amp;MOVIMIENTOS!$C59,MOVIMIENTOS!$B59)))))))))),"")</f>
        <v>ENVÍO cal. M</v>
      </c>
      <c r="M60" s="48" t="str">
        <f aca="false">IF(AND(AND(MOVIMIENTOS!$B59&lt;&gt;"",NOT(AND(MOVIMIENTOS!$B59="PROCESO",MOVIMIENTOS!$C59&lt;&gt;"Chancho")),NOT(AND(MOVIMIENTOS!$B59="SALDO INICIAL",MOVIMIENTOS!$C59="Chancho"))),OR(MOVIMIENTOS!$B59="SALDO INICIAL",MOVIMIENTOS!$B59="COMPRA",MOVIMIENTOS!$B59="REPROCESO",MOVIMIENTOS!$B59="DEVOLUCIÓN",AND(MOVIMIENTOS!$B59="AJUSTE",MOVIMIENTOS!$C59&lt;&gt;"Chancho",N(MOVIMIENTOS!$F59)&gt;=0))),N(MOVIMIENTOS!$F59),"")</f>
        <v/>
      </c>
      <c r="N60" s="48" t="n">
        <f aca="false">IF(AND(AND(MOVIMIENTOS!$B59&lt;&gt;"",NOT(AND(MOVIMIENTOS!$B59="PROCESO",MOVIMIENTOS!$C59&lt;&gt;"Chancho")),NOT(AND(MOVIMIENTOS!$B59="SALDO INICIAL",MOVIMIENTOS!$C59="Chancho"))),OR(MOVIMIENTOS!$B59="ENVÍO A SUPESA",MOVIMIENTOS!$B59="MALOGRADO",MOVIMIENTOS!$B59="OTRA SALIDA",MOVIMIENTOS!$B59="TRASIEGO",AND(MOVIMIENTOS!$B59="PROCESO",MOVIMIENTOS!$C59="Chancho"),AND(MOVIMIENTOS!$B59="REGALO",MOVIMIENTOS!$C59&lt;&gt;"Chancho"),AND(MOVIMIENTOS!$B59="VENTA",MOVIMIENTOS!$C59&lt;&gt;"Chancho"),AND(MOVIMIENTOS!$B59="AJUSTE",MOVIMIENTOS!$C59&lt;&gt;"Chancho",N(MOVIMIENTOS!$F59)&lt;0))),IF(MOVIMIENTOS!$B59="AJUSTE",-N(MOVIMIENTOS!$F59),N(MOVIMIENTOS!$F59)),"")</f>
        <v>1955</v>
      </c>
      <c r="O60" s="48" t="str">
        <f aca="false">IF(AND(MOVIMIENTOS!$B59&lt;&gt;"",NOT(AND(MOVIMIENTOS!$B59="PROCESO",MOVIMIENTOS!$C59&lt;&gt;"Chancho")),NOT(AND(MOVIMIENTOS!$B59="SALDO INICIAL",MOVIMIENTOS!$C59="Chancho"))),IF(MOVIMIENTOS!$B59="RECHAZO",MOVIMIENTOS!$E59&amp;" jabas rechazadas · van a reproceso",IF(MOVIMIENTOS!$B59="REPROCESO",MOVIMIENTOS!$E59&amp;" kg recuperados (merma del día: "&amp;TEXT(SUMPRODUCT((MOVIMIENTOS!$A$5:$A$400=MOVIMIENTOS!$A59)*(MOVIMIENTOS!$B$5:$B$400="RECHAZO")*(MOVIMIENTOS!$D$5:$D$400="jabas")*MOVIMIENTOS!$E$5:$E$400*IFERROR(_xlfn.SWITCH(MOVIMIENTOS!$C$5:$C$400,"A",15,"P",18,"C",17,"M",17,0),0))-SUMPRODUCT((MOVIMIENTOS!$A$5:$A$400=MOVIMIENTOS!$A59)*(MOVIMIENTOS!$B$5:$B$400="REPROCESO")*MOVIMIENTOS!$I$5:$I$400),"+#,##0;-#,##0;0")&amp;" kg)",TRIM(IF(MOVIMIENTOS!$G59&lt;&gt;"",MOVIMIENTOS!$G59&amp;"  ","")&amp;IF(N(MOVIMIENTOS!$D59)&gt;0,MOVIMIENTOS!$D59&amp;" "&amp;MOVIMIENTOS!$D59,"")))),"")</f>
        <v>2992</v>
      </c>
      <c r="P60" s="48" t="n">
        <f aca="false">N(P59)+N(M60)-N(N60)</f>
        <v>1107</v>
      </c>
      <c r="Q60" s="48"/>
      <c r="R60" s="48"/>
      <c r="S60" s="48"/>
      <c r="T60" s="48"/>
    </row>
    <row r="61" customFormat="false" ht="15" hidden="false" customHeight="true" outlineLevel="0" collapsed="false">
      <c r="A61" s="51" t="n">
        <f aca="false">IFERROR(INDEX(K$6:K$401,MATCH(ROW()-5,J$6:J$401,0)),"")</f>
        <v>46222</v>
      </c>
      <c r="B61" s="56" t="str">
        <f aca="false">IFERROR(INDEX(L$6:L$401,MATCH(ROW()-5,J$6:J$401,0)),"")</f>
        <v>INGRESO (compra)</v>
      </c>
      <c r="C61" s="52" t="n">
        <f aca="false">IFERROR(INDEX(M$6:M$401,MATCH(ROW()-5,J$6:J$401,0)),"")</f>
        <v>1615</v>
      </c>
      <c r="D61" s="52" t="str">
        <f aca="false">IFERROR(INDEX(N$6:N$401,MATCH(ROW()-5,J$6:J$401,0)),"")</f>
        <v/>
      </c>
      <c r="E61" s="56" t="str">
        <f aca="false">IFERROR(INDEX(O$6:O$401,MATCH(ROW()-5,J$6:J$401,0)),"")</f>
        <v/>
      </c>
      <c r="F61" s="52" t="n">
        <f aca="false">IFERROR(INDEX(P$6:P$401,MATCH(ROW()-5,J$6:J$401,0)),"")</f>
        <v>1273</v>
      </c>
      <c r="G61" s="48"/>
      <c r="H61" s="48"/>
      <c r="I61" s="48"/>
      <c r="J61" s="48" t="n">
        <f aca="false">IF(AND(MOVIMIENTOS!$B60&lt;&gt;"",NOT(AND(MOVIMIENTOS!$B60="PROCESO",MOVIMIENTOS!$C60&lt;&gt;"Chancho")),NOT(AND(MOVIMIENTOS!$B60="SALDO INICIAL",MOVIMIENTOS!$C60="Chancho"))),COUNT(J$6:J60)+1,"")</f>
        <v>35</v>
      </c>
      <c r="K61" s="53" t="n">
        <f aca="false">IF(AND(MOVIMIENTOS!$B60&lt;&gt;"",NOT(AND(MOVIMIENTOS!$B60="PROCESO",MOVIMIENTOS!$C60&lt;&gt;"Chancho")),NOT(AND(MOVIMIENTOS!$B60="SALDO INICIAL",MOVIMIENTOS!$C60="Chancho"))),MOVIMIENTOS!$A60,"")</f>
        <v>46220</v>
      </c>
      <c r="L61" s="48" t="str">
        <f aca="false">IF(AND(MOVIMIENTOS!$B60&lt;&gt;"",NOT(AND(MOVIMIENTOS!$B60="PROCESO",MOVIMIENTOS!$C60&lt;&gt;"Chancho")),NOT(AND(MOVIMIENTOS!$B60="SALDO INICIAL",MOVIMIENTOS!$C60="Chancho"))),IF(MOVIMIENTOS!$B60="SALDO INICIAL","APERTURA ("&amp;MOVIMIENTOS!$C60&amp;")",IF(MOVIMIENTOS!$B60="COMPRA","INGRESO (compra)",IF(MOVIMIENTOS!$B60="PROCESO","CHANCHO (proceso)",IF(MOVIMIENTOS!$B60="ENVÍO A SUPESA","ENVÍO cal. "&amp;MOVIMIENTOS!$C60,IF(MOVIMIENTOS!$B60="VENTA CHANCHO","VENTA CHANCHO",IF(MOVIMIENTOS!$B60="VENTA","VENTA cal. "&amp;MOVIMIENTOS!$C60,IF(MOVIMIENTOS!$B60="REGALO","REGALO "&amp;MOVIMIENTOS!$C60,IF(MOVIMIENTOS!$B60="RECHAZO","RECHAZO cal. "&amp;MOVIMIENTOS!$C60&amp;" (va a reproceso)",IF(MOVIMIENTOS!$B60="DEVOLUCIÓN","DEVOLUCIÓN cal. "&amp;MOVIMIENTOS!$C60&amp;" (regresa intacta)",IF(MOVIMIENTOS!$B60="TRASIEGO","TRASIEGO cal. "&amp;MOVIMIENTOS!$C60,MOVIMIENTOS!$B60)))))))))),"")</f>
        <v>INGRESO (compra)</v>
      </c>
      <c r="M61" s="48" t="n">
        <f aca="false">IF(AND(AND(MOVIMIENTOS!$B60&lt;&gt;"",NOT(AND(MOVIMIENTOS!$B60="PROCESO",MOVIMIENTOS!$C60&lt;&gt;"Chancho")),NOT(AND(MOVIMIENTOS!$B60="SALDO INICIAL",MOVIMIENTOS!$C60="Chancho"))),OR(MOVIMIENTOS!$B60="SALDO INICIAL",MOVIMIENTOS!$B60="COMPRA",MOVIMIENTOS!$B60="REPROCESO",MOVIMIENTOS!$B60="DEVOLUCIÓN",AND(MOVIMIENTOS!$B60="AJUSTE",MOVIMIENTOS!$C60&lt;&gt;"Chancho",N(MOVIMIENTOS!$F60)&gt;=0))),N(MOVIMIENTOS!$F60),"")</f>
        <v>5700</v>
      </c>
      <c r="N61" s="48" t="str">
        <f aca="false">IF(AND(AND(MOVIMIENTOS!$B60&lt;&gt;"",NOT(AND(MOVIMIENTOS!$B60="PROCESO",MOVIMIENTOS!$C60&lt;&gt;"Chancho")),NOT(AND(MOVIMIENTOS!$B60="SALDO INICIAL",MOVIMIENTOS!$C60="Chancho"))),OR(MOVIMIENTOS!$B60="ENVÍO A SUPESA",MOVIMIENTOS!$B60="MALOGRADO",MOVIMIENTOS!$B60="OTRA SALIDA",MOVIMIENTOS!$B60="TRASIEGO",AND(MOVIMIENTOS!$B60="PROCESO",MOVIMIENTOS!$C60="Chancho"),AND(MOVIMIENTOS!$B60="REGALO",MOVIMIENTOS!$C60&lt;&gt;"Chancho"),AND(MOVIMIENTOS!$B60="VENTA",MOVIMIENTOS!$C60&lt;&gt;"Chancho"),AND(MOVIMIENTOS!$B60="AJUSTE",MOVIMIENTOS!$C60&lt;&gt;"Chancho",N(MOVIMIENTOS!$F60)&lt;0))),IF(MOVIMIENTOS!$B60="AJUSTE",-N(MOVIMIENTOS!$F60),N(MOVIMIENTOS!$F60)),"")</f>
        <v/>
      </c>
      <c r="O61" s="48" t="str">
        <f aca="false">IF(AND(MOVIMIENTOS!$B60&lt;&gt;"",NOT(AND(MOVIMIENTOS!$B60="PROCESO",MOVIMIENTOS!$C60&lt;&gt;"Chancho")),NOT(AND(MOVIMIENTOS!$B60="SALDO INICIAL",MOVIMIENTOS!$C60="Chancho"))),IF(MOVIMIENTOS!$B60="RECHAZO",MOVIMIENTOS!$E60&amp;" jabas rechazadas · van a reproceso",IF(MOVIMIENTOS!$B60="REPROCESO",MOVIMIENTOS!$E60&amp;" kg recuperados (merma del día: "&amp;TEXT(SUMPRODUCT((MOVIMIENTOS!$A$5:$A$400=MOVIMIENTOS!$A60)*(MOVIMIENTOS!$B$5:$B$400="RECHAZO")*(MOVIMIENTOS!$D$5:$D$400="jabas")*MOVIMIENTOS!$E$5:$E$400*IFERROR(_xlfn.SWITCH(MOVIMIENTOS!$C$5:$C$400,"A",15,"P",18,"C",17,"M",17,0),0))-SUMPRODUCT((MOVIMIENTOS!$A$5:$A$400=MOVIMIENTOS!$A60)*(MOVIMIENTOS!$B$5:$B$400="REPROCESO")*MOVIMIENTOS!$I$5:$I$400),"+#,##0;-#,##0;0")&amp;" kg)",TRIM(IF(MOVIMIENTOS!$G60&lt;&gt;"",MOVIMIENTOS!$G60&amp;"  ","")&amp;IF(N(MOVIMIENTOS!$D60)&gt;0,MOVIMIENTOS!$D60&amp;" "&amp;MOVIMIENTOS!$D60,"")))),"")</f>
        <v/>
      </c>
      <c r="P61" s="48" t="n">
        <f aca="false">N(P60)+N(M61)-N(N61)</f>
        <v>6807</v>
      </c>
      <c r="Q61" s="48"/>
      <c r="R61" s="48"/>
      <c r="S61" s="48"/>
      <c r="T61" s="48"/>
    </row>
    <row r="62" customFormat="false" ht="15" hidden="false" customHeight="true" outlineLevel="0" collapsed="false">
      <c r="A62" s="51" t="n">
        <f aca="false">IFERROR(INDEX(K$6:K$401,MATCH(ROW()-5,J$6:J$401,0)),"")</f>
        <v>46223</v>
      </c>
      <c r="B62" s="56" t="str">
        <f aca="false">IFERROR(INDEX(L$6:L$401,MATCH(ROW()-5,J$6:J$401,0)),"")</f>
        <v>INGRESO (compra)</v>
      </c>
      <c r="C62" s="52" t="n">
        <f aca="false">IFERROR(INDEX(M$6:M$401,MATCH(ROW()-5,J$6:J$401,0)),"")</f>
        <v>4560</v>
      </c>
      <c r="D62" s="52" t="str">
        <f aca="false">IFERROR(INDEX(N$6:N$401,MATCH(ROW()-5,J$6:J$401,0)),"")</f>
        <v/>
      </c>
      <c r="E62" s="56" t="str">
        <f aca="false">IFERROR(INDEX(O$6:O$401,MATCH(ROW()-5,J$6:J$401,0)),"")</f>
        <v/>
      </c>
      <c r="F62" s="52" t="n">
        <f aca="false">IFERROR(INDEX(P$6:P$401,MATCH(ROW()-5,J$6:J$401,0)),"")</f>
        <v>5833</v>
      </c>
      <c r="G62" s="48"/>
      <c r="H62" s="48"/>
      <c r="I62" s="48"/>
      <c r="J62" s="48" t="str">
        <f aca="false">IF(AND(MOVIMIENTOS!$B61&lt;&gt;"",NOT(AND(MOVIMIENTOS!$B61="PROCESO",MOVIMIENTOS!$C61&lt;&gt;"Chancho")),NOT(AND(MOVIMIENTOS!$B61="SALDO INICIAL",MOVIMIENTOS!$C61="Chancho"))),COUNT(J$6:J61)+1,"")</f>
        <v/>
      </c>
      <c r="K62" s="48" t="str">
        <f aca="false">IF(AND(MOVIMIENTOS!$B61&lt;&gt;"",NOT(AND(MOVIMIENTOS!$B61="PROCESO",MOVIMIENTOS!$C61&lt;&gt;"Chancho")),NOT(AND(MOVIMIENTOS!$B61="SALDO INICIAL",MOVIMIENTOS!$C61="Chancho"))),MOVIMIENTOS!$A61,"")</f>
        <v/>
      </c>
      <c r="L62" s="48" t="str">
        <f aca="false">IF(AND(MOVIMIENTOS!$B61&lt;&gt;"",NOT(AND(MOVIMIENTOS!$B61="PROCESO",MOVIMIENTOS!$C61&lt;&gt;"Chancho")),NOT(AND(MOVIMIENTOS!$B61="SALDO INICIAL",MOVIMIENTOS!$C61="Chancho"))),IF(MOVIMIENTOS!$B61="SALDO INICIAL","APERTURA ("&amp;MOVIMIENTOS!$C61&amp;")",IF(MOVIMIENTOS!$B61="COMPRA","INGRESO (compra)",IF(MOVIMIENTOS!$B61="PROCESO","CHANCHO (proceso)",IF(MOVIMIENTOS!$B61="ENVÍO A SUPESA","ENVÍO cal. "&amp;MOVIMIENTOS!$C61,IF(MOVIMIENTOS!$B61="VENTA CHANCHO","VENTA CHANCHO",IF(MOVIMIENTOS!$B61="VENTA","VENTA cal. "&amp;MOVIMIENTOS!$C61,IF(MOVIMIENTOS!$B61="REGALO","REGALO "&amp;MOVIMIENTOS!$C61,IF(MOVIMIENTOS!$B61="RECHAZO","RECHAZO cal. "&amp;MOVIMIENTOS!$C61&amp;" (va a reproceso)",IF(MOVIMIENTOS!$B61="DEVOLUCIÓN","DEVOLUCIÓN cal. "&amp;MOVIMIENTOS!$C61&amp;" (regresa intacta)",IF(MOVIMIENTOS!$B61="TRASIEGO","TRASIEGO cal. "&amp;MOVIMIENTOS!$C61,MOVIMIENTOS!$B61)))))))))),"")</f>
        <v/>
      </c>
      <c r="M62" s="48" t="str">
        <f aca="false">IF(AND(AND(MOVIMIENTOS!$B61&lt;&gt;"",NOT(AND(MOVIMIENTOS!$B61="PROCESO",MOVIMIENTOS!$C61&lt;&gt;"Chancho")),NOT(AND(MOVIMIENTOS!$B61="SALDO INICIAL",MOVIMIENTOS!$C61="Chancho"))),OR(MOVIMIENTOS!$B61="SALDO INICIAL",MOVIMIENTOS!$B61="COMPRA",MOVIMIENTOS!$B61="REPROCESO",MOVIMIENTOS!$B61="DEVOLUCIÓN",AND(MOVIMIENTOS!$B61="AJUSTE",MOVIMIENTOS!$C61&lt;&gt;"Chancho",N(MOVIMIENTOS!$F61)&gt;=0))),N(MOVIMIENTOS!$F61),"")</f>
        <v/>
      </c>
      <c r="N62" s="48" t="str">
        <f aca="false">IF(AND(AND(MOVIMIENTOS!$B61&lt;&gt;"",NOT(AND(MOVIMIENTOS!$B61="PROCESO",MOVIMIENTOS!$C61&lt;&gt;"Chancho")),NOT(AND(MOVIMIENTOS!$B61="SALDO INICIAL",MOVIMIENTOS!$C61="Chancho"))),OR(MOVIMIENTOS!$B61="ENVÍO A SUPESA",MOVIMIENTOS!$B61="MALOGRADO",MOVIMIENTOS!$B61="OTRA SALIDA",MOVIMIENTOS!$B61="TRASIEGO",AND(MOVIMIENTOS!$B61="PROCESO",MOVIMIENTOS!$C61="Chancho"),AND(MOVIMIENTOS!$B61="REGALO",MOVIMIENTOS!$C61&lt;&gt;"Chancho"),AND(MOVIMIENTOS!$B61="VENTA",MOVIMIENTOS!$C61&lt;&gt;"Chancho"),AND(MOVIMIENTOS!$B61="AJUSTE",MOVIMIENTOS!$C61&lt;&gt;"Chancho",N(MOVIMIENTOS!$F61)&lt;0))),IF(MOVIMIENTOS!$B61="AJUSTE",-N(MOVIMIENTOS!$F61),N(MOVIMIENTOS!$F61)),"")</f>
        <v/>
      </c>
      <c r="O62" s="48" t="str">
        <f aca="false">IF(AND(MOVIMIENTOS!$B61&lt;&gt;"",NOT(AND(MOVIMIENTOS!$B61="PROCESO",MOVIMIENTOS!$C61&lt;&gt;"Chancho")),NOT(AND(MOVIMIENTOS!$B61="SALDO INICIAL",MOVIMIENTOS!$C61="Chancho"))),IF(MOVIMIENTOS!$B61="RECHAZO",MOVIMIENTOS!$E61&amp;" jabas rechazadas · van a reproceso",IF(MOVIMIENTOS!$B61="REPROCESO",MOVIMIENTOS!$E61&amp;" kg recuperados (merma del día: "&amp;TEXT(SUMPRODUCT((MOVIMIENTOS!$A$5:$A$400=MOVIMIENTOS!$A61)*(MOVIMIENTOS!$B$5:$B$400="RECHAZO")*(MOVIMIENTOS!$D$5:$D$400="jabas")*MOVIMIENTOS!$E$5:$E$400*IFERROR(_xlfn.SWITCH(MOVIMIENTOS!$C$5:$C$400,"A",15,"P",18,"C",17,"M",17,0),0))-SUMPRODUCT((MOVIMIENTOS!$A$5:$A$400=MOVIMIENTOS!$A61)*(MOVIMIENTOS!$B$5:$B$400="REPROCESO")*MOVIMIENTOS!$I$5:$I$400),"+#,##0;-#,##0;0")&amp;" kg)",TRIM(IF(MOVIMIENTOS!$G61&lt;&gt;"",MOVIMIENTOS!$G61&amp;"  ","")&amp;IF(N(MOVIMIENTOS!$D61)&gt;0,MOVIMIENTOS!$D61&amp;" "&amp;MOVIMIENTOS!$D61,"")))),"")</f>
        <v/>
      </c>
      <c r="P62" s="48" t="n">
        <f aca="false">N(P61)+N(M62)-N(N62)</f>
        <v>6807</v>
      </c>
      <c r="Q62" s="48"/>
      <c r="R62" s="48"/>
      <c r="S62" s="48"/>
      <c r="T62" s="48"/>
    </row>
    <row r="63" customFormat="false" ht="15" hidden="false" customHeight="true" outlineLevel="0" collapsed="false">
      <c r="A63" s="51" t="n">
        <f aca="false">IFERROR(INDEX(K$6:K$401,MATCH(ROW()-5,J$6:J$401,0)),"")</f>
        <v>46223</v>
      </c>
      <c r="B63" s="56" t="str">
        <f aca="false">IFERROR(INDEX(L$6:L$401,MATCH(ROW()-5,J$6:J$401,0)),"")</f>
        <v>CHANCHO (proceso)</v>
      </c>
      <c r="C63" s="52" t="str">
        <f aca="false">IFERROR(INDEX(M$6:M$401,MATCH(ROW()-5,J$6:J$401,0)),"")</f>
        <v/>
      </c>
      <c r="D63" s="52" t="n">
        <f aca="false">IFERROR(INDEX(N$6:N$401,MATCH(ROW()-5,J$6:J$401,0)),"")</f>
        <v>617.5</v>
      </c>
      <c r="E63" s="56" t="str">
        <f aca="false">IFERROR(INDEX(O$6:O$401,MATCH(ROW()-5,J$6:J$401,0)),"")</f>
        <v/>
      </c>
      <c r="F63" s="52" t="n">
        <f aca="false">IFERROR(INDEX(P$6:P$401,MATCH(ROW()-5,J$6:J$401,0)),"")</f>
        <v>5215.5</v>
      </c>
      <c r="G63" s="48"/>
      <c r="H63" s="48"/>
      <c r="I63" s="48"/>
      <c r="J63" s="48" t="str">
        <f aca="false">IF(AND(MOVIMIENTOS!$B62&lt;&gt;"",NOT(AND(MOVIMIENTOS!$B62="PROCESO",MOVIMIENTOS!$C62&lt;&gt;"Chancho")),NOT(AND(MOVIMIENTOS!$B62="SALDO INICIAL",MOVIMIENTOS!$C62="Chancho"))),COUNT(J$6:J62)+1,"")</f>
        <v/>
      </c>
      <c r="K63" s="48" t="str">
        <f aca="false">IF(AND(MOVIMIENTOS!$B62&lt;&gt;"",NOT(AND(MOVIMIENTOS!$B62="PROCESO",MOVIMIENTOS!$C62&lt;&gt;"Chancho")),NOT(AND(MOVIMIENTOS!$B62="SALDO INICIAL",MOVIMIENTOS!$C62="Chancho"))),MOVIMIENTOS!$A62,"")</f>
        <v/>
      </c>
      <c r="L63" s="48" t="str">
        <f aca="false">IF(AND(MOVIMIENTOS!$B62&lt;&gt;"",NOT(AND(MOVIMIENTOS!$B62="PROCESO",MOVIMIENTOS!$C62&lt;&gt;"Chancho")),NOT(AND(MOVIMIENTOS!$B62="SALDO INICIAL",MOVIMIENTOS!$C62="Chancho"))),IF(MOVIMIENTOS!$B62="SALDO INICIAL","APERTURA ("&amp;MOVIMIENTOS!$C62&amp;")",IF(MOVIMIENTOS!$B62="COMPRA","INGRESO (compra)",IF(MOVIMIENTOS!$B62="PROCESO","CHANCHO (proceso)",IF(MOVIMIENTOS!$B62="ENVÍO A SUPESA","ENVÍO cal. "&amp;MOVIMIENTOS!$C62,IF(MOVIMIENTOS!$B62="VENTA CHANCHO","VENTA CHANCHO",IF(MOVIMIENTOS!$B62="VENTA","VENTA cal. "&amp;MOVIMIENTOS!$C62,IF(MOVIMIENTOS!$B62="REGALO","REGALO "&amp;MOVIMIENTOS!$C62,IF(MOVIMIENTOS!$B62="RECHAZO","RECHAZO cal. "&amp;MOVIMIENTOS!$C62&amp;" (va a reproceso)",IF(MOVIMIENTOS!$B62="DEVOLUCIÓN","DEVOLUCIÓN cal. "&amp;MOVIMIENTOS!$C62&amp;" (regresa intacta)",IF(MOVIMIENTOS!$B62="TRASIEGO","TRASIEGO cal. "&amp;MOVIMIENTOS!$C62,MOVIMIENTOS!$B62)))))))))),"")</f>
        <v/>
      </c>
      <c r="M63" s="48" t="str">
        <f aca="false">IF(AND(AND(MOVIMIENTOS!$B62&lt;&gt;"",NOT(AND(MOVIMIENTOS!$B62="PROCESO",MOVIMIENTOS!$C62&lt;&gt;"Chancho")),NOT(AND(MOVIMIENTOS!$B62="SALDO INICIAL",MOVIMIENTOS!$C62="Chancho"))),OR(MOVIMIENTOS!$B62="SALDO INICIAL",MOVIMIENTOS!$B62="COMPRA",MOVIMIENTOS!$B62="REPROCESO",MOVIMIENTOS!$B62="DEVOLUCIÓN",AND(MOVIMIENTOS!$B62="AJUSTE",MOVIMIENTOS!$C62&lt;&gt;"Chancho",N(MOVIMIENTOS!$F62)&gt;=0))),N(MOVIMIENTOS!$F62),"")</f>
        <v/>
      </c>
      <c r="N63" s="48" t="str">
        <f aca="false">IF(AND(AND(MOVIMIENTOS!$B62&lt;&gt;"",NOT(AND(MOVIMIENTOS!$B62="PROCESO",MOVIMIENTOS!$C62&lt;&gt;"Chancho")),NOT(AND(MOVIMIENTOS!$B62="SALDO INICIAL",MOVIMIENTOS!$C62="Chancho"))),OR(MOVIMIENTOS!$B62="ENVÍO A SUPESA",MOVIMIENTOS!$B62="MALOGRADO",MOVIMIENTOS!$B62="OTRA SALIDA",MOVIMIENTOS!$B62="TRASIEGO",AND(MOVIMIENTOS!$B62="PROCESO",MOVIMIENTOS!$C62="Chancho"),AND(MOVIMIENTOS!$B62="REGALO",MOVIMIENTOS!$C62&lt;&gt;"Chancho"),AND(MOVIMIENTOS!$B62="VENTA",MOVIMIENTOS!$C62&lt;&gt;"Chancho"),AND(MOVIMIENTOS!$B62="AJUSTE",MOVIMIENTOS!$C62&lt;&gt;"Chancho",N(MOVIMIENTOS!$F62)&lt;0))),IF(MOVIMIENTOS!$B62="AJUSTE",-N(MOVIMIENTOS!$F62),N(MOVIMIENTOS!$F62)),"")</f>
        <v/>
      </c>
      <c r="O63" s="48" t="str">
        <f aca="false">IF(AND(MOVIMIENTOS!$B62&lt;&gt;"",NOT(AND(MOVIMIENTOS!$B62="PROCESO",MOVIMIENTOS!$C62&lt;&gt;"Chancho")),NOT(AND(MOVIMIENTOS!$B62="SALDO INICIAL",MOVIMIENTOS!$C62="Chancho"))),IF(MOVIMIENTOS!$B62="RECHAZO",MOVIMIENTOS!$E62&amp;" jabas rechazadas · van a reproceso",IF(MOVIMIENTOS!$B62="REPROCESO",MOVIMIENTOS!$E62&amp;" kg recuperados (merma del día: "&amp;TEXT(SUMPRODUCT((MOVIMIENTOS!$A$5:$A$400=MOVIMIENTOS!$A62)*(MOVIMIENTOS!$B$5:$B$400="RECHAZO")*(MOVIMIENTOS!$D$5:$D$400="jabas")*MOVIMIENTOS!$E$5:$E$400*IFERROR(_xlfn.SWITCH(MOVIMIENTOS!$C$5:$C$400,"A",15,"P",18,"C",17,"M",17,0),0))-SUMPRODUCT((MOVIMIENTOS!$A$5:$A$400=MOVIMIENTOS!$A62)*(MOVIMIENTOS!$B$5:$B$400="REPROCESO")*MOVIMIENTOS!$I$5:$I$400),"+#,##0;-#,##0;0")&amp;" kg)",TRIM(IF(MOVIMIENTOS!$G62&lt;&gt;"",MOVIMIENTOS!$G62&amp;"  ","")&amp;IF(N(MOVIMIENTOS!$D62)&gt;0,MOVIMIENTOS!$D62&amp;" "&amp;MOVIMIENTOS!$D62,"")))),"")</f>
        <v/>
      </c>
      <c r="P63" s="48" t="n">
        <f aca="false">N(P62)+N(M63)-N(N63)</f>
        <v>6807</v>
      </c>
      <c r="Q63" s="48"/>
      <c r="R63" s="48"/>
      <c r="S63" s="48"/>
      <c r="T63" s="48"/>
    </row>
    <row r="64" customFormat="false" ht="15" hidden="false" customHeight="true" outlineLevel="0" collapsed="false">
      <c r="A64" s="51" t="n">
        <f aca="false">IFERROR(INDEX(K$6:K$401,MATCH(ROW()-5,J$6:J$401,0)),"")</f>
        <v>46223</v>
      </c>
      <c r="B64" s="56" t="str">
        <f aca="false">IFERROR(INDEX(L$6:L$401,MATCH(ROW()-5,J$6:J$401,0)),"")</f>
        <v>ENVÍO cal. A</v>
      </c>
      <c r="C64" s="52" t="str">
        <f aca="false">IFERROR(INDEX(M$6:M$401,MATCH(ROW()-5,J$6:J$401,0)),"")</f>
        <v/>
      </c>
      <c r="D64" s="52" t="n">
        <f aca="false">IFERROR(INDEX(N$6:N$401,MATCH(ROW()-5,J$6:J$401,0)),"")</f>
        <v>1005</v>
      </c>
      <c r="E64" s="56" t="str">
        <f aca="false">IFERROR(INDEX(O$6:O$401,MATCH(ROW()-5,J$6:J$401,0)),"")</f>
        <v>3001</v>
      </c>
      <c r="F64" s="52" t="n">
        <f aca="false">IFERROR(INDEX(P$6:P$401,MATCH(ROW()-5,J$6:J$401,0)),"")</f>
        <v>4210.5</v>
      </c>
      <c r="G64" s="48"/>
      <c r="H64" s="48"/>
      <c r="I64" s="48"/>
      <c r="J64" s="48" t="str">
        <f aca="false">IF(AND(MOVIMIENTOS!$B63&lt;&gt;"",NOT(AND(MOVIMIENTOS!$B63="PROCESO",MOVIMIENTOS!$C63&lt;&gt;"Chancho")),NOT(AND(MOVIMIENTOS!$B63="SALDO INICIAL",MOVIMIENTOS!$C63="Chancho"))),COUNT(J$6:J63)+1,"")</f>
        <v/>
      </c>
      <c r="K64" s="48" t="str">
        <f aca="false">IF(AND(MOVIMIENTOS!$B63&lt;&gt;"",NOT(AND(MOVIMIENTOS!$B63="PROCESO",MOVIMIENTOS!$C63&lt;&gt;"Chancho")),NOT(AND(MOVIMIENTOS!$B63="SALDO INICIAL",MOVIMIENTOS!$C63="Chancho"))),MOVIMIENTOS!$A63,"")</f>
        <v/>
      </c>
      <c r="L64" s="48" t="str">
        <f aca="false">IF(AND(MOVIMIENTOS!$B63&lt;&gt;"",NOT(AND(MOVIMIENTOS!$B63="PROCESO",MOVIMIENTOS!$C63&lt;&gt;"Chancho")),NOT(AND(MOVIMIENTOS!$B63="SALDO INICIAL",MOVIMIENTOS!$C63="Chancho"))),IF(MOVIMIENTOS!$B63="SALDO INICIAL","APERTURA ("&amp;MOVIMIENTOS!$C63&amp;")",IF(MOVIMIENTOS!$B63="COMPRA","INGRESO (compra)",IF(MOVIMIENTOS!$B63="PROCESO","CHANCHO (proceso)",IF(MOVIMIENTOS!$B63="ENVÍO A SUPESA","ENVÍO cal. "&amp;MOVIMIENTOS!$C63,IF(MOVIMIENTOS!$B63="VENTA CHANCHO","VENTA CHANCHO",IF(MOVIMIENTOS!$B63="VENTA","VENTA cal. "&amp;MOVIMIENTOS!$C63,IF(MOVIMIENTOS!$B63="REGALO","REGALO "&amp;MOVIMIENTOS!$C63,IF(MOVIMIENTOS!$B63="RECHAZO","RECHAZO cal. "&amp;MOVIMIENTOS!$C63&amp;" (va a reproceso)",IF(MOVIMIENTOS!$B63="DEVOLUCIÓN","DEVOLUCIÓN cal. "&amp;MOVIMIENTOS!$C63&amp;" (regresa intacta)",IF(MOVIMIENTOS!$B63="TRASIEGO","TRASIEGO cal. "&amp;MOVIMIENTOS!$C63,MOVIMIENTOS!$B63)))))))))),"")</f>
        <v/>
      </c>
      <c r="M64" s="48" t="str">
        <f aca="false">IF(AND(AND(MOVIMIENTOS!$B63&lt;&gt;"",NOT(AND(MOVIMIENTOS!$B63="PROCESO",MOVIMIENTOS!$C63&lt;&gt;"Chancho")),NOT(AND(MOVIMIENTOS!$B63="SALDO INICIAL",MOVIMIENTOS!$C63="Chancho"))),OR(MOVIMIENTOS!$B63="SALDO INICIAL",MOVIMIENTOS!$B63="COMPRA",MOVIMIENTOS!$B63="REPROCESO",MOVIMIENTOS!$B63="DEVOLUCIÓN",AND(MOVIMIENTOS!$B63="AJUSTE",MOVIMIENTOS!$C63&lt;&gt;"Chancho",N(MOVIMIENTOS!$F63)&gt;=0))),N(MOVIMIENTOS!$F63),"")</f>
        <v/>
      </c>
      <c r="N64" s="48" t="str">
        <f aca="false">IF(AND(AND(MOVIMIENTOS!$B63&lt;&gt;"",NOT(AND(MOVIMIENTOS!$B63="PROCESO",MOVIMIENTOS!$C63&lt;&gt;"Chancho")),NOT(AND(MOVIMIENTOS!$B63="SALDO INICIAL",MOVIMIENTOS!$C63="Chancho"))),OR(MOVIMIENTOS!$B63="ENVÍO A SUPESA",MOVIMIENTOS!$B63="MALOGRADO",MOVIMIENTOS!$B63="OTRA SALIDA",MOVIMIENTOS!$B63="TRASIEGO",AND(MOVIMIENTOS!$B63="PROCESO",MOVIMIENTOS!$C63="Chancho"),AND(MOVIMIENTOS!$B63="REGALO",MOVIMIENTOS!$C63&lt;&gt;"Chancho"),AND(MOVIMIENTOS!$B63="VENTA",MOVIMIENTOS!$C63&lt;&gt;"Chancho"),AND(MOVIMIENTOS!$B63="AJUSTE",MOVIMIENTOS!$C63&lt;&gt;"Chancho",N(MOVIMIENTOS!$F63)&lt;0))),IF(MOVIMIENTOS!$B63="AJUSTE",-N(MOVIMIENTOS!$F63),N(MOVIMIENTOS!$F63)),"")</f>
        <v/>
      </c>
      <c r="O64" s="48" t="str">
        <f aca="false">IF(AND(MOVIMIENTOS!$B63&lt;&gt;"",NOT(AND(MOVIMIENTOS!$B63="PROCESO",MOVIMIENTOS!$C63&lt;&gt;"Chancho")),NOT(AND(MOVIMIENTOS!$B63="SALDO INICIAL",MOVIMIENTOS!$C63="Chancho"))),IF(MOVIMIENTOS!$B63="RECHAZO",MOVIMIENTOS!$E63&amp;" jabas rechazadas · van a reproceso",IF(MOVIMIENTOS!$B63="REPROCESO",MOVIMIENTOS!$E63&amp;" kg recuperados (merma del día: "&amp;TEXT(SUMPRODUCT((MOVIMIENTOS!$A$5:$A$400=MOVIMIENTOS!$A63)*(MOVIMIENTOS!$B$5:$B$400="RECHAZO")*(MOVIMIENTOS!$D$5:$D$400="jabas")*MOVIMIENTOS!$E$5:$E$400*IFERROR(_xlfn.SWITCH(MOVIMIENTOS!$C$5:$C$400,"A",15,"P",18,"C",17,"M",17,0),0))-SUMPRODUCT((MOVIMIENTOS!$A$5:$A$400=MOVIMIENTOS!$A63)*(MOVIMIENTOS!$B$5:$B$400="REPROCESO")*MOVIMIENTOS!$I$5:$I$400),"+#,##0;-#,##0;0")&amp;" kg)",TRIM(IF(MOVIMIENTOS!$G63&lt;&gt;"",MOVIMIENTOS!$G63&amp;"  ","")&amp;IF(N(MOVIMIENTOS!$D63)&gt;0,MOVIMIENTOS!$D63&amp;" "&amp;MOVIMIENTOS!$D63,"")))),"")</f>
        <v/>
      </c>
      <c r="P64" s="48" t="n">
        <f aca="false">N(P63)+N(M64)-N(N64)</f>
        <v>6807</v>
      </c>
      <c r="Q64" s="48"/>
      <c r="R64" s="48"/>
      <c r="S64" s="48"/>
      <c r="T64" s="48"/>
    </row>
    <row r="65" customFormat="false" ht="15" hidden="false" customHeight="true" outlineLevel="0" collapsed="false">
      <c r="A65" s="51" t="n">
        <f aca="false">IFERROR(INDEX(K$6:K$401,MATCH(ROW()-5,J$6:J$401,0)),"")</f>
        <v>46223</v>
      </c>
      <c r="B65" s="56" t="str">
        <f aca="false">IFERROR(INDEX(L$6:L$401,MATCH(ROW()-5,J$6:J$401,0)),"")</f>
        <v>ENVÍO cal. P</v>
      </c>
      <c r="C65" s="52" t="str">
        <f aca="false">IFERROR(INDEX(M$6:M$401,MATCH(ROW()-5,J$6:J$401,0)),"")</f>
        <v/>
      </c>
      <c r="D65" s="52" t="n">
        <f aca="false">IFERROR(INDEX(N$6:N$401,MATCH(ROW()-5,J$6:J$401,0)),"")</f>
        <v>198</v>
      </c>
      <c r="E65" s="56" t="str">
        <f aca="false">IFERROR(INDEX(O$6:O$401,MATCH(ROW()-5,J$6:J$401,0)),"")</f>
        <v>3001</v>
      </c>
      <c r="F65" s="52" t="n">
        <f aca="false">IFERROR(INDEX(P$6:P$401,MATCH(ROW()-5,J$6:J$401,0)),"")</f>
        <v>4012.5</v>
      </c>
      <c r="G65" s="48"/>
      <c r="H65" s="48"/>
      <c r="I65" s="48"/>
      <c r="J65" s="48" t="str">
        <f aca="false">IF(AND(MOVIMIENTOS!$B64&lt;&gt;"",NOT(AND(MOVIMIENTOS!$B64="PROCESO",MOVIMIENTOS!$C64&lt;&gt;"Chancho")),NOT(AND(MOVIMIENTOS!$B64="SALDO INICIAL",MOVIMIENTOS!$C64="Chancho"))),COUNT(J$6:J64)+1,"")</f>
        <v/>
      </c>
      <c r="K65" s="48" t="str">
        <f aca="false">IF(AND(MOVIMIENTOS!$B64&lt;&gt;"",NOT(AND(MOVIMIENTOS!$B64="PROCESO",MOVIMIENTOS!$C64&lt;&gt;"Chancho")),NOT(AND(MOVIMIENTOS!$B64="SALDO INICIAL",MOVIMIENTOS!$C64="Chancho"))),MOVIMIENTOS!$A64,"")</f>
        <v/>
      </c>
      <c r="L65" s="48" t="str">
        <f aca="false">IF(AND(MOVIMIENTOS!$B64&lt;&gt;"",NOT(AND(MOVIMIENTOS!$B64="PROCESO",MOVIMIENTOS!$C64&lt;&gt;"Chancho")),NOT(AND(MOVIMIENTOS!$B64="SALDO INICIAL",MOVIMIENTOS!$C64="Chancho"))),IF(MOVIMIENTOS!$B64="SALDO INICIAL","APERTURA ("&amp;MOVIMIENTOS!$C64&amp;")",IF(MOVIMIENTOS!$B64="COMPRA","INGRESO (compra)",IF(MOVIMIENTOS!$B64="PROCESO","CHANCHO (proceso)",IF(MOVIMIENTOS!$B64="ENVÍO A SUPESA","ENVÍO cal. "&amp;MOVIMIENTOS!$C64,IF(MOVIMIENTOS!$B64="VENTA CHANCHO","VENTA CHANCHO",IF(MOVIMIENTOS!$B64="VENTA","VENTA cal. "&amp;MOVIMIENTOS!$C64,IF(MOVIMIENTOS!$B64="REGALO","REGALO "&amp;MOVIMIENTOS!$C64,IF(MOVIMIENTOS!$B64="RECHAZO","RECHAZO cal. "&amp;MOVIMIENTOS!$C64&amp;" (va a reproceso)",IF(MOVIMIENTOS!$B64="DEVOLUCIÓN","DEVOLUCIÓN cal. "&amp;MOVIMIENTOS!$C64&amp;" (regresa intacta)",IF(MOVIMIENTOS!$B64="TRASIEGO","TRASIEGO cal. "&amp;MOVIMIENTOS!$C64,MOVIMIENTOS!$B64)))))))))),"")</f>
        <v/>
      </c>
      <c r="M65" s="48" t="str">
        <f aca="false">IF(AND(AND(MOVIMIENTOS!$B64&lt;&gt;"",NOT(AND(MOVIMIENTOS!$B64="PROCESO",MOVIMIENTOS!$C64&lt;&gt;"Chancho")),NOT(AND(MOVIMIENTOS!$B64="SALDO INICIAL",MOVIMIENTOS!$C64="Chancho"))),OR(MOVIMIENTOS!$B64="SALDO INICIAL",MOVIMIENTOS!$B64="COMPRA",MOVIMIENTOS!$B64="REPROCESO",MOVIMIENTOS!$B64="DEVOLUCIÓN",AND(MOVIMIENTOS!$B64="AJUSTE",MOVIMIENTOS!$C64&lt;&gt;"Chancho",N(MOVIMIENTOS!$F64)&gt;=0))),N(MOVIMIENTOS!$F64),"")</f>
        <v/>
      </c>
      <c r="N65" s="48" t="str">
        <f aca="false">IF(AND(AND(MOVIMIENTOS!$B64&lt;&gt;"",NOT(AND(MOVIMIENTOS!$B64="PROCESO",MOVIMIENTOS!$C64&lt;&gt;"Chancho")),NOT(AND(MOVIMIENTOS!$B64="SALDO INICIAL",MOVIMIENTOS!$C64="Chancho"))),OR(MOVIMIENTOS!$B64="ENVÍO A SUPESA",MOVIMIENTOS!$B64="MALOGRADO",MOVIMIENTOS!$B64="OTRA SALIDA",MOVIMIENTOS!$B64="TRASIEGO",AND(MOVIMIENTOS!$B64="PROCESO",MOVIMIENTOS!$C64="Chancho"),AND(MOVIMIENTOS!$B64="REGALO",MOVIMIENTOS!$C64&lt;&gt;"Chancho"),AND(MOVIMIENTOS!$B64="VENTA",MOVIMIENTOS!$C64&lt;&gt;"Chancho"),AND(MOVIMIENTOS!$B64="AJUSTE",MOVIMIENTOS!$C64&lt;&gt;"Chancho",N(MOVIMIENTOS!$F64)&lt;0))),IF(MOVIMIENTOS!$B64="AJUSTE",-N(MOVIMIENTOS!$F64),N(MOVIMIENTOS!$F64)),"")</f>
        <v/>
      </c>
      <c r="O65" s="48" t="str">
        <f aca="false">IF(AND(MOVIMIENTOS!$B64&lt;&gt;"",NOT(AND(MOVIMIENTOS!$B64="PROCESO",MOVIMIENTOS!$C64&lt;&gt;"Chancho")),NOT(AND(MOVIMIENTOS!$B64="SALDO INICIAL",MOVIMIENTOS!$C64="Chancho"))),IF(MOVIMIENTOS!$B64="RECHAZO",MOVIMIENTOS!$E64&amp;" jabas rechazadas · van a reproceso",IF(MOVIMIENTOS!$B64="REPROCESO",MOVIMIENTOS!$E64&amp;" kg recuperados (merma del día: "&amp;TEXT(SUMPRODUCT((MOVIMIENTOS!$A$5:$A$400=MOVIMIENTOS!$A64)*(MOVIMIENTOS!$B$5:$B$400="RECHAZO")*(MOVIMIENTOS!$D$5:$D$400="jabas")*MOVIMIENTOS!$E$5:$E$400*IFERROR(_xlfn.SWITCH(MOVIMIENTOS!$C$5:$C$400,"A",15,"P",18,"C",17,"M",17,0),0))-SUMPRODUCT((MOVIMIENTOS!$A$5:$A$400=MOVIMIENTOS!$A64)*(MOVIMIENTOS!$B$5:$B$400="REPROCESO")*MOVIMIENTOS!$I$5:$I$400),"+#,##0;-#,##0;0")&amp;" kg)",TRIM(IF(MOVIMIENTOS!$G64&lt;&gt;"",MOVIMIENTOS!$G64&amp;"  ","")&amp;IF(N(MOVIMIENTOS!$D64)&gt;0,MOVIMIENTOS!$D64&amp;" "&amp;MOVIMIENTOS!$D64,"")))),"")</f>
        <v/>
      </c>
      <c r="P65" s="48" t="n">
        <f aca="false">N(P64)+N(M65)-N(N65)</f>
        <v>6807</v>
      </c>
      <c r="Q65" s="48"/>
      <c r="R65" s="48"/>
      <c r="S65" s="48"/>
      <c r="T65" s="48"/>
    </row>
    <row r="66" customFormat="false" ht="15" hidden="false" customHeight="true" outlineLevel="0" collapsed="false">
      <c r="A66" s="51" t="n">
        <f aca="false">IFERROR(INDEX(K$6:K$401,MATCH(ROW()-5,J$6:J$401,0)),"")</f>
        <v>46223</v>
      </c>
      <c r="B66" s="56" t="str">
        <f aca="false">IFERROR(INDEX(L$6:L$401,MATCH(ROW()-5,J$6:J$401,0)),"")</f>
        <v>ENVÍO cal. C</v>
      </c>
      <c r="C66" s="52" t="str">
        <f aca="false">IFERROR(INDEX(M$6:M$401,MATCH(ROW()-5,J$6:J$401,0)),"")</f>
        <v/>
      </c>
      <c r="D66" s="52" t="n">
        <f aca="false">IFERROR(INDEX(N$6:N$401,MATCH(ROW()-5,J$6:J$401,0)),"")</f>
        <v>204</v>
      </c>
      <c r="E66" s="56" t="str">
        <f aca="false">IFERROR(INDEX(O$6:O$401,MATCH(ROW()-5,J$6:J$401,0)),"")</f>
        <v>3001</v>
      </c>
      <c r="F66" s="52" t="n">
        <f aca="false">IFERROR(INDEX(P$6:P$401,MATCH(ROW()-5,J$6:J$401,0)),"")</f>
        <v>3808.5</v>
      </c>
      <c r="G66" s="48"/>
      <c r="H66" s="48"/>
      <c r="I66" s="48"/>
      <c r="J66" s="48" t="n">
        <f aca="false">IF(AND(MOVIMIENTOS!$B65&lt;&gt;"",NOT(AND(MOVIMIENTOS!$B65="PROCESO",MOVIMIENTOS!$C65&lt;&gt;"Chancho")),NOT(AND(MOVIMIENTOS!$B65="SALDO INICIAL",MOVIMIENTOS!$C65="Chancho"))),COUNT(J$6:J65)+1,"")</f>
        <v>36</v>
      </c>
      <c r="K66" s="53" t="n">
        <f aca="false">IF(AND(MOVIMIENTOS!$B65&lt;&gt;"",NOT(AND(MOVIMIENTOS!$B65="PROCESO",MOVIMIENTOS!$C65&lt;&gt;"Chancho")),NOT(AND(MOVIMIENTOS!$B65="SALDO INICIAL",MOVIMIENTOS!$C65="Chancho"))),MOVIMIENTOS!$A65,"")</f>
        <v>46220</v>
      </c>
      <c r="L66" s="48" t="str">
        <f aca="false">IF(AND(MOVIMIENTOS!$B65&lt;&gt;"",NOT(AND(MOVIMIENTOS!$B65="PROCESO",MOVIMIENTOS!$C65&lt;&gt;"Chancho")),NOT(AND(MOVIMIENTOS!$B65="SALDO INICIAL",MOVIMIENTOS!$C65="Chancho"))),IF(MOVIMIENTOS!$B65="SALDO INICIAL","APERTURA ("&amp;MOVIMIENTOS!$C65&amp;")",IF(MOVIMIENTOS!$B65="COMPRA","INGRESO (compra)",IF(MOVIMIENTOS!$B65="PROCESO","CHANCHO (proceso)",IF(MOVIMIENTOS!$B65="ENVÍO A SUPESA","ENVÍO cal. "&amp;MOVIMIENTOS!$C65,IF(MOVIMIENTOS!$B65="VENTA CHANCHO","VENTA CHANCHO",IF(MOVIMIENTOS!$B65="VENTA","VENTA cal. "&amp;MOVIMIENTOS!$C65,IF(MOVIMIENTOS!$B65="REGALO","REGALO "&amp;MOVIMIENTOS!$C65,IF(MOVIMIENTOS!$B65="RECHAZO","RECHAZO cal. "&amp;MOVIMIENTOS!$C65&amp;" (va a reproceso)",IF(MOVIMIENTOS!$B65="DEVOLUCIÓN","DEVOLUCIÓN cal. "&amp;MOVIMIENTOS!$C65&amp;" (regresa intacta)",IF(MOVIMIENTOS!$B65="TRASIEGO","TRASIEGO cal. "&amp;MOVIMIENTOS!$C65,MOVIMIENTOS!$B65)))))))))),"")</f>
        <v>CHANCHO (proceso)</v>
      </c>
      <c r="M66" s="48" t="str">
        <f aca="false">IF(AND(AND(MOVIMIENTOS!$B65&lt;&gt;"",NOT(AND(MOVIMIENTOS!$B65="PROCESO",MOVIMIENTOS!$C65&lt;&gt;"Chancho")),NOT(AND(MOVIMIENTOS!$B65="SALDO INICIAL",MOVIMIENTOS!$C65="Chancho"))),OR(MOVIMIENTOS!$B65="SALDO INICIAL",MOVIMIENTOS!$B65="COMPRA",MOVIMIENTOS!$B65="REPROCESO",MOVIMIENTOS!$B65="DEVOLUCIÓN",AND(MOVIMIENTOS!$B65="AJUSTE",MOVIMIENTOS!$C65&lt;&gt;"Chancho",N(MOVIMIENTOS!$F65)&gt;=0))),N(MOVIMIENTOS!$F65),"")</f>
        <v/>
      </c>
      <c r="N66" s="48" t="n">
        <f aca="false">IF(AND(AND(MOVIMIENTOS!$B65&lt;&gt;"",NOT(AND(MOVIMIENTOS!$B65="PROCESO",MOVIMIENTOS!$C65&lt;&gt;"Chancho")),NOT(AND(MOVIMIENTOS!$B65="SALDO INICIAL",MOVIMIENTOS!$C65="Chancho"))),OR(MOVIMIENTOS!$B65="ENVÍO A SUPESA",MOVIMIENTOS!$B65="MALOGRADO",MOVIMIENTOS!$B65="OTRA SALIDA",MOVIMIENTOS!$B65="TRASIEGO",AND(MOVIMIENTOS!$B65="PROCESO",MOVIMIENTOS!$C65="Chancho"),AND(MOVIMIENTOS!$B65="REGALO",MOVIMIENTOS!$C65&lt;&gt;"Chancho"),AND(MOVIMIENTOS!$B65="VENTA",MOVIMIENTOS!$C65&lt;&gt;"Chancho"),AND(MOVIMIENTOS!$B65="AJUSTE",MOVIMIENTOS!$C65&lt;&gt;"Chancho",N(MOVIMIENTOS!$F65)&lt;0))),IF(MOVIMIENTOS!$B65="AJUSTE",-N(MOVIMIENTOS!$F65),N(MOVIMIENTOS!$F65)),"")</f>
        <v>950</v>
      </c>
      <c r="O66" s="48" t="str">
        <f aca="false">IF(AND(MOVIMIENTOS!$B65&lt;&gt;"",NOT(AND(MOVIMIENTOS!$B65="PROCESO",MOVIMIENTOS!$C65&lt;&gt;"Chancho")),NOT(AND(MOVIMIENTOS!$B65="SALDO INICIAL",MOVIMIENTOS!$C65="Chancho"))),IF(MOVIMIENTOS!$B65="RECHAZO",MOVIMIENTOS!$E65&amp;" jabas rechazadas · van a reproceso",IF(MOVIMIENTOS!$B65="REPROCESO",MOVIMIENTOS!$E65&amp;" kg recuperados (merma del día: "&amp;TEXT(SUMPRODUCT((MOVIMIENTOS!$A$5:$A$400=MOVIMIENTOS!$A65)*(MOVIMIENTOS!$B$5:$B$400="RECHAZO")*(MOVIMIENTOS!$D$5:$D$400="jabas")*MOVIMIENTOS!$E$5:$E$400*IFERROR(_xlfn.SWITCH(MOVIMIENTOS!$C$5:$C$400,"A",15,"P",18,"C",17,"M",17,0),0))-SUMPRODUCT((MOVIMIENTOS!$A$5:$A$400=MOVIMIENTOS!$A65)*(MOVIMIENTOS!$B$5:$B$400="REPROCESO")*MOVIMIENTOS!$I$5:$I$400),"+#,##0;-#,##0;0")&amp;" kg)",TRIM(IF(MOVIMIENTOS!$G65&lt;&gt;"",MOVIMIENTOS!$G65&amp;"  ","")&amp;IF(N(MOVIMIENTOS!$D65)&gt;0,MOVIMIENTOS!$D65&amp;" "&amp;MOVIMIENTOS!$D65,"")))),"")</f>
        <v/>
      </c>
      <c r="P66" s="48" t="n">
        <f aca="false">N(P65)+N(M66)-N(N66)</f>
        <v>5857</v>
      </c>
      <c r="Q66" s="48"/>
      <c r="R66" s="48"/>
      <c r="S66" s="48"/>
      <c r="T66" s="48"/>
    </row>
    <row r="67" customFormat="false" ht="15" hidden="false" customHeight="true" outlineLevel="0" collapsed="false">
      <c r="A67" s="51" t="n">
        <f aca="false">IFERROR(INDEX(K$6:K$401,MATCH(ROW()-5,J$6:J$401,0)),"")</f>
        <v>46223</v>
      </c>
      <c r="B67" s="56" t="str">
        <f aca="false">IFERROR(INDEX(L$6:L$401,MATCH(ROW()-5,J$6:J$401,0)),"")</f>
        <v>ENVÍO cal. M</v>
      </c>
      <c r="C67" s="52" t="str">
        <f aca="false">IFERROR(INDEX(M$6:M$401,MATCH(ROW()-5,J$6:J$401,0)),"")</f>
        <v/>
      </c>
      <c r="D67" s="52" t="n">
        <f aca="false">IFERROR(INDEX(N$6:N$401,MATCH(ROW()-5,J$6:J$401,0)),"")</f>
        <v>1887</v>
      </c>
      <c r="E67" s="56" t="str">
        <f aca="false">IFERROR(INDEX(O$6:O$401,MATCH(ROW()-5,J$6:J$401,0)),"")</f>
        <v>3001</v>
      </c>
      <c r="F67" s="52" t="n">
        <f aca="false">IFERROR(INDEX(P$6:P$401,MATCH(ROW()-5,J$6:J$401,0)),"")</f>
        <v>1921.5</v>
      </c>
      <c r="G67" s="48"/>
      <c r="H67" s="48"/>
      <c r="I67" s="48"/>
      <c r="J67" s="48" t="n">
        <f aca="false">IF(AND(MOVIMIENTOS!$B66&lt;&gt;"",NOT(AND(MOVIMIENTOS!$B66="PROCESO",MOVIMIENTOS!$C66&lt;&gt;"Chancho")),NOT(AND(MOVIMIENTOS!$B66="SALDO INICIAL",MOVIMIENTOS!$C66="Chancho"))),COUNT(J$6:J66)+1,"")</f>
        <v>37</v>
      </c>
      <c r="K67" s="53" t="n">
        <f aca="false">IF(AND(MOVIMIENTOS!$B66&lt;&gt;"",NOT(AND(MOVIMIENTOS!$B66="PROCESO",MOVIMIENTOS!$C66&lt;&gt;"Chancho")),NOT(AND(MOVIMIENTOS!$B66="SALDO INICIAL",MOVIMIENTOS!$C66="Chancho"))),MOVIMIENTOS!$A66,"")</f>
        <v>46220</v>
      </c>
      <c r="L67" s="48" t="str">
        <f aca="false">IF(AND(MOVIMIENTOS!$B66&lt;&gt;"",NOT(AND(MOVIMIENTOS!$B66="PROCESO",MOVIMIENTOS!$C66&lt;&gt;"Chancho")),NOT(AND(MOVIMIENTOS!$B66="SALDO INICIAL",MOVIMIENTOS!$C66="Chancho"))),IF(MOVIMIENTOS!$B66="SALDO INICIAL","APERTURA ("&amp;MOVIMIENTOS!$C66&amp;")",IF(MOVIMIENTOS!$B66="COMPRA","INGRESO (compra)",IF(MOVIMIENTOS!$B66="PROCESO","CHANCHO (proceso)",IF(MOVIMIENTOS!$B66="ENVÍO A SUPESA","ENVÍO cal. "&amp;MOVIMIENTOS!$C66,IF(MOVIMIENTOS!$B66="VENTA CHANCHO","VENTA CHANCHO",IF(MOVIMIENTOS!$B66="VENTA","VENTA cal. "&amp;MOVIMIENTOS!$C66,IF(MOVIMIENTOS!$B66="REGALO","REGALO "&amp;MOVIMIENTOS!$C66,IF(MOVIMIENTOS!$B66="RECHAZO","RECHAZO cal. "&amp;MOVIMIENTOS!$C66&amp;" (va a reproceso)",IF(MOVIMIENTOS!$B66="DEVOLUCIÓN","DEVOLUCIÓN cal. "&amp;MOVIMIENTOS!$C66&amp;" (regresa intacta)",IF(MOVIMIENTOS!$B66="TRASIEGO","TRASIEGO cal. "&amp;MOVIMIENTOS!$C66,MOVIMIENTOS!$B66)))))))))),"")</f>
        <v>ENVÍO cal. A</v>
      </c>
      <c r="M67" s="48" t="str">
        <f aca="false">IF(AND(AND(MOVIMIENTOS!$B66&lt;&gt;"",NOT(AND(MOVIMIENTOS!$B66="PROCESO",MOVIMIENTOS!$C66&lt;&gt;"Chancho")),NOT(AND(MOVIMIENTOS!$B66="SALDO INICIAL",MOVIMIENTOS!$C66="Chancho"))),OR(MOVIMIENTOS!$B66="SALDO INICIAL",MOVIMIENTOS!$B66="COMPRA",MOVIMIENTOS!$B66="REPROCESO",MOVIMIENTOS!$B66="DEVOLUCIÓN",AND(MOVIMIENTOS!$B66="AJUSTE",MOVIMIENTOS!$C66&lt;&gt;"Chancho",N(MOVIMIENTOS!$F66)&gt;=0))),N(MOVIMIENTOS!$F66),"")</f>
        <v/>
      </c>
      <c r="N67" s="48" t="n">
        <f aca="false">IF(AND(AND(MOVIMIENTOS!$B66&lt;&gt;"",NOT(AND(MOVIMIENTOS!$B66="PROCESO",MOVIMIENTOS!$C66&lt;&gt;"Chancho")),NOT(AND(MOVIMIENTOS!$B66="SALDO INICIAL",MOVIMIENTOS!$C66="Chancho"))),OR(MOVIMIENTOS!$B66="ENVÍO A SUPESA",MOVIMIENTOS!$B66="MALOGRADO",MOVIMIENTOS!$B66="OTRA SALIDA",MOVIMIENTOS!$B66="TRASIEGO",AND(MOVIMIENTOS!$B66="PROCESO",MOVIMIENTOS!$C66="Chancho"),AND(MOVIMIENTOS!$B66="REGALO",MOVIMIENTOS!$C66&lt;&gt;"Chancho"),AND(MOVIMIENTOS!$B66="VENTA",MOVIMIENTOS!$C66&lt;&gt;"Chancho"),AND(MOVIMIENTOS!$B66="AJUSTE",MOVIMIENTOS!$C66&lt;&gt;"Chancho",N(MOVIMIENTOS!$F66)&lt;0))),IF(MOVIMIENTOS!$B66="AJUSTE",-N(MOVIMIENTOS!$F66),N(MOVIMIENTOS!$F66)),"")</f>
        <v>1005</v>
      </c>
      <c r="O67" s="48" t="str">
        <f aca="false">IF(AND(MOVIMIENTOS!$B66&lt;&gt;"",NOT(AND(MOVIMIENTOS!$B66="PROCESO",MOVIMIENTOS!$C66&lt;&gt;"Chancho")),NOT(AND(MOVIMIENTOS!$B66="SALDO INICIAL",MOVIMIENTOS!$C66="Chancho"))),IF(MOVIMIENTOS!$B66="RECHAZO",MOVIMIENTOS!$E66&amp;" jabas rechazadas · van a reproceso",IF(MOVIMIENTOS!$B66="REPROCESO",MOVIMIENTOS!$E66&amp;" kg recuperados (merma del día: "&amp;TEXT(SUMPRODUCT((MOVIMIENTOS!$A$5:$A$400=MOVIMIENTOS!$A66)*(MOVIMIENTOS!$B$5:$B$400="RECHAZO")*(MOVIMIENTOS!$D$5:$D$400="jabas")*MOVIMIENTOS!$E$5:$E$400*IFERROR(_xlfn.SWITCH(MOVIMIENTOS!$C$5:$C$400,"A",15,"P",18,"C",17,"M",17,0),0))-SUMPRODUCT((MOVIMIENTOS!$A$5:$A$400=MOVIMIENTOS!$A66)*(MOVIMIENTOS!$B$5:$B$400="REPROCESO")*MOVIMIENTOS!$I$5:$I$400),"+#,##0;-#,##0;0")&amp;" kg)",TRIM(IF(MOVIMIENTOS!$G66&lt;&gt;"",MOVIMIENTOS!$G66&amp;"  ","")&amp;IF(N(MOVIMIENTOS!$D66)&gt;0,MOVIMIENTOS!$D66&amp;" "&amp;MOVIMIENTOS!$D66,"")))),"")</f>
        <v>2994</v>
      </c>
      <c r="P67" s="48" t="n">
        <f aca="false">N(P66)+N(M67)-N(N67)</f>
        <v>4852</v>
      </c>
      <c r="Q67" s="48"/>
      <c r="R67" s="48"/>
      <c r="S67" s="48"/>
      <c r="T67" s="48"/>
    </row>
    <row r="68" customFormat="false" ht="15" hidden="false" customHeight="true" outlineLevel="0" collapsed="false">
      <c r="A68" s="51" t="n">
        <f aca="false">IFERROR(INDEX(K$6:K$401,MATCH(ROW()-5,J$6:J$401,0)),"")</f>
        <v>46223</v>
      </c>
      <c r="B68" s="56" t="str">
        <f aca="false">IFERROR(INDEX(L$6:L$401,MATCH(ROW()-5,J$6:J$401,0)),"")</f>
        <v>VENTA CHANCHO</v>
      </c>
      <c r="C68" s="52" t="str">
        <f aca="false">IFERROR(INDEX(M$6:M$401,MATCH(ROW()-5,J$6:J$401,0)),"")</f>
        <v/>
      </c>
      <c r="D68" s="52" t="str">
        <f aca="false">IFERROR(INDEX(N$6:N$401,MATCH(ROW()-5,J$6:J$401,0)),"")</f>
        <v/>
      </c>
      <c r="E68" s="56" t="str">
        <f aca="false">IFERROR(INDEX(O$6:O$401,MATCH(ROW()-5,J$6:J$401,0)),"")</f>
        <v>TCK002-726</v>
      </c>
      <c r="F68" s="52" t="n">
        <f aca="false">IFERROR(INDEX(P$6:P$401,MATCH(ROW()-5,J$6:J$401,0)),"")</f>
        <v>1921.5</v>
      </c>
      <c r="G68" s="48"/>
      <c r="H68" s="48"/>
      <c r="I68" s="48"/>
      <c r="J68" s="48" t="n">
        <f aca="false">IF(AND(MOVIMIENTOS!$B67&lt;&gt;"",NOT(AND(MOVIMIENTOS!$B67="PROCESO",MOVIMIENTOS!$C67&lt;&gt;"Chancho")),NOT(AND(MOVIMIENTOS!$B67="SALDO INICIAL",MOVIMIENTOS!$C67="Chancho"))),COUNT(J$6:J67)+1,"")</f>
        <v>38</v>
      </c>
      <c r="K68" s="53" t="n">
        <f aca="false">IF(AND(MOVIMIENTOS!$B67&lt;&gt;"",NOT(AND(MOVIMIENTOS!$B67="PROCESO",MOVIMIENTOS!$C67&lt;&gt;"Chancho")),NOT(AND(MOVIMIENTOS!$B67="SALDO INICIAL",MOVIMIENTOS!$C67="Chancho"))),MOVIMIENTOS!$A67,"")</f>
        <v>46220</v>
      </c>
      <c r="L68" s="48" t="str">
        <f aca="false">IF(AND(MOVIMIENTOS!$B67&lt;&gt;"",NOT(AND(MOVIMIENTOS!$B67="PROCESO",MOVIMIENTOS!$C67&lt;&gt;"Chancho")),NOT(AND(MOVIMIENTOS!$B67="SALDO INICIAL",MOVIMIENTOS!$C67="Chancho"))),IF(MOVIMIENTOS!$B67="SALDO INICIAL","APERTURA ("&amp;MOVIMIENTOS!$C67&amp;")",IF(MOVIMIENTOS!$B67="COMPRA","INGRESO (compra)",IF(MOVIMIENTOS!$B67="PROCESO","CHANCHO (proceso)",IF(MOVIMIENTOS!$B67="ENVÍO A SUPESA","ENVÍO cal. "&amp;MOVIMIENTOS!$C67,IF(MOVIMIENTOS!$B67="VENTA CHANCHO","VENTA CHANCHO",IF(MOVIMIENTOS!$B67="VENTA","VENTA cal. "&amp;MOVIMIENTOS!$C67,IF(MOVIMIENTOS!$B67="REGALO","REGALO "&amp;MOVIMIENTOS!$C67,IF(MOVIMIENTOS!$B67="RECHAZO","RECHAZO cal. "&amp;MOVIMIENTOS!$C67&amp;" (va a reproceso)",IF(MOVIMIENTOS!$B67="DEVOLUCIÓN","DEVOLUCIÓN cal. "&amp;MOVIMIENTOS!$C67&amp;" (regresa intacta)",IF(MOVIMIENTOS!$B67="TRASIEGO","TRASIEGO cal. "&amp;MOVIMIENTOS!$C67,MOVIMIENTOS!$B67)))))))))),"")</f>
        <v>ENVÍO cal. P</v>
      </c>
      <c r="M68" s="48" t="str">
        <f aca="false">IF(AND(AND(MOVIMIENTOS!$B67&lt;&gt;"",NOT(AND(MOVIMIENTOS!$B67="PROCESO",MOVIMIENTOS!$C67&lt;&gt;"Chancho")),NOT(AND(MOVIMIENTOS!$B67="SALDO INICIAL",MOVIMIENTOS!$C67="Chancho"))),OR(MOVIMIENTOS!$B67="SALDO INICIAL",MOVIMIENTOS!$B67="COMPRA",MOVIMIENTOS!$B67="REPROCESO",MOVIMIENTOS!$B67="DEVOLUCIÓN",AND(MOVIMIENTOS!$B67="AJUSTE",MOVIMIENTOS!$C67&lt;&gt;"Chancho",N(MOVIMIENTOS!$F67)&gt;=0))),N(MOVIMIENTOS!$F67),"")</f>
        <v/>
      </c>
      <c r="N68" s="48" t="n">
        <f aca="false">IF(AND(AND(MOVIMIENTOS!$B67&lt;&gt;"",NOT(AND(MOVIMIENTOS!$B67="PROCESO",MOVIMIENTOS!$C67&lt;&gt;"Chancho")),NOT(AND(MOVIMIENTOS!$B67="SALDO INICIAL",MOVIMIENTOS!$C67="Chancho"))),OR(MOVIMIENTOS!$B67="ENVÍO A SUPESA",MOVIMIENTOS!$B67="MALOGRADO",MOVIMIENTOS!$B67="OTRA SALIDA",MOVIMIENTOS!$B67="TRASIEGO",AND(MOVIMIENTOS!$B67="PROCESO",MOVIMIENTOS!$C67="Chancho"),AND(MOVIMIENTOS!$B67="REGALO",MOVIMIENTOS!$C67&lt;&gt;"Chancho"),AND(MOVIMIENTOS!$B67="VENTA",MOVIMIENTOS!$C67&lt;&gt;"Chancho"),AND(MOVIMIENTOS!$B67="AJUSTE",MOVIMIENTOS!$C67&lt;&gt;"Chancho",N(MOVIMIENTOS!$F67)&lt;0))),IF(MOVIMIENTOS!$B67="AJUSTE",-N(MOVIMIENTOS!$F67),N(MOVIMIENTOS!$F67)),"")</f>
        <v>198</v>
      </c>
      <c r="O68" s="48" t="str">
        <f aca="false">IF(AND(MOVIMIENTOS!$B67&lt;&gt;"",NOT(AND(MOVIMIENTOS!$B67="PROCESO",MOVIMIENTOS!$C67&lt;&gt;"Chancho")),NOT(AND(MOVIMIENTOS!$B67="SALDO INICIAL",MOVIMIENTOS!$C67="Chancho"))),IF(MOVIMIENTOS!$B67="RECHAZO",MOVIMIENTOS!$E67&amp;" jabas rechazadas · van a reproceso",IF(MOVIMIENTOS!$B67="REPROCESO",MOVIMIENTOS!$E67&amp;" kg recuperados (merma del día: "&amp;TEXT(SUMPRODUCT((MOVIMIENTOS!$A$5:$A$400=MOVIMIENTOS!$A67)*(MOVIMIENTOS!$B$5:$B$400="RECHAZO")*(MOVIMIENTOS!$D$5:$D$400="jabas")*MOVIMIENTOS!$E$5:$E$400*IFERROR(_xlfn.SWITCH(MOVIMIENTOS!$C$5:$C$400,"A",15,"P",18,"C",17,"M",17,0),0))-SUMPRODUCT((MOVIMIENTOS!$A$5:$A$400=MOVIMIENTOS!$A67)*(MOVIMIENTOS!$B$5:$B$400="REPROCESO")*MOVIMIENTOS!$I$5:$I$400),"+#,##0;-#,##0;0")&amp;" kg)",TRIM(IF(MOVIMIENTOS!$G67&lt;&gt;"",MOVIMIENTOS!$G67&amp;"  ","")&amp;IF(N(MOVIMIENTOS!$D67)&gt;0,MOVIMIENTOS!$D67&amp;" "&amp;MOVIMIENTOS!$D67,"")))),"")</f>
        <v>2994</v>
      </c>
      <c r="P68" s="48" t="n">
        <f aca="false">N(P67)+N(M68)-N(N68)</f>
        <v>4654</v>
      </c>
      <c r="Q68" s="48"/>
      <c r="R68" s="48"/>
      <c r="S68" s="48"/>
      <c r="T68" s="48"/>
    </row>
    <row r="69" customFormat="false" ht="15" hidden="false" customHeight="true" outlineLevel="0" collapsed="false">
      <c r="A69" s="51" t="n">
        <f aca="false">IFERROR(INDEX(K$6:K$401,MATCH(ROW()-5,J$6:J$401,0)),"")</f>
        <v>46223</v>
      </c>
      <c r="B69" s="56" t="str">
        <f aca="false">IFERROR(INDEX(L$6:L$401,MATCH(ROW()-5,J$6:J$401,0)),"")</f>
        <v>INGRESO (compra)</v>
      </c>
      <c r="C69" s="52" t="n">
        <f aca="false">IFERROR(INDEX(M$6:M$401,MATCH(ROW()-5,J$6:J$401,0)),"")</f>
        <v>2090</v>
      </c>
      <c r="D69" s="52" t="str">
        <f aca="false">IFERROR(INDEX(N$6:N$401,MATCH(ROW()-5,J$6:J$401,0)),"")</f>
        <v/>
      </c>
      <c r="E69" s="56" t="str">
        <f aca="false">IFERROR(INDEX(O$6:O$401,MATCH(ROW()-5,J$6:J$401,0)),"")</f>
        <v/>
      </c>
      <c r="F69" s="52" t="n">
        <f aca="false">IFERROR(INDEX(P$6:P$401,MATCH(ROW()-5,J$6:J$401,0)),"")</f>
        <v>4011.5</v>
      </c>
      <c r="G69" s="48"/>
      <c r="H69" s="48"/>
      <c r="I69" s="48"/>
      <c r="J69" s="48" t="n">
        <f aca="false">IF(AND(MOVIMIENTOS!$B68&lt;&gt;"",NOT(AND(MOVIMIENTOS!$B68="PROCESO",MOVIMIENTOS!$C68&lt;&gt;"Chancho")),NOT(AND(MOVIMIENTOS!$B68="SALDO INICIAL",MOVIMIENTOS!$C68="Chancho"))),COUNT(J$6:J68)+1,"")</f>
        <v>39</v>
      </c>
      <c r="K69" s="53" t="n">
        <f aca="false">IF(AND(MOVIMIENTOS!$B68&lt;&gt;"",NOT(AND(MOVIMIENTOS!$B68="PROCESO",MOVIMIENTOS!$C68&lt;&gt;"Chancho")),NOT(AND(MOVIMIENTOS!$B68="SALDO INICIAL",MOVIMIENTOS!$C68="Chancho"))),MOVIMIENTOS!$A68,"")</f>
        <v>46220</v>
      </c>
      <c r="L69" s="48" t="str">
        <f aca="false">IF(AND(MOVIMIENTOS!$B68&lt;&gt;"",NOT(AND(MOVIMIENTOS!$B68="PROCESO",MOVIMIENTOS!$C68&lt;&gt;"Chancho")),NOT(AND(MOVIMIENTOS!$B68="SALDO INICIAL",MOVIMIENTOS!$C68="Chancho"))),IF(MOVIMIENTOS!$B68="SALDO INICIAL","APERTURA ("&amp;MOVIMIENTOS!$C68&amp;")",IF(MOVIMIENTOS!$B68="COMPRA","INGRESO (compra)",IF(MOVIMIENTOS!$B68="PROCESO","CHANCHO (proceso)",IF(MOVIMIENTOS!$B68="ENVÍO A SUPESA","ENVÍO cal. "&amp;MOVIMIENTOS!$C68,IF(MOVIMIENTOS!$B68="VENTA CHANCHO","VENTA CHANCHO",IF(MOVIMIENTOS!$B68="VENTA","VENTA cal. "&amp;MOVIMIENTOS!$C68,IF(MOVIMIENTOS!$B68="REGALO","REGALO "&amp;MOVIMIENTOS!$C68,IF(MOVIMIENTOS!$B68="RECHAZO","RECHAZO cal. "&amp;MOVIMIENTOS!$C68&amp;" (va a reproceso)",IF(MOVIMIENTOS!$B68="DEVOLUCIÓN","DEVOLUCIÓN cal. "&amp;MOVIMIENTOS!$C68&amp;" (regresa intacta)",IF(MOVIMIENTOS!$B68="TRASIEGO","TRASIEGO cal. "&amp;MOVIMIENTOS!$C68,MOVIMIENTOS!$B68)))))))))),"")</f>
        <v>ENVÍO cal. C</v>
      </c>
      <c r="M69" s="48" t="str">
        <f aca="false">IF(AND(AND(MOVIMIENTOS!$B68&lt;&gt;"",NOT(AND(MOVIMIENTOS!$B68="PROCESO",MOVIMIENTOS!$C68&lt;&gt;"Chancho")),NOT(AND(MOVIMIENTOS!$B68="SALDO INICIAL",MOVIMIENTOS!$C68="Chancho"))),OR(MOVIMIENTOS!$B68="SALDO INICIAL",MOVIMIENTOS!$B68="COMPRA",MOVIMIENTOS!$B68="REPROCESO",MOVIMIENTOS!$B68="DEVOLUCIÓN",AND(MOVIMIENTOS!$B68="AJUSTE",MOVIMIENTOS!$C68&lt;&gt;"Chancho",N(MOVIMIENTOS!$F68)&gt;=0))),N(MOVIMIENTOS!$F68),"")</f>
        <v/>
      </c>
      <c r="N69" s="48" t="n">
        <f aca="false">IF(AND(AND(MOVIMIENTOS!$B68&lt;&gt;"",NOT(AND(MOVIMIENTOS!$B68="PROCESO",MOVIMIENTOS!$C68&lt;&gt;"Chancho")),NOT(AND(MOVIMIENTOS!$B68="SALDO INICIAL",MOVIMIENTOS!$C68="Chancho"))),OR(MOVIMIENTOS!$B68="ENVÍO A SUPESA",MOVIMIENTOS!$B68="MALOGRADO",MOVIMIENTOS!$B68="OTRA SALIDA",MOVIMIENTOS!$B68="TRASIEGO",AND(MOVIMIENTOS!$B68="PROCESO",MOVIMIENTOS!$C68="Chancho"),AND(MOVIMIENTOS!$B68="REGALO",MOVIMIENTOS!$C68&lt;&gt;"Chancho"),AND(MOVIMIENTOS!$B68="VENTA",MOVIMIENTOS!$C68&lt;&gt;"Chancho"),AND(MOVIMIENTOS!$B68="AJUSTE",MOVIMIENTOS!$C68&lt;&gt;"Chancho",N(MOVIMIENTOS!$F68)&lt;0))),IF(MOVIMIENTOS!$B68="AJUSTE",-N(MOVIMIENTOS!$F68),N(MOVIMIENTOS!$F68)),"")</f>
        <v>204</v>
      </c>
      <c r="O69" s="48" t="str">
        <f aca="false">IF(AND(MOVIMIENTOS!$B68&lt;&gt;"",NOT(AND(MOVIMIENTOS!$B68="PROCESO",MOVIMIENTOS!$C68&lt;&gt;"Chancho")),NOT(AND(MOVIMIENTOS!$B68="SALDO INICIAL",MOVIMIENTOS!$C68="Chancho"))),IF(MOVIMIENTOS!$B68="RECHAZO",MOVIMIENTOS!$E68&amp;" jabas rechazadas · van a reproceso",IF(MOVIMIENTOS!$B68="REPROCESO",MOVIMIENTOS!$E68&amp;" kg recuperados (merma del día: "&amp;TEXT(SUMPRODUCT((MOVIMIENTOS!$A$5:$A$400=MOVIMIENTOS!$A68)*(MOVIMIENTOS!$B$5:$B$400="RECHAZO")*(MOVIMIENTOS!$D$5:$D$400="jabas")*MOVIMIENTOS!$E$5:$E$400*IFERROR(_xlfn.SWITCH(MOVIMIENTOS!$C$5:$C$400,"A",15,"P",18,"C",17,"M",17,0),0))-SUMPRODUCT((MOVIMIENTOS!$A$5:$A$400=MOVIMIENTOS!$A68)*(MOVIMIENTOS!$B$5:$B$400="REPROCESO")*MOVIMIENTOS!$I$5:$I$400),"+#,##0;-#,##0;0")&amp;" kg)",TRIM(IF(MOVIMIENTOS!$G68&lt;&gt;"",MOVIMIENTOS!$G68&amp;"  ","")&amp;IF(N(MOVIMIENTOS!$D68)&gt;0,MOVIMIENTOS!$D68&amp;" "&amp;MOVIMIENTOS!$D68,"")))),"")</f>
        <v>2994</v>
      </c>
      <c r="P69" s="48" t="n">
        <f aca="false">N(P68)+N(M69)-N(N69)</f>
        <v>4450</v>
      </c>
      <c r="Q69" s="48"/>
      <c r="R69" s="48"/>
      <c r="S69" s="48"/>
      <c r="T69" s="48"/>
    </row>
    <row r="70" customFormat="false" ht="15" hidden="false" customHeight="true" outlineLevel="0" collapsed="false">
      <c r="A70" s="51" t="n">
        <f aca="false">IFERROR(INDEX(K$6:K$401,MATCH(ROW()-5,J$6:J$401,0)),"")</f>
        <v>46223</v>
      </c>
      <c r="B70" s="56" t="str">
        <f aca="false">IFERROR(INDEX(L$6:L$401,MATCH(ROW()-5,J$6:J$401,0)),"")</f>
        <v>TRASIEGO cal. P</v>
      </c>
      <c r="C70" s="52" t="str">
        <f aca="false">IFERROR(INDEX(M$6:M$401,MATCH(ROW()-5,J$6:J$401,0)),"")</f>
        <v/>
      </c>
      <c r="D70" s="52" t="n">
        <f aca="false">IFERROR(INDEX(N$6:N$401,MATCH(ROW()-5,J$6:J$401,0)),"")</f>
        <v>18</v>
      </c>
      <c r="E70" s="56" t="str">
        <f aca="false">IFERROR(INDEX(O$6:O$401,MATCH(ROW()-5,J$6:J$401,0)),"")</f>
        <v/>
      </c>
      <c r="F70" s="52" t="n">
        <f aca="false">IFERROR(INDEX(P$6:P$401,MATCH(ROW()-5,J$6:J$401,0)),"")</f>
        <v>3993.5</v>
      </c>
      <c r="G70" s="48"/>
      <c r="H70" s="48"/>
      <c r="I70" s="48"/>
      <c r="J70" s="48" t="n">
        <f aca="false">IF(AND(MOVIMIENTOS!$B69&lt;&gt;"",NOT(AND(MOVIMIENTOS!$B69="PROCESO",MOVIMIENTOS!$C69&lt;&gt;"Chancho")),NOT(AND(MOVIMIENTOS!$B69="SALDO INICIAL",MOVIMIENTOS!$C69="Chancho"))),COUNT(J$6:J69)+1,"")</f>
        <v>40</v>
      </c>
      <c r="K70" s="53" t="n">
        <f aca="false">IF(AND(MOVIMIENTOS!$B69&lt;&gt;"",NOT(AND(MOVIMIENTOS!$B69="PROCESO",MOVIMIENTOS!$C69&lt;&gt;"Chancho")),NOT(AND(MOVIMIENTOS!$B69="SALDO INICIAL",MOVIMIENTOS!$C69="Chancho"))),MOVIMIENTOS!$A69,"")</f>
        <v>46220</v>
      </c>
      <c r="L70" s="48" t="str">
        <f aca="false">IF(AND(MOVIMIENTOS!$B69&lt;&gt;"",NOT(AND(MOVIMIENTOS!$B69="PROCESO",MOVIMIENTOS!$C69&lt;&gt;"Chancho")),NOT(AND(MOVIMIENTOS!$B69="SALDO INICIAL",MOVIMIENTOS!$C69="Chancho"))),IF(MOVIMIENTOS!$B69="SALDO INICIAL","APERTURA ("&amp;MOVIMIENTOS!$C69&amp;")",IF(MOVIMIENTOS!$B69="COMPRA","INGRESO (compra)",IF(MOVIMIENTOS!$B69="PROCESO","CHANCHO (proceso)",IF(MOVIMIENTOS!$B69="ENVÍO A SUPESA","ENVÍO cal. "&amp;MOVIMIENTOS!$C69,IF(MOVIMIENTOS!$B69="VENTA CHANCHO","VENTA CHANCHO",IF(MOVIMIENTOS!$B69="VENTA","VENTA cal. "&amp;MOVIMIENTOS!$C69,IF(MOVIMIENTOS!$B69="REGALO","REGALO "&amp;MOVIMIENTOS!$C69,IF(MOVIMIENTOS!$B69="RECHAZO","RECHAZO cal. "&amp;MOVIMIENTOS!$C69&amp;" (va a reproceso)",IF(MOVIMIENTOS!$B69="DEVOLUCIÓN","DEVOLUCIÓN cal. "&amp;MOVIMIENTOS!$C69&amp;" (regresa intacta)",IF(MOVIMIENTOS!$B69="TRASIEGO","TRASIEGO cal. "&amp;MOVIMIENTOS!$C69,MOVIMIENTOS!$B69)))))))))),"")</f>
        <v>ENVÍO cal. M</v>
      </c>
      <c r="M70" s="48" t="str">
        <f aca="false">IF(AND(AND(MOVIMIENTOS!$B69&lt;&gt;"",NOT(AND(MOVIMIENTOS!$B69="PROCESO",MOVIMIENTOS!$C69&lt;&gt;"Chancho")),NOT(AND(MOVIMIENTOS!$B69="SALDO INICIAL",MOVIMIENTOS!$C69="Chancho"))),OR(MOVIMIENTOS!$B69="SALDO INICIAL",MOVIMIENTOS!$B69="COMPRA",MOVIMIENTOS!$B69="REPROCESO",MOVIMIENTOS!$B69="DEVOLUCIÓN",AND(MOVIMIENTOS!$B69="AJUSTE",MOVIMIENTOS!$C69&lt;&gt;"Chancho",N(MOVIMIENTOS!$F69)&gt;=0))),N(MOVIMIENTOS!$F69),"")</f>
        <v/>
      </c>
      <c r="N70" s="48" t="n">
        <f aca="false">IF(AND(AND(MOVIMIENTOS!$B69&lt;&gt;"",NOT(AND(MOVIMIENTOS!$B69="PROCESO",MOVIMIENTOS!$C69&lt;&gt;"Chancho")),NOT(AND(MOVIMIENTOS!$B69="SALDO INICIAL",MOVIMIENTOS!$C69="Chancho"))),OR(MOVIMIENTOS!$B69="ENVÍO A SUPESA",MOVIMIENTOS!$B69="MALOGRADO",MOVIMIENTOS!$B69="OTRA SALIDA",MOVIMIENTOS!$B69="TRASIEGO",AND(MOVIMIENTOS!$B69="PROCESO",MOVIMIENTOS!$C69="Chancho"),AND(MOVIMIENTOS!$B69="REGALO",MOVIMIENTOS!$C69&lt;&gt;"Chancho"),AND(MOVIMIENTOS!$B69="VENTA",MOVIMIENTOS!$C69&lt;&gt;"Chancho"),AND(MOVIMIENTOS!$B69="AJUSTE",MOVIMIENTOS!$C69&lt;&gt;"Chancho",N(MOVIMIENTOS!$F69)&lt;0))),IF(MOVIMIENTOS!$B69="AJUSTE",-N(MOVIMIENTOS!$F69),N(MOVIMIENTOS!$F69)),"")</f>
        <v>2006</v>
      </c>
      <c r="O70" s="48" t="str">
        <f aca="false">IF(AND(MOVIMIENTOS!$B69&lt;&gt;"",NOT(AND(MOVIMIENTOS!$B69="PROCESO",MOVIMIENTOS!$C69&lt;&gt;"Chancho")),NOT(AND(MOVIMIENTOS!$B69="SALDO INICIAL",MOVIMIENTOS!$C69="Chancho"))),IF(MOVIMIENTOS!$B69="RECHAZO",MOVIMIENTOS!$E69&amp;" jabas rechazadas · van a reproceso",IF(MOVIMIENTOS!$B69="REPROCESO",MOVIMIENTOS!$E69&amp;" kg recuperados (merma del día: "&amp;TEXT(SUMPRODUCT((MOVIMIENTOS!$A$5:$A$400=MOVIMIENTOS!$A69)*(MOVIMIENTOS!$B$5:$B$400="RECHAZO")*(MOVIMIENTOS!$D$5:$D$400="jabas")*MOVIMIENTOS!$E$5:$E$400*IFERROR(_xlfn.SWITCH(MOVIMIENTOS!$C$5:$C$400,"A",15,"P",18,"C",17,"M",17,0),0))-SUMPRODUCT((MOVIMIENTOS!$A$5:$A$400=MOVIMIENTOS!$A69)*(MOVIMIENTOS!$B$5:$B$400="REPROCESO")*MOVIMIENTOS!$I$5:$I$400),"+#,##0;-#,##0;0")&amp;" kg)",TRIM(IF(MOVIMIENTOS!$G69&lt;&gt;"",MOVIMIENTOS!$G69&amp;"  ","")&amp;IF(N(MOVIMIENTOS!$D69)&gt;0,MOVIMIENTOS!$D69&amp;" "&amp;MOVIMIENTOS!$D69,"")))),"")</f>
        <v>2994</v>
      </c>
      <c r="P70" s="48" t="n">
        <f aca="false">N(P69)+N(M70)-N(N70)</f>
        <v>2444</v>
      </c>
      <c r="Q70" s="48"/>
      <c r="R70" s="48"/>
      <c r="S70" s="48"/>
      <c r="T70" s="48"/>
    </row>
    <row r="71" customFormat="false" ht="15" hidden="false" customHeight="true" outlineLevel="0" collapsed="false">
      <c r="A71" s="51" t="n">
        <f aca="false">IFERROR(INDEX(K$6:K$401,MATCH(ROW()-5,J$6:J$401,0)),"")</f>
        <v>46223</v>
      </c>
      <c r="B71" s="56" t="str">
        <f aca="false">IFERROR(INDEX(L$6:L$401,MATCH(ROW()-5,J$6:J$401,0)),"")</f>
        <v>TRASIEGO cal. C</v>
      </c>
      <c r="C71" s="52" t="str">
        <f aca="false">IFERROR(INDEX(M$6:M$401,MATCH(ROW()-5,J$6:J$401,0)),"")</f>
        <v/>
      </c>
      <c r="D71" s="52" t="n">
        <f aca="false">IFERROR(INDEX(N$6:N$401,MATCH(ROW()-5,J$6:J$401,0)),"")</f>
        <v>17</v>
      </c>
      <c r="E71" s="56" t="str">
        <f aca="false">IFERROR(INDEX(O$6:O$401,MATCH(ROW()-5,J$6:J$401,0)),"")</f>
        <v/>
      </c>
      <c r="F71" s="52" t="n">
        <f aca="false">IFERROR(INDEX(P$6:P$401,MATCH(ROW()-5,J$6:J$401,0)),"")</f>
        <v>3976.5</v>
      </c>
      <c r="G71" s="48"/>
      <c r="H71" s="48"/>
      <c r="I71" s="48"/>
      <c r="J71" s="48" t="n">
        <f aca="false">IF(AND(MOVIMIENTOS!$B70&lt;&gt;"",NOT(AND(MOVIMIENTOS!$B70="PROCESO",MOVIMIENTOS!$C70&lt;&gt;"Chancho")),NOT(AND(MOVIMIENTOS!$B70="SALDO INICIAL",MOVIMIENTOS!$C70="Chancho"))),COUNT(J$6:J70)+1,"")</f>
        <v>41</v>
      </c>
      <c r="K71" s="53" t="n">
        <f aca="false">IF(AND(MOVIMIENTOS!$B70&lt;&gt;"",NOT(AND(MOVIMIENTOS!$B70="PROCESO",MOVIMIENTOS!$C70&lt;&gt;"Chancho")),NOT(AND(MOVIMIENTOS!$B70="SALDO INICIAL",MOVIMIENTOS!$C70="Chancho"))),MOVIMIENTOS!$A70,"")</f>
        <v>46220</v>
      </c>
      <c r="L71" s="48" t="str">
        <f aca="false">IF(AND(MOVIMIENTOS!$B70&lt;&gt;"",NOT(AND(MOVIMIENTOS!$B70="PROCESO",MOVIMIENTOS!$C70&lt;&gt;"Chancho")),NOT(AND(MOVIMIENTOS!$B70="SALDO INICIAL",MOVIMIENTOS!$C70="Chancho"))),IF(MOVIMIENTOS!$B70="SALDO INICIAL","APERTURA ("&amp;MOVIMIENTOS!$C70&amp;")",IF(MOVIMIENTOS!$B70="COMPRA","INGRESO (compra)",IF(MOVIMIENTOS!$B70="PROCESO","CHANCHO (proceso)",IF(MOVIMIENTOS!$B70="ENVÍO A SUPESA","ENVÍO cal. "&amp;MOVIMIENTOS!$C70,IF(MOVIMIENTOS!$B70="VENTA CHANCHO","VENTA CHANCHO",IF(MOVIMIENTOS!$B70="VENTA","VENTA cal. "&amp;MOVIMIENTOS!$C70,IF(MOVIMIENTOS!$B70="REGALO","REGALO "&amp;MOVIMIENTOS!$C70,IF(MOVIMIENTOS!$B70="RECHAZO","RECHAZO cal. "&amp;MOVIMIENTOS!$C70&amp;" (va a reproceso)",IF(MOVIMIENTOS!$B70="DEVOLUCIÓN","DEVOLUCIÓN cal. "&amp;MOVIMIENTOS!$C70&amp;" (regresa intacta)",IF(MOVIMIENTOS!$B70="TRASIEGO","TRASIEGO cal. "&amp;MOVIMIENTOS!$C70,MOVIMIENTOS!$B70)))))))))),"")</f>
        <v>VENTA CHANCHO</v>
      </c>
      <c r="M71" s="48" t="str">
        <f aca="false">IF(AND(AND(MOVIMIENTOS!$B70&lt;&gt;"",NOT(AND(MOVIMIENTOS!$B70="PROCESO",MOVIMIENTOS!$C70&lt;&gt;"Chancho")),NOT(AND(MOVIMIENTOS!$B70="SALDO INICIAL",MOVIMIENTOS!$C70="Chancho"))),OR(MOVIMIENTOS!$B70="SALDO INICIAL",MOVIMIENTOS!$B70="COMPRA",MOVIMIENTOS!$B70="REPROCESO",MOVIMIENTOS!$B70="DEVOLUCIÓN",AND(MOVIMIENTOS!$B70="AJUSTE",MOVIMIENTOS!$C70&lt;&gt;"Chancho",N(MOVIMIENTOS!$F70)&gt;=0))),N(MOVIMIENTOS!$F70),"")</f>
        <v/>
      </c>
      <c r="N71" s="48" t="str">
        <f aca="false">IF(AND(AND(MOVIMIENTOS!$B70&lt;&gt;"",NOT(AND(MOVIMIENTOS!$B70="PROCESO",MOVIMIENTOS!$C70&lt;&gt;"Chancho")),NOT(AND(MOVIMIENTOS!$B70="SALDO INICIAL",MOVIMIENTOS!$C70="Chancho"))),OR(MOVIMIENTOS!$B70="ENVÍO A SUPESA",MOVIMIENTOS!$B70="MALOGRADO",MOVIMIENTOS!$B70="OTRA SALIDA",MOVIMIENTOS!$B70="TRASIEGO",AND(MOVIMIENTOS!$B70="PROCESO",MOVIMIENTOS!$C70="Chancho"),AND(MOVIMIENTOS!$B70="REGALO",MOVIMIENTOS!$C70&lt;&gt;"Chancho"),AND(MOVIMIENTOS!$B70="VENTA",MOVIMIENTOS!$C70&lt;&gt;"Chancho"),AND(MOVIMIENTOS!$B70="AJUSTE",MOVIMIENTOS!$C70&lt;&gt;"Chancho",N(MOVIMIENTOS!$F70)&lt;0))),IF(MOVIMIENTOS!$B70="AJUSTE",-N(MOVIMIENTOS!$F70),N(MOVIMIENTOS!$F70)),"")</f>
        <v/>
      </c>
      <c r="O71" s="48" t="str">
        <f aca="false">IF(AND(MOVIMIENTOS!$B70&lt;&gt;"",NOT(AND(MOVIMIENTOS!$B70="PROCESO",MOVIMIENTOS!$C70&lt;&gt;"Chancho")),NOT(AND(MOVIMIENTOS!$B70="SALDO INICIAL",MOVIMIENTOS!$C70="Chancho"))),IF(MOVIMIENTOS!$B70="RECHAZO",MOVIMIENTOS!$E70&amp;" jabas rechazadas · van a reproceso",IF(MOVIMIENTOS!$B70="REPROCESO",MOVIMIENTOS!$E70&amp;" kg recuperados (merma del día: "&amp;TEXT(SUMPRODUCT((MOVIMIENTOS!$A$5:$A$400=MOVIMIENTOS!$A70)*(MOVIMIENTOS!$B$5:$B$400="RECHAZO")*(MOVIMIENTOS!$D$5:$D$400="jabas")*MOVIMIENTOS!$E$5:$E$400*IFERROR(_xlfn.SWITCH(MOVIMIENTOS!$C$5:$C$400,"A",15,"P",18,"C",17,"M",17,0),0))-SUMPRODUCT((MOVIMIENTOS!$A$5:$A$400=MOVIMIENTOS!$A70)*(MOVIMIENTOS!$B$5:$B$400="REPROCESO")*MOVIMIENTOS!$I$5:$I$400),"+#,##0;-#,##0;0")&amp;" kg)",TRIM(IF(MOVIMIENTOS!$G70&lt;&gt;"",MOVIMIENTOS!$G70&amp;"  ","")&amp;IF(N(MOVIMIENTOS!$D70)&gt;0,MOVIMIENTOS!$D70&amp;" "&amp;MOVIMIENTOS!$D70,"")))),"")</f>
        <v>TCK002-725</v>
      </c>
      <c r="P71" s="48" t="n">
        <f aca="false">N(P70)+N(M71)-N(N71)</f>
        <v>2444</v>
      </c>
      <c r="Q71" s="48"/>
      <c r="R71" s="48"/>
      <c r="S71" s="48"/>
      <c r="T71" s="48"/>
    </row>
    <row r="72" customFormat="false" ht="15" hidden="false" customHeight="true" outlineLevel="0" collapsed="false">
      <c r="A72" s="51" t="n">
        <f aca="false">IFERROR(INDEX(K$6:K$401,MATCH(ROW()-5,J$6:J$401,0)),"")</f>
        <v>46224</v>
      </c>
      <c r="B72" s="56" t="str">
        <f aca="false">IFERROR(INDEX(L$6:L$401,MATCH(ROW()-5,J$6:J$401,0)),"")</f>
        <v>CHANCHO (proceso)</v>
      </c>
      <c r="C72" s="52" t="str">
        <f aca="false">IFERROR(INDEX(M$6:M$401,MATCH(ROW()-5,J$6:J$401,0)),"")</f>
        <v/>
      </c>
      <c r="D72" s="52" t="n">
        <f aca="false">IFERROR(INDEX(N$6:N$401,MATCH(ROW()-5,J$6:J$401,0)),"")</f>
        <v>285</v>
      </c>
      <c r="E72" s="56" t="str">
        <f aca="false">IFERROR(INDEX(O$6:O$401,MATCH(ROW()-5,J$6:J$401,0)),"")</f>
        <v/>
      </c>
      <c r="F72" s="52" t="n">
        <f aca="false">IFERROR(INDEX(P$6:P$401,MATCH(ROW()-5,J$6:J$401,0)),"")</f>
        <v>3691.5</v>
      </c>
      <c r="G72" s="48"/>
      <c r="H72" s="48"/>
      <c r="I72" s="48"/>
      <c r="J72" s="48" t="n">
        <f aca="false">IF(AND(MOVIMIENTOS!$B71&lt;&gt;"",NOT(AND(MOVIMIENTOS!$B71="PROCESO",MOVIMIENTOS!$C71&lt;&gt;"Chancho")),NOT(AND(MOVIMIENTOS!$B71="SALDO INICIAL",MOVIMIENTOS!$C71="Chancho"))),COUNT(J$6:J71)+1,"")</f>
        <v>42</v>
      </c>
      <c r="K72" s="53" t="n">
        <f aca="false">IF(AND(MOVIMIENTOS!$B71&lt;&gt;"",NOT(AND(MOVIMIENTOS!$B71="PROCESO",MOVIMIENTOS!$C71&lt;&gt;"Chancho")),NOT(AND(MOVIMIENTOS!$B71="SALDO INICIAL",MOVIMIENTOS!$C71="Chancho"))),MOVIMIENTOS!$A71,"")</f>
        <v>46220</v>
      </c>
      <c r="L72" s="48" t="str">
        <f aca="false">IF(AND(MOVIMIENTOS!$B71&lt;&gt;"",NOT(AND(MOVIMIENTOS!$B71="PROCESO",MOVIMIENTOS!$C71&lt;&gt;"Chancho")),NOT(AND(MOVIMIENTOS!$B71="SALDO INICIAL",MOVIMIENTOS!$C71="Chancho"))),IF(MOVIMIENTOS!$B71="SALDO INICIAL","APERTURA ("&amp;MOVIMIENTOS!$C71&amp;")",IF(MOVIMIENTOS!$B71="COMPRA","INGRESO (compra)",IF(MOVIMIENTOS!$B71="PROCESO","CHANCHO (proceso)",IF(MOVIMIENTOS!$B71="ENVÍO A SUPESA","ENVÍO cal. "&amp;MOVIMIENTOS!$C71,IF(MOVIMIENTOS!$B71="VENTA CHANCHO","VENTA CHANCHO",IF(MOVIMIENTOS!$B71="VENTA","VENTA cal. "&amp;MOVIMIENTOS!$C71,IF(MOVIMIENTOS!$B71="REGALO","REGALO "&amp;MOVIMIENTOS!$C71,IF(MOVIMIENTOS!$B71="RECHAZO","RECHAZO cal. "&amp;MOVIMIENTOS!$C71&amp;" (va a reproceso)",IF(MOVIMIENTOS!$B71="DEVOLUCIÓN","DEVOLUCIÓN cal. "&amp;MOVIMIENTOS!$C71&amp;" (regresa intacta)",IF(MOVIMIENTOS!$B71="TRASIEGO","TRASIEGO cal. "&amp;MOVIMIENTOS!$C71,MOVIMIENTOS!$B71)))))))))),"")</f>
        <v>INGRESO (compra)</v>
      </c>
      <c r="M72" s="48" t="n">
        <f aca="false">IF(AND(AND(MOVIMIENTOS!$B71&lt;&gt;"",NOT(AND(MOVIMIENTOS!$B71="PROCESO",MOVIMIENTOS!$C71&lt;&gt;"Chancho")),NOT(AND(MOVIMIENTOS!$B71="SALDO INICIAL",MOVIMIENTOS!$C71="Chancho"))),OR(MOVIMIENTOS!$B71="SALDO INICIAL",MOVIMIENTOS!$B71="COMPRA",MOVIMIENTOS!$B71="REPROCESO",MOVIMIENTOS!$B71="DEVOLUCIÓN",AND(MOVIMIENTOS!$B71="AJUSTE",MOVIMIENTOS!$C71&lt;&gt;"Chancho",N(MOVIMIENTOS!$F71)&gt;=0))),N(MOVIMIENTOS!$F71),"")</f>
        <v>475</v>
      </c>
      <c r="N72" s="48" t="str">
        <f aca="false">IF(AND(AND(MOVIMIENTOS!$B71&lt;&gt;"",NOT(AND(MOVIMIENTOS!$B71="PROCESO",MOVIMIENTOS!$C71&lt;&gt;"Chancho")),NOT(AND(MOVIMIENTOS!$B71="SALDO INICIAL",MOVIMIENTOS!$C71="Chancho"))),OR(MOVIMIENTOS!$B71="ENVÍO A SUPESA",MOVIMIENTOS!$B71="MALOGRADO",MOVIMIENTOS!$B71="OTRA SALIDA",MOVIMIENTOS!$B71="TRASIEGO",AND(MOVIMIENTOS!$B71="PROCESO",MOVIMIENTOS!$C71="Chancho"),AND(MOVIMIENTOS!$B71="REGALO",MOVIMIENTOS!$C71&lt;&gt;"Chancho"),AND(MOVIMIENTOS!$B71="VENTA",MOVIMIENTOS!$C71&lt;&gt;"Chancho"),AND(MOVIMIENTOS!$B71="AJUSTE",MOVIMIENTOS!$C71&lt;&gt;"Chancho",N(MOVIMIENTOS!$F71)&lt;0))),IF(MOVIMIENTOS!$B71="AJUSTE",-N(MOVIMIENTOS!$F71),N(MOVIMIENTOS!$F71)),"")</f>
        <v/>
      </c>
      <c r="O72" s="48" t="str">
        <f aca="false">IF(AND(MOVIMIENTOS!$B71&lt;&gt;"",NOT(AND(MOVIMIENTOS!$B71="PROCESO",MOVIMIENTOS!$C71&lt;&gt;"Chancho")),NOT(AND(MOVIMIENTOS!$B71="SALDO INICIAL",MOVIMIENTOS!$C71="Chancho"))),IF(MOVIMIENTOS!$B71="RECHAZO",MOVIMIENTOS!$E71&amp;" jabas rechazadas · van a reproceso",IF(MOVIMIENTOS!$B71="REPROCESO",MOVIMIENTOS!$E71&amp;" kg recuperados (merma del día: "&amp;TEXT(SUMPRODUCT((MOVIMIENTOS!$A$5:$A$400=MOVIMIENTOS!$A71)*(MOVIMIENTOS!$B$5:$B$400="RECHAZO")*(MOVIMIENTOS!$D$5:$D$400="jabas")*MOVIMIENTOS!$E$5:$E$400*IFERROR(_xlfn.SWITCH(MOVIMIENTOS!$C$5:$C$400,"A",15,"P",18,"C",17,"M",17,0),0))-SUMPRODUCT((MOVIMIENTOS!$A$5:$A$400=MOVIMIENTOS!$A71)*(MOVIMIENTOS!$B$5:$B$400="REPROCESO")*MOVIMIENTOS!$I$5:$I$400),"+#,##0;-#,##0;0")&amp;" kg)",TRIM(IF(MOVIMIENTOS!$G71&lt;&gt;"",MOVIMIENTOS!$G71&amp;"  ","")&amp;IF(N(MOVIMIENTOS!$D71)&gt;0,MOVIMIENTOS!$D71&amp;" "&amp;MOVIMIENTOS!$D71,"")))),"")</f>
        <v/>
      </c>
      <c r="P72" s="48" t="n">
        <f aca="false">N(P71)+N(M72)-N(N72)</f>
        <v>2919</v>
      </c>
      <c r="Q72" s="48"/>
      <c r="R72" s="48"/>
      <c r="S72" s="48"/>
      <c r="T72" s="48"/>
    </row>
    <row r="73" customFormat="false" ht="15" hidden="false" customHeight="true" outlineLevel="0" collapsed="false">
      <c r="A73" s="51" t="n">
        <f aca="false">IFERROR(INDEX(K$6:K$401,MATCH(ROW()-5,J$6:J$401,0)),"")</f>
        <v>46224</v>
      </c>
      <c r="B73" s="56" t="str">
        <f aca="false">IFERROR(INDEX(L$6:L$401,MATCH(ROW()-5,J$6:J$401,0)),"")</f>
        <v>INGRESO (compra)</v>
      </c>
      <c r="C73" s="52" t="n">
        <f aca="false">IFERROR(INDEX(M$6:M$401,MATCH(ROW()-5,J$6:J$401,0)),"")</f>
        <v>6650</v>
      </c>
      <c r="D73" s="52" t="str">
        <f aca="false">IFERROR(INDEX(N$6:N$401,MATCH(ROW()-5,J$6:J$401,0)),"")</f>
        <v/>
      </c>
      <c r="E73" s="56" t="str">
        <f aca="false">IFERROR(INDEX(O$6:O$401,MATCH(ROW()-5,J$6:J$401,0)),"")</f>
        <v/>
      </c>
      <c r="F73" s="52" t="n">
        <f aca="false">IFERROR(INDEX(P$6:P$401,MATCH(ROW()-5,J$6:J$401,0)),"")</f>
        <v>10341.5</v>
      </c>
      <c r="G73" s="48"/>
      <c r="H73" s="48"/>
      <c r="I73" s="48"/>
      <c r="J73" s="48" t="str">
        <f aca="false">IF(AND(MOVIMIENTOS!$B72&lt;&gt;"",NOT(AND(MOVIMIENTOS!$B72="PROCESO",MOVIMIENTOS!$C72&lt;&gt;"Chancho")),NOT(AND(MOVIMIENTOS!$B72="SALDO INICIAL",MOVIMIENTOS!$C72="Chancho"))),COUNT(J$6:J72)+1,"")</f>
        <v/>
      </c>
      <c r="K73" s="48" t="str">
        <f aca="false">IF(AND(MOVIMIENTOS!$B72&lt;&gt;"",NOT(AND(MOVIMIENTOS!$B72="PROCESO",MOVIMIENTOS!$C72&lt;&gt;"Chancho")),NOT(AND(MOVIMIENTOS!$B72="SALDO INICIAL",MOVIMIENTOS!$C72="Chancho"))),MOVIMIENTOS!$A72,"")</f>
        <v/>
      </c>
      <c r="L73" s="48" t="str">
        <f aca="false">IF(AND(MOVIMIENTOS!$B72&lt;&gt;"",NOT(AND(MOVIMIENTOS!$B72="PROCESO",MOVIMIENTOS!$C72&lt;&gt;"Chancho")),NOT(AND(MOVIMIENTOS!$B72="SALDO INICIAL",MOVIMIENTOS!$C72="Chancho"))),IF(MOVIMIENTOS!$B72="SALDO INICIAL","APERTURA ("&amp;MOVIMIENTOS!$C72&amp;")",IF(MOVIMIENTOS!$B72="COMPRA","INGRESO (compra)",IF(MOVIMIENTOS!$B72="PROCESO","CHANCHO (proceso)",IF(MOVIMIENTOS!$B72="ENVÍO A SUPESA","ENVÍO cal. "&amp;MOVIMIENTOS!$C72,IF(MOVIMIENTOS!$B72="VENTA CHANCHO","VENTA CHANCHO",IF(MOVIMIENTOS!$B72="VENTA","VENTA cal. "&amp;MOVIMIENTOS!$C72,IF(MOVIMIENTOS!$B72="REGALO","REGALO "&amp;MOVIMIENTOS!$C72,IF(MOVIMIENTOS!$B72="RECHAZO","RECHAZO cal. "&amp;MOVIMIENTOS!$C72&amp;" (va a reproceso)",IF(MOVIMIENTOS!$B72="DEVOLUCIÓN","DEVOLUCIÓN cal. "&amp;MOVIMIENTOS!$C72&amp;" (regresa intacta)",IF(MOVIMIENTOS!$B72="TRASIEGO","TRASIEGO cal. "&amp;MOVIMIENTOS!$C72,MOVIMIENTOS!$B72)))))))))),"")</f>
        <v/>
      </c>
      <c r="M73" s="48" t="str">
        <f aca="false">IF(AND(AND(MOVIMIENTOS!$B72&lt;&gt;"",NOT(AND(MOVIMIENTOS!$B72="PROCESO",MOVIMIENTOS!$C72&lt;&gt;"Chancho")),NOT(AND(MOVIMIENTOS!$B72="SALDO INICIAL",MOVIMIENTOS!$C72="Chancho"))),OR(MOVIMIENTOS!$B72="SALDO INICIAL",MOVIMIENTOS!$B72="COMPRA",MOVIMIENTOS!$B72="REPROCESO",MOVIMIENTOS!$B72="DEVOLUCIÓN",AND(MOVIMIENTOS!$B72="AJUSTE",MOVIMIENTOS!$C72&lt;&gt;"Chancho",N(MOVIMIENTOS!$F72)&gt;=0))),N(MOVIMIENTOS!$F72),"")</f>
        <v/>
      </c>
      <c r="N73" s="48" t="str">
        <f aca="false">IF(AND(AND(MOVIMIENTOS!$B72&lt;&gt;"",NOT(AND(MOVIMIENTOS!$B72="PROCESO",MOVIMIENTOS!$C72&lt;&gt;"Chancho")),NOT(AND(MOVIMIENTOS!$B72="SALDO INICIAL",MOVIMIENTOS!$C72="Chancho"))),OR(MOVIMIENTOS!$B72="ENVÍO A SUPESA",MOVIMIENTOS!$B72="MALOGRADO",MOVIMIENTOS!$B72="OTRA SALIDA",MOVIMIENTOS!$B72="TRASIEGO",AND(MOVIMIENTOS!$B72="PROCESO",MOVIMIENTOS!$C72="Chancho"),AND(MOVIMIENTOS!$B72="REGALO",MOVIMIENTOS!$C72&lt;&gt;"Chancho"),AND(MOVIMIENTOS!$B72="VENTA",MOVIMIENTOS!$C72&lt;&gt;"Chancho"),AND(MOVIMIENTOS!$B72="AJUSTE",MOVIMIENTOS!$C72&lt;&gt;"Chancho",N(MOVIMIENTOS!$F72)&lt;0))),IF(MOVIMIENTOS!$B72="AJUSTE",-N(MOVIMIENTOS!$F72),N(MOVIMIENTOS!$F72)),"")</f>
        <v/>
      </c>
      <c r="O73" s="48" t="str">
        <f aca="false">IF(AND(MOVIMIENTOS!$B72&lt;&gt;"",NOT(AND(MOVIMIENTOS!$B72="PROCESO",MOVIMIENTOS!$C72&lt;&gt;"Chancho")),NOT(AND(MOVIMIENTOS!$B72="SALDO INICIAL",MOVIMIENTOS!$C72="Chancho"))),IF(MOVIMIENTOS!$B72="RECHAZO",MOVIMIENTOS!$E72&amp;" jabas rechazadas · van a reproceso",IF(MOVIMIENTOS!$B72="REPROCESO",MOVIMIENTOS!$E72&amp;" kg recuperados (merma del día: "&amp;TEXT(SUMPRODUCT((MOVIMIENTOS!$A$5:$A$400=MOVIMIENTOS!$A72)*(MOVIMIENTOS!$B$5:$B$400="RECHAZO")*(MOVIMIENTOS!$D$5:$D$400="jabas")*MOVIMIENTOS!$E$5:$E$400*IFERROR(_xlfn.SWITCH(MOVIMIENTOS!$C$5:$C$400,"A",15,"P",18,"C",17,"M",17,0),0))-SUMPRODUCT((MOVIMIENTOS!$A$5:$A$400=MOVIMIENTOS!$A72)*(MOVIMIENTOS!$B$5:$B$400="REPROCESO")*MOVIMIENTOS!$I$5:$I$400),"+#,##0;-#,##0;0")&amp;" kg)",TRIM(IF(MOVIMIENTOS!$G72&lt;&gt;"",MOVIMIENTOS!$G72&amp;"  ","")&amp;IF(N(MOVIMIENTOS!$D72)&gt;0,MOVIMIENTOS!$D72&amp;" "&amp;MOVIMIENTOS!$D72,"")))),"")</f>
        <v/>
      </c>
      <c r="P73" s="48" t="n">
        <f aca="false">N(P72)+N(M73)-N(N73)</f>
        <v>2919</v>
      </c>
      <c r="Q73" s="48"/>
      <c r="R73" s="48"/>
      <c r="S73" s="48"/>
      <c r="T73" s="48"/>
    </row>
    <row r="74" customFormat="false" ht="15" hidden="false" customHeight="true" outlineLevel="0" collapsed="false">
      <c r="A74" s="51" t="n">
        <f aca="false">IFERROR(INDEX(K$6:K$401,MATCH(ROW()-5,J$6:J$401,0)),"")</f>
        <v>46224</v>
      </c>
      <c r="B74" s="56" t="str">
        <f aca="false">IFERROR(INDEX(L$6:L$401,MATCH(ROW()-5,J$6:J$401,0)),"")</f>
        <v>CHANCHO (proceso)</v>
      </c>
      <c r="C74" s="52" t="str">
        <f aca="false">IFERROR(INDEX(M$6:M$401,MATCH(ROW()-5,J$6:J$401,0)),"")</f>
        <v/>
      </c>
      <c r="D74" s="52" t="n">
        <f aca="false">IFERROR(INDEX(N$6:N$401,MATCH(ROW()-5,J$6:J$401,0)),"")</f>
        <v>380</v>
      </c>
      <c r="E74" s="56" t="str">
        <f aca="false">IFERROR(INDEX(O$6:O$401,MATCH(ROW()-5,J$6:J$401,0)),"")</f>
        <v/>
      </c>
      <c r="F74" s="52" t="n">
        <f aca="false">IFERROR(INDEX(P$6:P$401,MATCH(ROW()-5,J$6:J$401,0)),"")</f>
        <v>9961.5</v>
      </c>
      <c r="G74" s="48"/>
      <c r="H74" s="48"/>
      <c r="I74" s="48"/>
      <c r="J74" s="48" t="str">
        <f aca="false">IF(AND(MOVIMIENTOS!$B73&lt;&gt;"",NOT(AND(MOVIMIENTOS!$B73="PROCESO",MOVIMIENTOS!$C73&lt;&gt;"Chancho")),NOT(AND(MOVIMIENTOS!$B73="SALDO INICIAL",MOVIMIENTOS!$C73="Chancho"))),COUNT(J$6:J73)+1,"")</f>
        <v/>
      </c>
      <c r="K74" s="48" t="str">
        <f aca="false">IF(AND(MOVIMIENTOS!$B73&lt;&gt;"",NOT(AND(MOVIMIENTOS!$B73="PROCESO",MOVIMIENTOS!$C73&lt;&gt;"Chancho")),NOT(AND(MOVIMIENTOS!$B73="SALDO INICIAL",MOVIMIENTOS!$C73="Chancho"))),MOVIMIENTOS!$A73,"")</f>
        <v/>
      </c>
      <c r="L74" s="48" t="str">
        <f aca="false">IF(AND(MOVIMIENTOS!$B73&lt;&gt;"",NOT(AND(MOVIMIENTOS!$B73="PROCESO",MOVIMIENTOS!$C73&lt;&gt;"Chancho")),NOT(AND(MOVIMIENTOS!$B73="SALDO INICIAL",MOVIMIENTOS!$C73="Chancho"))),IF(MOVIMIENTOS!$B73="SALDO INICIAL","APERTURA ("&amp;MOVIMIENTOS!$C73&amp;")",IF(MOVIMIENTOS!$B73="COMPRA","INGRESO (compra)",IF(MOVIMIENTOS!$B73="PROCESO","CHANCHO (proceso)",IF(MOVIMIENTOS!$B73="ENVÍO A SUPESA","ENVÍO cal. "&amp;MOVIMIENTOS!$C73,IF(MOVIMIENTOS!$B73="VENTA CHANCHO","VENTA CHANCHO",IF(MOVIMIENTOS!$B73="VENTA","VENTA cal. "&amp;MOVIMIENTOS!$C73,IF(MOVIMIENTOS!$B73="REGALO","REGALO "&amp;MOVIMIENTOS!$C73,IF(MOVIMIENTOS!$B73="RECHAZO","RECHAZO cal. "&amp;MOVIMIENTOS!$C73&amp;" (va a reproceso)",IF(MOVIMIENTOS!$B73="DEVOLUCIÓN","DEVOLUCIÓN cal. "&amp;MOVIMIENTOS!$C73&amp;" (regresa intacta)",IF(MOVIMIENTOS!$B73="TRASIEGO","TRASIEGO cal. "&amp;MOVIMIENTOS!$C73,MOVIMIENTOS!$B73)))))))))),"")</f>
        <v/>
      </c>
      <c r="M74" s="48" t="str">
        <f aca="false">IF(AND(AND(MOVIMIENTOS!$B73&lt;&gt;"",NOT(AND(MOVIMIENTOS!$B73="PROCESO",MOVIMIENTOS!$C73&lt;&gt;"Chancho")),NOT(AND(MOVIMIENTOS!$B73="SALDO INICIAL",MOVIMIENTOS!$C73="Chancho"))),OR(MOVIMIENTOS!$B73="SALDO INICIAL",MOVIMIENTOS!$B73="COMPRA",MOVIMIENTOS!$B73="REPROCESO",MOVIMIENTOS!$B73="DEVOLUCIÓN",AND(MOVIMIENTOS!$B73="AJUSTE",MOVIMIENTOS!$C73&lt;&gt;"Chancho",N(MOVIMIENTOS!$F73)&gt;=0))),N(MOVIMIENTOS!$F73),"")</f>
        <v/>
      </c>
      <c r="N74" s="48" t="str">
        <f aca="false">IF(AND(AND(MOVIMIENTOS!$B73&lt;&gt;"",NOT(AND(MOVIMIENTOS!$B73="PROCESO",MOVIMIENTOS!$C73&lt;&gt;"Chancho")),NOT(AND(MOVIMIENTOS!$B73="SALDO INICIAL",MOVIMIENTOS!$C73="Chancho"))),OR(MOVIMIENTOS!$B73="ENVÍO A SUPESA",MOVIMIENTOS!$B73="MALOGRADO",MOVIMIENTOS!$B73="OTRA SALIDA",MOVIMIENTOS!$B73="TRASIEGO",AND(MOVIMIENTOS!$B73="PROCESO",MOVIMIENTOS!$C73="Chancho"),AND(MOVIMIENTOS!$B73="REGALO",MOVIMIENTOS!$C73&lt;&gt;"Chancho"),AND(MOVIMIENTOS!$B73="VENTA",MOVIMIENTOS!$C73&lt;&gt;"Chancho"),AND(MOVIMIENTOS!$B73="AJUSTE",MOVIMIENTOS!$C73&lt;&gt;"Chancho",N(MOVIMIENTOS!$F73)&lt;0))),IF(MOVIMIENTOS!$B73="AJUSTE",-N(MOVIMIENTOS!$F73),N(MOVIMIENTOS!$F73)),"")</f>
        <v/>
      </c>
      <c r="O74" s="48" t="str">
        <f aca="false">IF(AND(MOVIMIENTOS!$B73&lt;&gt;"",NOT(AND(MOVIMIENTOS!$B73="PROCESO",MOVIMIENTOS!$C73&lt;&gt;"Chancho")),NOT(AND(MOVIMIENTOS!$B73="SALDO INICIAL",MOVIMIENTOS!$C73="Chancho"))),IF(MOVIMIENTOS!$B73="RECHAZO",MOVIMIENTOS!$E73&amp;" jabas rechazadas · van a reproceso",IF(MOVIMIENTOS!$B73="REPROCESO",MOVIMIENTOS!$E73&amp;" kg recuperados (merma del día: "&amp;TEXT(SUMPRODUCT((MOVIMIENTOS!$A$5:$A$400=MOVIMIENTOS!$A73)*(MOVIMIENTOS!$B$5:$B$400="RECHAZO")*(MOVIMIENTOS!$D$5:$D$400="jabas")*MOVIMIENTOS!$E$5:$E$400*IFERROR(_xlfn.SWITCH(MOVIMIENTOS!$C$5:$C$400,"A",15,"P",18,"C",17,"M",17,0),0))-SUMPRODUCT((MOVIMIENTOS!$A$5:$A$400=MOVIMIENTOS!$A73)*(MOVIMIENTOS!$B$5:$B$400="REPROCESO")*MOVIMIENTOS!$I$5:$I$400),"+#,##0;-#,##0;0")&amp;" kg)",TRIM(IF(MOVIMIENTOS!$G73&lt;&gt;"",MOVIMIENTOS!$G73&amp;"  ","")&amp;IF(N(MOVIMIENTOS!$D73)&gt;0,MOVIMIENTOS!$D73&amp;" "&amp;MOVIMIENTOS!$D73,"")))),"")</f>
        <v/>
      </c>
      <c r="P74" s="48" t="n">
        <f aca="false">N(P73)+N(M74)-N(N74)</f>
        <v>2919</v>
      </c>
      <c r="Q74" s="48"/>
      <c r="R74" s="48"/>
      <c r="S74" s="48"/>
      <c r="T74" s="48"/>
    </row>
    <row r="75" customFormat="false" ht="15" hidden="false" customHeight="true" outlineLevel="0" collapsed="false">
      <c r="A75" s="51" t="n">
        <f aca="false">IFERROR(INDEX(K$6:K$401,MATCH(ROW()-5,J$6:J$401,0)),"")</f>
        <v>46224</v>
      </c>
      <c r="B75" s="56" t="str">
        <f aca="false">IFERROR(INDEX(L$6:L$401,MATCH(ROW()-5,J$6:J$401,0)),"")</f>
        <v>ENVÍO cal. A</v>
      </c>
      <c r="C75" s="52" t="str">
        <f aca="false">IFERROR(INDEX(M$6:M$401,MATCH(ROW()-5,J$6:J$401,0)),"")</f>
        <v/>
      </c>
      <c r="D75" s="52" t="n">
        <f aca="false">IFERROR(INDEX(N$6:N$401,MATCH(ROW()-5,J$6:J$401,0)),"")</f>
        <v>1005</v>
      </c>
      <c r="E75" s="56" t="str">
        <f aca="false">IFERROR(INDEX(O$6:O$401,MATCH(ROW()-5,J$6:J$401,0)),"")</f>
        <v>3004</v>
      </c>
      <c r="F75" s="52" t="n">
        <f aca="false">IFERROR(INDEX(P$6:P$401,MATCH(ROW()-5,J$6:J$401,0)),"")</f>
        <v>8956.5</v>
      </c>
      <c r="G75" s="48"/>
      <c r="H75" s="48"/>
      <c r="I75" s="48"/>
      <c r="J75" s="48" t="n">
        <f aca="false">IF(AND(MOVIMIENTOS!$B74&lt;&gt;"",NOT(AND(MOVIMIENTOS!$B74="PROCESO",MOVIMIENTOS!$C74&lt;&gt;"Chancho")),NOT(AND(MOVIMIENTOS!$B74="SALDO INICIAL",MOVIMIENTOS!$C74="Chancho"))),COUNT(J$6:J74)+1,"")</f>
        <v>43</v>
      </c>
      <c r="K75" s="53" t="n">
        <f aca="false">IF(AND(MOVIMIENTOS!$B74&lt;&gt;"",NOT(AND(MOVIMIENTOS!$B74="PROCESO",MOVIMIENTOS!$C74&lt;&gt;"Chancho")),NOT(AND(MOVIMIENTOS!$B74="SALDO INICIAL",MOVIMIENTOS!$C74="Chancho"))),MOVIMIENTOS!$A74,"")</f>
        <v>46220</v>
      </c>
      <c r="L75" s="48" t="str">
        <f aca="false">IF(AND(MOVIMIENTOS!$B74&lt;&gt;"",NOT(AND(MOVIMIENTOS!$B74="PROCESO",MOVIMIENTOS!$C74&lt;&gt;"Chancho")),NOT(AND(MOVIMIENTOS!$B74="SALDO INICIAL",MOVIMIENTOS!$C74="Chancho"))),IF(MOVIMIENTOS!$B74="SALDO INICIAL","APERTURA ("&amp;MOVIMIENTOS!$C74&amp;")",IF(MOVIMIENTOS!$B74="COMPRA","INGRESO (compra)",IF(MOVIMIENTOS!$B74="PROCESO","CHANCHO (proceso)",IF(MOVIMIENTOS!$B74="ENVÍO A SUPESA","ENVÍO cal. "&amp;MOVIMIENTOS!$C74,IF(MOVIMIENTOS!$B74="VENTA CHANCHO","VENTA CHANCHO",IF(MOVIMIENTOS!$B74="VENTA","VENTA cal. "&amp;MOVIMIENTOS!$C74,IF(MOVIMIENTOS!$B74="REGALO","REGALO "&amp;MOVIMIENTOS!$C74,IF(MOVIMIENTOS!$B74="RECHAZO","RECHAZO cal. "&amp;MOVIMIENTOS!$C74&amp;" (va a reproceso)",IF(MOVIMIENTOS!$B74="DEVOLUCIÓN","DEVOLUCIÓN cal. "&amp;MOVIMIENTOS!$C74&amp;" (regresa intacta)",IF(MOVIMIENTOS!$B74="TRASIEGO","TRASIEGO cal. "&amp;MOVIMIENTOS!$C74,MOVIMIENTOS!$B74)))))))))),"")</f>
        <v>CHANCHO (proceso)</v>
      </c>
      <c r="M75" s="48" t="str">
        <f aca="false">IF(AND(AND(MOVIMIENTOS!$B74&lt;&gt;"",NOT(AND(MOVIMIENTOS!$B74="PROCESO",MOVIMIENTOS!$C74&lt;&gt;"Chancho")),NOT(AND(MOVIMIENTOS!$B74="SALDO INICIAL",MOVIMIENTOS!$C74="Chancho"))),OR(MOVIMIENTOS!$B74="SALDO INICIAL",MOVIMIENTOS!$B74="COMPRA",MOVIMIENTOS!$B74="REPROCESO",MOVIMIENTOS!$B74="DEVOLUCIÓN",AND(MOVIMIENTOS!$B74="AJUSTE",MOVIMIENTOS!$C74&lt;&gt;"Chancho",N(MOVIMIENTOS!$F74)&gt;=0))),N(MOVIMIENTOS!$F74),"")</f>
        <v/>
      </c>
      <c r="N75" s="48" t="n">
        <f aca="false">IF(AND(AND(MOVIMIENTOS!$B74&lt;&gt;"",NOT(AND(MOVIMIENTOS!$B74="PROCESO",MOVIMIENTOS!$C74&lt;&gt;"Chancho")),NOT(AND(MOVIMIENTOS!$B74="SALDO INICIAL",MOVIMIENTOS!$C74="Chancho"))),OR(MOVIMIENTOS!$B74="ENVÍO A SUPESA",MOVIMIENTOS!$B74="MALOGRADO",MOVIMIENTOS!$B74="OTRA SALIDA",MOVIMIENTOS!$B74="TRASIEGO",AND(MOVIMIENTOS!$B74="PROCESO",MOVIMIENTOS!$C74="Chancho"),AND(MOVIMIENTOS!$B74="REGALO",MOVIMIENTOS!$C74&lt;&gt;"Chancho"),AND(MOVIMIENTOS!$B74="VENTA",MOVIMIENTOS!$C74&lt;&gt;"Chancho"),AND(MOVIMIENTOS!$B74="AJUSTE",MOVIMIENTOS!$C74&lt;&gt;"Chancho",N(MOVIMIENTOS!$F74)&lt;0))),IF(MOVIMIENTOS!$B74="AJUSTE",-N(MOVIMIENTOS!$F74),N(MOVIMIENTOS!$F74)),"")</f>
        <v>95</v>
      </c>
      <c r="O75" s="48" t="str">
        <f aca="false">IF(AND(MOVIMIENTOS!$B74&lt;&gt;"",NOT(AND(MOVIMIENTOS!$B74="PROCESO",MOVIMIENTOS!$C74&lt;&gt;"Chancho")),NOT(AND(MOVIMIENTOS!$B74="SALDO INICIAL",MOVIMIENTOS!$C74="Chancho"))),IF(MOVIMIENTOS!$B74="RECHAZO",MOVIMIENTOS!$E74&amp;" jabas rechazadas · van a reproceso",IF(MOVIMIENTOS!$B74="REPROCESO",MOVIMIENTOS!$E74&amp;" kg recuperados (merma del día: "&amp;TEXT(SUMPRODUCT((MOVIMIENTOS!$A$5:$A$400=MOVIMIENTOS!$A74)*(MOVIMIENTOS!$B$5:$B$400="RECHAZO")*(MOVIMIENTOS!$D$5:$D$400="jabas")*MOVIMIENTOS!$E$5:$E$400*IFERROR(_xlfn.SWITCH(MOVIMIENTOS!$C$5:$C$400,"A",15,"P",18,"C",17,"M",17,0),0))-SUMPRODUCT((MOVIMIENTOS!$A$5:$A$400=MOVIMIENTOS!$A74)*(MOVIMIENTOS!$B$5:$B$400="REPROCESO")*MOVIMIENTOS!$I$5:$I$400),"+#,##0;-#,##0;0")&amp;" kg)",TRIM(IF(MOVIMIENTOS!$G74&lt;&gt;"",MOVIMIENTOS!$G74&amp;"  ","")&amp;IF(N(MOVIMIENTOS!$D74)&gt;0,MOVIMIENTOS!$D74&amp;" "&amp;MOVIMIENTOS!$D74,"")))),"")</f>
        <v/>
      </c>
      <c r="P75" s="48" t="n">
        <f aca="false">N(P74)+N(M75)-N(N75)</f>
        <v>2824</v>
      </c>
      <c r="Q75" s="48"/>
      <c r="R75" s="48"/>
      <c r="S75" s="48"/>
      <c r="T75" s="48"/>
    </row>
    <row r="76" customFormat="false" ht="15" hidden="false" customHeight="true" outlineLevel="0" collapsed="false">
      <c r="A76" s="51" t="n">
        <f aca="false">IFERROR(INDEX(K$6:K$401,MATCH(ROW()-5,J$6:J$401,0)),"")</f>
        <v>46224</v>
      </c>
      <c r="B76" s="56" t="str">
        <f aca="false">IFERROR(INDEX(L$6:L$401,MATCH(ROW()-5,J$6:J$401,0)),"")</f>
        <v>ENVÍO cal. P</v>
      </c>
      <c r="C76" s="52" t="str">
        <f aca="false">IFERROR(INDEX(M$6:M$401,MATCH(ROW()-5,J$6:J$401,0)),"")</f>
        <v/>
      </c>
      <c r="D76" s="52" t="n">
        <f aca="false">IFERROR(INDEX(N$6:N$401,MATCH(ROW()-5,J$6:J$401,0)),"")</f>
        <v>198</v>
      </c>
      <c r="E76" s="56" t="str">
        <f aca="false">IFERROR(INDEX(O$6:O$401,MATCH(ROW()-5,J$6:J$401,0)),"")</f>
        <v>3004</v>
      </c>
      <c r="F76" s="52" t="n">
        <f aca="false">IFERROR(INDEX(P$6:P$401,MATCH(ROW()-5,J$6:J$401,0)),"")</f>
        <v>8758.5</v>
      </c>
      <c r="G76" s="48"/>
      <c r="H76" s="48"/>
      <c r="I76" s="48"/>
      <c r="J76" s="48" t="n">
        <f aca="false">IF(AND(MOVIMIENTOS!$B75&lt;&gt;"",NOT(AND(MOVIMIENTOS!$B75="PROCESO",MOVIMIENTOS!$C75&lt;&gt;"Chancho")),NOT(AND(MOVIMIENTOS!$B75="SALDO INICIAL",MOVIMIENTOS!$C75="Chancho"))),COUNT(J$6:J75)+1,"")</f>
        <v>44</v>
      </c>
      <c r="K76" s="53" t="n">
        <f aca="false">IF(AND(MOVIMIENTOS!$B75&lt;&gt;"",NOT(AND(MOVIMIENTOS!$B75="PROCESO",MOVIMIENTOS!$C75&lt;&gt;"Chancho")),NOT(AND(MOVIMIENTOS!$B75="SALDO INICIAL",MOVIMIENTOS!$C75="Chancho"))),MOVIMIENTOS!$A75,"")</f>
        <v>46221</v>
      </c>
      <c r="L76" s="48" t="str">
        <f aca="false">IF(AND(MOVIMIENTOS!$B75&lt;&gt;"",NOT(AND(MOVIMIENTOS!$B75="PROCESO",MOVIMIENTOS!$C75&lt;&gt;"Chancho")),NOT(AND(MOVIMIENTOS!$B75="SALDO INICIAL",MOVIMIENTOS!$C75="Chancho"))),IF(MOVIMIENTOS!$B75="SALDO INICIAL","APERTURA ("&amp;MOVIMIENTOS!$C75&amp;")",IF(MOVIMIENTOS!$B75="COMPRA","INGRESO (compra)",IF(MOVIMIENTOS!$B75="PROCESO","CHANCHO (proceso)",IF(MOVIMIENTOS!$B75="ENVÍO A SUPESA","ENVÍO cal. "&amp;MOVIMIENTOS!$C75,IF(MOVIMIENTOS!$B75="VENTA CHANCHO","VENTA CHANCHO",IF(MOVIMIENTOS!$B75="VENTA","VENTA cal. "&amp;MOVIMIENTOS!$C75,IF(MOVIMIENTOS!$B75="REGALO","REGALO "&amp;MOVIMIENTOS!$C75,IF(MOVIMIENTOS!$B75="RECHAZO","RECHAZO cal. "&amp;MOVIMIENTOS!$C75&amp;" (va a reproceso)",IF(MOVIMIENTOS!$B75="DEVOLUCIÓN","DEVOLUCIÓN cal. "&amp;MOVIMIENTOS!$C75&amp;" (regresa intacta)",IF(MOVIMIENTOS!$B75="TRASIEGO","TRASIEGO cal. "&amp;MOVIMIENTOS!$C75,MOVIMIENTOS!$B75)))))))))),"")</f>
        <v>ENVÍO cal. A</v>
      </c>
      <c r="M76" s="48" t="str">
        <f aca="false">IF(AND(AND(MOVIMIENTOS!$B75&lt;&gt;"",NOT(AND(MOVIMIENTOS!$B75="PROCESO",MOVIMIENTOS!$C75&lt;&gt;"Chancho")),NOT(AND(MOVIMIENTOS!$B75="SALDO INICIAL",MOVIMIENTOS!$C75="Chancho"))),OR(MOVIMIENTOS!$B75="SALDO INICIAL",MOVIMIENTOS!$B75="COMPRA",MOVIMIENTOS!$B75="REPROCESO",MOVIMIENTOS!$B75="DEVOLUCIÓN",AND(MOVIMIENTOS!$B75="AJUSTE",MOVIMIENTOS!$C75&lt;&gt;"Chancho",N(MOVIMIENTOS!$F75)&gt;=0))),N(MOVIMIENTOS!$F75),"")</f>
        <v/>
      </c>
      <c r="N76" s="48" t="n">
        <f aca="false">IF(AND(AND(MOVIMIENTOS!$B75&lt;&gt;"",NOT(AND(MOVIMIENTOS!$B75="PROCESO",MOVIMIENTOS!$C75&lt;&gt;"Chancho")),NOT(AND(MOVIMIENTOS!$B75="SALDO INICIAL",MOVIMIENTOS!$C75="Chancho"))),OR(MOVIMIENTOS!$B75="ENVÍO A SUPESA",MOVIMIENTOS!$B75="MALOGRADO",MOVIMIENTOS!$B75="OTRA SALIDA",MOVIMIENTOS!$B75="TRASIEGO",AND(MOVIMIENTOS!$B75="PROCESO",MOVIMIENTOS!$C75="Chancho"),AND(MOVIMIENTOS!$B75="REGALO",MOVIMIENTOS!$C75&lt;&gt;"Chancho"),AND(MOVIMIENTOS!$B75="VENTA",MOVIMIENTOS!$C75&lt;&gt;"Chancho"),AND(MOVIMIENTOS!$B75="AJUSTE",MOVIMIENTOS!$C75&lt;&gt;"Chancho",N(MOVIMIENTOS!$F75)&lt;0))),IF(MOVIMIENTOS!$B75="AJUSTE",-N(MOVIMIENTOS!$F75),N(MOVIMIENTOS!$F75)),"")</f>
        <v>1005</v>
      </c>
      <c r="O76" s="48" t="str">
        <f aca="false">IF(AND(MOVIMIENTOS!$B75&lt;&gt;"",NOT(AND(MOVIMIENTOS!$B75="PROCESO",MOVIMIENTOS!$C75&lt;&gt;"Chancho")),NOT(AND(MOVIMIENTOS!$B75="SALDO INICIAL",MOVIMIENTOS!$C75="Chancho"))),IF(MOVIMIENTOS!$B75="RECHAZO",MOVIMIENTOS!$E75&amp;" jabas rechazadas · van a reproceso",IF(MOVIMIENTOS!$B75="REPROCESO",MOVIMIENTOS!$E75&amp;" kg recuperados (merma del día: "&amp;TEXT(SUMPRODUCT((MOVIMIENTOS!$A$5:$A$400=MOVIMIENTOS!$A75)*(MOVIMIENTOS!$B$5:$B$400="RECHAZO")*(MOVIMIENTOS!$D$5:$D$400="jabas")*MOVIMIENTOS!$E$5:$E$400*IFERROR(_xlfn.SWITCH(MOVIMIENTOS!$C$5:$C$400,"A",15,"P",18,"C",17,"M",17,0),0))-SUMPRODUCT((MOVIMIENTOS!$A$5:$A$400=MOVIMIENTOS!$A75)*(MOVIMIENTOS!$B$5:$B$400="REPROCESO")*MOVIMIENTOS!$I$5:$I$400),"+#,##0;-#,##0;0")&amp;" kg)",TRIM(IF(MOVIMIENTOS!$G75&lt;&gt;"",MOVIMIENTOS!$G75&amp;"  ","")&amp;IF(N(MOVIMIENTOS!$D75)&gt;0,MOVIMIENTOS!$D75&amp;" "&amp;MOVIMIENTOS!$D75,"")))),"")</f>
        <v>2996</v>
      </c>
      <c r="P76" s="48" t="n">
        <f aca="false">N(P75)+N(M76)-N(N76)</f>
        <v>1819</v>
      </c>
      <c r="Q76" s="48"/>
      <c r="R76" s="48"/>
      <c r="S76" s="48"/>
      <c r="T76" s="48"/>
    </row>
    <row r="77" customFormat="false" ht="15" hidden="false" customHeight="true" outlineLevel="0" collapsed="false">
      <c r="A77" s="51" t="n">
        <f aca="false">IFERROR(INDEX(K$6:K$401,MATCH(ROW()-5,J$6:J$401,0)),"")</f>
        <v>46224</v>
      </c>
      <c r="B77" s="56" t="str">
        <f aca="false">IFERROR(INDEX(L$6:L$401,MATCH(ROW()-5,J$6:J$401,0)),"")</f>
        <v>ENVÍO cal. C</v>
      </c>
      <c r="C77" s="52" t="str">
        <f aca="false">IFERROR(INDEX(M$6:M$401,MATCH(ROW()-5,J$6:J$401,0)),"")</f>
        <v/>
      </c>
      <c r="D77" s="52" t="n">
        <f aca="false">IFERROR(INDEX(N$6:N$401,MATCH(ROW()-5,J$6:J$401,0)),"")</f>
        <v>170</v>
      </c>
      <c r="E77" s="56" t="str">
        <f aca="false">IFERROR(INDEX(O$6:O$401,MATCH(ROW()-5,J$6:J$401,0)),"")</f>
        <v>3004</v>
      </c>
      <c r="F77" s="52" t="n">
        <f aca="false">IFERROR(INDEX(P$6:P$401,MATCH(ROW()-5,J$6:J$401,0)),"")</f>
        <v>8588.5</v>
      </c>
      <c r="G77" s="48"/>
      <c r="H77" s="48"/>
      <c r="I77" s="48"/>
      <c r="J77" s="48" t="n">
        <f aca="false">IF(AND(MOVIMIENTOS!$B76&lt;&gt;"",NOT(AND(MOVIMIENTOS!$B76="PROCESO",MOVIMIENTOS!$C76&lt;&gt;"Chancho")),NOT(AND(MOVIMIENTOS!$B76="SALDO INICIAL",MOVIMIENTOS!$C76="Chancho"))),COUNT(J$6:J76)+1,"")</f>
        <v>45</v>
      </c>
      <c r="K77" s="53" t="n">
        <f aca="false">IF(AND(MOVIMIENTOS!$B76&lt;&gt;"",NOT(AND(MOVIMIENTOS!$B76="PROCESO",MOVIMIENTOS!$C76&lt;&gt;"Chancho")),NOT(AND(MOVIMIENTOS!$B76="SALDO INICIAL",MOVIMIENTOS!$C76="Chancho"))),MOVIMIENTOS!$A76,"")</f>
        <v>46221</v>
      </c>
      <c r="L77" s="48" t="str">
        <f aca="false">IF(AND(MOVIMIENTOS!$B76&lt;&gt;"",NOT(AND(MOVIMIENTOS!$B76="PROCESO",MOVIMIENTOS!$C76&lt;&gt;"Chancho")),NOT(AND(MOVIMIENTOS!$B76="SALDO INICIAL",MOVIMIENTOS!$C76="Chancho"))),IF(MOVIMIENTOS!$B76="SALDO INICIAL","APERTURA ("&amp;MOVIMIENTOS!$C76&amp;")",IF(MOVIMIENTOS!$B76="COMPRA","INGRESO (compra)",IF(MOVIMIENTOS!$B76="PROCESO","CHANCHO (proceso)",IF(MOVIMIENTOS!$B76="ENVÍO A SUPESA","ENVÍO cal. "&amp;MOVIMIENTOS!$C76,IF(MOVIMIENTOS!$B76="VENTA CHANCHO","VENTA CHANCHO",IF(MOVIMIENTOS!$B76="VENTA","VENTA cal. "&amp;MOVIMIENTOS!$C76,IF(MOVIMIENTOS!$B76="REGALO","REGALO "&amp;MOVIMIENTOS!$C76,IF(MOVIMIENTOS!$B76="RECHAZO","RECHAZO cal. "&amp;MOVIMIENTOS!$C76&amp;" (va a reproceso)",IF(MOVIMIENTOS!$B76="DEVOLUCIÓN","DEVOLUCIÓN cal. "&amp;MOVIMIENTOS!$C76&amp;" (regresa intacta)",IF(MOVIMIENTOS!$B76="TRASIEGO","TRASIEGO cal. "&amp;MOVIMIENTOS!$C76,MOVIMIENTOS!$B76)))))))))),"")</f>
        <v>ENVÍO cal. P</v>
      </c>
      <c r="M77" s="48" t="str">
        <f aca="false">IF(AND(AND(MOVIMIENTOS!$B76&lt;&gt;"",NOT(AND(MOVIMIENTOS!$B76="PROCESO",MOVIMIENTOS!$C76&lt;&gt;"Chancho")),NOT(AND(MOVIMIENTOS!$B76="SALDO INICIAL",MOVIMIENTOS!$C76="Chancho"))),OR(MOVIMIENTOS!$B76="SALDO INICIAL",MOVIMIENTOS!$B76="COMPRA",MOVIMIENTOS!$B76="REPROCESO",MOVIMIENTOS!$B76="DEVOLUCIÓN",AND(MOVIMIENTOS!$B76="AJUSTE",MOVIMIENTOS!$C76&lt;&gt;"Chancho",N(MOVIMIENTOS!$F76)&gt;=0))),N(MOVIMIENTOS!$F76),"")</f>
        <v/>
      </c>
      <c r="N77" s="48" t="n">
        <f aca="false">IF(AND(AND(MOVIMIENTOS!$B76&lt;&gt;"",NOT(AND(MOVIMIENTOS!$B76="PROCESO",MOVIMIENTOS!$C76&lt;&gt;"Chancho")),NOT(AND(MOVIMIENTOS!$B76="SALDO INICIAL",MOVIMIENTOS!$C76="Chancho"))),OR(MOVIMIENTOS!$B76="ENVÍO A SUPESA",MOVIMIENTOS!$B76="MALOGRADO",MOVIMIENTOS!$B76="OTRA SALIDA",MOVIMIENTOS!$B76="TRASIEGO",AND(MOVIMIENTOS!$B76="PROCESO",MOVIMIENTOS!$C76="Chancho"),AND(MOVIMIENTOS!$B76="REGALO",MOVIMIENTOS!$C76&lt;&gt;"Chancho"),AND(MOVIMIENTOS!$B76="VENTA",MOVIMIENTOS!$C76&lt;&gt;"Chancho"),AND(MOVIMIENTOS!$B76="AJUSTE",MOVIMIENTOS!$C76&lt;&gt;"Chancho",N(MOVIMIENTOS!$F76)&lt;0))),IF(MOVIMIENTOS!$B76="AJUSTE",-N(MOVIMIENTOS!$F76),N(MOVIMIENTOS!$F76)),"")</f>
        <v>72</v>
      </c>
      <c r="O77" s="48" t="str">
        <f aca="false">IF(AND(MOVIMIENTOS!$B76&lt;&gt;"",NOT(AND(MOVIMIENTOS!$B76="PROCESO",MOVIMIENTOS!$C76&lt;&gt;"Chancho")),NOT(AND(MOVIMIENTOS!$B76="SALDO INICIAL",MOVIMIENTOS!$C76="Chancho"))),IF(MOVIMIENTOS!$B76="RECHAZO",MOVIMIENTOS!$E76&amp;" jabas rechazadas · van a reproceso",IF(MOVIMIENTOS!$B76="REPROCESO",MOVIMIENTOS!$E76&amp;" kg recuperados (merma del día: "&amp;TEXT(SUMPRODUCT((MOVIMIENTOS!$A$5:$A$400=MOVIMIENTOS!$A76)*(MOVIMIENTOS!$B$5:$B$400="RECHAZO")*(MOVIMIENTOS!$D$5:$D$400="jabas")*MOVIMIENTOS!$E$5:$E$400*IFERROR(_xlfn.SWITCH(MOVIMIENTOS!$C$5:$C$400,"A",15,"P",18,"C",17,"M",17,0),0))-SUMPRODUCT((MOVIMIENTOS!$A$5:$A$400=MOVIMIENTOS!$A76)*(MOVIMIENTOS!$B$5:$B$400="REPROCESO")*MOVIMIENTOS!$I$5:$I$400),"+#,##0;-#,##0;0")&amp;" kg)",TRIM(IF(MOVIMIENTOS!$G76&lt;&gt;"",MOVIMIENTOS!$G76&amp;"  ","")&amp;IF(N(MOVIMIENTOS!$D76)&gt;0,MOVIMIENTOS!$D76&amp;" "&amp;MOVIMIENTOS!$D76,"")))),"")</f>
        <v>2996</v>
      </c>
      <c r="P77" s="48" t="n">
        <f aca="false">N(P76)+N(M77)-N(N77)</f>
        <v>1747</v>
      </c>
      <c r="Q77" s="48"/>
      <c r="R77" s="48"/>
      <c r="S77" s="48"/>
      <c r="T77" s="48"/>
    </row>
    <row r="78" customFormat="false" ht="15" hidden="false" customHeight="true" outlineLevel="0" collapsed="false">
      <c r="A78" s="51" t="n">
        <f aca="false">IFERROR(INDEX(K$6:K$401,MATCH(ROW()-5,J$6:J$401,0)),"")</f>
        <v>46224</v>
      </c>
      <c r="B78" s="56" t="str">
        <f aca="false">IFERROR(INDEX(L$6:L$401,MATCH(ROW()-5,J$6:J$401,0)),"")</f>
        <v>ENVÍO cal. M</v>
      </c>
      <c r="C78" s="52" t="str">
        <f aca="false">IFERROR(INDEX(M$6:M$401,MATCH(ROW()-5,J$6:J$401,0)),"")</f>
        <v/>
      </c>
      <c r="D78" s="52" t="n">
        <f aca="false">IFERROR(INDEX(N$6:N$401,MATCH(ROW()-5,J$6:J$401,0)),"")</f>
        <v>1887</v>
      </c>
      <c r="E78" s="56" t="str">
        <f aca="false">IFERROR(INDEX(O$6:O$401,MATCH(ROW()-5,J$6:J$401,0)),"")</f>
        <v>3004</v>
      </c>
      <c r="F78" s="52" t="n">
        <f aca="false">IFERROR(INDEX(P$6:P$401,MATCH(ROW()-5,J$6:J$401,0)),"")</f>
        <v>6701.5</v>
      </c>
      <c r="G78" s="48"/>
      <c r="H78" s="48"/>
      <c r="I78" s="48"/>
      <c r="J78" s="48" t="n">
        <f aca="false">IF(AND(MOVIMIENTOS!$B77&lt;&gt;"",NOT(AND(MOVIMIENTOS!$B77="PROCESO",MOVIMIENTOS!$C77&lt;&gt;"Chancho")),NOT(AND(MOVIMIENTOS!$B77="SALDO INICIAL",MOVIMIENTOS!$C77="Chancho"))),COUNT(J$6:J77)+1,"")</f>
        <v>46</v>
      </c>
      <c r="K78" s="53" t="n">
        <f aca="false">IF(AND(MOVIMIENTOS!$B77&lt;&gt;"",NOT(AND(MOVIMIENTOS!$B77="PROCESO",MOVIMIENTOS!$C77&lt;&gt;"Chancho")),NOT(AND(MOVIMIENTOS!$B77="SALDO INICIAL",MOVIMIENTOS!$C77="Chancho"))),MOVIMIENTOS!$A77,"")</f>
        <v>46221</v>
      </c>
      <c r="L78" s="48" t="str">
        <f aca="false">IF(AND(MOVIMIENTOS!$B77&lt;&gt;"",NOT(AND(MOVIMIENTOS!$B77="PROCESO",MOVIMIENTOS!$C77&lt;&gt;"Chancho")),NOT(AND(MOVIMIENTOS!$B77="SALDO INICIAL",MOVIMIENTOS!$C77="Chancho"))),IF(MOVIMIENTOS!$B77="SALDO INICIAL","APERTURA ("&amp;MOVIMIENTOS!$C77&amp;")",IF(MOVIMIENTOS!$B77="COMPRA","INGRESO (compra)",IF(MOVIMIENTOS!$B77="PROCESO","CHANCHO (proceso)",IF(MOVIMIENTOS!$B77="ENVÍO A SUPESA","ENVÍO cal. "&amp;MOVIMIENTOS!$C77,IF(MOVIMIENTOS!$B77="VENTA CHANCHO","VENTA CHANCHO",IF(MOVIMIENTOS!$B77="VENTA","VENTA cal. "&amp;MOVIMIENTOS!$C77,IF(MOVIMIENTOS!$B77="REGALO","REGALO "&amp;MOVIMIENTOS!$C77,IF(MOVIMIENTOS!$B77="RECHAZO","RECHAZO cal. "&amp;MOVIMIENTOS!$C77&amp;" (va a reproceso)",IF(MOVIMIENTOS!$B77="DEVOLUCIÓN","DEVOLUCIÓN cal. "&amp;MOVIMIENTOS!$C77&amp;" (regresa intacta)",IF(MOVIMIENTOS!$B77="TRASIEGO","TRASIEGO cal. "&amp;MOVIMIENTOS!$C77,MOVIMIENTOS!$B77)))))))))),"")</f>
        <v>ENVÍO cal. C</v>
      </c>
      <c r="M78" s="48" t="str">
        <f aca="false">IF(AND(AND(MOVIMIENTOS!$B77&lt;&gt;"",NOT(AND(MOVIMIENTOS!$B77="PROCESO",MOVIMIENTOS!$C77&lt;&gt;"Chancho")),NOT(AND(MOVIMIENTOS!$B77="SALDO INICIAL",MOVIMIENTOS!$C77="Chancho"))),OR(MOVIMIENTOS!$B77="SALDO INICIAL",MOVIMIENTOS!$B77="COMPRA",MOVIMIENTOS!$B77="REPROCESO",MOVIMIENTOS!$B77="DEVOLUCIÓN",AND(MOVIMIENTOS!$B77="AJUSTE",MOVIMIENTOS!$C77&lt;&gt;"Chancho",N(MOVIMIENTOS!$F77)&gt;=0))),N(MOVIMIENTOS!$F77),"")</f>
        <v/>
      </c>
      <c r="N78" s="48" t="n">
        <f aca="false">IF(AND(AND(MOVIMIENTOS!$B77&lt;&gt;"",NOT(AND(MOVIMIENTOS!$B77="PROCESO",MOVIMIENTOS!$C77&lt;&gt;"Chancho")),NOT(AND(MOVIMIENTOS!$B77="SALDO INICIAL",MOVIMIENTOS!$C77="Chancho"))),OR(MOVIMIENTOS!$B77="ENVÍO A SUPESA",MOVIMIENTOS!$B77="MALOGRADO",MOVIMIENTOS!$B77="OTRA SALIDA",MOVIMIENTOS!$B77="TRASIEGO",AND(MOVIMIENTOS!$B77="PROCESO",MOVIMIENTOS!$C77="Chancho"),AND(MOVIMIENTOS!$B77="REGALO",MOVIMIENTOS!$C77&lt;&gt;"Chancho"),AND(MOVIMIENTOS!$B77="VENTA",MOVIMIENTOS!$C77&lt;&gt;"Chancho"),AND(MOVIMIENTOS!$B77="AJUSTE",MOVIMIENTOS!$C77&lt;&gt;"Chancho",N(MOVIMIENTOS!$F77)&lt;0))),IF(MOVIMIENTOS!$B77="AJUSTE",-N(MOVIMIENTOS!$F77),N(MOVIMIENTOS!$F77)),"")</f>
        <v>153</v>
      </c>
      <c r="O78" s="48" t="str">
        <f aca="false">IF(AND(MOVIMIENTOS!$B77&lt;&gt;"",NOT(AND(MOVIMIENTOS!$B77="PROCESO",MOVIMIENTOS!$C77&lt;&gt;"Chancho")),NOT(AND(MOVIMIENTOS!$B77="SALDO INICIAL",MOVIMIENTOS!$C77="Chancho"))),IF(MOVIMIENTOS!$B77="RECHAZO",MOVIMIENTOS!$E77&amp;" jabas rechazadas · van a reproceso",IF(MOVIMIENTOS!$B77="REPROCESO",MOVIMIENTOS!$E77&amp;" kg recuperados (merma del día: "&amp;TEXT(SUMPRODUCT((MOVIMIENTOS!$A$5:$A$400=MOVIMIENTOS!$A77)*(MOVIMIENTOS!$B$5:$B$400="RECHAZO")*(MOVIMIENTOS!$D$5:$D$400="jabas")*MOVIMIENTOS!$E$5:$E$400*IFERROR(_xlfn.SWITCH(MOVIMIENTOS!$C$5:$C$400,"A",15,"P",18,"C",17,"M",17,0),0))-SUMPRODUCT((MOVIMIENTOS!$A$5:$A$400=MOVIMIENTOS!$A77)*(MOVIMIENTOS!$B$5:$B$400="REPROCESO")*MOVIMIENTOS!$I$5:$I$400),"+#,##0;-#,##0;0")&amp;" kg)",TRIM(IF(MOVIMIENTOS!$G77&lt;&gt;"",MOVIMIENTOS!$G77&amp;"  ","")&amp;IF(N(MOVIMIENTOS!$D77)&gt;0,MOVIMIENTOS!$D77&amp;" "&amp;MOVIMIENTOS!$D77,"")))),"")</f>
        <v>2996</v>
      </c>
      <c r="P78" s="48" t="n">
        <f aca="false">N(P77)+N(M78)-N(N78)</f>
        <v>1594</v>
      </c>
      <c r="Q78" s="48"/>
      <c r="R78" s="48"/>
      <c r="S78" s="48"/>
      <c r="T78" s="48"/>
    </row>
    <row r="79" customFormat="false" ht="15" hidden="false" customHeight="true" outlineLevel="0" collapsed="false">
      <c r="A79" s="51" t="n">
        <f aca="false">IFERROR(INDEX(K$6:K$401,MATCH(ROW()-5,J$6:J$401,0)),"")</f>
        <v>46224</v>
      </c>
      <c r="B79" s="56" t="str">
        <f aca="false">IFERROR(INDEX(L$6:L$401,MATCH(ROW()-5,J$6:J$401,0)),"")</f>
        <v>RECHAZO cal. A (va a reproceso)</v>
      </c>
      <c r="C79" s="52" t="str">
        <f aca="false">IFERROR(INDEX(M$6:M$401,MATCH(ROW()-5,J$6:J$401,0)),"")</f>
        <v/>
      </c>
      <c r="D79" s="52" t="str">
        <f aca="false">IFERROR(INDEX(N$6:N$401,MATCH(ROW()-5,J$6:J$401,0)),"")</f>
        <v/>
      </c>
      <c r="E79" s="56" t="str">
        <f aca="false">IFERROR(INDEX(O$6:O$401,MATCH(ROW()-5,J$6:J$401,0)),"")</f>
        <v>1 jabas rechazadas · van a reproceso</v>
      </c>
      <c r="F79" s="52" t="n">
        <f aca="false">IFERROR(INDEX(P$6:P$401,MATCH(ROW()-5,J$6:J$401,0)),"")</f>
        <v>6701.5</v>
      </c>
      <c r="G79" s="48"/>
      <c r="H79" s="48"/>
      <c r="I79" s="48"/>
      <c r="J79" s="48" t="n">
        <f aca="false">IF(AND(MOVIMIENTOS!$B78&lt;&gt;"",NOT(AND(MOVIMIENTOS!$B78="PROCESO",MOVIMIENTOS!$C78&lt;&gt;"Chancho")),NOT(AND(MOVIMIENTOS!$B78="SALDO INICIAL",MOVIMIENTOS!$C78="Chancho"))),COUNT(J$6:J78)+1,"")</f>
        <v>47</v>
      </c>
      <c r="K79" s="53" t="n">
        <f aca="false">IF(AND(MOVIMIENTOS!$B78&lt;&gt;"",NOT(AND(MOVIMIENTOS!$B78="PROCESO",MOVIMIENTOS!$C78&lt;&gt;"Chancho")),NOT(AND(MOVIMIENTOS!$B78="SALDO INICIAL",MOVIMIENTOS!$C78="Chancho"))),MOVIMIENTOS!$A78,"")</f>
        <v>46221</v>
      </c>
      <c r="L79" s="48" t="str">
        <f aca="false">IF(AND(MOVIMIENTOS!$B78&lt;&gt;"",NOT(AND(MOVIMIENTOS!$B78="PROCESO",MOVIMIENTOS!$C78&lt;&gt;"Chancho")),NOT(AND(MOVIMIENTOS!$B78="SALDO INICIAL",MOVIMIENTOS!$C78="Chancho"))),IF(MOVIMIENTOS!$B78="SALDO INICIAL","APERTURA ("&amp;MOVIMIENTOS!$C78&amp;")",IF(MOVIMIENTOS!$B78="COMPRA","INGRESO (compra)",IF(MOVIMIENTOS!$B78="PROCESO","CHANCHO (proceso)",IF(MOVIMIENTOS!$B78="ENVÍO A SUPESA","ENVÍO cal. "&amp;MOVIMIENTOS!$C78,IF(MOVIMIENTOS!$B78="VENTA CHANCHO","VENTA CHANCHO",IF(MOVIMIENTOS!$B78="VENTA","VENTA cal. "&amp;MOVIMIENTOS!$C78,IF(MOVIMIENTOS!$B78="REGALO","REGALO "&amp;MOVIMIENTOS!$C78,IF(MOVIMIENTOS!$B78="RECHAZO","RECHAZO cal. "&amp;MOVIMIENTOS!$C78&amp;" (va a reproceso)",IF(MOVIMIENTOS!$B78="DEVOLUCIÓN","DEVOLUCIÓN cal. "&amp;MOVIMIENTOS!$C78&amp;" (regresa intacta)",IF(MOVIMIENTOS!$B78="TRASIEGO","TRASIEGO cal. "&amp;MOVIMIENTOS!$C78,MOVIMIENTOS!$B78)))))))))),"")</f>
        <v>ENVÍO cal. M</v>
      </c>
      <c r="M79" s="48" t="str">
        <f aca="false">IF(AND(AND(MOVIMIENTOS!$B78&lt;&gt;"",NOT(AND(MOVIMIENTOS!$B78="PROCESO",MOVIMIENTOS!$C78&lt;&gt;"Chancho")),NOT(AND(MOVIMIENTOS!$B78="SALDO INICIAL",MOVIMIENTOS!$C78="Chancho"))),OR(MOVIMIENTOS!$B78="SALDO INICIAL",MOVIMIENTOS!$B78="COMPRA",MOVIMIENTOS!$B78="REPROCESO",MOVIMIENTOS!$B78="DEVOLUCIÓN",AND(MOVIMIENTOS!$B78="AJUSTE",MOVIMIENTOS!$C78&lt;&gt;"Chancho",N(MOVIMIENTOS!$F78)&gt;=0))),N(MOVIMIENTOS!$F78),"")</f>
        <v/>
      </c>
      <c r="N79" s="48" t="n">
        <f aca="false">IF(AND(AND(MOVIMIENTOS!$B78&lt;&gt;"",NOT(AND(MOVIMIENTOS!$B78="PROCESO",MOVIMIENTOS!$C78&lt;&gt;"Chancho")),NOT(AND(MOVIMIENTOS!$B78="SALDO INICIAL",MOVIMIENTOS!$C78="Chancho"))),OR(MOVIMIENTOS!$B78="ENVÍO A SUPESA",MOVIMIENTOS!$B78="MALOGRADO",MOVIMIENTOS!$B78="OTRA SALIDA",MOVIMIENTOS!$B78="TRASIEGO",AND(MOVIMIENTOS!$B78="PROCESO",MOVIMIENTOS!$C78="Chancho"),AND(MOVIMIENTOS!$B78="REGALO",MOVIMIENTOS!$C78&lt;&gt;"Chancho"),AND(MOVIMIENTOS!$B78="VENTA",MOVIMIENTOS!$C78&lt;&gt;"Chancho"),AND(MOVIMIENTOS!$B78="AJUSTE",MOVIMIENTOS!$C78&lt;&gt;"Chancho",N(MOVIMIENTOS!$F78)&lt;0))),IF(MOVIMIENTOS!$B78="AJUSTE",-N(MOVIMIENTOS!$F78),N(MOVIMIENTOS!$F78)),"")</f>
        <v>1938</v>
      </c>
      <c r="O79" s="48" t="str">
        <f aca="false">IF(AND(MOVIMIENTOS!$B78&lt;&gt;"",NOT(AND(MOVIMIENTOS!$B78="PROCESO",MOVIMIENTOS!$C78&lt;&gt;"Chancho")),NOT(AND(MOVIMIENTOS!$B78="SALDO INICIAL",MOVIMIENTOS!$C78="Chancho"))),IF(MOVIMIENTOS!$B78="RECHAZO",MOVIMIENTOS!$E78&amp;" jabas rechazadas · van a reproceso",IF(MOVIMIENTOS!$B78="REPROCESO",MOVIMIENTOS!$E78&amp;" kg recuperados (merma del día: "&amp;TEXT(SUMPRODUCT((MOVIMIENTOS!$A$5:$A$400=MOVIMIENTOS!$A78)*(MOVIMIENTOS!$B$5:$B$400="RECHAZO")*(MOVIMIENTOS!$D$5:$D$400="jabas")*MOVIMIENTOS!$E$5:$E$400*IFERROR(_xlfn.SWITCH(MOVIMIENTOS!$C$5:$C$400,"A",15,"P",18,"C",17,"M",17,0),0))-SUMPRODUCT((MOVIMIENTOS!$A$5:$A$400=MOVIMIENTOS!$A78)*(MOVIMIENTOS!$B$5:$B$400="REPROCESO")*MOVIMIENTOS!$I$5:$I$400),"+#,##0;-#,##0;0")&amp;" kg)",TRIM(IF(MOVIMIENTOS!$G78&lt;&gt;"",MOVIMIENTOS!$G78&amp;"  ","")&amp;IF(N(MOVIMIENTOS!$D78)&gt;0,MOVIMIENTOS!$D78&amp;" "&amp;MOVIMIENTOS!$D78,"")))),"")</f>
        <v>2996</v>
      </c>
      <c r="P79" s="48" t="n">
        <f aca="false">N(P78)+N(M79)-N(N79)</f>
        <v>-344</v>
      </c>
      <c r="Q79" s="48"/>
      <c r="R79" s="48"/>
      <c r="S79" s="48"/>
      <c r="T79" s="48"/>
    </row>
    <row r="80" customFormat="false" ht="15" hidden="false" customHeight="true" outlineLevel="0" collapsed="false">
      <c r="A80" s="51" t="n">
        <f aca="false">IFERROR(INDEX(K$6:K$401,MATCH(ROW()-5,J$6:J$401,0)),"")</f>
        <v>46224</v>
      </c>
      <c r="B80" s="56" t="str">
        <f aca="false">IFERROR(INDEX(L$6:L$401,MATCH(ROW()-5,J$6:J$401,0)),"")</f>
        <v>RECHAZO cal. M (va a reproceso)</v>
      </c>
      <c r="C80" s="52" t="str">
        <f aca="false">IFERROR(INDEX(M$6:M$401,MATCH(ROW()-5,J$6:J$401,0)),"")</f>
        <v/>
      </c>
      <c r="D80" s="52" t="str">
        <f aca="false">IFERROR(INDEX(N$6:N$401,MATCH(ROW()-5,J$6:J$401,0)),"")</f>
        <v/>
      </c>
      <c r="E80" s="56" t="str">
        <f aca="false">IFERROR(INDEX(O$6:O$401,MATCH(ROW()-5,J$6:J$401,0)),"")</f>
        <v>1 jabas rechazadas · van a reproceso</v>
      </c>
      <c r="F80" s="52" t="n">
        <f aca="false">IFERROR(INDEX(P$6:P$401,MATCH(ROW()-5,J$6:J$401,0)),"")</f>
        <v>6701.5</v>
      </c>
      <c r="G80" s="48"/>
      <c r="H80" s="48"/>
      <c r="I80" s="48"/>
      <c r="J80" s="48" t="str">
        <f aca="false">IF(AND(MOVIMIENTOS!$B79&lt;&gt;"",NOT(AND(MOVIMIENTOS!$B79="PROCESO",MOVIMIENTOS!$C79&lt;&gt;"Chancho")),NOT(AND(MOVIMIENTOS!$B79="SALDO INICIAL",MOVIMIENTOS!$C79="Chancho"))),COUNT(J$6:J79)+1,"")</f>
        <v/>
      </c>
      <c r="K80" s="48" t="str">
        <f aca="false">IF(AND(MOVIMIENTOS!$B79&lt;&gt;"",NOT(AND(MOVIMIENTOS!$B79="PROCESO",MOVIMIENTOS!$C79&lt;&gt;"Chancho")),NOT(AND(MOVIMIENTOS!$B79="SALDO INICIAL",MOVIMIENTOS!$C79="Chancho"))),MOVIMIENTOS!$A79,"")</f>
        <v/>
      </c>
      <c r="L80" s="48" t="str">
        <f aca="false">IF(AND(MOVIMIENTOS!$B79&lt;&gt;"",NOT(AND(MOVIMIENTOS!$B79="PROCESO",MOVIMIENTOS!$C79&lt;&gt;"Chancho")),NOT(AND(MOVIMIENTOS!$B79="SALDO INICIAL",MOVIMIENTOS!$C79="Chancho"))),IF(MOVIMIENTOS!$B79="SALDO INICIAL","APERTURA ("&amp;MOVIMIENTOS!$C79&amp;")",IF(MOVIMIENTOS!$B79="COMPRA","INGRESO (compra)",IF(MOVIMIENTOS!$B79="PROCESO","CHANCHO (proceso)",IF(MOVIMIENTOS!$B79="ENVÍO A SUPESA","ENVÍO cal. "&amp;MOVIMIENTOS!$C79,IF(MOVIMIENTOS!$B79="VENTA CHANCHO","VENTA CHANCHO",IF(MOVIMIENTOS!$B79="VENTA","VENTA cal. "&amp;MOVIMIENTOS!$C79,IF(MOVIMIENTOS!$B79="REGALO","REGALO "&amp;MOVIMIENTOS!$C79,IF(MOVIMIENTOS!$B79="RECHAZO","RECHAZO cal. "&amp;MOVIMIENTOS!$C79&amp;" (va a reproceso)",IF(MOVIMIENTOS!$B79="DEVOLUCIÓN","DEVOLUCIÓN cal. "&amp;MOVIMIENTOS!$C79&amp;" (regresa intacta)",IF(MOVIMIENTOS!$B79="TRASIEGO","TRASIEGO cal. "&amp;MOVIMIENTOS!$C79,MOVIMIENTOS!$B79)))))))))),"")</f>
        <v/>
      </c>
      <c r="M80" s="48" t="str">
        <f aca="false">IF(AND(AND(MOVIMIENTOS!$B79&lt;&gt;"",NOT(AND(MOVIMIENTOS!$B79="PROCESO",MOVIMIENTOS!$C79&lt;&gt;"Chancho")),NOT(AND(MOVIMIENTOS!$B79="SALDO INICIAL",MOVIMIENTOS!$C79="Chancho"))),OR(MOVIMIENTOS!$B79="SALDO INICIAL",MOVIMIENTOS!$B79="COMPRA",MOVIMIENTOS!$B79="REPROCESO",MOVIMIENTOS!$B79="DEVOLUCIÓN",AND(MOVIMIENTOS!$B79="AJUSTE",MOVIMIENTOS!$C79&lt;&gt;"Chancho",N(MOVIMIENTOS!$F79)&gt;=0))),N(MOVIMIENTOS!$F79),"")</f>
        <v/>
      </c>
      <c r="N80" s="48" t="str">
        <f aca="false">IF(AND(AND(MOVIMIENTOS!$B79&lt;&gt;"",NOT(AND(MOVIMIENTOS!$B79="PROCESO",MOVIMIENTOS!$C79&lt;&gt;"Chancho")),NOT(AND(MOVIMIENTOS!$B79="SALDO INICIAL",MOVIMIENTOS!$C79="Chancho"))),OR(MOVIMIENTOS!$B79="ENVÍO A SUPESA",MOVIMIENTOS!$B79="MALOGRADO",MOVIMIENTOS!$B79="OTRA SALIDA",MOVIMIENTOS!$B79="TRASIEGO",AND(MOVIMIENTOS!$B79="PROCESO",MOVIMIENTOS!$C79="Chancho"),AND(MOVIMIENTOS!$B79="REGALO",MOVIMIENTOS!$C79&lt;&gt;"Chancho"),AND(MOVIMIENTOS!$B79="VENTA",MOVIMIENTOS!$C79&lt;&gt;"Chancho"),AND(MOVIMIENTOS!$B79="AJUSTE",MOVIMIENTOS!$C79&lt;&gt;"Chancho",N(MOVIMIENTOS!$F79)&lt;0))),IF(MOVIMIENTOS!$B79="AJUSTE",-N(MOVIMIENTOS!$F79),N(MOVIMIENTOS!$F79)),"")</f>
        <v/>
      </c>
      <c r="O80" s="48" t="str">
        <f aca="false">IF(AND(MOVIMIENTOS!$B79&lt;&gt;"",NOT(AND(MOVIMIENTOS!$B79="PROCESO",MOVIMIENTOS!$C79&lt;&gt;"Chancho")),NOT(AND(MOVIMIENTOS!$B79="SALDO INICIAL",MOVIMIENTOS!$C79="Chancho"))),IF(MOVIMIENTOS!$B79="RECHAZO",MOVIMIENTOS!$E79&amp;" jabas rechazadas · van a reproceso",IF(MOVIMIENTOS!$B79="REPROCESO",MOVIMIENTOS!$E79&amp;" kg recuperados (merma del día: "&amp;TEXT(SUMPRODUCT((MOVIMIENTOS!$A$5:$A$400=MOVIMIENTOS!$A79)*(MOVIMIENTOS!$B$5:$B$400="RECHAZO")*(MOVIMIENTOS!$D$5:$D$400="jabas")*MOVIMIENTOS!$E$5:$E$400*IFERROR(_xlfn.SWITCH(MOVIMIENTOS!$C$5:$C$400,"A",15,"P",18,"C",17,"M",17,0),0))-SUMPRODUCT((MOVIMIENTOS!$A$5:$A$400=MOVIMIENTOS!$A79)*(MOVIMIENTOS!$B$5:$B$400="REPROCESO")*MOVIMIENTOS!$I$5:$I$400),"+#,##0;-#,##0;0")&amp;" kg)",TRIM(IF(MOVIMIENTOS!$G79&lt;&gt;"",MOVIMIENTOS!$G79&amp;"  ","")&amp;IF(N(MOVIMIENTOS!$D79)&gt;0,MOVIMIENTOS!$D79&amp;" "&amp;MOVIMIENTOS!$D79,"")))),"")</f>
        <v/>
      </c>
      <c r="P80" s="48" t="n">
        <f aca="false">N(P79)+N(M80)-N(N80)</f>
        <v>-344</v>
      </c>
      <c r="Q80" s="48"/>
      <c r="R80" s="48"/>
      <c r="S80" s="48"/>
      <c r="T80" s="48"/>
    </row>
    <row r="81" customFormat="false" ht="15" hidden="false" customHeight="true" outlineLevel="0" collapsed="false">
      <c r="A81" s="51" t="n">
        <f aca="false">IFERROR(INDEX(K$6:K$401,MATCH(ROW()-5,J$6:J$401,0)),"")</f>
        <v>46224</v>
      </c>
      <c r="B81" s="56" t="str">
        <f aca="false">IFERROR(INDEX(L$6:L$401,MATCH(ROW()-5,J$6:J$401,0)),"")</f>
        <v>TRASIEGO cal. A</v>
      </c>
      <c r="C81" s="52" t="str">
        <f aca="false">IFERROR(INDEX(M$6:M$401,MATCH(ROW()-5,J$6:J$401,0)),"")</f>
        <v/>
      </c>
      <c r="D81" s="52" t="n">
        <f aca="false">IFERROR(INDEX(N$6:N$401,MATCH(ROW()-5,J$6:J$401,0)),"")</f>
        <v>15</v>
      </c>
      <c r="E81" s="56" t="str">
        <f aca="false">IFERROR(INDEX(O$6:O$401,MATCH(ROW()-5,J$6:J$401,0)),"")</f>
        <v/>
      </c>
      <c r="F81" s="52" t="n">
        <f aca="false">IFERROR(INDEX(P$6:P$401,MATCH(ROW()-5,J$6:J$401,0)),"")</f>
        <v>6686.5</v>
      </c>
      <c r="G81" s="48"/>
      <c r="H81" s="48"/>
      <c r="I81" s="48"/>
      <c r="J81" s="48" t="str">
        <f aca="false">IF(AND(MOVIMIENTOS!$B80&lt;&gt;"",NOT(AND(MOVIMIENTOS!$B80="PROCESO",MOVIMIENTOS!$C80&lt;&gt;"Chancho")),NOT(AND(MOVIMIENTOS!$B80="SALDO INICIAL",MOVIMIENTOS!$C80="Chancho"))),COUNT(J$6:J80)+1,"")</f>
        <v/>
      </c>
      <c r="K81" s="48" t="str">
        <f aca="false">IF(AND(MOVIMIENTOS!$B80&lt;&gt;"",NOT(AND(MOVIMIENTOS!$B80="PROCESO",MOVIMIENTOS!$C80&lt;&gt;"Chancho")),NOT(AND(MOVIMIENTOS!$B80="SALDO INICIAL",MOVIMIENTOS!$C80="Chancho"))),MOVIMIENTOS!$A80,"")</f>
        <v/>
      </c>
      <c r="L81" s="48" t="str">
        <f aca="false">IF(AND(MOVIMIENTOS!$B80&lt;&gt;"",NOT(AND(MOVIMIENTOS!$B80="PROCESO",MOVIMIENTOS!$C80&lt;&gt;"Chancho")),NOT(AND(MOVIMIENTOS!$B80="SALDO INICIAL",MOVIMIENTOS!$C80="Chancho"))),IF(MOVIMIENTOS!$B80="SALDO INICIAL","APERTURA ("&amp;MOVIMIENTOS!$C80&amp;")",IF(MOVIMIENTOS!$B80="COMPRA","INGRESO (compra)",IF(MOVIMIENTOS!$B80="PROCESO","CHANCHO (proceso)",IF(MOVIMIENTOS!$B80="ENVÍO A SUPESA","ENVÍO cal. "&amp;MOVIMIENTOS!$C80,IF(MOVIMIENTOS!$B80="VENTA CHANCHO","VENTA CHANCHO",IF(MOVIMIENTOS!$B80="VENTA","VENTA cal. "&amp;MOVIMIENTOS!$C80,IF(MOVIMIENTOS!$B80="REGALO","REGALO "&amp;MOVIMIENTOS!$C80,IF(MOVIMIENTOS!$B80="RECHAZO","RECHAZO cal. "&amp;MOVIMIENTOS!$C80&amp;" (va a reproceso)",IF(MOVIMIENTOS!$B80="DEVOLUCIÓN","DEVOLUCIÓN cal. "&amp;MOVIMIENTOS!$C80&amp;" (regresa intacta)",IF(MOVIMIENTOS!$B80="TRASIEGO","TRASIEGO cal. "&amp;MOVIMIENTOS!$C80,MOVIMIENTOS!$B80)))))))))),"")</f>
        <v/>
      </c>
      <c r="M81" s="48" t="str">
        <f aca="false">IF(AND(AND(MOVIMIENTOS!$B80&lt;&gt;"",NOT(AND(MOVIMIENTOS!$B80="PROCESO",MOVIMIENTOS!$C80&lt;&gt;"Chancho")),NOT(AND(MOVIMIENTOS!$B80="SALDO INICIAL",MOVIMIENTOS!$C80="Chancho"))),OR(MOVIMIENTOS!$B80="SALDO INICIAL",MOVIMIENTOS!$B80="COMPRA",MOVIMIENTOS!$B80="REPROCESO",MOVIMIENTOS!$B80="DEVOLUCIÓN",AND(MOVIMIENTOS!$B80="AJUSTE",MOVIMIENTOS!$C80&lt;&gt;"Chancho",N(MOVIMIENTOS!$F80)&gt;=0))),N(MOVIMIENTOS!$F80),"")</f>
        <v/>
      </c>
      <c r="N81" s="48" t="str">
        <f aca="false">IF(AND(AND(MOVIMIENTOS!$B80&lt;&gt;"",NOT(AND(MOVIMIENTOS!$B80="PROCESO",MOVIMIENTOS!$C80&lt;&gt;"Chancho")),NOT(AND(MOVIMIENTOS!$B80="SALDO INICIAL",MOVIMIENTOS!$C80="Chancho"))),OR(MOVIMIENTOS!$B80="ENVÍO A SUPESA",MOVIMIENTOS!$B80="MALOGRADO",MOVIMIENTOS!$B80="OTRA SALIDA",MOVIMIENTOS!$B80="TRASIEGO",AND(MOVIMIENTOS!$B80="PROCESO",MOVIMIENTOS!$C80="Chancho"),AND(MOVIMIENTOS!$B80="REGALO",MOVIMIENTOS!$C80&lt;&gt;"Chancho"),AND(MOVIMIENTOS!$B80="VENTA",MOVIMIENTOS!$C80&lt;&gt;"Chancho"),AND(MOVIMIENTOS!$B80="AJUSTE",MOVIMIENTOS!$C80&lt;&gt;"Chancho",N(MOVIMIENTOS!$F80)&lt;0))),IF(MOVIMIENTOS!$B80="AJUSTE",-N(MOVIMIENTOS!$F80),N(MOVIMIENTOS!$F80)),"")</f>
        <v/>
      </c>
      <c r="O81" s="48" t="str">
        <f aca="false">IF(AND(MOVIMIENTOS!$B80&lt;&gt;"",NOT(AND(MOVIMIENTOS!$B80="PROCESO",MOVIMIENTOS!$C80&lt;&gt;"Chancho")),NOT(AND(MOVIMIENTOS!$B80="SALDO INICIAL",MOVIMIENTOS!$C80="Chancho"))),IF(MOVIMIENTOS!$B80="RECHAZO",MOVIMIENTOS!$E80&amp;" jabas rechazadas · van a reproceso",IF(MOVIMIENTOS!$B80="REPROCESO",MOVIMIENTOS!$E80&amp;" kg recuperados (merma del día: "&amp;TEXT(SUMPRODUCT((MOVIMIENTOS!$A$5:$A$400=MOVIMIENTOS!$A80)*(MOVIMIENTOS!$B$5:$B$400="RECHAZO")*(MOVIMIENTOS!$D$5:$D$400="jabas")*MOVIMIENTOS!$E$5:$E$400*IFERROR(_xlfn.SWITCH(MOVIMIENTOS!$C$5:$C$400,"A",15,"P",18,"C",17,"M",17,0),0))-SUMPRODUCT((MOVIMIENTOS!$A$5:$A$400=MOVIMIENTOS!$A80)*(MOVIMIENTOS!$B$5:$B$400="REPROCESO")*MOVIMIENTOS!$I$5:$I$400),"+#,##0;-#,##0;0")&amp;" kg)",TRIM(IF(MOVIMIENTOS!$G80&lt;&gt;"",MOVIMIENTOS!$G80&amp;"  ","")&amp;IF(N(MOVIMIENTOS!$D80)&gt;0,MOVIMIENTOS!$D80&amp;" "&amp;MOVIMIENTOS!$D80,"")))),"")</f>
        <v/>
      </c>
      <c r="P81" s="48" t="n">
        <f aca="false">N(P80)+N(M81)-N(N81)</f>
        <v>-344</v>
      </c>
      <c r="Q81" s="48"/>
      <c r="R81" s="48"/>
      <c r="S81" s="48"/>
      <c r="T81" s="48"/>
    </row>
    <row r="82" customFormat="false" ht="15" hidden="false" customHeight="true" outlineLevel="0" collapsed="false">
      <c r="A82" s="51" t="n">
        <f aca="false">IFERROR(INDEX(K$6:K$401,MATCH(ROW()-5,J$6:J$401,0)),"")</f>
        <v>46224</v>
      </c>
      <c r="B82" s="56" t="str">
        <f aca="false">IFERROR(INDEX(L$6:L$401,MATCH(ROW()-5,J$6:J$401,0)),"")</f>
        <v>TRASIEGO cal. M</v>
      </c>
      <c r="C82" s="52" t="str">
        <f aca="false">IFERROR(INDEX(M$6:M$401,MATCH(ROW()-5,J$6:J$401,0)),"")</f>
        <v/>
      </c>
      <c r="D82" s="52" t="n">
        <f aca="false">IFERROR(INDEX(N$6:N$401,MATCH(ROW()-5,J$6:J$401,0)),"")</f>
        <v>17</v>
      </c>
      <c r="E82" s="56" t="str">
        <f aca="false">IFERROR(INDEX(O$6:O$401,MATCH(ROW()-5,J$6:J$401,0)),"")</f>
        <v/>
      </c>
      <c r="F82" s="52" t="n">
        <f aca="false">IFERROR(INDEX(P$6:P$401,MATCH(ROW()-5,J$6:J$401,0)),"")</f>
        <v>6669.5</v>
      </c>
      <c r="G82" s="48"/>
      <c r="H82" s="48"/>
      <c r="I82" s="48"/>
      <c r="J82" s="48" t="str">
        <f aca="false">IF(AND(MOVIMIENTOS!$B81&lt;&gt;"",NOT(AND(MOVIMIENTOS!$B81="PROCESO",MOVIMIENTOS!$C81&lt;&gt;"Chancho")),NOT(AND(MOVIMIENTOS!$B81="SALDO INICIAL",MOVIMIENTOS!$C81="Chancho"))),COUNT(J$6:J81)+1,"")</f>
        <v/>
      </c>
      <c r="K82" s="48" t="str">
        <f aca="false">IF(AND(MOVIMIENTOS!$B81&lt;&gt;"",NOT(AND(MOVIMIENTOS!$B81="PROCESO",MOVIMIENTOS!$C81&lt;&gt;"Chancho")),NOT(AND(MOVIMIENTOS!$B81="SALDO INICIAL",MOVIMIENTOS!$C81="Chancho"))),MOVIMIENTOS!$A81,"")</f>
        <v/>
      </c>
      <c r="L82" s="48" t="str">
        <f aca="false">IF(AND(MOVIMIENTOS!$B81&lt;&gt;"",NOT(AND(MOVIMIENTOS!$B81="PROCESO",MOVIMIENTOS!$C81&lt;&gt;"Chancho")),NOT(AND(MOVIMIENTOS!$B81="SALDO INICIAL",MOVIMIENTOS!$C81="Chancho"))),IF(MOVIMIENTOS!$B81="SALDO INICIAL","APERTURA ("&amp;MOVIMIENTOS!$C81&amp;")",IF(MOVIMIENTOS!$B81="COMPRA","INGRESO (compra)",IF(MOVIMIENTOS!$B81="PROCESO","CHANCHO (proceso)",IF(MOVIMIENTOS!$B81="ENVÍO A SUPESA","ENVÍO cal. "&amp;MOVIMIENTOS!$C81,IF(MOVIMIENTOS!$B81="VENTA CHANCHO","VENTA CHANCHO",IF(MOVIMIENTOS!$B81="VENTA","VENTA cal. "&amp;MOVIMIENTOS!$C81,IF(MOVIMIENTOS!$B81="REGALO","REGALO "&amp;MOVIMIENTOS!$C81,IF(MOVIMIENTOS!$B81="RECHAZO","RECHAZO cal. "&amp;MOVIMIENTOS!$C81&amp;" (va a reproceso)",IF(MOVIMIENTOS!$B81="DEVOLUCIÓN","DEVOLUCIÓN cal. "&amp;MOVIMIENTOS!$C81&amp;" (regresa intacta)",IF(MOVIMIENTOS!$B81="TRASIEGO","TRASIEGO cal. "&amp;MOVIMIENTOS!$C81,MOVIMIENTOS!$B81)))))))))),"")</f>
        <v/>
      </c>
      <c r="M82" s="48" t="str">
        <f aca="false">IF(AND(AND(MOVIMIENTOS!$B81&lt;&gt;"",NOT(AND(MOVIMIENTOS!$B81="PROCESO",MOVIMIENTOS!$C81&lt;&gt;"Chancho")),NOT(AND(MOVIMIENTOS!$B81="SALDO INICIAL",MOVIMIENTOS!$C81="Chancho"))),OR(MOVIMIENTOS!$B81="SALDO INICIAL",MOVIMIENTOS!$B81="COMPRA",MOVIMIENTOS!$B81="REPROCESO",MOVIMIENTOS!$B81="DEVOLUCIÓN",AND(MOVIMIENTOS!$B81="AJUSTE",MOVIMIENTOS!$C81&lt;&gt;"Chancho",N(MOVIMIENTOS!$F81)&gt;=0))),N(MOVIMIENTOS!$F81),"")</f>
        <v/>
      </c>
      <c r="N82" s="48" t="str">
        <f aca="false">IF(AND(AND(MOVIMIENTOS!$B81&lt;&gt;"",NOT(AND(MOVIMIENTOS!$B81="PROCESO",MOVIMIENTOS!$C81&lt;&gt;"Chancho")),NOT(AND(MOVIMIENTOS!$B81="SALDO INICIAL",MOVIMIENTOS!$C81="Chancho"))),OR(MOVIMIENTOS!$B81="ENVÍO A SUPESA",MOVIMIENTOS!$B81="MALOGRADO",MOVIMIENTOS!$B81="OTRA SALIDA",MOVIMIENTOS!$B81="TRASIEGO",AND(MOVIMIENTOS!$B81="PROCESO",MOVIMIENTOS!$C81="Chancho"),AND(MOVIMIENTOS!$B81="REGALO",MOVIMIENTOS!$C81&lt;&gt;"Chancho"),AND(MOVIMIENTOS!$B81="VENTA",MOVIMIENTOS!$C81&lt;&gt;"Chancho"),AND(MOVIMIENTOS!$B81="AJUSTE",MOVIMIENTOS!$C81&lt;&gt;"Chancho",N(MOVIMIENTOS!$F81)&lt;0))),IF(MOVIMIENTOS!$B81="AJUSTE",-N(MOVIMIENTOS!$F81),N(MOVIMIENTOS!$F81)),"")</f>
        <v/>
      </c>
      <c r="O82" s="48" t="str">
        <f aca="false">IF(AND(MOVIMIENTOS!$B81&lt;&gt;"",NOT(AND(MOVIMIENTOS!$B81="PROCESO",MOVIMIENTOS!$C81&lt;&gt;"Chancho")),NOT(AND(MOVIMIENTOS!$B81="SALDO INICIAL",MOVIMIENTOS!$C81="Chancho"))),IF(MOVIMIENTOS!$B81="RECHAZO",MOVIMIENTOS!$E81&amp;" jabas rechazadas · van a reproceso",IF(MOVIMIENTOS!$B81="REPROCESO",MOVIMIENTOS!$E81&amp;" kg recuperados (merma del día: "&amp;TEXT(SUMPRODUCT((MOVIMIENTOS!$A$5:$A$400=MOVIMIENTOS!$A81)*(MOVIMIENTOS!$B$5:$B$400="RECHAZO")*(MOVIMIENTOS!$D$5:$D$400="jabas")*MOVIMIENTOS!$E$5:$E$400*IFERROR(_xlfn.SWITCH(MOVIMIENTOS!$C$5:$C$400,"A",15,"P",18,"C",17,"M",17,0),0))-SUMPRODUCT((MOVIMIENTOS!$A$5:$A$400=MOVIMIENTOS!$A81)*(MOVIMIENTOS!$B$5:$B$400="REPROCESO")*MOVIMIENTOS!$I$5:$I$400),"+#,##0;-#,##0;0")&amp;" kg)",TRIM(IF(MOVIMIENTOS!$G81&lt;&gt;"",MOVIMIENTOS!$G81&amp;"  ","")&amp;IF(N(MOVIMIENTOS!$D81)&gt;0,MOVIMIENTOS!$D81&amp;" "&amp;MOVIMIENTOS!$D81,"")))),"")</f>
        <v/>
      </c>
      <c r="P82" s="48" t="n">
        <f aca="false">N(P81)+N(M82)-N(N82)</f>
        <v>-344</v>
      </c>
      <c r="Q82" s="48"/>
      <c r="R82" s="48"/>
      <c r="S82" s="48"/>
      <c r="T82" s="48"/>
    </row>
    <row r="83" customFormat="false" ht="15" hidden="false" customHeight="true" outlineLevel="0" collapsed="false">
      <c r="A83" s="51" t="n">
        <f aca="false">IFERROR(INDEX(K$6:K$401,MATCH(ROW()-5,J$6:J$401,0)),"")</f>
        <v>46224</v>
      </c>
      <c r="B83" s="56" t="str">
        <f aca="false">IFERROR(INDEX(L$6:L$401,MATCH(ROW()-5,J$6:J$401,0)),"")</f>
        <v>REPROCESO</v>
      </c>
      <c r="C83" s="52" t="n">
        <f aca="false">IFERROR(INDEX(M$6:M$401,MATCH(ROW()-5,J$6:J$401,0)),"")</f>
        <v>17</v>
      </c>
      <c r="D83" s="52" t="str">
        <f aca="false">IFERROR(INDEX(N$6:N$401,MATCH(ROW()-5,J$6:J$401,0)),"")</f>
        <v/>
      </c>
      <c r="E83" s="56" t="str">
        <f aca="false">IFERROR(INDEX(O$6:O$401,MATCH(ROW()-5,J$6:J$401,0)),"")</f>
        <v>17 kg recuperados (merma del día: +15 kg)</v>
      </c>
      <c r="F83" s="52" t="n">
        <f aca="false">IFERROR(INDEX(P$6:P$401,MATCH(ROW()-5,J$6:J$401,0)),"")</f>
        <v>6686.5</v>
      </c>
      <c r="G83" s="48"/>
      <c r="H83" s="48"/>
      <c r="I83" s="48"/>
      <c r="J83" s="48" t="str">
        <f aca="false">IF(AND(MOVIMIENTOS!$B82&lt;&gt;"",NOT(AND(MOVIMIENTOS!$B82="PROCESO",MOVIMIENTOS!$C82&lt;&gt;"Chancho")),NOT(AND(MOVIMIENTOS!$B82="SALDO INICIAL",MOVIMIENTOS!$C82="Chancho"))),COUNT(J$6:J82)+1,"")</f>
        <v/>
      </c>
      <c r="K83" s="48" t="str">
        <f aca="false">IF(AND(MOVIMIENTOS!$B82&lt;&gt;"",NOT(AND(MOVIMIENTOS!$B82="PROCESO",MOVIMIENTOS!$C82&lt;&gt;"Chancho")),NOT(AND(MOVIMIENTOS!$B82="SALDO INICIAL",MOVIMIENTOS!$C82="Chancho"))),MOVIMIENTOS!$A82,"")</f>
        <v/>
      </c>
      <c r="L83" s="48" t="str">
        <f aca="false">IF(AND(MOVIMIENTOS!$B82&lt;&gt;"",NOT(AND(MOVIMIENTOS!$B82="PROCESO",MOVIMIENTOS!$C82&lt;&gt;"Chancho")),NOT(AND(MOVIMIENTOS!$B82="SALDO INICIAL",MOVIMIENTOS!$C82="Chancho"))),IF(MOVIMIENTOS!$B82="SALDO INICIAL","APERTURA ("&amp;MOVIMIENTOS!$C82&amp;")",IF(MOVIMIENTOS!$B82="COMPRA","INGRESO (compra)",IF(MOVIMIENTOS!$B82="PROCESO","CHANCHO (proceso)",IF(MOVIMIENTOS!$B82="ENVÍO A SUPESA","ENVÍO cal. "&amp;MOVIMIENTOS!$C82,IF(MOVIMIENTOS!$B82="VENTA CHANCHO","VENTA CHANCHO",IF(MOVIMIENTOS!$B82="VENTA","VENTA cal. "&amp;MOVIMIENTOS!$C82,IF(MOVIMIENTOS!$B82="REGALO","REGALO "&amp;MOVIMIENTOS!$C82,IF(MOVIMIENTOS!$B82="RECHAZO","RECHAZO cal. "&amp;MOVIMIENTOS!$C82&amp;" (va a reproceso)",IF(MOVIMIENTOS!$B82="DEVOLUCIÓN","DEVOLUCIÓN cal. "&amp;MOVIMIENTOS!$C82&amp;" (regresa intacta)",IF(MOVIMIENTOS!$B82="TRASIEGO","TRASIEGO cal. "&amp;MOVIMIENTOS!$C82,MOVIMIENTOS!$B82)))))))))),"")</f>
        <v/>
      </c>
      <c r="M83" s="48" t="str">
        <f aca="false">IF(AND(AND(MOVIMIENTOS!$B82&lt;&gt;"",NOT(AND(MOVIMIENTOS!$B82="PROCESO",MOVIMIENTOS!$C82&lt;&gt;"Chancho")),NOT(AND(MOVIMIENTOS!$B82="SALDO INICIAL",MOVIMIENTOS!$C82="Chancho"))),OR(MOVIMIENTOS!$B82="SALDO INICIAL",MOVIMIENTOS!$B82="COMPRA",MOVIMIENTOS!$B82="REPROCESO",MOVIMIENTOS!$B82="DEVOLUCIÓN",AND(MOVIMIENTOS!$B82="AJUSTE",MOVIMIENTOS!$C82&lt;&gt;"Chancho",N(MOVIMIENTOS!$F82)&gt;=0))),N(MOVIMIENTOS!$F82),"")</f>
        <v/>
      </c>
      <c r="N83" s="48" t="str">
        <f aca="false">IF(AND(AND(MOVIMIENTOS!$B82&lt;&gt;"",NOT(AND(MOVIMIENTOS!$B82="PROCESO",MOVIMIENTOS!$C82&lt;&gt;"Chancho")),NOT(AND(MOVIMIENTOS!$B82="SALDO INICIAL",MOVIMIENTOS!$C82="Chancho"))),OR(MOVIMIENTOS!$B82="ENVÍO A SUPESA",MOVIMIENTOS!$B82="MALOGRADO",MOVIMIENTOS!$B82="OTRA SALIDA",MOVIMIENTOS!$B82="TRASIEGO",AND(MOVIMIENTOS!$B82="PROCESO",MOVIMIENTOS!$C82="Chancho"),AND(MOVIMIENTOS!$B82="REGALO",MOVIMIENTOS!$C82&lt;&gt;"Chancho"),AND(MOVIMIENTOS!$B82="VENTA",MOVIMIENTOS!$C82&lt;&gt;"Chancho"),AND(MOVIMIENTOS!$B82="AJUSTE",MOVIMIENTOS!$C82&lt;&gt;"Chancho",N(MOVIMIENTOS!$F82)&lt;0))),IF(MOVIMIENTOS!$B82="AJUSTE",-N(MOVIMIENTOS!$F82),N(MOVIMIENTOS!$F82)),"")</f>
        <v/>
      </c>
      <c r="O83" s="48" t="str">
        <f aca="false">IF(AND(MOVIMIENTOS!$B82&lt;&gt;"",NOT(AND(MOVIMIENTOS!$B82="PROCESO",MOVIMIENTOS!$C82&lt;&gt;"Chancho")),NOT(AND(MOVIMIENTOS!$B82="SALDO INICIAL",MOVIMIENTOS!$C82="Chancho"))),IF(MOVIMIENTOS!$B82="RECHAZO",MOVIMIENTOS!$E82&amp;" jabas rechazadas · van a reproceso",IF(MOVIMIENTOS!$B82="REPROCESO",MOVIMIENTOS!$E82&amp;" kg recuperados (merma del día: "&amp;TEXT(SUMPRODUCT((MOVIMIENTOS!$A$5:$A$400=MOVIMIENTOS!$A82)*(MOVIMIENTOS!$B$5:$B$400="RECHAZO")*(MOVIMIENTOS!$D$5:$D$400="jabas")*MOVIMIENTOS!$E$5:$E$400*IFERROR(_xlfn.SWITCH(MOVIMIENTOS!$C$5:$C$400,"A",15,"P",18,"C",17,"M",17,0),0))-SUMPRODUCT((MOVIMIENTOS!$A$5:$A$400=MOVIMIENTOS!$A82)*(MOVIMIENTOS!$B$5:$B$400="REPROCESO")*MOVIMIENTOS!$I$5:$I$400),"+#,##0;-#,##0;0")&amp;" kg)",TRIM(IF(MOVIMIENTOS!$G82&lt;&gt;"",MOVIMIENTOS!$G82&amp;"  ","")&amp;IF(N(MOVIMIENTOS!$D82)&gt;0,MOVIMIENTOS!$D82&amp;" "&amp;MOVIMIENTOS!$D82,"")))),"")</f>
        <v/>
      </c>
      <c r="P83" s="48" t="n">
        <f aca="false">N(P82)+N(M83)-N(N83)</f>
        <v>-344</v>
      </c>
      <c r="Q83" s="48"/>
      <c r="R83" s="48"/>
      <c r="S83" s="48"/>
      <c r="T83" s="48"/>
    </row>
    <row r="84" customFormat="false" ht="15" hidden="false" customHeight="true" outlineLevel="0" collapsed="false">
      <c r="A84" s="51" t="n">
        <f aca="false">IFERROR(INDEX(K$6:K$401,MATCH(ROW()-5,J$6:J$401,0)),"")</f>
        <v>46225</v>
      </c>
      <c r="B84" s="56" t="str">
        <f aca="false">IFERROR(INDEX(L$6:L$401,MATCH(ROW()-5,J$6:J$401,0)),"")</f>
        <v>CHANCHO (proceso)</v>
      </c>
      <c r="C84" s="52" t="str">
        <f aca="false">IFERROR(INDEX(M$6:M$401,MATCH(ROW()-5,J$6:J$401,0)),"")</f>
        <v/>
      </c>
      <c r="D84" s="52" t="n">
        <f aca="false">IFERROR(INDEX(N$6:N$401,MATCH(ROW()-5,J$6:J$401,0)),"")</f>
        <v>760</v>
      </c>
      <c r="E84" s="56" t="str">
        <f aca="false">IFERROR(INDEX(O$6:O$401,MATCH(ROW()-5,J$6:J$401,0)),"")</f>
        <v/>
      </c>
      <c r="F84" s="52" t="n">
        <f aca="false">IFERROR(INDEX(P$6:P$401,MATCH(ROW()-5,J$6:J$401,0)),"")</f>
        <v>5926.5</v>
      </c>
      <c r="G84" s="48"/>
      <c r="H84" s="48"/>
      <c r="I84" s="48"/>
      <c r="J84" s="48" t="n">
        <f aca="false">IF(AND(MOVIMIENTOS!$B83&lt;&gt;"",NOT(AND(MOVIMIENTOS!$B83="PROCESO",MOVIMIENTOS!$C83&lt;&gt;"Chancho")),NOT(AND(MOVIMIENTOS!$B83="SALDO INICIAL",MOVIMIENTOS!$C83="Chancho"))),COUNT(J$6:J83)+1,"")</f>
        <v>48</v>
      </c>
      <c r="K84" s="53" t="n">
        <f aca="false">IF(AND(MOVIMIENTOS!$B83&lt;&gt;"",NOT(AND(MOVIMIENTOS!$B83="PROCESO",MOVIMIENTOS!$C83&lt;&gt;"Chancho")),NOT(AND(MOVIMIENTOS!$B83="SALDO INICIAL",MOVIMIENTOS!$C83="Chancho"))),MOVIMIENTOS!$A83,"")</f>
        <v>46221</v>
      </c>
      <c r="L84" s="48" t="str">
        <f aca="false">IF(AND(MOVIMIENTOS!$B83&lt;&gt;"",NOT(AND(MOVIMIENTOS!$B83="PROCESO",MOVIMIENTOS!$C83&lt;&gt;"Chancho")),NOT(AND(MOVIMIENTOS!$B83="SALDO INICIAL",MOVIMIENTOS!$C83="Chancho"))),IF(MOVIMIENTOS!$B83="SALDO INICIAL","APERTURA ("&amp;MOVIMIENTOS!$C83&amp;")",IF(MOVIMIENTOS!$B83="COMPRA","INGRESO (compra)",IF(MOVIMIENTOS!$B83="PROCESO","CHANCHO (proceso)",IF(MOVIMIENTOS!$B83="ENVÍO A SUPESA","ENVÍO cal. "&amp;MOVIMIENTOS!$C83,IF(MOVIMIENTOS!$B83="VENTA CHANCHO","VENTA CHANCHO",IF(MOVIMIENTOS!$B83="VENTA","VENTA cal. "&amp;MOVIMIENTOS!$C83,IF(MOVIMIENTOS!$B83="REGALO","REGALO "&amp;MOVIMIENTOS!$C83,IF(MOVIMIENTOS!$B83="RECHAZO","RECHAZO cal. "&amp;MOVIMIENTOS!$C83&amp;" (va a reproceso)",IF(MOVIMIENTOS!$B83="DEVOLUCIÓN","DEVOLUCIÓN cal. "&amp;MOVIMIENTOS!$C83&amp;" (regresa intacta)",IF(MOVIMIENTOS!$B83="TRASIEGO","TRASIEGO cal. "&amp;MOVIMIENTOS!$C83,MOVIMIENTOS!$B83)))))))))),"")</f>
        <v>CHANCHO (proceso)</v>
      </c>
      <c r="M84" s="48" t="str">
        <f aca="false">IF(AND(AND(MOVIMIENTOS!$B83&lt;&gt;"",NOT(AND(MOVIMIENTOS!$B83="PROCESO",MOVIMIENTOS!$C83&lt;&gt;"Chancho")),NOT(AND(MOVIMIENTOS!$B83="SALDO INICIAL",MOVIMIENTOS!$C83="Chancho"))),OR(MOVIMIENTOS!$B83="SALDO INICIAL",MOVIMIENTOS!$B83="COMPRA",MOVIMIENTOS!$B83="REPROCESO",MOVIMIENTOS!$B83="DEVOLUCIÓN",AND(MOVIMIENTOS!$B83="AJUSTE",MOVIMIENTOS!$C83&lt;&gt;"Chancho",N(MOVIMIENTOS!$F83)&gt;=0))),N(MOVIMIENTOS!$F83),"")</f>
        <v/>
      </c>
      <c r="N84" s="48" t="n">
        <f aca="false">IF(AND(AND(MOVIMIENTOS!$B83&lt;&gt;"",NOT(AND(MOVIMIENTOS!$B83="PROCESO",MOVIMIENTOS!$C83&lt;&gt;"Chancho")),NOT(AND(MOVIMIENTOS!$B83="SALDO INICIAL",MOVIMIENTOS!$C83="Chancho"))),OR(MOVIMIENTOS!$B83="ENVÍO A SUPESA",MOVIMIENTOS!$B83="MALOGRADO",MOVIMIENTOS!$B83="OTRA SALIDA",MOVIMIENTOS!$B83="TRASIEGO",AND(MOVIMIENTOS!$B83="PROCESO",MOVIMIENTOS!$C83="Chancho"),AND(MOVIMIENTOS!$B83="REGALO",MOVIMIENTOS!$C83&lt;&gt;"Chancho"),AND(MOVIMIENTOS!$B83="VENTA",MOVIMIENTOS!$C83&lt;&gt;"Chancho"),AND(MOVIMIENTOS!$B83="AJUSTE",MOVIMIENTOS!$C83&lt;&gt;"Chancho",N(MOVIMIENTOS!$F83)&lt;0))),IF(MOVIMIENTOS!$B83="AJUSTE",-N(MOVIMIENTOS!$F83),N(MOVIMIENTOS!$F83)),"")</f>
        <v>950</v>
      </c>
      <c r="O84" s="48" t="str">
        <f aca="false">IF(AND(MOVIMIENTOS!$B83&lt;&gt;"",NOT(AND(MOVIMIENTOS!$B83="PROCESO",MOVIMIENTOS!$C83&lt;&gt;"Chancho")),NOT(AND(MOVIMIENTOS!$B83="SALDO INICIAL",MOVIMIENTOS!$C83="Chancho"))),IF(MOVIMIENTOS!$B83="RECHAZO",MOVIMIENTOS!$E83&amp;" jabas rechazadas · van a reproceso",IF(MOVIMIENTOS!$B83="REPROCESO",MOVIMIENTOS!$E83&amp;" kg recuperados (merma del día: "&amp;TEXT(SUMPRODUCT((MOVIMIENTOS!$A$5:$A$400=MOVIMIENTOS!$A83)*(MOVIMIENTOS!$B$5:$B$400="RECHAZO")*(MOVIMIENTOS!$D$5:$D$400="jabas")*MOVIMIENTOS!$E$5:$E$400*IFERROR(_xlfn.SWITCH(MOVIMIENTOS!$C$5:$C$400,"A",15,"P",18,"C",17,"M",17,0),0))-SUMPRODUCT((MOVIMIENTOS!$A$5:$A$400=MOVIMIENTOS!$A83)*(MOVIMIENTOS!$B$5:$B$400="REPROCESO")*MOVIMIENTOS!$I$5:$I$400),"+#,##0;-#,##0;0")&amp;" kg)",TRIM(IF(MOVIMIENTOS!$G83&lt;&gt;"",MOVIMIENTOS!$G83&amp;"  ","")&amp;IF(N(MOVIMIENTOS!$D83)&gt;0,MOVIMIENTOS!$D83&amp;" "&amp;MOVIMIENTOS!$D83,"")))),"")</f>
        <v/>
      </c>
      <c r="P84" s="48" t="n">
        <f aca="false">N(P83)+N(M84)-N(N84)</f>
        <v>-1294</v>
      </c>
      <c r="Q84" s="48"/>
      <c r="R84" s="48"/>
      <c r="S84" s="48"/>
      <c r="T84" s="48"/>
    </row>
    <row r="85" customFormat="false" ht="15" hidden="false" customHeight="true" outlineLevel="0" collapsed="false">
      <c r="A85" s="51" t="n">
        <f aca="false">IFERROR(INDEX(K$6:K$401,MATCH(ROW()-5,J$6:J$401,0)),"")</f>
        <v>46225</v>
      </c>
      <c r="B85" s="56" t="str">
        <f aca="false">IFERROR(INDEX(L$6:L$401,MATCH(ROW()-5,J$6:J$401,0)),"")</f>
        <v>MALOGRADO</v>
      </c>
      <c r="C85" s="52" t="str">
        <f aca="false">IFERROR(INDEX(M$6:M$401,MATCH(ROW()-5,J$6:J$401,0)),"")</f>
        <v/>
      </c>
      <c r="D85" s="52" t="n">
        <f aca="false">IFERROR(INDEX(N$6:N$401,MATCH(ROW()-5,J$6:J$401,0)),"")</f>
        <v>50</v>
      </c>
      <c r="E85" s="56" t="str">
        <f aca="false">IFERROR(INDEX(O$6:O$401,MATCH(ROW()-5,J$6:J$401,0)),"")</f>
        <v/>
      </c>
      <c r="F85" s="52" t="n">
        <f aca="false">IFERROR(INDEX(P$6:P$401,MATCH(ROW()-5,J$6:J$401,0)),"")</f>
        <v>5876.5</v>
      </c>
      <c r="G85" s="48"/>
      <c r="H85" s="48"/>
      <c r="I85" s="48"/>
      <c r="J85" s="48" t="n">
        <f aca="false">IF(AND(MOVIMIENTOS!$B84&lt;&gt;"",NOT(AND(MOVIMIENTOS!$B84="PROCESO",MOVIMIENTOS!$C84&lt;&gt;"Chancho")),NOT(AND(MOVIMIENTOS!$B84="SALDO INICIAL",MOVIMIENTOS!$C84="Chancho"))),COUNT(J$6:J84)+1,"")</f>
        <v>49</v>
      </c>
      <c r="K85" s="53" t="n">
        <f aca="false">IF(AND(MOVIMIENTOS!$B84&lt;&gt;"",NOT(AND(MOVIMIENTOS!$B84="PROCESO",MOVIMIENTOS!$C84&lt;&gt;"Chancho")),NOT(AND(MOVIMIENTOS!$B84="SALDO INICIAL",MOVIMIENTOS!$C84="Chancho"))),MOVIMIENTOS!$A84,"")</f>
        <v>46221</v>
      </c>
      <c r="L85" s="48" t="str">
        <f aca="false">IF(AND(MOVIMIENTOS!$B84&lt;&gt;"",NOT(AND(MOVIMIENTOS!$B84="PROCESO",MOVIMIENTOS!$C84&lt;&gt;"Chancho")),NOT(AND(MOVIMIENTOS!$B84="SALDO INICIAL",MOVIMIENTOS!$C84="Chancho"))),IF(MOVIMIENTOS!$B84="SALDO INICIAL","APERTURA ("&amp;MOVIMIENTOS!$C84&amp;")",IF(MOVIMIENTOS!$B84="COMPRA","INGRESO (compra)",IF(MOVIMIENTOS!$B84="PROCESO","CHANCHO (proceso)",IF(MOVIMIENTOS!$B84="ENVÍO A SUPESA","ENVÍO cal. "&amp;MOVIMIENTOS!$C84,IF(MOVIMIENTOS!$B84="VENTA CHANCHO","VENTA CHANCHO",IF(MOVIMIENTOS!$B84="VENTA","VENTA cal. "&amp;MOVIMIENTOS!$C84,IF(MOVIMIENTOS!$B84="REGALO","REGALO "&amp;MOVIMIENTOS!$C84,IF(MOVIMIENTOS!$B84="RECHAZO","RECHAZO cal. "&amp;MOVIMIENTOS!$C84&amp;" (va a reproceso)",IF(MOVIMIENTOS!$B84="DEVOLUCIÓN","DEVOLUCIÓN cal. "&amp;MOVIMIENTOS!$C84&amp;" (regresa intacta)",IF(MOVIMIENTOS!$B84="TRASIEGO","TRASIEGO cal. "&amp;MOVIMIENTOS!$C84,MOVIMIENTOS!$B84)))))))))),"")</f>
        <v>TRASIEGO cal. A</v>
      </c>
      <c r="M85" s="48" t="str">
        <f aca="false">IF(AND(AND(MOVIMIENTOS!$B84&lt;&gt;"",NOT(AND(MOVIMIENTOS!$B84="PROCESO",MOVIMIENTOS!$C84&lt;&gt;"Chancho")),NOT(AND(MOVIMIENTOS!$B84="SALDO INICIAL",MOVIMIENTOS!$C84="Chancho"))),OR(MOVIMIENTOS!$B84="SALDO INICIAL",MOVIMIENTOS!$B84="COMPRA",MOVIMIENTOS!$B84="REPROCESO",MOVIMIENTOS!$B84="DEVOLUCIÓN",AND(MOVIMIENTOS!$B84="AJUSTE",MOVIMIENTOS!$C84&lt;&gt;"Chancho",N(MOVIMIENTOS!$F84)&gt;=0))),N(MOVIMIENTOS!$F84),"")</f>
        <v/>
      </c>
      <c r="N85" s="48" t="n">
        <f aca="false">IF(AND(AND(MOVIMIENTOS!$B84&lt;&gt;"",NOT(AND(MOVIMIENTOS!$B84="PROCESO",MOVIMIENTOS!$C84&lt;&gt;"Chancho")),NOT(AND(MOVIMIENTOS!$B84="SALDO INICIAL",MOVIMIENTOS!$C84="Chancho"))),OR(MOVIMIENTOS!$B84="ENVÍO A SUPESA",MOVIMIENTOS!$B84="MALOGRADO",MOVIMIENTOS!$B84="OTRA SALIDA",MOVIMIENTOS!$B84="TRASIEGO",AND(MOVIMIENTOS!$B84="PROCESO",MOVIMIENTOS!$C84="Chancho"),AND(MOVIMIENTOS!$B84="REGALO",MOVIMIENTOS!$C84&lt;&gt;"Chancho"),AND(MOVIMIENTOS!$B84="VENTA",MOVIMIENTOS!$C84&lt;&gt;"Chancho"),AND(MOVIMIENTOS!$B84="AJUSTE",MOVIMIENTOS!$C84&lt;&gt;"Chancho",N(MOVIMIENTOS!$F84)&lt;0))),IF(MOVIMIENTOS!$B84="AJUSTE",-N(MOVIMIENTOS!$F84),N(MOVIMIENTOS!$F84)),"")</f>
        <v>15</v>
      </c>
      <c r="O85" s="48" t="str">
        <f aca="false">IF(AND(MOVIMIENTOS!$B84&lt;&gt;"",NOT(AND(MOVIMIENTOS!$B84="PROCESO",MOVIMIENTOS!$C84&lt;&gt;"Chancho")),NOT(AND(MOVIMIENTOS!$B84="SALDO INICIAL",MOVIMIENTOS!$C84="Chancho"))),IF(MOVIMIENTOS!$B84="RECHAZO",MOVIMIENTOS!$E84&amp;" jabas rechazadas · van a reproceso",IF(MOVIMIENTOS!$B84="REPROCESO",MOVIMIENTOS!$E84&amp;" kg recuperados (merma del día: "&amp;TEXT(SUMPRODUCT((MOVIMIENTOS!$A$5:$A$400=MOVIMIENTOS!$A84)*(MOVIMIENTOS!$B$5:$B$400="RECHAZO")*(MOVIMIENTOS!$D$5:$D$400="jabas")*MOVIMIENTOS!$E$5:$E$400*IFERROR(_xlfn.SWITCH(MOVIMIENTOS!$C$5:$C$400,"A",15,"P",18,"C",17,"M",17,0),0))-SUMPRODUCT((MOVIMIENTOS!$A$5:$A$400=MOVIMIENTOS!$A84)*(MOVIMIENTOS!$B$5:$B$400="REPROCESO")*MOVIMIENTOS!$I$5:$I$400),"+#,##0;-#,##0;0")&amp;" kg)",TRIM(IF(MOVIMIENTOS!$G84&lt;&gt;"",MOVIMIENTOS!$G84&amp;"  ","")&amp;IF(N(MOVIMIENTOS!$D84)&gt;0,MOVIMIENTOS!$D84&amp;" "&amp;MOVIMIENTOS!$D84,"")))),"")</f>
        <v/>
      </c>
      <c r="P85" s="48" t="n">
        <f aca="false">N(P84)+N(M85)-N(N85)</f>
        <v>-1309</v>
      </c>
      <c r="Q85" s="48"/>
      <c r="R85" s="48"/>
      <c r="S85" s="48"/>
      <c r="T85" s="48"/>
    </row>
    <row r="86" customFormat="false" ht="15" hidden="false" customHeight="true" outlineLevel="0" collapsed="false">
      <c r="A86" s="51" t="n">
        <f aca="false">IFERROR(INDEX(K$6:K$401,MATCH(ROW()-5,J$6:J$401,0)),"")</f>
        <v>46225</v>
      </c>
      <c r="B86" s="56" t="str">
        <f aca="false">IFERROR(INDEX(L$6:L$401,MATCH(ROW()-5,J$6:J$401,0)),"")</f>
        <v>ENVÍO cal. A</v>
      </c>
      <c r="C86" s="52" t="str">
        <f aca="false">IFERROR(INDEX(M$6:M$401,MATCH(ROW()-5,J$6:J$401,0)),"")</f>
        <v/>
      </c>
      <c r="D86" s="52" t="n">
        <f aca="false">IFERROR(INDEX(N$6:N$401,MATCH(ROW()-5,J$6:J$401,0)),"")</f>
        <v>1005</v>
      </c>
      <c r="E86" s="56" t="str">
        <f aca="false">IFERROR(INDEX(O$6:O$401,MATCH(ROW()-5,J$6:J$401,0)),"")</f>
        <v>3006</v>
      </c>
      <c r="F86" s="52" t="n">
        <f aca="false">IFERROR(INDEX(P$6:P$401,MATCH(ROW()-5,J$6:J$401,0)),"")</f>
        <v>4871.5</v>
      </c>
      <c r="G86" s="48"/>
      <c r="H86" s="48"/>
      <c r="I86" s="48"/>
      <c r="J86" s="48" t="n">
        <f aca="false">IF(AND(MOVIMIENTOS!$B85&lt;&gt;"",NOT(AND(MOVIMIENTOS!$B85="PROCESO",MOVIMIENTOS!$C85&lt;&gt;"Chancho")),NOT(AND(MOVIMIENTOS!$B85="SALDO INICIAL",MOVIMIENTOS!$C85="Chancho"))),COUNT(J$6:J85)+1,"")</f>
        <v>50</v>
      </c>
      <c r="K86" s="53" t="n">
        <f aca="false">IF(AND(MOVIMIENTOS!$B85&lt;&gt;"",NOT(AND(MOVIMIENTOS!$B85="PROCESO",MOVIMIENTOS!$C85&lt;&gt;"Chancho")),NOT(AND(MOVIMIENTOS!$B85="SALDO INICIAL",MOVIMIENTOS!$C85="Chancho"))),MOVIMIENTOS!$A85,"")</f>
        <v>46221</v>
      </c>
      <c r="L86" s="48" t="str">
        <f aca="false">IF(AND(MOVIMIENTOS!$B85&lt;&gt;"",NOT(AND(MOVIMIENTOS!$B85="PROCESO",MOVIMIENTOS!$C85&lt;&gt;"Chancho")),NOT(AND(MOVIMIENTOS!$B85="SALDO INICIAL",MOVIMIENTOS!$C85="Chancho"))),IF(MOVIMIENTOS!$B85="SALDO INICIAL","APERTURA ("&amp;MOVIMIENTOS!$C85&amp;")",IF(MOVIMIENTOS!$B85="COMPRA","INGRESO (compra)",IF(MOVIMIENTOS!$B85="PROCESO","CHANCHO (proceso)",IF(MOVIMIENTOS!$B85="ENVÍO A SUPESA","ENVÍO cal. "&amp;MOVIMIENTOS!$C85,IF(MOVIMIENTOS!$B85="VENTA CHANCHO","VENTA CHANCHO",IF(MOVIMIENTOS!$B85="VENTA","VENTA cal. "&amp;MOVIMIENTOS!$C85,IF(MOVIMIENTOS!$B85="REGALO","REGALO "&amp;MOVIMIENTOS!$C85,IF(MOVIMIENTOS!$B85="RECHAZO","RECHAZO cal. "&amp;MOVIMIENTOS!$C85&amp;" (va a reproceso)",IF(MOVIMIENTOS!$B85="DEVOLUCIÓN","DEVOLUCIÓN cal. "&amp;MOVIMIENTOS!$C85&amp;" (regresa intacta)",IF(MOVIMIENTOS!$B85="TRASIEGO","TRASIEGO cal. "&amp;MOVIMIENTOS!$C85,MOVIMIENTOS!$B85)))))))))),"")</f>
        <v>INGRESO (compra)</v>
      </c>
      <c r="M86" s="48" t="n">
        <f aca="false">IF(AND(AND(MOVIMIENTOS!$B85&lt;&gt;"",NOT(AND(MOVIMIENTOS!$B85="PROCESO",MOVIMIENTOS!$C85&lt;&gt;"Chancho")),NOT(AND(MOVIMIENTOS!$B85="SALDO INICIAL",MOVIMIENTOS!$C85="Chancho"))),OR(MOVIMIENTOS!$B85="SALDO INICIAL",MOVIMIENTOS!$B85="COMPRA",MOVIMIENTOS!$B85="REPROCESO",MOVIMIENTOS!$B85="DEVOLUCIÓN",AND(MOVIMIENTOS!$B85="AJUSTE",MOVIMIENTOS!$C85&lt;&gt;"Chancho",N(MOVIMIENTOS!$F85)&gt;=0))),N(MOVIMIENTOS!$F85),"")</f>
        <v>3135</v>
      </c>
      <c r="N86" s="48" t="str">
        <f aca="false">IF(AND(AND(MOVIMIENTOS!$B85&lt;&gt;"",NOT(AND(MOVIMIENTOS!$B85="PROCESO",MOVIMIENTOS!$C85&lt;&gt;"Chancho")),NOT(AND(MOVIMIENTOS!$B85="SALDO INICIAL",MOVIMIENTOS!$C85="Chancho"))),OR(MOVIMIENTOS!$B85="ENVÍO A SUPESA",MOVIMIENTOS!$B85="MALOGRADO",MOVIMIENTOS!$B85="OTRA SALIDA",MOVIMIENTOS!$B85="TRASIEGO",AND(MOVIMIENTOS!$B85="PROCESO",MOVIMIENTOS!$C85="Chancho"),AND(MOVIMIENTOS!$B85="REGALO",MOVIMIENTOS!$C85&lt;&gt;"Chancho"),AND(MOVIMIENTOS!$B85="VENTA",MOVIMIENTOS!$C85&lt;&gt;"Chancho"),AND(MOVIMIENTOS!$B85="AJUSTE",MOVIMIENTOS!$C85&lt;&gt;"Chancho",N(MOVIMIENTOS!$F85)&lt;0))),IF(MOVIMIENTOS!$B85="AJUSTE",-N(MOVIMIENTOS!$F85),N(MOVIMIENTOS!$F85)),"")</f>
        <v/>
      </c>
      <c r="O86" s="48" t="str">
        <f aca="false">IF(AND(MOVIMIENTOS!$B85&lt;&gt;"",NOT(AND(MOVIMIENTOS!$B85="PROCESO",MOVIMIENTOS!$C85&lt;&gt;"Chancho")),NOT(AND(MOVIMIENTOS!$B85="SALDO INICIAL",MOVIMIENTOS!$C85="Chancho"))),IF(MOVIMIENTOS!$B85="RECHAZO",MOVIMIENTOS!$E85&amp;" jabas rechazadas · van a reproceso",IF(MOVIMIENTOS!$B85="REPROCESO",MOVIMIENTOS!$E85&amp;" kg recuperados (merma del día: "&amp;TEXT(SUMPRODUCT((MOVIMIENTOS!$A$5:$A$400=MOVIMIENTOS!$A85)*(MOVIMIENTOS!$B$5:$B$400="RECHAZO")*(MOVIMIENTOS!$D$5:$D$400="jabas")*MOVIMIENTOS!$E$5:$E$400*IFERROR(_xlfn.SWITCH(MOVIMIENTOS!$C$5:$C$400,"A",15,"P",18,"C",17,"M",17,0),0))-SUMPRODUCT((MOVIMIENTOS!$A$5:$A$400=MOVIMIENTOS!$A85)*(MOVIMIENTOS!$B$5:$B$400="REPROCESO")*MOVIMIENTOS!$I$5:$I$400),"+#,##0;-#,##0;0")&amp;" kg)",TRIM(IF(MOVIMIENTOS!$G85&lt;&gt;"",MOVIMIENTOS!$G85&amp;"  ","")&amp;IF(N(MOVIMIENTOS!$D85)&gt;0,MOVIMIENTOS!$D85&amp;" "&amp;MOVIMIENTOS!$D85,"")))),"")</f>
        <v/>
      </c>
      <c r="P86" s="48" t="n">
        <f aca="false">N(P85)+N(M86)-N(N86)</f>
        <v>1826</v>
      </c>
      <c r="Q86" s="48"/>
      <c r="R86" s="48"/>
      <c r="S86" s="48"/>
      <c r="T86" s="48"/>
    </row>
    <row r="87" customFormat="false" ht="15" hidden="false" customHeight="true" outlineLevel="0" collapsed="false">
      <c r="A87" s="51" t="n">
        <f aca="false">IFERROR(INDEX(K$6:K$401,MATCH(ROW()-5,J$6:J$401,0)),"")</f>
        <v>46225</v>
      </c>
      <c r="B87" s="56" t="str">
        <f aca="false">IFERROR(INDEX(L$6:L$401,MATCH(ROW()-5,J$6:J$401,0)),"")</f>
        <v>ENVÍO cal. P</v>
      </c>
      <c r="C87" s="52" t="str">
        <f aca="false">IFERROR(INDEX(M$6:M$401,MATCH(ROW()-5,J$6:J$401,0)),"")</f>
        <v/>
      </c>
      <c r="D87" s="52" t="n">
        <f aca="false">IFERROR(INDEX(N$6:N$401,MATCH(ROW()-5,J$6:J$401,0)),"")</f>
        <v>198</v>
      </c>
      <c r="E87" s="56" t="str">
        <f aca="false">IFERROR(INDEX(O$6:O$401,MATCH(ROW()-5,J$6:J$401,0)),"")</f>
        <v>3006</v>
      </c>
      <c r="F87" s="52" t="n">
        <f aca="false">IFERROR(INDEX(P$6:P$401,MATCH(ROW()-5,J$6:J$401,0)),"")</f>
        <v>4673.5</v>
      </c>
      <c r="G87" s="48"/>
      <c r="H87" s="48"/>
      <c r="I87" s="48"/>
      <c r="J87" s="48" t="str">
        <f aca="false">IF(AND(MOVIMIENTOS!$B86&lt;&gt;"",NOT(AND(MOVIMIENTOS!$B86="PROCESO",MOVIMIENTOS!$C86&lt;&gt;"Chancho")),NOT(AND(MOVIMIENTOS!$B86="SALDO INICIAL",MOVIMIENTOS!$C86="Chancho"))),COUNT(J$6:J86)+1,"")</f>
        <v/>
      </c>
      <c r="K87" s="48" t="str">
        <f aca="false">IF(AND(MOVIMIENTOS!$B86&lt;&gt;"",NOT(AND(MOVIMIENTOS!$B86="PROCESO",MOVIMIENTOS!$C86&lt;&gt;"Chancho")),NOT(AND(MOVIMIENTOS!$B86="SALDO INICIAL",MOVIMIENTOS!$C86="Chancho"))),MOVIMIENTOS!$A86,"")</f>
        <v/>
      </c>
      <c r="L87" s="48" t="str">
        <f aca="false">IF(AND(MOVIMIENTOS!$B86&lt;&gt;"",NOT(AND(MOVIMIENTOS!$B86="PROCESO",MOVIMIENTOS!$C86&lt;&gt;"Chancho")),NOT(AND(MOVIMIENTOS!$B86="SALDO INICIAL",MOVIMIENTOS!$C86="Chancho"))),IF(MOVIMIENTOS!$B86="SALDO INICIAL","APERTURA ("&amp;MOVIMIENTOS!$C86&amp;")",IF(MOVIMIENTOS!$B86="COMPRA","INGRESO (compra)",IF(MOVIMIENTOS!$B86="PROCESO","CHANCHO (proceso)",IF(MOVIMIENTOS!$B86="ENVÍO A SUPESA","ENVÍO cal. "&amp;MOVIMIENTOS!$C86,IF(MOVIMIENTOS!$B86="VENTA CHANCHO","VENTA CHANCHO",IF(MOVIMIENTOS!$B86="VENTA","VENTA cal. "&amp;MOVIMIENTOS!$C86,IF(MOVIMIENTOS!$B86="REGALO","REGALO "&amp;MOVIMIENTOS!$C86,IF(MOVIMIENTOS!$B86="RECHAZO","RECHAZO cal. "&amp;MOVIMIENTOS!$C86&amp;" (va a reproceso)",IF(MOVIMIENTOS!$B86="DEVOLUCIÓN","DEVOLUCIÓN cal. "&amp;MOVIMIENTOS!$C86&amp;" (regresa intacta)",IF(MOVIMIENTOS!$B86="TRASIEGO","TRASIEGO cal. "&amp;MOVIMIENTOS!$C86,MOVIMIENTOS!$B86)))))))))),"")</f>
        <v/>
      </c>
      <c r="M87" s="48" t="str">
        <f aca="false">IF(AND(AND(MOVIMIENTOS!$B86&lt;&gt;"",NOT(AND(MOVIMIENTOS!$B86="PROCESO",MOVIMIENTOS!$C86&lt;&gt;"Chancho")),NOT(AND(MOVIMIENTOS!$B86="SALDO INICIAL",MOVIMIENTOS!$C86="Chancho"))),OR(MOVIMIENTOS!$B86="SALDO INICIAL",MOVIMIENTOS!$B86="COMPRA",MOVIMIENTOS!$B86="REPROCESO",MOVIMIENTOS!$B86="DEVOLUCIÓN",AND(MOVIMIENTOS!$B86="AJUSTE",MOVIMIENTOS!$C86&lt;&gt;"Chancho",N(MOVIMIENTOS!$F86)&gt;=0))),N(MOVIMIENTOS!$F86),"")</f>
        <v/>
      </c>
      <c r="N87" s="48" t="str">
        <f aca="false">IF(AND(AND(MOVIMIENTOS!$B86&lt;&gt;"",NOT(AND(MOVIMIENTOS!$B86="PROCESO",MOVIMIENTOS!$C86&lt;&gt;"Chancho")),NOT(AND(MOVIMIENTOS!$B86="SALDO INICIAL",MOVIMIENTOS!$C86="Chancho"))),OR(MOVIMIENTOS!$B86="ENVÍO A SUPESA",MOVIMIENTOS!$B86="MALOGRADO",MOVIMIENTOS!$B86="OTRA SALIDA",MOVIMIENTOS!$B86="TRASIEGO",AND(MOVIMIENTOS!$B86="PROCESO",MOVIMIENTOS!$C86="Chancho"),AND(MOVIMIENTOS!$B86="REGALO",MOVIMIENTOS!$C86&lt;&gt;"Chancho"),AND(MOVIMIENTOS!$B86="VENTA",MOVIMIENTOS!$C86&lt;&gt;"Chancho"),AND(MOVIMIENTOS!$B86="AJUSTE",MOVIMIENTOS!$C86&lt;&gt;"Chancho",N(MOVIMIENTOS!$F86)&lt;0))),IF(MOVIMIENTOS!$B86="AJUSTE",-N(MOVIMIENTOS!$F86),N(MOVIMIENTOS!$F86)),"")</f>
        <v/>
      </c>
      <c r="O87" s="48" t="str">
        <f aca="false">IF(AND(MOVIMIENTOS!$B86&lt;&gt;"",NOT(AND(MOVIMIENTOS!$B86="PROCESO",MOVIMIENTOS!$C86&lt;&gt;"Chancho")),NOT(AND(MOVIMIENTOS!$B86="SALDO INICIAL",MOVIMIENTOS!$C86="Chancho"))),IF(MOVIMIENTOS!$B86="RECHAZO",MOVIMIENTOS!$E86&amp;" jabas rechazadas · van a reproceso",IF(MOVIMIENTOS!$B86="REPROCESO",MOVIMIENTOS!$E86&amp;" kg recuperados (merma del día: "&amp;TEXT(SUMPRODUCT((MOVIMIENTOS!$A$5:$A$400=MOVIMIENTOS!$A86)*(MOVIMIENTOS!$B$5:$B$400="RECHAZO")*(MOVIMIENTOS!$D$5:$D$400="jabas")*MOVIMIENTOS!$E$5:$E$400*IFERROR(_xlfn.SWITCH(MOVIMIENTOS!$C$5:$C$400,"A",15,"P",18,"C",17,"M",17,0),0))-SUMPRODUCT((MOVIMIENTOS!$A$5:$A$400=MOVIMIENTOS!$A86)*(MOVIMIENTOS!$B$5:$B$400="REPROCESO")*MOVIMIENTOS!$I$5:$I$400),"+#,##0;-#,##0;0")&amp;" kg)",TRIM(IF(MOVIMIENTOS!$G86&lt;&gt;"",MOVIMIENTOS!$G86&amp;"  ","")&amp;IF(N(MOVIMIENTOS!$D86)&gt;0,MOVIMIENTOS!$D86&amp;" "&amp;MOVIMIENTOS!$D86,"")))),"")</f>
        <v/>
      </c>
      <c r="P87" s="48" t="n">
        <f aca="false">N(P86)+N(M87)-N(N87)</f>
        <v>1826</v>
      </c>
      <c r="Q87" s="48"/>
      <c r="R87" s="48"/>
      <c r="S87" s="48"/>
      <c r="T87" s="48"/>
    </row>
    <row r="88" customFormat="false" ht="15" hidden="false" customHeight="true" outlineLevel="0" collapsed="false">
      <c r="A88" s="51" t="n">
        <f aca="false">IFERROR(INDEX(K$6:K$401,MATCH(ROW()-5,J$6:J$401,0)),"")</f>
        <v>46225</v>
      </c>
      <c r="B88" s="56" t="str">
        <f aca="false">IFERROR(INDEX(L$6:L$401,MATCH(ROW()-5,J$6:J$401,0)),"")</f>
        <v>ENVÍO cal. C</v>
      </c>
      <c r="C88" s="52" t="str">
        <f aca="false">IFERROR(INDEX(M$6:M$401,MATCH(ROW()-5,J$6:J$401,0)),"")</f>
        <v/>
      </c>
      <c r="D88" s="52" t="n">
        <f aca="false">IFERROR(INDEX(N$6:N$401,MATCH(ROW()-5,J$6:J$401,0)),"")</f>
        <v>204</v>
      </c>
      <c r="E88" s="56" t="str">
        <f aca="false">IFERROR(INDEX(O$6:O$401,MATCH(ROW()-5,J$6:J$401,0)),"")</f>
        <v>3006</v>
      </c>
      <c r="F88" s="52" t="n">
        <f aca="false">IFERROR(INDEX(P$6:P$401,MATCH(ROW()-5,J$6:J$401,0)),"")</f>
        <v>4469.5</v>
      </c>
      <c r="G88" s="48"/>
      <c r="H88" s="48"/>
      <c r="I88" s="48"/>
      <c r="J88" s="48" t="str">
        <f aca="false">IF(AND(MOVIMIENTOS!$B87&lt;&gt;"",NOT(AND(MOVIMIENTOS!$B87="PROCESO",MOVIMIENTOS!$C87&lt;&gt;"Chancho")),NOT(AND(MOVIMIENTOS!$B87="SALDO INICIAL",MOVIMIENTOS!$C87="Chancho"))),COUNT(J$6:J87)+1,"")</f>
        <v/>
      </c>
      <c r="K88" s="48" t="str">
        <f aca="false">IF(AND(MOVIMIENTOS!$B87&lt;&gt;"",NOT(AND(MOVIMIENTOS!$B87="PROCESO",MOVIMIENTOS!$C87&lt;&gt;"Chancho")),NOT(AND(MOVIMIENTOS!$B87="SALDO INICIAL",MOVIMIENTOS!$C87="Chancho"))),MOVIMIENTOS!$A87,"")</f>
        <v/>
      </c>
      <c r="L88" s="48" t="str">
        <f aca="false">IF(AND(MOVIMIENTOS!$B87&lt;&gt;"",NOT(AND(MOVIMIENTOS!$B87="PROCESO",MOVIMIENTOS!$C87&lt;&gt;"Chancho")),NOT(AND(MOVIMIENTOS!$B87="SALDO INICIAL",MOVIMIENTOS!$C87="Chancho"))),IF(MOVIMIENTOS!$B87="SALDO INICIAL","APERTURA ("&amp;MOVIMIENTOS!$C87&amp;")",IF(MOVIMIENTOS!$B87="COMPRA","INGRESO (compra)",IF(MOVIMIENTOS!$B87="PROCESO","CHANCHO (proceso)",IF(MOVIMIENTOS!$B87="ENVÍO A SUPESA","ENVÍO cal. "&amp;MOVIMIENTOS!$C87,IF(MOVIMIENTOS!$B87="VENTA CHANCHO","VENTA CHANCHO",IF(MOVIMIENTOS!$B87="VENTA","VENTA cal. "&amp;MOVIMIENTOS!$C87,IF(MOVIMIENTOS!$B87="REGALO","REGALO "&amp;MOVIMIENTOS!$C87,IF(MOVIMIENTOS!$B87="RECHAZO","RECHAZO cal. "&amp;MOVIMIENTOS!$C87&amp;" (va a reproceso)",IF(MOVIMIENTOS!$B87="DEVOLUCIÓN","DEVOLUCIÓN cal. "&amp;MOVIMIENTOS!$C87&amp;" (regresa intacta)",IF(MOVIMIENTOS!$B87="TRASIEGO","TRASIEGO cal. "&amp;MOVIMIENTOS!$C87,MOVIMIENTOS!$B87)))))))))),"")</f>
        <v/>
      </c>
      <c r="M88" s="48" t="str">
        <f aca="false">IF(AND(AND(MOVIMIENTOS!$B87&lt;&gt;"",NOT(AND(MOVIMIENTOS!$B87="PROCESO",MOVIMIENTOS!$C87&lt;&gt;"Chancho")),NOT(AND(MOVIMIENTOS!$B87="SALDO INICIAL",MOVIMIENTOS!$C87="Chancho"))),OR(MOVIMIENTOS!$B87="SALDO INICIAL",MOVIMIENTOS!$B87="COMPRA",MOVIMIENTOS!$B87="REPROCESO",MOVIMIENTOS!$B87="DEVOLUCIÓN",AND(MOVIMIENTOS!$B87="AJUSTE",MOVIMIENTOS!$C87&lt;&gt;"Chancho",N(MOVIMIENTOS!$F87)&gt;=0))),N(MOVIMIENTOS!$F87),"")</f>
        <v/>
      </c>
      <c r="N88" s="48" t="str">
        <f aca="false">IF(AND(AND(MOVIMIENTOS!$B87&lt;&gt;"",NOT(AND(MOVIMIENTOS!$B87="PROCESO",MOVIMIENTOS!$C87&lt;&gt;"Chancho")),NOT(AND(MOVIMIENTOS!$B87="SALDO INICIAL",MOVIMIENTOS!$C87="Chancho"))),OR(MOVIMIENTOS!$B87="ENVÍO A SUPESA",MOVIMIENTOS!$B87="MALOGRADO",MOVIMIENTOS!$B87="OTRA SALIDA",MOVIMIENTOS!$B87="TRASIEGO",AND(MOVIMIENTOS!$B87="PROCESO",MOVIMIENTOS!$C87="Chancho"),AND(MOVIMIENTOS!$B87="REGALO",MOVIMIENTOS!$C87&lt;&gt;"Chancho"),AND(MOVIMIENTOS!$B87="VENTA",MOVIMIENTOS!$C87&lt;&gt;"Chancho"),AND(MOVIMIENTOS!$B87="AJUSTE",MOVIMIENTOS!$C87&lt;&gt;"Chancho",N(MOVIMIENTOS!$F87)&lt;0))),IF(MOVIMIENTOS!$B87="AJUSTE",-N(MOVIMIENTOS!$F87),N(MOVIMIENTOS!$F87)),"")</f>
        <v/>
      </c>
      <c r="O88" s="48" t="str">
        <f aca="false">IF(AND(MOVIMIENTOS!$B87&lt;&gt;"",NOT(AND(MOVIMIENTOS!$B87="PROCESO",MOVIMIENTOS!$C87&lt;&gt;"Chancho")),NOT(AND(MOVIMIENTOS!$B87="SALDO INICIAL",MOVIMIENTOS!$C87="Chancho"))),IF(MOVIMIENTOS!$B87="RECHAZO",MOVIMIENTOS!$E87&amp;" jabas rechazadas · van a reproceso",IF(MOVIMIENTOS!$B87="REPROCESO",MOVIMIENTOS!$E87&amp;" kg recuperados (merma del día: "&amp;TEXT(SUMPRODUCT((MOVIMIENTOS!$A$5:$A$400=MOVIMIENTOS!$A87)*(MOVIMIENTOS!$B$5:$B$400="RECHAZO")*(MOVIMIENTOS!$D$5:$D$400="jabas")*MOVIMIENTOS!$E$5:$E$400*IFERROR(_xlfn.SWITCH(MOVIMIENTOS!$C$5:$C$400,"A",15,"P",18,"C",17,"M",17,0),0))-SUMPRODUCT((MOVIMIENTOS!$A$5:$A$400=MOVIMIENTOS!$A87)*(MOVIMIENTOS!$B$5:$B$400="REPROCESO")*MOVIMIENTOS!$I$5:$I$400),"+#,##0;-#,##0;0")&amp;" kg)",TRIM(IF(MOVIMIENTOS!$G87&lt;&gt;"",MOVIMIENTOS!$G87&amp;"  ","")&amp;IF(N(MOVIMIENTOS!$D87)&gt;0,MOVIMIENTOS!$D87&amp;" "&amp;MOVIMIENTOS!$D87,"")))),"")</f>
        <v/>
      </c>
      <c r="P88" s="48" t="n">
        <f aca="false">N(P87)+N(M88)-N(N88)</f>
        <v>1826</v>
      </c>
      <c r="Q88" s="48"/>
      <c r="R88" s="48"/>
      <c r="S88" s="48"/>
      <c r="T88" s="48"/>
    </row>
    <row r="89" customFormat="false" ht="15" hidden="false" customHeight="true" outlineLevel="0" collapsed="false">
      <c r="A89" s="51" t="n">
        <f aca="false">IFERROR(INDEX(K$6:K$401,MATCH(ROW()-5,J$6:J$401,0)),"")</f>
        <v>46225</v>
      </c>
      <c r="B89" s="56" t="str">
        <f aca="false">IFERROR(INDEX(L$6:L$401,MATCH(ROW()-5,J$6:J$401,0)),"")</f>
        <v>ENVÍO cal. M</v>
      </c>
      <c r="C89" s="52" t="str">
        <f aca="false">IFERROR(INDEX(M$6:M$401,MATCH(ROW()-5,J$6:J$401,0)),"")</f>
        <v/>
      </c>
      <c r="D89" s="52" t="n">
        <f aca="false">IFERROR(INDEX(N$6:N$401,MATCH(ROW()-5,J$6:J$401,0)),"")</f>
        <v>1887</v>
      </c>
      <c r="E89" s="56" t="str">
        <f aca="false">IFERROR(INDEX(O$6:O$401,MATCH(ROW()-5,J$6:J$401,0)),"")</f>
        <v>3006</v>
      </c>
      <c r="F89" s="52" t="n">
        <f aca="false">IFERROR(INDEX(P$6:P$401,MATCH(ROW()-5,J$6:J$401,0)),"")</f>
        <v>2582.5</v>
      </c>
      <c r="G89" s="48"/>
      <c r="H89" s="48"/>
      <c r="I89" s="48"/>
      <c r="J89" s="48" t="str">
        <f aca="false">IF(AND(MOVIMIENTOS!$B88&lt;&gt;"",NOT(AND(MOVIMIENTOS!$B88="PROCESO",MOVIMIENTOS!$C88&lt;&gt;"Chancho")),NOT(AND(MOVIMIENTOS!$B88="SALDO INICIAL",MOVIMIENTOS!$C88="Chancho"))),COUNT(J$6:J88)+1,"")</f>
        <v/>
      </c>
      <c r="K89" s="48" t="str">
        <f aca="false">IF(AND(MOVIMIENTOS!$B88&lt;&gt;"",NOT(AND(MOVIMIENTOS!$B88="PROCESO",MOVIMIENTOS!$C88&lt;&gt;"Chancho")),NOT(AND(MOVIMIENTOS!$B88="SALDO INICIAL",MOVIMIENTOS!$C88="Chancho"))),MOVIMIENTOS!$A88,"")</f>
        <v/>
      </c>
      <c r="L89" s="48" t="str">
        <f aca="false">IF(AND(MOVIMIENTOS!$B88&lt;&gt;"",NOT(AND(MOVIMIENTOS!$B88="PROCESO",MOVIMIENTOS!$C88&lt;&gt;"Chancho")),NOT(AND(MOVIMIENTOS!$B88="SALDO INICIAL",MOVIMIENTOS!$C88="Chancho"))),IF(MOVIMIENTOS!$B88="SALDO INICIAL","APERTURA ("&amp;MOVIMIENTOS!$C88&amp;")",IF(MOVIMIENTOS!$B88="COMPRA","INGRESO (compra)",IF(MOVIMIENTOS!$B88="PROCESO","CHANCHO (proceso)",IF(MOVIMIENTOS!$B88="ENVÍO A SUPESA","ENVÍO cal. "&amp;MOVIMIENTOS!$C88,IF(MOVIMIENTOS!$B88="VENTA CHANCHO","VENTA CHANCHO",IF(MOVIMIENTOS!$B88="VENTA","VENTA cal. "&amp;MOVIMIENTOS!$C88,IF(MOVIMIENTOS!$B88="REGALO","REGALO "&amp;MOVIMIENTOS!$C88,IF(MOVIMIENTOS!$B88="RECHAZO","RECHAZO cal. "&amp;MOVIMIENTOS!$C88&amp;" (va a reproceso)",IF(MOVIMIENTOS!$B88="DEVOLUCIÓN","DEVOLUCIÓN cal. "&amp;MOVIMIENTOS!$C88&amp;" (regresa intacta)",IF(MOVIMIENTOS!$B88="TRASIEGO","TRASIEGO cal. "&amp;MOVIMIENTOS!$C88,MOVIMIENTOS!$B88)))))))))),"")</f>
        <v/>
      </c>
      <c r="M89" s="48" t="str">
        <f aca="false">IF(AND(AND(MOVIMIENTOS!$B88&lt;&gt;"",NOT(AND(MOVIMIENTOS!$B88="PROCESO",MOVIMIENTOS!$C88&lt;&gt;"Chancho")),NOT(AND(MOVIMIENTOS!$B88="SALDO INICIAL",MOVIMIENTOS!$C88="Chancho"))),OR(MOVIMIENTOS!$B88="SALDO INICIAL",MOVIMIENTOS!$B88="COMPRA",MOVIMIENTOS!$B88="REPROCESO",MOVIMIENTOS!$B88="DEVOLUCIÓN",AND(MOVIMIENTOS!$B88="AJUSTE",MOVIMIENTOS!$C88&lt;&gt;"Chancho",N(MOVIMIENTOS!$F88)&gt;=0))),N(MOVIMIENTOS!$F88),"")</f>
        <v/>
      </c>
      <c r="N89" s="48" t="str">
        <f aca="false">IF(AND(AND(MOVIMIENTOS!$B88&lt;&gt;"",NOT(AND(MOVIMIENTOS!$B88="PROCESO",MOVIMIENTOS!$C88&lt;&gt;"Chancho")),NOT(AND(MOVIMIENTOS!$B88="SALDO INICIAL",MOVIMIENTOS!$C88="Chancho"))),OR(MOVIMIENTOS!$B88="ENVÍO A SUPESA",MOVIMIENTOS!$B88="MALOGRADO",MOVIMIENTOS!$B88="OTRA SALIDA",MOVIMIENTOS!$B88="TRASIEGO",AND(MOVIMIENTOS!$B88="PROCESO",MOVIMIENTOS!$C88="Chancho"),AND(MOVIMIENTOS!$B88="REGALO",MOVIMIENTOS!$C88&lt;&gt;"Chancho"),AND(MOVIMIENTOS!$B88="VENTA",MOVIMIENTOS!$C88&lt;&gt;"Chancho"),AND(MOVIMIENTOS!$B88="AJUSTE",MOVIMIENTOS!$C88&lt;&gt;"Chancho",N(MOVIMIENTOS!$F88)&lt;0))),IF(MOVIMIENTOS!$B88="AJUSTE",-N(MOVIMIENTOS!$F88),N(MOVIMIENTOS!$F88)),"")</f>
        <v/>
      </c>
      <c r="O89" s="48" t="str">
        <f aca="false">IF(AND(MOVIMIENTOS!$B88&lt;&gt;"",NOT(AND(MOVIMIENTOS!$B88="PROCESO",MOVIMIENTOS!$C88&lt;&gt;"Chancho")),NOT(AND(MOVIMIENTOS!$B88="SALDO INICIAL",MOVIMIENTOS!$C88="Chancho"))),IF(MOVIMIENTOS!$B88="RECHAZO",MOVIMIENTOS!$E88&amp;" jabas rechazadas · van a reproceso",IF(MOVIMIENTOS!$B88="REPROCESO",MOVIMIENTOS!$E88&amp;" kg recuperados (merma del día: "&amp;TEXT(SUMPRODUCT((MOVIMIENTOS!$A$5:$A$400=MOVIMIENTOS!$A88)*(MOVIMIENTOS!$B$5:$B$400="RECHAZO")*(MOVIMIENTOS!$D$5:$D$400="jabas")*MOVIMIENTOS!$E$5:$E$400*IFERROR(_xlfn.SWITCH(MOVIMIENTOS!$C$5:$C$400,"A",15,"P",18,"C",17,"M",17,0),0))-SUMPRODUCT((MOVIMIENTOS!$A$5:$A$400=MOVIMIENTOS!$A88)*(MOVIMIENTOS!$B$5:$B$400="REPROCESO")*MOVIMIENTOS!$I$5:$I$400),"+#,##0;-#,##0;0")&amp;" kg)",TRIM(IF(MOVIMIENTOS!$G88&lt;&gt;"",MOVIMIENTOS!$G88&amp;"  ","")&amp;IF(N(MOVIMIENTOS!$D88)&gt;0,MOVIMIENTOS!$D88&amp;" "&amp;MOVIMIENTOS!$D88,"")))),"")</f>
        <v/>
      </c>
      <c r="P89" s="48" t="n">
        <f aca="false">N(P88)+N(M89)-N(N89)</f>
        <v>1826</v>
      </c>
      <c r="Q89" s="48"/>
      <c r="R89" s="48"/>
      <c r="S89" s="48"/>
      <c r="T89" s="48"/>
    </row>
    <row r="90" customFormat="false" ht="15" hidden="false" customHeight="true" outlineLevel="0" collapsed="false">
      <c r="A90" s="51" t="n">
        <f aca="false">IFERROR(INDEX(K$6:K$401,MATCH(ROW()-5,J$6:J$401,0)),"")</f>
        <v>46225</v>
      </c>
      <c r="B90" s="56" t="str">
        <f aca="false">IFERROR(INDEX(L$6:L$401,MATCH(ROW()-5,J$6:J$401,0)),"")</f>
        <v>VENTA CHANCHO</v>
      </c>
      <c r="C90" s="52" t="str">
        <f aca="false">IFERROR(INDEX(M$6:M$401,MATCH(ROW()-5,J$6:J$401,0)),"")</f>
        <v/>
      </c>
      <c r="D90" s="52" t="str">
        <f aca="false">IFERROR(INDEX(N$6:N$401,MATCH(ROW()-5,J$6:J$401,0)),"")</f>
        <v/>
      </c>
      <c r="E90" s="56" t="str">
        <f aca="false">IFERROR(INDEX(O$6:O$401,MATCH(ROW()-5,J$6:J$401,0)),"")</f>
        <v>S/T</v>
      </c>
      <c r="F90" s="52" t="n">
        <f aca="false">IFERROR(INDEX(P$6:P$401,MATCH(ROW()-5,J$6:J$401,0)),"")</f>
        <v>2582.5</v>
      </c>
      <c r="G90" s="48"/>
      <c r="H90" s="48"/>
      <c r="I90" s="48"/>
      <c r="J90" s="48" t="str">
        <f aca="false">IF(AND(MOVIMIENTOS!$B89&lt;&gt;"",NOT(AND(MOVIMIENTOS!$B89="PROCESO",MOVIMIENTOS!$C89&lt;&gt;"Chancho")),NOT(AND(MOVIMIENTOS!$B89="SALDO INICIAL",MOVIMIENTOS!$C89="Chancho"))),COUNT(J$6:J89)+1,"")</f>
        <v/>
      </c>
      <c r="K90" s="48" t="str">
        <f aca="false">IF(AND(MOVIMIENTOS!$B89&lt;&gt;"",NOT(AND(MOVIMIENTOS!$B89="PROCESO",MOVIMIENTOS!$C89&lt;&gt;"Chancho")),NOT(AND(MOVIMIENTOS!$B89="SALDO INICIAL",MOVIMIENTOS!$C89="Chancho"))),MOVIMIENTOS!$A89,"")</f>
        <v/>
      </c>
      <c r="L90" s="48" t="str">
        <f aca="false">IF(AND(MOVIMIENTOS!$B89&lt;&gt;"",NOT(AND(MOVIMIENTOS!$B89="PROCESO",MOVIMIENTOS!$C89&lt;&gt;"Chancho")),NOT(AND(MOVIMIENTOS!$B89="SALDO INICIAL",MOVIMIENTOS!$C89="Chancho"))),IF(MOVIMIENTOS!$B89="SALDO INICIAL","APERTURA ("&amp;MOVIMIENTOS!$C89&amp;")",IF(MOVIMIENTOS!$B89="COMPRA","INGRESO (compra)",IF(MOVIMIENTOS!$B89="PROCESO","CHANCHO (proceso)",IF(MOVIMIENTOS!$B89="ENVÍO A SUPESA","ENVÍO cal. "&amp;MOVIMIENTOS!$C89,IF(MOVIMIENTOS!$B89="VENTA CHANCHO","VENTA CHANCHO",IF(MOVIMIENTOS!$B89="VENTA","VENTA cal. "&amp;MOVIMIENTOS!$C89,IF(MOVIMIENTOS!$B89="REGALO","REGALO "&amp;MOVIMIENTOS!$C89,IF(MOVIMIENTOS!$B89="RECHAZO","RECHAZO cal. "&amp;MOVIMIENTOS!$C89&amp;" (va a reproceso)",IF(MOVIMIENTOS!$B89="DEVOLUCIÓN","DEVOLUCIÓN cal. "&amp;MOVIMIENTOS!$C89&amp;" (regresa intacta)",IF(MOVIMIENTOS!$B89="TRASIEGO","TRASIEGO cal. "&amp;MOVIMIENTOS!$C89,MOVIMIENTOS!$B89)))))))))),"")</f>
        <v/>
      </c>
      <c r="M90" s="48" t="str">
        <f aca="false">IF(AND(AND(MOVIMIENTOS!$B89&lt;&gt;"",NOT(AND(MOVIMIENTOS!$B89="PROCESO",MOVIMIENTOS!$C89&lt;&gt;"Chancho")),NOT(AND(MOVIMIENTOS!$B89="SALDO INICIAL",MOVIMIENTOS!$C89="Chancho"))),OR(MOVIMIENTOS!$B89="SALDO INICIAL",MOVIMIENTOS!$B89="COMPRA",MOVIMIENTOS!$B89="REPROCESO",MOVIMIENTOS!$B89="DEVOLUCIÓN",AND(MOVIMIENTOS!$B89="AJUSTE",MOVIMIENTOS!$C89&lt;&gt;"Chancho",N(MOVIMIENTOS!$F89)&gt;=0))),N(MOVIMIENTOS!$F89),"")</f>
        <v/>
      </c>
      <c r="N90" s="48" t="str">
        <f aca="false">IF(AND(AND(MOVIMIENTOS!$B89&lt;&gt;"",NOT(AND(MOVIMIENTOS!$B89="PROCESO",MOVIMIENTOS!$C89&lt;&gt;"Chancho")),NOT(AND(MOVIMIENTOS!$B89="SALDO INICIAL",MOVIMIENTOS!$C89="Chancho"))),OR(MOVIMIENTOS!$B89="ENVÍO A SUPESA",MOVIMIENTOS!$B89="MALOGRADO",MOVIMIENTOS!$B89="OTRA SALIDA",MOVIMIENTOS!$B89="TRASIEGO",AND(MOVIMIENTOS!$B89="PROCESO",MOVIMIENTOS!$C89="Chancho"),AND(MOVIMIENTOS!$B89="REGALO",MOVIMIENTOS!$C89&lt;&gt;"Chancho"),AND(MOVIMIENTOS!$B89="VENTA",MOVIMIENTOS!$C89&lt;&gt;"Chancho"),AND(MOVIMIENTOS!$B89="AJUSTE",MOVIMIENTOS!$C89&lt;&gt;"Chancho",N(MOVIMIENTOS!$F89)&lt;0))),IF(MOVIMIENTOS!$B89="AJUSTE",-N(MOVIMIENTOS!$F89),N(MOVIMIENTOS!$F89)),"")</f>
        <v/>
      </c>
      <c r="O90" s="48" t="str">
        <f aca="false">IF(AND(MOVIMIENTOS!$B89&lt;&gt;"",NOT(AND(MOVIMIENTOS!$B89="PROCESO",MOVIMIENTOS!$C89&lt;&gt;"Chancho")),NOT(AND(MOVIMIENTOS!$B89="SALDO INICIAL",MOVIMIENTOS!$C89="Chancho"))),IF(MOVIMIENTOS!$B89="RECHAZO",MOVIMIENTOS!$E89&amp;" jabas rechazadas · van a reproceso",IF(MOVIMIENTOS!$B89="REPROCESO",MOVIMIENTOS!$E89&amp;" kg recuperados (merma del día: "&amp;TEXT(SUMPRODUCT((MOVIMIENTOS!$A$5:$A$400=MOVIMIENTOS!$A89)*(MOVIMIENTOS!$B$5:$B$400="RECHAZO")*(MOVIMIENTOS!$D$5:$D$400="jabas")*MOVIMIENTOS!$E$5:$E$400*IFERROR(_xlfn.SWITCH(MOVIMIENTOS!$C$5:$C$400,"A",15,"P",18,"C",17,"M",17,0),0))-SUMPRODUCT((MOVIMIENTOS!$A$5:$A$400=MOVIMIENTOS!$A89)*(MOVIMIENTOS!$B$5:$B$400="REPROCESO")*MOVIMIENTOS!$I$5:$I$400),"+#,##0;-#,##0;0")&amp;" kg)",TRIM(IF(MOVIMIENTOS!$G89&lt;&gt;"",MOVIMIENTOS!$G89&amp;"  ","")&amp;IF(N(MOVIMIENTOS!$D89)&gt;0,MOVIMIENTOS!$D89&amp;" "&amp;MOVIMIENTOS!$D89,"")))),"")</f>
        <v/>
      </c>
      <c r="P90" s="48" t="n">
        <f aca="false">N(P89)+N(M90)-N(N90)</f>
        <v>1826</v>
      </c>
      <c r="Q90" s="48"/>
      <c r="R90" s="48"/>
      <c r="S90" s="48"/>
      <c r="T90" s="48"/>
    </row>
    <row r="91" customFormat="false" ht="15" hidden="false" customHeight="true" outlineLevel="0" collapsed="false">
      <c r="A91" s="51" t="n">
        <f aca="false">IFERROR(INDEX(K$6:K$401,MATCH(ROW()-5,J$6:J$401,0)),"")</f>
        <v>46225</v>
      </c>
      <c r="B91" s="56" t="str">
        <f aca="false">IFERROR(INDEX(L$6:L$401,MATCH(ROW()-5,J$6:J$401,0)),"")</f>
        <v>RECHAZO cal. A (va a reproceso)</v>
      </c>
      <c r="C91" s="52" t="str">
        <f aca="false">IFERROR(INDEX(M$6:M$401,MATCH(ROW()-5,J$6:J$401,0)),"")</f>
        <v/>
      </c>
      <c r="D91" s="52" t="str">
        <f aca="false">IFERROR(INDEX(N$6:N$401,MATCH(ROW()-5,J$6:J$401,0)),"")</f>
        <v/>
      </c>
      <c r="E91" s="56" t="str">
        <f aca="false">IFERROR(INDEX(O$6:O$401,MATCH(ROW()-5,J$6:J$401,0)),"")</f>
        <v>1 jabas rechazadas · van a reproceso</v>
      </c>
      <c r="F91" s="52" t="n">
        <f aca="false">IFERROR(INDEX(P$6:P$401,MATCH(ROW()-5,J$6:J$401,0)),"")</f>
        <v>2582.5</v>
      </c>
      <c r="G91" s="48"/>
      <c r="H91" s="48"/>
      <c r="I91" s="48"/>
      <c r="J91" s="48" t="n">
        <f aca="false">IF(AND(MOVIMIENTOS!$B90&lt;&gt;"",NOT(AND(MOVIMIENTOS!$B90="PROCESO",MOVIMIENTOS!$C90&lt;&gt;"Chancho")),NOT(AND(MOVIMIENTOS!$B90="SALDO INICIAL",MOVIMIENTOS!$C90="Chancho"))),COUNT(J$6:J90)+1,"")</f>
        <v>51</v>
      </c>
      <c r="K91" s="53" t="n">
        <f aca="false">IF(AND(MOVIMIENTOS!$B90&lt;&gt;"",NOT(AND(MOVIMIENTOS!$B90="PROCESO",MOVIMIENTOS!$C90&lt;&gt;"Chancho")),NOT(AND(MOVIMIENTOS!$B90="SALDO INICIAL",MOVIMIENTOS!$C90="Chancho"))),MOVIMIENTOS!$A90,"")</f>
        <v>46222</v>
      </c>
      <c r="L91" s="48" t="str">
        <f aca="false">IF(AND(MOVIMIENTOS!$B90&lt;&gt;"",NOT(AND(MOVIMIENTOS!$B90="PROCESO",MOVIMIENTOS!$C90&lt;&gt;"Chancho")),NOT(AND(MOVIMIENTOS!$B90="SALDO INICIAL",MOVIMIENTOS!$C90="Chancho"))),IF(MOVIMIENTOS!$B90="SALDO INICIAL","APERTURA ("&amp;MOVIMIENTOS!$C90&amp;")",IF(MOVIMIENTOS!$B90="COMPRA","INGRESO (compra)",IF(MOVIMIENTOS!$B90="PROCESO","CHANCHO (proceso)",IF(MOVIMIENTOS!$B90="ENVÍO A SUPESA","ENVÍO cal. "&amp;MOVIMIENTOS!$C90,IF(MOVIMIENTOS!$B90="VENTA CHANCHO","VENTA CHANCHO",IF(MOVIMIENTOS!$B90="VENTA","VENTA cal. "&amp;MOVIMIENTOS!$C90,IF(MOVIMIENTOS!$B90="REGALO","REGALO "&amp;MOVIMIENTOS!$C90,IF(MOVIMIENTOS!$B90="RECHAZO","RECHAZO cal. "&amp;MOVIMIENTOS!$C90&amp;" (va a reproceso)",IF(MOVIMIENTOS!$B90="DEVOLUCIÓN","DEVOLUCIÓN cal. "&amp;MOVIMIENTOS!$C90&amp;" (regresa intacta)",IF(MOVIMIENTOS!$B90="TRASIEGO","TRASIEGO cal. "&amp;MOVIMIENTOS!$C90,MOVIMIENTOS!$B90)))))))))),"")</f>
        <v>CHANCHO (proceso)</v>
      </c>
      <c r="M91" s="48" t="str">
        <f aca="false">IF(AND(AND(MOVIMIENTOS!$B90&lt;&gt;"",NOT(AND(MOVIMIENTOS!$B90="PROCESO",MOVIMIENTOS!$C90&lt;&gt;"Chancho")),NOT(AND(MOVIMIENTOS!$B90="SALDO INICIAL",MOVIMIENTOS!$C90="Chancho"))),OR(MOVIMIENTOS!$B90="SALDO INICIAL",MOVIMIENTOS!$B90="COMPRA",MOVIMIENTOS!$B90="REPROCESO",MOVIMIENTOS!$B90="DEVOLUCIÓN",AND(MOVIMIENTOS!$B90="AJUSTE",MOVIMIENTOS!$C90&lt;&gt;"Chancho",N(MOVIMIENTOS!$F90)&gt;=0))),N(MOVIMIENTOS!$F90),"")</f>
        <v/>
      </c>
      <c r="N91" s="48" t="n">
        <f aca="false">IF(AND(AND(MOVIMIENTOS!$B90&lt;&gt;"",NOT(AND(MOVIMIENTOS!$B90="PROCESO",MOVIMIENTOS!$C90&lt;&gt;"Chancho")),NOT(AND(MOVIMIENTOS!$B90="SALDO INICIAL",MOVIMIENTOS!$C90="Chancho"))),OR(MOVIMIENTOS!$B90="ENVÍO A SUPESA",MOVIMIENTOS!$B90="MALOGRADO",MOVIMIENTOS!$B90="OTRA SALIDA",MOVIMIENTOS!$B90="TRASIEGO",AND(MOVIMIENTOS!$B90="PROCESO",MOVIMIENTOS!$C90="Chancho"),AND(MOVIMIENTOS!$B90="REGALO",MOVIMIENTOS!$C90&lt;&gt;"Chancho"),AND(MOVIMIENTOS!$B90="VENTA",MOVIMIENTOS!$C90&lt;&gt;"Chancho"),AND(MOVIMIENTOS!$B90="AJUSTE",MOVIMIENTOS!$C90&lt;&gt;"Chancho",N(MOVIMIENTOS!$F90)&lt;0))),IF(MOVIMIENTOS!$B90="AJUSTE",-N(MOVIMIENTOS!$F90),N(MOVIMIENTOS!$F90)),"")</f>
        <v>285</v>
      </c>
      <c r="O91" s="48" t="str">
        <f aca="false">IF(AND(MOVIMIENTOS!$B90&lt;&gt;"",NOT(AND(MOVIMIENTOS!$B90="PROCESO",MOVIMIENTOS!$C90&lt;&gt;"Chancho")),NOT(AND(MOVIMIENTOS!$B90="SALDO INICIAL",MOVIMIENTOS!$C90="Chancho"))),IF(MOVIMIENTOS!$B90="RECHAZO",MOVIMIENTOS!$E90&amp;" jabas rechazadas · van a reproceso",IF(MOVIMIENTOS!$B90="REPROCESO",MOVIMIENTOS!$E90&amp;" kg recuperados (merma del día: "&amp;TEXT(SUMPRODUCT((MOVIMIENTOS!$A$5:$A$400=MOVIMIENTOS!$A90)*(MOVIMIENTOS!$B$5:$B$400="RECHAZO")*(MOVIMIENTOS!$D$5:$D$400="jabas")*MOVIMIENTOS!$E$5:$E$400*IFERROR(_xlfn.SWITCH(MOVIMIENTOS!$C$5:$C$400,"A",15,"P",18,"C",17,"M",17,0),0))-SUMPRODUCT((MOVIMIENTOS!$A$5:$A$400=MOVIMIENTOS!$A90)*(MOVIMIENTOS!$B$5:$B$400="REPROCESO")*MOVIMIENTOS!$I$5:$I$400),"+#,##0;-#,##0;0")&amp;" kg)",TRIM(IF(MOVIMIENTOS!$G90&lt;&gt;"",MOVIMIENTOS!$G90&amp;"  ","")&amp;IF(N(MOVIMIENTOS!$D90)&gt;0,MOVIMIENTOS!$D90&amp;" "&amp;MOVIMIENTOS!$D90,"")))),"")</f>
        <v/>
      </c>
      <c r="P91" s="48" t="n">
        <f aca="false">N(P90)+N(M91)-N(N91)</f>
        <v>1541</v>
      </c>
      <c r="Q91" s="48"/>
      <c r="R91" s="48"/>
      <c r="S91" s="48"/>
      <c r="T91" s="48"/>
    </row>
    <row r="92" customFormat="false" ht="15" hidden="false" customHeight="true" outlineLevel="0" collapsed="false">
      <c r="A92" s="51" t="n">
        <f aca="false">IFERROR(INDEX(K$6:K$401,MATCH(ROW()-5,J$6:J$401,0)),"")</f>
        <v>46225</v>
      </c>
      <c r="B92" s="56" t="str">
        <f aca="false">IFERROR(INDEX(L$6:L$401,MATCH(ROW()-5,J$6:J$401,0)),"")</f>
        <v>DEVOLUCIÓN cal. M (regresa intacta)</v>
      </c>
      <c r="C92" s="52" t="n">
        <f aca="false">IFERROR(INDEX(M$6:M$401,MATCH(ROW()-5,J$6:J$401,0)),"")</f>
        <v>153</v>
      </c>
      <c r="D92" s="52" t="str">
        <f aca="false">IFERROR(INDEX(N$6:N$401,MATCH(ROW()-5,J$6:J$401,0)),"")</f>
        <v/>
      </c>
      <c r="E92" s="56" t="str">
        <f aca="false">IFERROR(INDEX(O$6:O$401,MATCH(ROW()-5,J$6:J$401,0)),"")</f>
        <v/>
      </c>
      <c r="F92" s="52" t="n">
        <f aca="false">IFERROR(INDEX(P$6:P$401,MATCH(ROW()-5,J$6:J$401,0)),"")</f>
        <v>2735.5</v>
      </c>
      <c r="G92" s="48"/>
      <c r="H92" s="48"/>
      <c r="I92" s="48"/>
      <c r="J92" s="48" t="n">
        <f aca="false">IF(AND(MOVIMIENTOS!$B91&lt;&gt;"",NOT(AND(MOVIMIENTOS!$B91="PROCESO",MOVIMIENTOS!$C91&lt;&gt;"Chancho")),NOT(AND(MOVIMIENTOS!$B91="SALDO INICIAL",MOVIMIENTOS!$C91="Chancho"))),COUNT(J$6:J91)+1,"")</f>
        <v>52</v>
      </c>
      <c r="K92" s="53" t="n">
        <f aca="false">IF(AND(MOVIMIENTOS!$B91&lt;&gt;"",NOT(AND(MOVIMIENTOS!$B91="PROCESO",MOVIMIENTOS!$C91&lt;&gt;"Chancho")),NOT(AND(MOVIMIENTOS!$B91="SALDO INICIAL",MOVIMIENTOS!$C91="Chancho"))),MOVIMIENTOS!$A91,"")</f>
        <v>46222</v>
      </c>
      <c r="L92" s="48" t="str">
        <f aca="false">IF(AND(MOVIMIENTOS!$B91&lt;&gt;"",NOT(AND(MOVIMIENTOS!$B91="PROCESO",MOVIMIENTOS!$C91&lt;&gt;"Chancho")),NOT(AND(MOVIMIENTOS!$B91="SALDO INICIAL",MOVIMIENTOS!$C91="Chancho"))),IF(MOVIMIENTOS!$B91="SALDO INICIAL","APERTURA ("&amp;MOVIMIENTOS!$C91&amp;")",IF(MOVIMIENTOS!$B91="COMPRA","INGRESO (compra)",IF(MOVIMIENTOS!$B91="PROCESO","CHANCHO (proceso)",IF(MOVIMIENTOS!$B91="ENVÍO A SUPESA","ENVÍO cal. "&amp;MOVIMIENTOS!$C91,IF(MOVIMIENTOS!$B91="VENTA CHANCHO","VENTA CHANCHO",IF(MOVIMIENTOS!$B91="VENTA","VENTA cal. "&amp;MOVIMIENTOS!$C91,IF(MOVIMIENTOS!$B91="REGALO","REGALO "&amp;MOVIMIENTOS!$C91,IF(MOVIMIENTOS!$B91="RECHAZO","RECHAZO cal. "&amp;MOVIMIENTOS!$C91&amp;" (va a reproceso)",IF(MOVIMIENTOS!$B91="DEVOLUCIÓN","DEVOLUCIÓN cal. "&amp;MOVIMIENTOS!$C91&amp;" (regresa intacta)",IF(MOVIMIENTOS!$B91="TRASIEGO","TRASIEGO cal. "&amp;MOVIMIENTOS!$C91,MOVIMIENTOS!$B91)))))))))),"")</f>
        <v>ENVÍO cal. A</v>
      </c>
      <c r="M92" s="48" t="str">
        <f aca="false">IF(AND(AND(MOVIMIENTOS!$B91&lt;&gt;"",NOT(AND(MOVIMIENTOS!$B91="PROCESO",MOVIMIENTOS!$C91&lt;&gt;"Chancho")),NOT(AND(MOVIMIENTOS!$B91="SALDO INICIAL",MOVIMIENTOS!$C91="Chancho"))),OR(MOVIMIENTOS!$B91="SALDO INICIAL",MOVIMIENTOS!$B91="COMPRA",MOVIMIENTOS!$B91="REPROCESO",MOVIMIENTOS!$B91="DEVOLUCIÓN",AND(MOVIMIENTOS!$B91="AJUSTE",MOVIMIENTOS!$C91&lt;&gt;"Chancho",N(MOVIMIENTOS!$F91)&gt;=0))),N(MOVIMIENTOS!$F91),"")</f>
        <v/>
      </c>
      <c r="N92" s="48" t="n">
        <f aca="false">IF(AND(AND(MOVIMIENTOS!$B91&lt;&gt;"",NOT(AND(MOVIMIENTOS!$B91="PROCESO",MOVIMIENTOS!$C91&lt;&gt;"Chancho")),NOT(AND(MOVIMIENTOS!$B91="SALDO INICIAL",MOVIMIENTOS!$C91="Chancho"))),OR(MOVIMIENTOS!$B91="ENVÍO A SUPESA",MOVIMIENTOS!$B91="MALOGRADO",MOVIMIENTOS!$B91="OTRA SALIDA",MOVIMIENTOS!$B91="TRASIEGO",AND(MOVIMIENTOS!$B91="PROCESO",MOVIMIENTOS!$C91="Chancho"),AND(MOVIMIENTOS!$B91="REGALO",MOVIMIENTOS!$C91&lt;&gt;"Chancho"),AND(MOVIMIENTOS!$B91="VENTA",MOVIMIENTOS!$C91&lt;&gt;"Chancho"),AND(MOVIMIENTOS!$B91="AJUSTE",MOVIMIENTOS!$C91&lt;&gt;"Chancho",N(MOVIMIENTOS!$F91)&lt;0))),IF(MOVIMIENTOS!$B91="AJUSTE",-N(MOVIMIENTOS!$F91),N(MOVIMIENTOS!$F91)),"")</f>
        <v>1005</v>
      </c>
      <c r="O92" s="48" t="str">
        <f aca="false">IF(AND(MOVIMIENTOS!$B91&lt;&gt;"",NOT(AND(MOVIMIENTOS!$B91="PROCESO",MOVIMIENTOS!$C91&lt;&gt;"Chancho")),NOT(AND(MOVIMIENTOS!$B91="SALDO INICIAL",MOVIMIENTOS!$C91="Chancho"))),IF(MOVIMIENTOS!$B91="RECHAZO",MOVIMIENTOS!$E91&amp;" jabas rechazadas · van a reproceso",IF(MOVIMIENTOS!$B91="REPROCESO",MOVIMIENTOS!$E91&amp;" kg recuperados (merma del día: "&amp;TEXT(SUMPRODUCT((MOVIMIENTOS!$A$5:$A$400=MOVIMIENTOS!$A91)*(MOVIMIENTOS!$B$5:$B$400="RECHAZO")*(MOVIMIENTOS!$D$5:$D$400="jabas")*MOVIMIENTOS!$E$5:$E$400*IFERROR(_xlfn.SWITCH(MOVIMIENTOS!$C$5:$C$400,"A",15,"P",18,"C",17,"M",17,0),0))-SUMPRODUCT((MOVIMIENTOS!$A$5:$A$400=MOVIMIENTOS!$A91)*(MOVIMIENTOS!$B$5:$B$400="REPROCESO")*MOVIMIENTOS!$I$5:$I$400),"+#,##0;-#,##0;0")&amp;" kg)",TRIM(IF(MOVIMIENTOS!$G91&lt;&gt;"",MOVIMIENTOS!$G91&amp;"  ","")&amp;IF(N(MOVIMIENTOS!$D91)&gt;0,MOVIMIENTOS!$D91&amp;" "&amp;MOVIMIENTOS!$D91,"")))),"")</f>
        <v>2998</v>
      </c>
      <c r="P92" s="48" t="n">
        <f aca="false">N(P91)+N(M92)-N(N92)</f>
        <v>536</v>
      </c>
      <c r="Q92" s="48"/>
      <c r="R92" s="48"/>
      <c r="S92" s="48"/>
      <c r="T92" s="48"/>
    </row>
    <row r="93" customFormat="false" ht="15" hidden="false" customHeight="true" outlineLevel="0" collapsed="false">
      <c r="A93" s="51" t="n">
        <f aca="false">IFERROR(INDEX(K$6:K$401,MATCH(ROW()-5,J$6:J$401,0)),"")</f>
        <v>46225</v>
      </c>
      <c r="B93" s="56" t="str">
        <f aca="false">IFERROR(INDEX(L$6:L$401,MATCH(ROW()-5,J$6:J$401,0)),"")</f>
        <v>TRASIEGO cal. A</v>
      </c>
      <c r="C93" s="52" t="str">
        <f aca="false">IFERROR(INDEX(M$6:M$401,MATCH(ROW()-5,J$6:J$401,0)),"")</f>
        <v/>
      </c>
      <c r="D93" s="52" t="n">
        <f aca="false">IFERROR(INDEX(N$6:N$401,MATCH(ROW()-5,J$6:J$401,0)),"")</f>
        <v>15</v>
      </c>
      <c r="E93" s="56" t="str">
        <f aca="false">IFERROR(INDEX(O$6:O$401,MATCH(ROW()-5,J$6:J$401,0)),"")</f>
        <v/>
      </c>
      <c r="F93" s="52" t="n">
        <f aca="false">IFERROR(INDEX(P$6:P$401,MATCH(ROW()-5,J$6:J$401,0)),"")</f>
        <v>2720.5</v>
      </c>
      <c r="G93" s="48"/>
      <c r="H93" s="48"/>
      <c r="I93" s="48"/>
      <c r="J93" s="48" t="n">
        <f aca="false">IF(AND(MOVIMIENTOS!$B92&lt;&gt;"",NOT(AND(MOVIMIENTOS!$B92="PROCESO",MOVIMIENTOS!$C92&lt;&gt;"Chancho")),NOT(AND(MOVIMIENTOS!$B92="SALDO INICIAL",MOVIMIENTOS!$C92="Chancho"))),COUNT(J$6:J92)+1,"")</f>
        <v>53</v>
      </c>
      <c r="K93" s="53" t="n">
        <f aca="false">IF(AND(MOVIMIENTOS!$B92&lt;&gt;"",NOT(AND(MOVIMIENTOS!$B92="PROCESO",MOVIMIENTOS!$C92&lt;&gt;"Chancho")),NOT(AND(MOVIMIENTOS!$B92="SALDO INICIAL",MOVIMIENTOS!$C92="Chancho"))),MOVIMIENTOS!$A92,"")</f>
        <v>46222</v>
      </c>
      <c r="L93" s="48" t="str">
        <f aca="false">IF(AND(MOVIMIENTOS!$B92&lt;&gt;"",NOT(AND(MOVIMIENTOS!$B92="PROCESO",MOVIMIENTOS!$C92&lt;&gt;"Chancho")),NOT(AND(MOVIMIENTOS!$B92="SALDO INICIAL",MOVIMIENTOS!$C92="Chancho"))),IF(MOVIMIENTOS!$B92="SALDO INICIAL","APERTURA ("&amp;MOVIMIENTOS!$C92&amp;")",IF(MOVIMIENTOS!$B92="COMPRA","INGRESO (compra)",IF(MOVIMIENTOS!$B92="PROCESO","CHANCHO (proceso)",IF(MOVIMIENTOS!$B92="ENVÍO A SUPESA","ENVÍO cal. "&amp;MOVIMIENTOS!$C92,IF(MOVIMIENTOS!$B92="VENTA CHANCHO","VENTA CHANCHO",IF(MOVIMIENTOS!$B92="VENTA","VENTA cal. "&amp;MOVIMIENTOS!$C92,IF(MOVIMIENTOS!$B92="REGALO","REGALO "&amp;MOVIMIENTOS!$C92,IF(MOVIMIENTOS!$B92="RECHAZO","RECHAZO cal. "&amp;MOVIMIENTOS!$C92&amp;" (va a reproceso)",IF(MOVIMIENTOS!$B92="DEVOLUCIÓN","DEVOLUCIÓN cal. "&amp;MOVIMIENTOS!$C92&amp;" (regresa intacta)",IF(MOVIMIENTOS!$B92="TRASIEGO","TRASIEGO cal. "&amp;MOVIMIENTOS!$C92,MOVIMIENTOS!$B92)))))))))),"")</f>
        <v>ENVÍO cal. P</v>
      </c>
      <c r="M93" s="48" t="str">
        <f aca="false">IF(AND(AND(MOVIMIENTOS!$B92&lt;&gt;"",NOT(AND(MOVIMIENTOS!$B92="PROCESO",MOVIMIENTOS!$C92&lt;&gt;"Chancho")),NOT(AND(MOVIMIENTOS!$B92="SALDO INICIAL",MOVIMIENTOS!$C92="Chancho"))),OR(MOVIMIENTOS!$B92="SALDO INICIAL",MOVIMIENTOS!$B92="COMPRA",MOVIMIENTOS!$B92="REPROCESO",MOVIMIENTOS!$B92="DEVOLUCIÓN",AND(MOVIMIENTOS!$B92="AJUSTE",MOVIMIENTOS!$C92&lt;&gt;"Chancho",N(MOVIMIENTOS!$F92)&gt;=0))),N(MOVIMIENTOS!$F92),"")</f>
        <v/>
      </c>
      <c r="N93" s="48" t="n">
        <f aca="false">IF(AND(AND(MOVIMIENTOS!$B92&lt;&gt;"",NOT(AND(MOVIMIENTOS!$B92="PROCESO",MOVIMIENTOS!$C92&lt;&gt;"Chancho")),NOT(AND(MOVIMIENTOS!$B92="SALDO INICIAL",MOVIMIENTOS!$C92="Chancho"))),OR(MOVIMIENTOS!$B92="ENVÍO A SUPESA",MOVIMIENTOS!$B92="MALOGRADO",MOVIMIENTOS!$B92="OTRA SALIDA",MOVIMIENTOS!$B92="TRASIEGO",AND(MOVIMIENTOS!$B92="PROCESO",MOVIMIENTOS!$C92="Chancho"),AND(MOVIMIENTOS!$B92="REGALO",MOVIMIENTOS!$C92&lt;&gt;"Chancho"),AND(MOVIMIENTOS!$B92="VENTA",MOVIMIENTOS!$C92&lt;&gt;"Chancho"),AND(MOVIMIENTOS!$B92="AJUSTE",MOVIMIENTOS!$C92&lt;&gt;"Chancho",N(MOVIMIENTOS!$F92)&lt;0))),IF(MOVIMIENTOS!$B92="AJUSTE",-N(MOVIMIENTOS!$F92),N(MOVIMIENTOS!$F92)),"")</f>
        <v>198</v>
      </c>
      <c r="O93" s="48" t="str">
        <f aca="false">IF(AND(MOVIMIENTOS!$B92&lt;&gt;"",NOT(AND(MOVIMIENTOS!$B92="PROCESO",MOVIMIENTOS!$C92&lt;&gt;"Chancho")),NOT(AND(MOVIMIENTOS!$B92="SALDO INICIAL",MOVIMIENTOS!$C92="Chancho"))),IF(MOVIMIENTOS!$B92="RECHAZO",MOVIMIENTOS!$E92&amp;" jabas rechazadas · van a reproceso",IF(MOVIMIENTOS!$B92="REPROCESO",MOVIMIENTOS!$E92&amp;" kg recuperados (merma del día: "&amp;TEXT(SUMPRODUCT((MOVIMIENTOS!$A$5:$A$400=MOVIMIENTOS!$A92)*(MOVIMIENTOS!$B$5:$B$400="RECHAZO")*(MOVIMIENTOS!$D$5:$D$400="jabas")*MOVIMIENTOS!$E$5:$E$400*IFERROR(_xlfn.SWITCH(MOVIMIENTOS!$C$5:$C$400,"A",15,"P",18,"C",17,"M",17,0),0))-SUMPRODUCT((MOVIMIENTOS!$A$5:$A$400=MOVIMIENTOS!$A92)*(MOVIMIENTOS!$B$5:$B$400="REPROCESO")*MOVIMIENTOS!$I$5:$I$400),"+#,##0;-#,##0;0")&amp;" kg)",TRIM(IF(MOVIMIENTOS!$G92&lt;&gt;"",MOVIMIENTOS!$G92&amp;"  ","")&amp;IF(N(MOVIMIENTOS!$D92)&gt;0,MOVIMIENTOS!$D92&amp;" "&amp;MOVIMIENTOS!$D92,"")))),"")</f>
        <v>2998</v>
      </c>
      <c r="P93" s="48" t="n">
        <f aca="false">N(P92)+N(M93)-N(N93)</f>
        <v>338</v>
      </c>
      <c r="Q93" s="48"/>
      <c r="R93" s="48"/>
      <c r="S93" s="48"/>
      <c r="T93" s="48"/>
    </row>
    <row r="94" customFormat="false" ht="15" hidden="false" customHeight="true" outlineLevel="0" collapsed="false">
      <c r="A94" s="51" t="n">
        <f aca="false">IFERROR(INDEX(K$6:K$401,MATCH(ROW()-5,J$6:J$401,0)),"")</f>
        <v>46225</v>
      </c>
      <c r="B94" s="56" t="str">
        <f aca="false">IFERROR(INDEX(L$6:L$401,MATCH(ROW()-5,J$6:J$401,0)),"")</f>
        <v>REPROCESO</v>
      </c>
      <c r="C94" s="52" t="n">
        <f aca="false">IFERROR(INDEX(M$6:M$401,MATCH(ROW()-5,J$6:J$401,0)),"")</f>
        <v>9</v>
      </c>
      <c r="D94" s="52" t="str">
        <f aca="false">IFERROR(INDEX(N$6:N$401,MATCH(ROW()-5,J$6:J$401,0)),"")</f>
        <v/>
      </c>
      <c r="E94" s="56" t="str">
        <f aca="false">IFERROR(INDEX(O$6:O$401,MATCH(ROW()-5,J$6:J$401,0)),"")</f>
        <v>9 kg recuperados (merma del día: +6 kg)</v>
      </c>
      <c r="F94" s="52" t="n">
        <f aca="false">IFERROR(INDEX(P$6:P$401,MATCH(ROW()-5,J$6:J$401,0)),"")</f>
        <v>2729.5</v>
      </c>
      <c r="G94" s="48"/>
      <c r="H94" s="48"/>
      <c r="I94" s="48"/>
      <c r="J94" s="48" t="n">
        <f aca="false">IF(AND(MOVIMIENTOS!$B93&lt;&gt;"",NOT(AND(MOVIMIENTOS!$B93="PROCESO",MOVIMIENTOS!$C93&lt;&gt;"Chancho")),NOT(AND(MOVIMIENTOS!$B93="SALDO INICIAL",MOVIMIENTOS!$C93="Chancho"))),COUNT(J$6:J93)+1,"")</f>
        <v>54</v>
      </c>
      <c r="K94" s="53" t="n">
        <f aca="false">IF(AND(MOVIMIENTOS!$B93&lt;&gt;"",NOT(AND(MOVIMIENTOS!$B93="PROCESO",MOVIMIENTOS!$C93&lt;&gt;"Chancho")),NOT(AND(MOVIMIENTOS!$B93="SALDO INICIAL",MOVIMIENTOS!$C93="Chancho"))),MOVIMIENTOS!$A93,"")</f>
        <v>46222</v>
      </c>
      <c r="L94" s="48" t="str">
        <f aca="false">IF(AND(MOVIMIENTOS!$B93&lt;&gt;"",NOT(AND(MOVIMIENTOS!$B93="PROCESO",MOVIMIENTOS!$C93&lt;&gt;"Chancho")),NOT(AND(MOVIMIENTOS!$B93="SALDO INICIAL",MOVIMIENTOS!$C93="Chancho"))),IF(MOVIMIENTOS!$B93="SALDO INICIAL","APERTURA ("&amp;MOVIMIENTOS!$C93&amp;")",IF(MOVIMIENTOS!$B93="COMPRA","INGRESO (compra)",IF(MOVIMIENTOS!$B93="PROCESO","CHANCHO (proceso)",IF(MOVIMIENTOS!$B93="ENVÍO A SUPESA","ENVÍO cal. "&amp;MOVIMIENTOS!$C93,IF(MOVIMIENTOS!$B93="VENTA CHANCHO","VENTA CHANCHO",IF(MOVIMIENTOS!$B93="VENTA","VENTA cal. "&amp;MOVIMIENTOS!$C93,IF(MOVIMIENTOS!$B93="REGALO","REGALO "&amp;MOVIMIENTOS!$C93,IF(MOVIMIENTOS!$B93="RECHAZO","RECHAZO cal. "&amp;MOVIMIENTOS!$C93&amp;" (va a reproceso)",IF(MOVIMIENTOS!$B93="DEVOLUCIÓN","DEVOLUCIÓN cal. "&amp;MOVIMIENTOS!$C93&amp;" (regresa intacta)",IF(MOVIMIENTOS!$B93="TRASIEGO","TRASIEGO cal. "&amp;MOVIMIENTOS!$C93,MOVIMIENTOS!$B93)))))))))),"")</f>
        <v>ENVÍO cal. C</v>
      </c>
      <c r="M94" s="48" t="str">
        <f aca="false">IF(AND(AND(MOVIMIENTOS!$B93&lt;&gt;"",NOT(AND(MOVIMIENTOS!$B93="PROCESO",MOVIMIENTOS!$C93&lt;&gt;"Chancho")),NOT(AND(MOVIMIENTOS!$B93="SALDO INICIAL",MOVIMIENTOS!$C93="Chancho"))),OR(MOVIMIENTOS!$B93="SALDO INICIAL",MOVIMIENTOS!$B93="COMPRA",MOVIMIENTOS!$B93="REPROCESO",MOVIMIENTOS!$B93="DEVOLUCIÓN",AND(MOVIMIENTOS!$B93="AJUSTE",MOVIMIENTOS!$C93&lt;&gt;"Chancho",N(MOVIMIENTOS!$F93)&gt;=0))),N(MOVIMIENTOS!$F93),"")</f>
        <v/>
      </c>
      <c r="N94" s="48" t="n">
        <f aca="false">IF(AND(AND(MOVIMIENTOS!$B93&lt;&gt;"",NOT(AND(MOVIMIENTOS!$B93="PROCESO",MOVIMIENTOS!$C93&lt;&gt;"Chancho")),NOT(AND(MOVIMIENTOS!$B93="SALDO INICIAL",MOVIMIENTOS!$C93="Chancho"))),OR(MOVIMIENTOS!$B93="ENVÍO A SUPESA",MOVIMIENTOS!$B93="MALOGRADO",MOVIMIENTOS!$B93="OTRA SALIDA",MOVIMIENTOS!$B93="TRASIEGO",AND(MOVIMIENTOS!$B93="PROCESO",MOVIMIENTOS!$C93="Chancho"),AND(MOVIMIENTOS!$B93="REGALO",MOVIMIENTOS!$C93&lt;&gt;"Chancho"),AND(MOVIMIENTOS!$B93="VENTA",MOVIMIENTOS!$C93&lt;&gt;"Chancho"),AND(MOVIMIENTOS!$B93="AJUSTE",MOVIMIENTOS!$C93&lt;&gt;"Chancho",N(MOVIMIENTOS!$F93)&lt;0))),IF(MOVIMIENTOS!$B93="AJUSTE",-N(MOVIMIENTOS!$F93),N(MOVIMIENTOS!$F93)),"")</f>
        <v>204</v>
      </c>
      <c r="O94" s="48" t="str">
        <f aca="false">IF(AND(MOVIMIENTOS!$B93&lt;&gt;"",NOT(AND(MOVIMIENTOS!$B93="PROCESO",MOVIMIENTOS!$C93&lt;&gt;"Chancho")),NOT(AND(MOVIMIENTOS!$B93="SALDO INICIAL",MOVIMIENTOS!$C93="Chancho"))),IF(MOVIMIENTOS!$B93="RECHAZO",MOVIMIENTOS!$E93&amp;" jabas rechazadas · van a reproceso",IF(MOVIMIENTOS!$B93="REPROCESO",MOVIMIENTOS!$E93&amp;" kg recuperados (merma del día: "&amp;TEXT(SUMPRODUCT((MOVIMIENTOS!$A$5:$A$400=MOVIMIENTOS!$A93)*(MOVIMIENTOS!$B$5:$B$400="RECHAZO")*(MOVIMIENTOS!$D$5:$D$400="jabas")*MOVIMIENTOS!$E$5:$E$400*IFERROR(_xlfn.SWITCH(MOVIMIENTOS!$C$5:$C$400,"A",15,"P",18,"C",17,"M",17,0),0))-SUMPRODUCT((MOVIMIENTOS!$A$5:$A$400=MOVIMIENTOS!$A93)*(MOVIMIENTOS!$B$5:$B$400="REPROCESO")*MOVIMIENTOS!$I$5:$I$400),"+#,##0;-#,##0;0")&amp;" kg)",TRIM(IF(MOVIMIENTOS!$G93&lt;&gt;"",MOVIMIENTOS!$G93&amp;"  ","")&amp;IF(N(MOVIMIENTOS!$D93)&gt;0,MOVIMIENTOS!$D93&amp;" "&amp;MOVIMIENTOS!$D93,"")))),"")</f>
        <v>2998</v>
      </c>
      <c r="P94" s="48" t="n">
        <f aca="false">N(P93)+N(M94)-N(N94)</f>
        <v>134</v>
      </c>
      <c r="Q94" s="48"/>
      <c r="R94" s="48"/>
      <c r="S94" s="48"/>
      <c r="T94" s="48"/>
    </row>
    <row r="95" customFormat="false" ht="15" hidden="false" customHeight="true" outlineLevel="0" collapsed="false">
      <c r="A95" s="51" t="n">
        <f aca="false">IFERROR(INDEX(K$6:K$401,MATCH(ROW()-5,J$6:J$401,0)),"")</f>
        <v>46225</v>
      </c>
      <c r="B95" s="56" t="str">
        <f aca="false">IFERROR(INDEX(L$6:L$401,MATCH(ROW()-5,J$6:J$401,0)),"")</f>
        <v>INGRESO (compra)</v>
      </c>
      <c r="C95" s="52" t="n">
        <f aca="false">IFERROR(INDEX(M$6:M$401,MATCH(ROW()-5,J$6:J$401,0)),"")</f>
        <v>3800</v>
      </c>
      <c r="D95" s="52" t="str">
        <f aca="false">IFERROR(INDEX(N$6:N$401,MATCH(ROW()-5,J$6:J$401,0)),"")</f>
        <v/>
      </c>
      <c r="E95" s="56" t="str">
        <f aca="false">IFERROR(INDEX(O$6:O$401,MATCH(ROW()-5,J$6:J$401,0)),"")</f>
        <v/>
      </c>
      <c r="F95" s="52" t="n">
        <f aca="false">IFERROR(INDEX(P$6:P$401,MATCH(ROW()-5,J$6:J$401,0)),"")</f>
        <v>6529.5</v>
      </c>
      <c r="G95" s="48"/>
      <c r="H95" s="48"/>
      <c r="I95" s="48"/>
      <c r="J95" s="48" t="n">
        <f aca="false">IF(AND(MOVIMIENTOS!$B94&lt;&gt;"",NOT(AND(MOVIMIENTOS!$B94="PROCESO",MOVIMIENTOS!$C94&lt;&gt;"Chancho")),NOT(AND(MOVIMIENTOS!$B94="SALDO INICIAL",MOVIMIENTOS!$C94="Chancho"))),COUNT(J$6:J94)+1,"")</f>
        <v>55</v>
      </c>
      <c r="K95" s="53" t="n">
        <f aca="false">IF(AND(MOVIMIENTOS!$B94&lt;&gt;"",NOT(AND(MOVIMIENTOS!$B94="PROCESO",MOVIMIENTOS!$C94&lt;&gt;"Chancho")),NOT(AND(MOVIMIENTOS!$B94="SALDO INICIAL",MOVIMIENTOS!$C94="Chancho"))),MOVIMIENTOS!$A94,"")</f>
        <v>46222</v>
      </c>
      <c r="L95" s="48" t="str">
        <f aca="false">IF(AND(MOVIMIENTOS!$B94&lt;&gt;"",NOT(AND(MOVIMIENTOS!$B94="PROCESO",MOVIMIENTOS!$C94&lt;&gt;"Chancho")),NOT(AND(MOVIMIENTOS!$B94="SALDO INICIAL",MOVIMIENTOS!$C94="Chancho"))),IF(MOVIMIENTOS!$B94="SALDO INICIAL","APERTURA ("&amp;MOVIMIENTOS!$C94&amp;")",IF(MOVIMIENTOS!$B94="COMPRA","INGRESO (compra)",IF(MOVIMIENTOS!$B94="PROCESO","CHANCHO (proceso)",IF(MOVIMIENTOS!$B94="ENVÍO A SUPESA","ENVÍO cal. "&amp;MOVIMIENTOS!$C94,IF(MOVIMIENTOS!$B94="VENTA CHANCHO","VENTA CHANCHO",IF(MOVIMIENTOS!$B94="VENTA","VENTA cal. "&amp;MOVIMIENTOS!$C94,IF(MOVIMIENTOS!$B94="REGALO","REGALO "&amp;MOVIMIENTOS!$C94,IF(MOVIMIENTOS!$B94="RECHAZO","RECHAZO cal. "&amp;MOVIMIENTOS!$C94&amp;" (va a reproceso)",IF(MOVIMIENTOS!$B94="DEVOLUCIÓN","DEVOLUCIÓN cal. "&amp;MOVIMIENTOS!$C94&amp;" (regresa intacta)",IF(MOVIMIENTOS!$B94="TRASIEGO","TRASIEGO cal. "&amp;MOVIMIENTOS!$C94,MOVIMIENTOS!$B94)))))))))),"")</f>
        <v>ENVÍO cal. M</v>
      </c>
      <c r="M95" s="48" t="str">
        <f aca="false">IF(AND(AND(MOVIMIENTOS!$B94&lt;&gt;"",NOT(AND(MOVIMIENTOS!$B94="PROCESO",MOVIMIENTOS!$C94&lt;&gt;"Chancho")),NOT(AND(MOVIMIENTOS!$B94="SALDO INICIAL",MOVIMIENTOS!$C94="Chancho"))),OR(MOVIMIENTOS!$B94="SALDO INICIAL",MOVIMIENTOS!$B94="COMPRA",MOVIMIENTOS!$B94="REPROCESO",MOVIMIENTOS!$B94="DEVOLUCIÓN",AND(MOVIMIENTOS!$B94="AJUSTE",MOVIMIENTOS!$C94&lt;&gt;"Chancho",N(MOVIMIENTOS!$F94)&gt;=0))),N(MOVIMIENTOS!$F94),"")</f>
        <v/>
      </c>
      <c r="N95" s="48" t="n">
        <f aca="false">IF(AND(AND(MOVIMIENTOS!$B94&lt;&gt;"",NOT(AND(MOVIMIENTOS!$B94="PROCESO",MOVIMIENTOS!$C94&lt;&gt;"Chancho")),NOT(AND(MOVIMIENTOS!$B94="SALDO INICIAL",MOVIMIENTOS!$C94="Chancho"))),OR(MOVIMIENTOS!$B94="ENVÍO A SUPESA",MOVIMIENTOS!$B94="MALOGRADO",MOVIMIENTOS!$B94="OTRA SALIDA",MOVIMIENTOS!$B94="TRASIEGO",AND(MOVIMIENTOS!$B94="PROCESO",MOVIMIENTOS!$C94="Chancho"),AND(MOVIMIENTOS!$B94="REGALO",MOVIMIENTOS!$C94&lt;&gt;"Chancho"),AND(MOVIMIENTOS!$B94="VENTA",MOVIMIENTOS!$C94&lt;&gt;"Chancho"),AND(MOVIMIENTOS!$B94="AJUSTE",MOVIMIENTOS!$C94&lt;&gt;"Chancho",N(MOVIMIENTOS!$F94)&lt;0))),IF(MOVIMIENTOS!$B94="AJUSTE",-N(MOVIMIENTOS!$F94),N(MOVIMIENTOS!$F94)),"")</f>
        <v>476</v>
      </c>
      <c r="O95" s="48" t="str">
        <f aca="false">IF(AND(MOVIMIENTOS!$B94&lt;&gt;"",NOT(AND(MOVIMIENTOS!$B94="PROCESO",MOVIMIENTOS!$C94&lt;&gt;"Chancho")),NOT(AND(MOVIMIENTOS!$B94="SALDO INICIAL",MOVIMIENTOS!$C94="Chancho"))),IF(MOVIMIENTOS!$B94="RECHAZO",MOVIMIENTOS!$E94&amp;" jabas rechazadas · van a reproceso",IF(MOVIMIENTOS!$B94="REPROCESO",MOVIMIENTOS!$E94&amp;" kg recuperados (merma del día: "&amp;TEXT(SUMPRODUCT((MOVIMIENTOS!$A$5:$A$400=MOVIMIENTOS!$A94)*(MOVIMIENTOS!$B$5:$B$400="RECHAZO")*(MOVIMIENTOS!$D$5:$D$400="jabas")*MOVIMIENTOS!$E$5:$E$400*IFERROR(_xlfn.SWITCH(MOVIMIENTOS!$C$5:$C$400,"A",15,"P",18,"C",17,"M",17,0),0))-SUMPRODUCT((MOVIMIENTOS!$A$5:$A$400=MOVIMIENTOS!$A94)*(MOVIMIENTOS!$B$5:$B$400="REPROCESO")*MOVIMIENTOS!$I$5:$I$400),"+#,##0;-#,##0;0")&amp;" kg)",TRIM(IF(MOVIMIENTOS!$G94&lt;&gt;"",MOVIMIENTOS!$G94&amp;"  ","")&amp;IF(N(MOVIMIENTOS!$D94)&gt;0,MOVIMIENTOS!$D94&amp;" "&amp;MOVIMIENTOS!$D94,"")))),"")</f>
        <v>2998</v>
      </c>
      <c r="P95" s="48" t="n">
        <f aca="false">N(P94)+N(M95)-N(N95)</f>
        <v>-342</v>
      </c>
      <c r="Q95" s="48"/>
      <c r="R95" s="48"/>
      <c r="S95" s="48"/>
      <c r="T95" s="48"/>
    </row>
    <row r="96" customFormat="false" ht="15" hidden="false" customHeight="true" outlineLevel="0" collapsed="false">
      <c r="A96" s="51" t="n">
        <f aca="false">IFERROR(INDEX(K$6:K$401,MATCH(ROW()-5,J$6:J$401,0)),"")</f>
        <v>46226</v>
      </c>
      <c r="B96" s="56" t="str">
        <f aca="false">IFERROR(INDEX(L$6:L$401,MATCH(ROW()-5,J$6:J$401,0)),"")</f>
        <v>CHANCHO (proceso)</v>
      </c>
      <c r="C96" s="52" t="str">
        <f aca="false">IFERROR(INDEX(M$6:M$401,MATCH(ROW()-5,J$6:J$401,0)),"")</f>
        <v/>
      </c>
      <c r="D96" s="52" t="n">
        <f aca="false">IFERROR(INDEX(N$6:N$401,MATCH(ROW()-5,J$6:J$401,0)),"")</f>
        <v>617.5</v>
      </c>
      <c r="E96" s="56" t="str">
        <f aca="false">IFERROR(INDEX(O$6:O$401,MATCH(ROW()-5,J$6:J$401,0)),"")</f>
        <v/>
      </c>
      <c r="F96" s="52" t="n">
        <f aca="false">IFERROR(INDEX(P$6:P$401,MATCH(ROW()-5,J$6:J$401,0)),"")</f>
        <v>5912</v>
      </c>
      <c r="G96" s="48"/>
      <c r="H96" s="48"/>
      <c r="I96" s="48"/>
      <c r="J96" s="48" t="n">
        <f aca="false">IF(AND(MOVIMIENTOS!$B95&lt;&gt;"",NOT(AND(MOVIMIENTOS!$B95="PROCESO",MOVIMIENTOS!$C95&lt;&gt;"Chancho")),NOT(AND(MOVIMIENTOS!$B95="SALDO INICIAL",MOVIMIENTOS!$C95="Chancho"))),COUNT(J$6:J95)+1,"")</f>
        <v>56</v>
      </c>
      <c r="K96" s="53" t="n">
        <f aca="false">IF(AND(MOVIMIENTOS!$B95&lt;&gt;"",NOT(AND(MOVIMIENTOS!$B95="PROCESO",MOVIMIENTOS!$C95&lt;&gt;"Chancho")),NOT(AND(MOVIMIENTOS!$B95="SALDO INICIAL",MOVIMIENTOS!$C95="Chancho"))),MOVIMIENTOS!$A95,"")</f>
        <v>46222</v>
      </c>
      <c r="L96" s="48" t="str">
        <f aca="false">IF(AND(MOVIMIENTOS!$B95&lt;&gt;"",NOT(AND(MOVIMIENTOS!$B95="PROCESO",MOVIMIENTOS!$C95&lt;&gt;"Chancho")),NOT(AND(MOVIMIENTOS!$B95="SALDO INICIAL",MOVIMIENTOS!$C95="Chancho"))),IF(MOVIMIENTOS!$B95="SALDO INICIAL","APERTURA ("&amp;MOVIMIENTOS!$C95&amp;")",IF(MOVIMIENTOS!$B95="COMPRA","INGRESO (compra)",IF(MOVIMIENTOS!$B95="PROCESO","CHANCHO (proceso)",IF(MOVIMIENTOS!$B95="ENVÍO A SUPESA","ENVÍO cal. "&amp;MOVIMIENTOS!$C95,IF(MOVIMIENTOS!$B95="VENTA CHANCHO","VENTA CHANCHO",IF(MOVIMIENTOS!$B95="VENTA","VENTA cal. "&amp;MOVIMIENTOS!$C95,IF(MOVIMIENTOS!$B95="REGALO","REGALO "&amp;MOVIMIENTOS!$C95,IF(MOVIMIENTOS!$B95="RECHAZO","RECHAZO cal. "&amp;MOVIMIENTOS!$C95&amp;" (va a reproceso)",IF(MOVIMIENTOS!$B95="DEVOLUCIÓN","DEVOLUCIÓN cal. "&amp;MOVIMIENTOS!$C95&amp;" (regresa intacta)",IF(MOVIMIENTOS!$B95="TRASIEGO","TRASIEGO cal. "&amp;MOVIMIENTOS!$C95,MOVIMIENTOS!$B95)))))))))),"")</f>
        <v>INGRESO (compra)</v>
      </c>
      <c r="M96" s="48" t="n">
        <f aca="false">IF(AND(AND(MOVIMIENTOS!$B95&lt;&gt;"",NOT(AND(MOVIMIENTOS!$B95="PROCESO",MOVIMIENTOS!$C95&lt;&gt;"Chancho")),NOT(AND(MOVIMIENTOS!$B95="SALDO INICIAL",MOVIMIENTOS!$C95="Chancho"))),OR(MOVIMIENTOS!$B95="SALDO INICIAL",MOVIMIENTOS!$B95="COMPRA",MOVIMIENTOS!$B95="REPROCESO",MOVIMIENTOS!$B95="DEVOLUCIÓN",AND(MOVIMIENTOS!$B95="AJUSTE",MOVIMIENTOS!$C95&lt;&gt;"Chancho",N(MOVIMIENTOS!$F95)&gt;=0))),N(MOVIMIENTOS!$F95),"")</f>
        <v>1615</v>
      </c>
      <c r="N96" s="48" t="str">
        <f aca="false">IF(AND(AND(MOVIMIENTOS!$B95&lt;&gt;"",NOT(AND(MOVIMIENTOS!$B95="PROCESO",MOVIMIENTOS!$C95&lt;&gt;"Chancho")),NOT(AND(MOVIMIENTOS!$B95="SALDO INICIAL",MOVIMIENTOS!$C95="Chancho"))),OR(MOVIMIENTOS!$B95="ENVÍO A SUPESA",MOVIMIENTOS!$B95="MALOGRADO",MOVIMIENTOS!$B95="OTRA SALIDA",MOVIMIENTOS!$B95="TRASIEGO",AND(MOVIMIENTOS!$B95="PROCESO",MOVIMIENTOS!$C95="Chancho"),AND(MOVIMIENTOS!$B95="REGALO",MOVIMIENTOS!$C95&lt;&gt;"Chancho"),AND(MOVIMIENTOS!$B95="VENTA",MOVIMIENTOS!$C95&lt;&gt;"Chancho"),AND(MOVIMIENTOS!$B95="AJUSTE",MOVIMIENTOS!$C95&lt;&gt;"Chancho",N(MOVIMIENTOS!$F95)&lt;0))),IF(MOVIMIENTOS!$B95="AJUSTE",-N(MOVIMIENTOS!$F95),N(MOVIMIENTOS!$F95)),"")</f>
        <v/>
      </c>
      <c r="O96" s="48" t="str">
        <f aca="false">IF(AND(MOVIMIENTOS!$B95&lt;&gt;"",NOT(AND(MOVIMIENTOS!$B95="PROCESO",MOVIMIENTOS!$C95&lt;&gt;"Chancho")),NOT(AND(MOVIMIENTOS!$B95="SALDO INICIAL",MOVIMIENTOS!$C95="Chancho"))),IF(MOVIMIENTOS!$B95="RECHAZO",MOVIMIENTOS!$E95&amp;" jabas rechazadas · van a reproceso",IF(MOVIMIENTOS!$B95="REPROCESO",MOVIMIENTOS!$E95&amp;" kg recuperados (merma del día: "&amp;TEXT(SUMPRODUCT((MOVIMIENTOS!$A$5:$A$400=MOVIMIENTOS!$A95)*(MOVIMIENTOS!$B$5:$B$400="RECHAZO")*(MOVIMIENTOS!$D$5:$D$400="jabas")*MOVIMIENTOS!$E$5:$E$400*IFERROR(_xlfn.SWITCH(MOVIMIENTOS!$C$5:$C$400,"A",15,"P",18,"C",17,"M",17,0),0))-SUMPRODUCT((MOVIMIENTOS!$A$5:$A$400=MOVIMIENTOS!$A95)*(MOVIMIENTOS!$B$5:$B$400="REPROCESO")*MOVIMIENTOS!$I$5:$I$400),"+#,##0;-#,##0;0")&amp;" kg)",TRIM(IF(MOVIMIENTOS!$G95&lt;&gt;"",MOVIMIENTOS!$G95&amp;"  ","")&amp;IF(N(MOVIMIENTOS!$D95)&gt;0,MOVIMIENTOS!$D95&amp;" "&amp;MOVIMIENTOS!$D95,"")))),"")</f>
        <v/>
      </c>
      <c r="P96" s="48" t="n">
        <f aca="false">N(P95)+N(M96)-N(N96)</f>
        <v>1273</v>
      </c>
      <c r="Q96" s="48"/>
      <c r="R96" s="48"/>
      <c r="S96" s="48"/>
      <c r="T96" s="48"/>
    </row>
    <row r="97" customFormat="false" ht="15" hidden="false" customHeight="true" outlineLevel="0" collapsed="false">
      <c r="A97" s="51" t="n">
        <f aca="false">IFERROR(INDEX(K$6:K$401,MATCH(ROW()-5,J$6:J$401,0)),"")</f>
        <v>46226</v>
      </c>
      <c r="B97" s="56" t="str">
        <f aca="false">IFERROR(INDEX(L$6:L$401,MATCH(ROW()-5,J$6:J$401,0)),"")</f>
        <v>ENVÍO cal. A</v>
      </c>
      <c r="C97" s="52" t="str">
        <f aca="false">IFERROR(INDEX(M$6:M$401,MATCH(ROW()-5,J$6:J$401,0)),"")</f>
        <v/>
      </c>
      <c r="D97" s="52" t="n">
        <f aca="false">IFERROR(INDEX(N$6:N$401,MATCH(ROW()-5,J$6:J$401,0)),"")</f>
        <v>1005</v>
      </c>
      <c r="E97" s="56" t="str">
        <f aca="false">IFERROR(INDEX(O$6:O$401,MATCH(ROW()-5,J$6:J$401,0)),"")</f>
        <v>3008</v>
      </c>
      <c r="F97" s="52" t="n">
        <f aca="false">IFERROR(INDEX(P$6:P$401,MATCH(ROW()-5,J$6:J$401,0)),"")</f>
        <v>4907</v>
      </c>
      <c r="G97" s="48"/>
      <c r="H97" s="48"/>
      <c r="I97" s="48"/>
      <c r="J97" s="48" t="n">
        <f aca="false">IF(AND(MOVIMIENTOS!$B96&lt;&gt;"",NOT(AND(MOVIMIENTOS!$B96="PROCESO",MOVIMIENTOS!$C96&lt;&gt;"Chancho")),NOT(AND(MOVIMIENTOS!$B96="SALDO INICIAL",MOVIMIENTOS!$C96="Chancho"))),COUNT(J$6:J96)+1,"")</f>
        <v>57</v>
      </c>
      <c r="K97" s="53" t="n">
        <f aca="false">IF(AND(MOVIMIENTOS!$B96&lt;&gt;"",NOT(AND(MOVIMIENTOS!$B96="PROCESO",MOVIMIENTOS!$C96&lt;&gt;"Chancho")),NOT(AND(MOVIMIENTOS!$B96="SALDO INICIAL",MOVIMIENTOS!$C96="Chancho"))),MOVIMIENTOS!$A96,"")</f>
        <v>46223</v>
      </c>
      <c r="L97" s="48" t="str">
        <f aca="false">IF(AND(MOVIMIENTOS!$B96&lt;&gt;"",NOT(AND(MOVIMIENTOS!$B96="PROCESO",MOVIMIENTOS!$C96&lt;&gt;"Chancho")),NOT(AND(MOVIMIENTOS!$B96="SALDO INICIAL",MOVIMIENTOS!$C96="Chancho"))),IF(MOVIMIENTOS!$B96="SALDO INICIAL","APERTURA ("&amp;MOVIMIENTOS!$C96&amp;")",IF(MOVIMIENTOS!$B96="COMPRA","INGRESO (compra)",IF(MOVIMIENTOS!$B96="PROCESO","CHANCHO (proceso)",IF(MOVIMIENTOS!$B96="ENVÍO A SUPESA","ENVÍO cal. "&amp;MOVIMIENTOS!$C96,IF(MOVIMIENTOS!$B96="VENTA CHANCHO","VENTA CHANCHO",IF(MOVIMIENTOS!$B96="VENTA","VENTA cal. "&amp;MOVIMIENTOS!$C96,IF(MOVIMIENTOS!$B96="REGALO","REGALO "&amp;MOVIMIENTOS!$C96,IF(MOVIMIENTOS!$B96="RECHAZO","RECHAZO cal. "&amp;MOVIMIENTOS!$C96&amp;" (va a reproceso)",IF(MOVIMIENTOS!$B96="DEVOLUCIÓN","DEVOLUCIÓN cal. "&amp;MOVIMIENTOS!$C96&amp;" (regresa intacta)",IF(MOVIMIENTOS!$B96="TRASIEGO","TRASIEGO cal. "&amp;MOVIMIENTOS!$C96,MOVIMIENTOS!$B96)))))))))),"")</f>
        <v>INGRESO (compra)</v>
      </c>
      <c r="M97" s="48" t="n">
        <f aca="false">IF(AND(AND(MOVIMIENTOS!$B96&lt;&gt;"",NOT(AND(MOVIMIENTOS!$B96="PROCESO",MOVIMIENTOS!$C96&lt;&gt;"Chancho")),NOT(AND(MOVIMIENTOS!$B96="SALDO INICIAL",MOVIMIENTOS!$C96="Chancho"))),OR(MOVIMIENTOS!$B96="SALDO INICIAL",MOVIMIENTOS!$B96="COMPRA",MOVIMIENTOS!$B96="REPROCESO",MOVIMIENTOS!$B96="DEVOLUCIÓN",AND(MOVIMIENTOS!$B96="AJUSTE",MOVIMIENTOS!$C96&lt;&gt;"Chancho",N(MOVIMIENTOS!$F96)&gt;=0))),N(MOVIMIENTOS!$F96),"")</f>
        <v>4560</v>
      </c>
      <c r="N97" s="48" t="str">
        <f aca="false">IF(AND(AND(MOVIMIENTOS!$B96&lt;&gt;"",NOT(AND(MOVIMIENTOS!$B96="PROCESO",MOVIMIENTOS!$C96&lt;&gt;"Chancho")),NOT(AND(MOVIMIENTOS!$B96="SALDO INICIAL",MOVIMIENTOS!$C96="Chancho"))),OR(MOVIMIENTOS!$B96="ENVÍO A SUPESA",MOVIMIENTOS!$B96="MALOGRADO",MOVIMIENTOS!$B96="OTRA SALIDA",MOVIMIENTOS!$B96="TRASIEGO",AND(MOVIMIENTOS!$B96="PROCESO",MOVIMIENTOS!$C96="Chancho"),AND(MOVIMIENTOS!$B96="REGALO",MOVIMIENTOS!$C96&lt;&gt;"Chancho"),AND(MOVIMIENTOS!$B96="VENTA",MOVIMIENTOS!$C96&lt;&gt;"Chancho"),AND(MOVIMIENTOS!$B96="AJUSTE",MOVIMIENTOS!$C96&lt;&gt;"Chancho",N(MOVIMIENTOS!$F96)&lt;0))),IF(MOVIMIENTOS!$B96="AJUSTE",-N(MOVIMIENTOS!$F96),N(MOVIMIENTOS!$F96)),"")</f>
        <v/>
      </c>
      <c r="O97" s="48" t="str">
        <f aca="false">IF(AND(MOVIMIENTOS!$B96&lt;&gt;"",NOT(AND(MOVIMIENTOS!$B96="PROCESO",MOVIMIENTOS!$C96&lt;&gt;"Chancho")),NOT(AND(MOVIMIENTOS!$B96="SALDO INICIAL",MOVIMIENTOS!$C96="Chancho"))),IF(MOVIMIENTOS!$B96="RECHAZO",MOVIMIENTOS!$E96&amp;" jabas rechazadas · van a reproceso",IF(MOVIMIENTOS!$B96="REPROCESO",MOVIMIENTOS!$E96&amp;" kg recuperados (merma del día: "&amp;TEXT(SUMPRODUCT((MOVIMIENTOS!$A$5:$A$400=MOVIMIENTOS!$A96)*(MOVIMIENTOS!$B$5:$B$400="RECHAZO")*(MOVIMIENTOS!$D$5:$D$400="jabas")*MOVIMIENTOS!$E$5:$E$400*IFERROR(_xlfn.SWITCH(MOVIMIENTOS!$C$5:$C$400,"A",15,"P",18,"C",17,"M",17,0),0))-SUMPRODUCT((MOVIMIENTOS!$A$5:$A$400=MOVIMIENTOS!$A96)*(MOVIMIENTOS!$B$5:$B$400="REPROCESO")*MOVIMIENTOS!$I$5:$I$400),"+#,##0;-#,##0;0")&amp;" kg)",TRIM(IF(MOVIMIENTOS!$G96&lt;&gt;"",MOVIMIENTOS!$G96&amp;"  ","")&amp;IF(N(MOVIMIENTOS!$D96)&gt;0,MOVIMIENTOS!$D96&amp;" "&amp;MOVIMIENTOS!$D96,"")))),"")</f>
        <v/>
      </c>
      <c r="P97" s="48" t="n">
        <f aca="false">N(P96)+N(M97)-N(N97)</f>
        <v>5833</v>
      </c>
      <c r="Q97" s="48"/>
      <c r="R97" s="48"/>
      <c r="S97" s="48"/>
      <c r="T97" s="48"/>
    </row>
    <row r="98" customFormat="false" ht="15" hidden="false" customHeight="true" outlineLevel="0" collapsed="false">
      <c r="A98" s="51" t="n">
        <f aca="false">IFERROR(INDEX(K$6:K$401,MATCH(ROW()-5,J$6:J$401,0)),"")</f>
        <v>46226</v>
      </c>
      <c r="B98" s="56" t="str">
        <f aca="false">IFERROR(INDEX(L$6:L$401,MATCH(ROW()-5,J$6:J$401,0)),"")</f>
        <v>ENVÍO cal. P</v>
      </c>
      <c r="C98" s="52" t="str">
        <f aca="false">IFERROR(INDEX(M$6:M$401,MATCH(ROW()-5,J$6:J$401,0)),"")</f>
        <v/>
      </c>
      <c r="D98" s="52" t="n">
        <f aca="false">IFERROR(INDEX(N$6:N$401,MATCH(ROW()-5,J$6:J$401,0)),"")</f>
        <v>198</v>
      </c>
      <c r="E98" s="56" t="str">
        <f aca="false">IFERROR(INDEX(O$6:O$401,MATCH(ROW()-5,J$6:J$401,0)),"")</f>
        <v>3008</v>
      </c>
      <c r="F98" s="52" t="n">
        <f aca="false">IFERROR(INDEX(P$6:P$401,MATCH(ROW()-5,J$6:J$401,0)),"")</f>
        <v>4709</v>
      </c>
      <c r="G98" s="48"/>
      <c r="H98" s="48"/>
      <c r="I98" s="48"/>
      <c r="J98" s="48" t="str">
        <f aca="false">IF(AND(MOVIMIENTOS!$B97&lt;&gt;"",NOT(AND(MOVIMIENTOS!$B97="PROCESO",MOVIMIENTOS!$C97&lt;&gt;"Chancho")),NOT(AND(MOVIMIENTOS!$B97="SALDO INICIAL",MOVIMIENTOS!$C97="Chancho"))),COUNT(J$6:J97)+1,"")</f>
        <v/>
      </c>
      <c r="K98" s="48" t="str">
        <f aca="false">IF(AND(MOVIMIENTOS!$B97&lt;&gt;"",NOT(AND(MOVIMIENTOS!$B97="PROCESO",MOVIMIENTOS!$C97&lt;&gt;"Chancho")),NOT(AND(MOVIMIENTOS!$B97="SALDO INICIAL",MOVIMIENTOS!$C97="Chancho"))),MOVIMIENTOS!$A97,"")</f>
        <v/>
      </c>
      <c r="L98" s="48" t="str">
        <f aca="false">IF(AND(MOVIMIENTOS!$B97&lt;&gt;"",NOT(AND(MOVIMIENTOS!$B97="PROCESO",MOVIMIENTOS!$C97&lt;&gt;"Chancho")),NOT(AND(MOVIMIENTOS!$B97="SALDO INICIAL",MOVIMIENTOS!$C97="Chancho"))),IF(MOVIMIENTOS!$B97="SALDO INICIAL","APERTURA ("&amp;MOVIMIENTOS!$C97&amp;")",IF(MOVIMIENTOS!$B97="COMPRA","INGRESO (compra)",IF(MOVIMIENTOS!$B97="PROCESO","CHANCHO (proceso)",IF(MOVIMIENTOS!$B97="ENVÍO A SUPESA","ENVÍO cal. "&amp;MOVIMIENTOS!$C97,IF(MOVIMIENTOS!$B97="VENTA CHANCHO","VENTA CHANCHO",IF(MOVIMIENTOS!$B97="VENTA","VENTA cal. "&amp;MOVIMIENTOS!$C97,IF(MOVIMIENTOS!$B97="REGALO","REGALO "&amp;MOVIMIENTOS!$C97,IF(MOVIMIENTOS!$B97="RECHAZO","RECHAZO cal. "&amp;MOVIMIENTOS!$C97&amp;" (va a reproceso)",IF(MOVIMIENTOS!$B97="DEVOLUCIÓN","DEVOLUCIÓN cal. "&amp;MOVIMIENTOS!$C97&amp;" (regresa intacta)",IF(MOVIMIENTOS!$B97="TRASIEGO","TRASIEGO cal. "&amp;MOVIMIENTOS!$C97,MOVIMIENTOS!$B97)))))))))),"")</f>
        <v/>
      </c>
      <c r="M98" s="48" t="str">
        <f aca="false">IF(AND(AND(MOVIMIENTOS!$B97&lt;&gt;"",NOT(AND(MOVIMIENTOS!$B97="PROCESO",MOVIMIENTOS!$C97&lt;&gt;"Chancho")),NOT(AND(MOVIMIENTOS!$B97="SALDO INICIAL",MOVIMIENTOS!$C97="Chancho"))),OR(MOVIMIENTOS!$B97="SALDO INICIAL",MOVIMIENTOS!$B97="COMPRA",MOVIMIENTOS!$B97="REPROCESO",MOVIMIENTOS!$B97="DEVOLUCIÓN",AND(MOVIMIENTOS!$B97="AJUSTE",MOVIMIENTOS!$C97&lt;&gt;"Chancho",N(MOVIMIENTOS!$F97)&gt;=0))),N(MOVIMIENTOS!$F97),"")</f>
        <v/>
      </c>
      <c r="N98" s="48" t="str">
        <f aca="false">IF(AND(AND(MOVIMIENTOS!$B97&lt;&gt;"",NOT(AND(MOVIMIENTOS!$B97="PROCESO",MOVIMIENTOS!$C97&lt;&gt;"Chancho")),NOT(AND(MOVIMIENTOS!$B97="SALDO INICIAL",MOVIMIENTOS!$C97="Chancho"))),OR(MOVIMIENTOS!$B97="ENVÍO A SUPESA",MOVIMIENTOS!$B97="MALOGRADO",MOVIMIENTOS!$B97="OTRA SALIDA",MOVIMIENTOS!$B97="TRASIEGO",AND(MOVIMIENTOS!$B97="PROCESO",MOVIMIENTOS!$C97="Chancho"),AND(MOVIMIENTOS!$B97="REGALO",MOVIMIENTOS!$C97&lt;&gt;"Chancho"),AND(MOVIMIENTOS!$B97="VENTA",MOVIMIENTOS!$C97&lt;&gt;"Chancho"),AND(MOVIMIENTOS!$B97="AJUSTE",MOVIMIENTOS!$C97&lt;&gt;"Chancho",N(MOVIMIENTOS!$F97)&lt;0))),IF(MOVIMIENTOS!$B97="AJUSTE",-N(MOVIMIENTOS!$F97),N(MOVIMIENTOS!$F97)),"")</f>
        <v/>
      </c>
      <c r="O98" s="48" t="str">
        <f aca="false">IF(AND(MOVIMIENTOS!$B97&lt;&gt;"",NOT(AND(MOVIMIENTOS!$B97="PROCESO",MOVIMIENTOS!$C97&lt;&gt;"Chancho")),NOT(AND(MOVIMIENTOS!$B97="SALDO INICIAL",MOVIMIENTOS!$C97="Chancho"))),IF(MOVIMIENTOS!$B97="RECHAZO",MOVIMIENTOS!$E97&amp;" jabas rechazadas · van a reproceso",IF(MOVIMIENTOS!$B97="REPROCESO",MOVIMIENTOS!$E97&amp;" kg recuperados (merma del día: "&amp;TEXT(SUMPRODUCT((MOVIMIENTOS!$A$5:$A$400=MOVIMIENTOS!$A97)*(MOVIMIENTOS!$B$5:$B$400="RECHAZO")*(MOVIMIENTOS!$D$5:$D$400="jabas")*MOVIMIENTOS!$E$5:$E$400*IFERROR(_xlfn.SWITCH(MOVIMIENTOS!$C$5:$C$400,"A",15,"P",18,"C",17,"M",17,0),0))-SUMPRODUCT((MOVIMIENTOS!$A$5:$A$400=MOVIMIENTOS!$A97)*(MOVIMIENTOS!$B$5:$B$400="REPROCESO")*MOVIMIENTOS!$I$5:$I$400),"+#,##0;-#,##0;0")&amp;" kg)",TRIM(IF(MOVIMIENTOS!$G97&lt;&gt;"",MOVIMIENTOS!$G97&amp;"  ","")&amp;IF(N(MOVIMIENTOS!$D97)&gt;0,MOVIMIENTOS!$D97&amp;" "&amp;MOVIMIENTOS!$D97,"")))),"")</f>
        <v/>
      </c>
      <c r="P98" s="48" t="n">
        <f aca="false">N(P97)+N(M98)-N(N98)</f>
        <v>5833</v>
      </c>
      <c r="Q98" s="48"/>
      <c r="R98" s="48"/>
      <c r="S98" s="48"/>
      <c r="T98" s="48"/>
    </row>
    <row r="99" customFormat="false" ht="15" hidden="false" customHeight="true" outlineLevel="0" collapsed="false">
      <c r="A99" s="51" t="n">
        <f aca="false">IFERROR(INDEX(K$6:K$401,MATCH(ROW()-5,J$6:J$401,0)),"")</f>
        <v>46226</v>
      </c>
      <c r="B99" s="56" t="str">
        <f aca="false">IFERROR(INDEX(L$6:L$401,MATCH(ROW()-5,J$6:J$401,0)),"")</f>
        <v>ENVÍO cal. C</v>
      </c>
      <c r="C99" s="52" t="str">
        <f aca="false">IFERROR(INDEX(M$6:M$401,MATCH(ROW()-5,J$6:J$401,0)),"")</f>
        <v/>
      </c>
      <c r="D99" s="52" t="n">
        <f aca="false">IFERROR(INDEX(N$6:N$401,MATCH(ROW()-5,J$6:J$401,0)),"")</f>
        <v>204</v>
      </c>
      <c r="E99" s="56" t="str">
        <f aca="false">IFERROR(INDEX(O$6:O$401,MATCH(ROW()-5,J$6:J$401,0)),"")</f>
        <v>3008</v>
      </c>
      <c r="F99" s="52" t="n">
        <f aca="false">IFERROR(INDEX(P$6:P$401,MATCH(ROW()-5,J$6:J$401,0)),"")</f>
        <v>4505</v>
      </c>
      <c r="G99" s="48"/>
      <c r="H99" s="48"/>
      <c r="I99" s="48"/>
      <c r="J99" s="48" t="str">
        <f aca="false">IF(AND(MOVIMIENTOS!$B98&lt;&gt;"",NOT(AND(MOVIMIENTOS!$B98="PROCESO",MOVIMIENTOS!$C98&lt;&gt;"Chancho")),NOT(AND(MOVIMIENTOS!$B98="SALDO INICIAL",MOVIMIENTOS!$C98="Chancho"))),COUNT(J$6:J98)+1,"")</f>
        <v/>
      </c>
      <c r="K99" s="48" t="str">
        <f aca="false">IF(AND(MOVIMIENTOS!$B98&lt;&gt;"",NOT(AND(MOVIMIENTOS!$B98="PROCESO",MOVIMIENTOS!$C98&lt;&gt;"Chancho")),NOT(AND(MOVIMIENTOS!$B98="SALDO INICIAL",MOVIMIENTOS!$C98="Chancho"))),MOVIMIENTOS!$A98,"")</f>
        <v/>
      </c>
      <c r="L99" s="48" t="str">
        <f aca="false">IF(AND(MOVIMIENTOS!$B98&lt;&gt;"",NOT(AND(MOVIMIENTOS!$B98="PROCESO",MOVIMIENTOS!$C98&lt;&gt;"Chancho")),NOT(AND(MOVIMIENTOS!$B98="SALDO INICIAL",MOVIMIENTOS!$C98="Chancho"))),IF(MOVIMIENTOS!$B98="SALDO INICIAL","APERTURA ("&amp;MOVIMIENTOS!$C98&amp;")",IF(MOVIMIENTOS!$B98="COMPRA","INGRESO (compra)",IF(MOVIMIENTOS!$B98="PROCESO","CHANCHO (proceso)",IF(MOVIMIENTOS!$B98="ENVÍO A SUPESA","ENVÍO cal. "&amp;MOVIMIENTOS!$C98,IF(MOVIMIENTOS!$B98="VENTA CHANCHO","VENTA CHANCHO",IF(MOVIMIENTOS!$B98="VENTA","VENTA cal. "&amp;MOVIMIENTOS!$C98,IF(MOVIMIENTOS!$B98="REGALO","REGALO "&amp;MOVIMIENTOS!$C98,IF(MOVIMIENTOS!$B98="RECHAZO","RECHAZO cal. "&amp;MOVIMIENTOS!$C98&amp;" (va a reproceso)",IF(MOVIMIENTOS!$B98="DEVOLUCIÓN","DEVOLUCIÓN cal. "&amp;MOVIMIENTOS!$C98&amp;" (regresa intacta)",IF(MOVIMIENTOS!$B98="TRASIEGO","TRASIEGO cal. "&amp;MOVIMIENTOS!$C98,MOVIMIENTOS!$B98)))))))))),"")</f>
        <v/>
      </c>
      <c r="M99" s="48" t="str">
        <f aca="false">IF(AND(AND(MOVIMIENTOS!$B98&lt;&gt;"",NOT(AND(MOVIMIENTOS!$B98="PROCESO",MOVIMIENTOS!$C98&lt;&gt;"Chancho")),NOT(AND(MOVIMIENTOS!$B98="SALDO INICIAL",MOVIMIENTOS!$C98="Chancho"))),OR(MOVIMIENTOS!$B98="SALDO INICIAL",MOVIMIENTOS!$B98="COMPRA",MOVIMIENTOS!$B98="REPROCESO",MOVIMIENTOS!$B98="DEVOLUCIÓN",AND(MOVIMIENTOS!$B98="AJUSTE",MOVIMIENTOS!$C98&lt;&gt;"Chancho",N(MOVIMIENTOS!$F98)&gt;=0))),N(MOVIMIENTOS!$F98),"")</f>
        <v/>
      </c>
      <c r="N99" s="48" t="str">
        <f aca="false">IF(AND(AND(MOVIMIENTOS!$B98&lt;&gt;"",NOT(AND(MOVIMIENTOS!$B98="PROCESO",MOVIMIENTOS!$C98&lt;&gt;"Chancho")),NOT(AND(MOVIMIENTOS!$B98="SALDO INICIAL",MOVIMIENTOS!$C98="Chancho"))),OR(MOVIMIENTOS!$B98="ENVÍO A SUPESA",MOVIMIENTOS!$B98="MALOGRADO",MOVIMIENTOS!$B98="OTRA SALIDA",MOVIMIENTOS!$B98="TRASIEGO",AND(MOVIMIENTOS!$B98="PROCESO",MOVIMIENTOS!$C98="Chancho"),AND(MOVIMIENTOS!$B98="REGALO",MOVIMIENTOS!$C98&lt;&gt;"Chancho"),AND(MOVIMIENTOS!$B98="VENTA",MOVIMIENTOS!$C98&lt;&gt;"Chancho"),AND(MOVIMIENTOS!$B98="AJUSTE",MOVIMIENTOS!$C98&lt;&gt;"Chancho",N(MOVIMIENTOS!$F98)&lt;0))),IF(MOVIMIENTOS!$B98="AJUSTE",-N(MOVIMIENTOS!$F98),N(MOVIMIENTOS!$F98)),"")</f>
        <v/>
      </c>
      <c r="O99" s="48" t="str">
        <f aca="false">IF(AND(MOVIMIENTOS!$B98&lt;&gt;"",NOT(AND(MOVIMIENTOS!$B98="PROCESO",MOVIMIENTOS!$C98&lt;&gt;"Chancho")),NOT(AND(MOVIMIENTOS!$B98="SALDO INICIAL",MOVIMIENTOS!$C98="Chancho"))),IF(MOVIMIENTOS!$B98="RECHAZO",MOVIMIENTOS!$E98&amp;" jabas rechazadas · van a reproceso",IF(MOVIMIENTOS!$B98="REPROCESO",MOVIMIENTOS!$E98&amp;" kg recuperados (merma del día: "&amp;TEXT(SUMPRODUCT((MOVIMIENTOS!$A$5:$A$400=MOVIMIENTOS!$A98)*(MOVIMIENTOS!$B$5:$B$400="RECHAZO")*(MOVIMIENTOS!$D$5:$D$400="jabas")*MOVIMIENTOS!$E$5:$E$400*IFERROR(_xlfn.SWITCH(MOVIMIENTOS!$C$5:$C$400,"A",15,"P",18,"C",17,"M",17,0),0))-SUMPRODUCT((MOVIMIENTOS!$A$5:$A$400=MOVIMIENTOS!$A98)*(MOVIMIENTOS!$B$5:$B$400="REPROCESO")*MOVIMIENTOS!$I$5:$I$400),"+#,##0;-#,##0;0")&amp;" kg)",TRIM(IF(MOVIMIENTOS!$G98&lt;&gt;"",MOVIMIENTOS!$G98&amp;"  ","")&amp;IF(N(MOVIMIENTOS!$D98)&gt;0,MOVIMIENTOS!$D98&amp;" "&amp;MOVIMIENTOS!$D98,"")))),"")</f>
        <v/>
      </c>
      <c r="P99" s="48" t="n">
        <f aca="false">N(P98)+N(M99)-N(N99)</f>
        <v>5833</v>
      </c>
      <c r="Q99" s="48"/>
      <c r="R99" s="48"/>
      <c r="S99" s="48"/>
      <c r="T99" s="48"/>
    </row>
    <row r="100" customFormat="false" ht="15" hidden="false" customHeight="true" outlineLevel="0" collapsed="false">
      <c r="A100" s="51" t="n">
        <f aca="false">IFERROR(INDEX(K$6:K$401,MATCH(ROW()-5,J$6:J$401,0)),"")</f>
        <v>46226</v>
      </c>
      <c r="B100" s="56" t="str">
        <f aca="false">IFERROR(INDEX(L$6:L$401,MATCH(ROW()-5,J$6:J$401,0)),"")</f>
        <v>ENVÍO cal. M</v>
      </c>
      <c r="C100" s="52" t="str">
        <f aca="false">IFERROR(INDEX(M$6:M$401,MATCH(ROW()-5,J$6:J$401,0)),"")</f>
        <v/>
      </c>
      <c r="D100" s="52" t="n">
        <f aca="false">IFERROR(INDEX(N$6:N$401,MATCH(ROW()-5,J$6:J$401,0)),"")</f>
        <v>2006</v>
      </c>
      <c r="E100" s="56" t="str">
        <f aca="false">IFERROR(INDEX(O$6:O$401,MATCH(ROW()-5,J$6:J$401,0)),"")</f>
        <v>3008</v>
      </c>
      <c r="F100" s="52" t="n">
        <f aca="false">IFERROR(INDEX(P$6:P$401,MATCH(ROW()-5,J$6:J$401,0)),"")</f>
        <v>2499</v>
      </c>
      <c r="G100" s="48"/>
      <c r="H100" s="48"/>
      <c r="I100" s="48"/>
      <c r="J100" s="48" t="str">
        <f aca="false">IF(AND(MOVIMIENTOS!$B99&lt;&gt;"",NOT(AND(MOVIMIENTOS!$B99="PROCESO",MOVIMIENTOS!$C99&lt;&gt;"Chancho")),NOT(AND(MOVIMIENTOS!$B99="SALDO INICIAL",MOVIMIENTOS!$C99="Chancho"))),COUNT(J$6:J99)+1,"")</f>
        <v/>
      </c>
      <c r="K100" s="48" t="str">
        <f aca="false">IF(AND(MOVIMIENTOS!$B99&lt;&gt;"",NOT(AND(MOVIMIENTOS!$B99="PROCESO",MOVIMIENTOS!$C99&lt;&gt;"Chancho")),NOT(AND(MOVIMIENTOS!$B99="SALDO INICIAL",MOVIMIENTOS!$C99="Chancho"))),MOVIMIENTOS!$A99,"")</f>
        <v/>
      </c>
      <c r="L100" s="48" t="str">
        <f aca="false">IF(AND(MOVIMIENTOS!$B99&lt;&gt;"",NOT(AND(MOVIMIENTOS!$B99="PROCESO",MOVIMIENTOS!$C99&lt;&gt;"Chancho")),NOT(AND(MOVIMIENTOS!$B99="SALDO INICIAL",MOVIMIENTOS!$C99="Chancho"))),IF(MOVIMIENTOS!$B99="SALDO INICIAL","APERTURA ("&amp;MOVIMIENTOS!$C99&amp;")",IF(MOVIMIENTOS!$B99="COMPRA","INGRESO (compra)",IF(MOVIMIENTOS!$B99="PROCESO","CHANCHO (proceso)",IF(MOVIMIENTOS!$B99="ENVÍO A SUPESA","ENVÍO cal. "&amp;MOVIMIENTOS!$C99,IF(MOVIMIENTOS!$B99="VENTA CHANCHO","VENTA CHANCHO",IF(MOVIMIENTOS!$B99="VENTA","VENTA cal. "&amp;MOVIMIENTOS!$C99,IF(MOVIMIENTOS!$B99="REGALO","REGALO "&amp;MOVIMIENTOS!$C99,IF(MOVIMIENTOS!$B99="RECHAZO","RECHAZO cal. "&amp;MOVIMIENTOS!$C99&amp;" (va a reproceso)",IF(MOVIMIENTOS!$B99="DEVOLUCIÓN","DEVOLUCIÓN cal. "&amp;MOVIMIENTOS!$C99&amp;" (regresa intacta)",IF(MOVIMIENTOS!$B99="TRASIEGO","TRASIEGO cal. "&amp;MOVIMIENTOS!$C99,MOVIMIENTOS!$B99)))))))))),"")</f>
        <v/>
      </c>
      <c r="M100" s="48" t="str">
        <f aca="false">IF(AND(AND(MOVIMIENTOS!$B99&lt;&gt;"",NOT(AND(MOVIMIENTOS!$B99="PROCESO",MOVIMIENTOS!$C99&lt;&gt;"Chancho")),NOT(AND(MOVIMIENTOS!$B99="SALDO INICIAL",MOVIMIENTOS!$C99="Chancho"))),OR(MOVIMIENTOS!$B99="SALDO INICIAL",MOVIMIENTOS!$B99="COMPRA",MOVIMIENTOS!$B99="REPROCESO",MOVIMIENTOS!$B99="DEVOLUCIÓN",AND(MOVIMIENTOS!$B99="AJUSTE",MOVIMIENTOS!$C99&lt;&gt;"Chancho",N(MOVIMIENTOS!$F99)&gt;=0))),N(MOVIMIENTOS!$F99),"")</f>
        <v/>
      </c>
      <c r="N100" s="48" t="str">
        <f aca="false">IF(AND(AND(MOVIMIENTOS!$B99&lt;&gt;"",NOT(AND(MOVIMIENTOS!$B99="PROCESO",MOVIMIENTOS!$C99&lt;&gt;"Chancho")),NOT(AND(MOVIMIENTOS!$B99="SALDO INICIAL",MOVIMIENTOS!$C99="Chancho"))),OR(MOVIMIENTOS!$B99="ENVÍO A SUPESA",MOVIMIENTOS!$B99="MALOGRADO",MOVIMIENTOS!$B99="OTRA SALIDA",MOVIMIENTOS!$B99="TRASIEGO",AND(MOVIMIENTOS!$B99="PROCESO",MOVIMIENTOS!$C99="Chancho"),AND(MOVIMIENTOS!$B99="REGALO",MOVIMIENTOS!$C99&lt;&gt;"Chancho"),AND(MOVIMIENTOS!$B99="VENTA",MOVIMIENTOS!$C99&lt;&gt;"Chancho"),AND(MOVIMIENTOS!$B99="AJUSTE",MOVIMIENTOS!$C99&lt;&gt;"Chancho",N(MOVIMIENTOS!$F99)&lt;0))),IF(MOVIMIENTOS!$B99="AJUSTE",-N(MOVIMIENTOS!$F99),N(MOVIMIENTOS!$F99)),"")</f>
        <v/>
      </c>
      <c r="O100" s="48" t="str">
        <f aca="false">IF(AND(MOVIMIENTOS!$B99&lt;&gt;"",NOT(AND(MOVIMIENTOS!$B99="PROCESO",MOVIMIENTOS!$C99&lt;&gt;"Chancho")),NOT(AND(MOVIMIENTOS!$B99="SALDO INICIAL",MOVIMIENTOS!$C99="Chancho"))),IF(MOVIMIENTOS!$B99="RECHAZO",MOVIMIENTOS!$E99&amp;" jabas rechazadas · van a reproceso",IF(MOVIMIENTOS!$B99="REPROCESO",MOVIMIENTOS!$E99&amp;" kg recuperados (merma del día: "&amp;TEXT(SUMPRODUCT((MOVIMIENTOS!$A$5:$A$400=MOVIMIENTOS!$A99)*(MOVIMIENTOS!$B$5:$B$400="RECHAZO")*(MOVIMIENTOS!$D$5:$D$400="jabas")*MOVIMIENTOS!$E$5:$E$400*IFERROR(_xlfn.SWITCH(MOVIMIENTOS!$C$5:$C$400,"A",15,"P",18,"C",17,"M",17,0),0))-SUMPRODUCT((MOVIMIENTOS!$A$5:$A$400=MOVIMIENTOS!$A99)*(MOVIMIENTOS!$B$5:$B$400="REPROCESO")*MOVIMIENTOS!$I$5:$I$400),"+#,##0;-#,##0;0")&amp;" kg)",TRIM(IF(MOVIMIENTOS!$G99&lt;&gt;"",MOVIMIENTOS!$G99&amp;"  ","")&amp;IF(N(MOVIMIENTOS!$D99)&gt;0,MOVIMIENTOS!$D99&amp;" "&amp;MOVIMIENTOS!$D99,"")))),"")</f>
        <v/>
      </c>
      <c r="P100" s="48" t="n">
        <f aca="false">N(P99)+N(M100)-N(N100)</f>
        <v>5833</v>
      </c>
      <c r="Q100" s="48"/>
      <c r="R100" s="48"/>
      <c r="S100" s="48"/>
      <c r="T100" s="48"/>
    </row>
    <row r="101" customFormat="false" ht="15" hidden="false" customHeight="true" outlineLevel="0" collapsed="false">
      <c r="A101" s="51" t="n">
        <f aca="false">IFERROR(INDEX(K$6:K$401,MATCH(ROW()-5,J$6:J$401,0)),"")</f>
        <v>46226</v>
      </c>
      <c r="B101" s="56" t="str">
        <f aca="false">IFERROR(INDEX(L$6:L$401,MATCH(ROW()-5,J$6:J$401,0)),"")</f>
        <v>VENTA CHANCHO</v>
      </c>
      <c r="C101" s="52" t="str">
        <f aca="false">IFERROR(INDEX(M$6:M$401,MATCH(ROW()-5,J$6:J$401,0)),"")</f>
        <v/>
      </c>
      <c r="D101" s="52" t="str">
        <f aca="false">IFERROR(INDEX(N$6:N$401,MATCH(ROW()-5,J$6:J$401,0)),"")</f>
        <v/>
      </c>
      <c r="E101" s="56" t="str">
        <f aca="false">IFERROR(INDEX(O$6:O$401,MATCH(ROW()-5,J$6:J$401,0)),"")</f>
        <v>S/T</v>
      </c>
      <c r="F101" s="52" t="n">
        <f aca="false">IFERROR(INDEX(P$6:P$401,MATCH(ROW()-5,J$6:J$401,0)),"")</f>
        <v>2499</v>
      </c>
      <c r="G101" s="48"/>
      <c r="H101" s="48"/>
      <c r="I101" s="48"/>
      <c r="J101" s="48" t="str">
        <f aca="false">IF(AND(MOVIMIENTOS!$B100&lt;&gt;"",NOT(AND(MOVIMIENTOS!$B100="PROCESO",MOVIMIENTOS!$C100&lt;&gt;"Chancho")),NOT(AND(MOVIMIENTOS!$B100="SALDO INICIAL",MOVIMIENTOS!$C100="Chancho"))),COUNT(J$6:J100)+1,"")</f>
        <v/>
      </c>
      <c r="K101" s="48" t="str">
        <f aca="false">IF(AND(MOVIMIENTOS!$B100&lt;&gt;"",NOT(AND(MOVIMIENTOS!$B100="PROCESO",MOVIMIENTOS!$C100&lt;&gt;"Chancho")),NOT(AND(MOVIMIENTOS!$B100="SALDO INICIAL",MOVIMIENTOS!$C100="Chancho"))),MOVIMIENTOS!$A100,"")</f>
        <v/>
      </c>
      <c r="L101" s="48" t="str">
        <f aca="false">IF(AND(MOVIMIENTOS!$B100&lt;&gt;"",NOT(AND(MOVIMIENTOS!$B100="PROCESO",MOVIMIENTOS!$C100&lt;&gt;"Chancho")),NOT(AND(MOVIMIENTOS!$B100="SALDO INICIAL",MOVIMIENTOS!$C100="Chancho"))),IF(MOVIMIENTOS!$B100="SALDO INICIAL","APERTURA ("&amp;MOVIMIENTOS!$C100&amp;")",IF(MOVIMIENTOS!$B100="COMPRA","INGRESO (compra)",IF(MOVIMIENTOS!$B100="PROCESO","CHANCHO (proceso)",IF(MOVIMIENTOS!$B100="ENVÍO A SUPESA","ENVÍO cal. "&amp;MOVIMIENTOS!$C100,IF(MOVIMIENTOS!$B100="VENTA CHANCHO","VENTA CHANCHO",IF(MOVIMIENTOS!$B100="VENTA","VENTA cal. "&amp;MOVIMIENTOS!$C100,IF(MOVIMIENTOS!$B100="REGALO","REGALO "&amp;MOVIMIENTOS!$C100,IF(MOVIMIENTOS!$B100="RECHAZO","RECHAZO cal. "&amp;MOVIMIENTOS!$C100&amp;" (va a reproceso)",IF(MOVIMIENTOS!$B100="DEVOLUCIÓN","DEVOLUCIÓN cal. "&amp;MOVIMIENTOS!$C100&amp;" (regresa intacta)",IF(MOVIMIENTOS!$B100="TRASIEGO","TRASIEGO cal. "&amp;MOVIMIENTOS!$C100,MOVIMIENTOS!$B100)))))))))),"")</f>
        <v/>
      </c>
      <c r="M101" s="48" t="str">
        <f aca="false">IF(AND(AND(MOVIMIENTOS!$B100&lt;&gt;"",NOT(AND(MOVIMIENTOS!$B100="PROCESO",MOVIMIENTOS!$C100&lt;&gt;"Chancho")),NOT(AND(MOVIMIENTOS!$B100="SALDO INICIAL",MOVIMIENTOS!$C100="Chancho"))),OR(MOVIMIENTOS!$B100="SALDO INICIAL",MOVIMIENTOS!$B100="COMPRA",MOVIMIENTOS!$B100="REPROCESO",MOVIMIENTOS!$B100="DEVOLUCIÓN",AND(MOVIMIENTOS!$B100="AJUSTE",MOVIMIENTOS!$C100&lt;&gt;"Chancho",N(MOVIMIENTOS!$F100)&gt;=0))),N(MOVIMIENTOS!$F100),"")</f>
        <v/>
      </c>
      <c r="N101" s="48" t="str">
        <f aca="false">IF(AND(AND(MOVIMIENTOS!$B100&lt;&gt;"",NOT(AND(MOVIMIENTOS!$B100="PROCESO",MOVIMIENTOS!$C100&lt;&gt;"Chancho")),NOT(AND(MOVIMIENTOS!$B100="SALDO INICIAL",MOVIMIENTOS!$C100="Chancho"))),OR(MOVIMIENTOS!$B100="ENVÍO A SUPESA",MOVIMIENTOS!$B100="MALOGRADO",MOVIMIENTOS!$B100="OTRA SALIDA",MOVIMIENTOS!$B100="TRASIEGO",AND(MOVIMIENTOS!$B100="PROCESO",MOVIMIENTOS!$C100="Chancho"),AND(MOVIMIENTOS!$B100="REGALO",MOVIMIENTOS!$C100&lt;&gt;"Chancho"),AND(MOVIMIENTOS!$B100="VENTA",MOVIMIENTOS!$C100&lt;&gt;"Chancho"),AND(MOVIMIENTOS!$B100="AJUSTE",MOVIMIENTOS!$C100&lt;&gt;"Chancho",N(MOVIMIENTOS!$F100)&lt;0))),IF(MOVIMIENTOS!$B100="AJUSTE",-N(MOVIMIENTOS!$F100),N(MOVIMIENTOS!$F100)),"")</f>
        <v/>
      </c>
      <c r="O101" s="48" t="str">
        <f aca="false">IF(AND(MOVIMIENTOS!$B100&lt;&gt;"",NOT(AND(MOVIMIENTOS!$B100="PROCESO",MOVIMIENTOS!$C100&lt;&gt;"Chancho")),NOT(AND(MOVIMIENTOS!$B100="SALDO INICIAL",MOVIMIENTOS!$C100="Chancho"))),IF(MOVIMIENTOS!$B100="RECHAZO",MOVIMIENTOS!$E100&amp;" jabas rechazadas · van a reproceso",IF(MOVIMIENTOS!$B100="REPROCESO",MOVIMIENTOS!$E100&amp;" kg recuperados (merma del día: "&amp;TEXT(SUMPRODUCT((MOVIMIENTOS!$A$5:$A$400=MOVIMIENTOS!$A100)*(MOVIMIENTOS!$B$5:$B$400="RECHAZO")*(MOVIMIENTOS!$D$5:$D$400="jabas")*MOVIMIENTOS!$E$5:$E$400*IFERROR(_xlfn.SWITCH(MOVIMIENTOS!$C$5:$C$400,"A",15,"P",18,"C",17,"M",17,0),0))-SUMPRODUCT((MOVIMIENTOS!$A$5:$A$400=MOVIMIENTOS!$A100)*(MOVIMIENTOS!$B$5:$B$400="REPROCESO")*MOVIMIENTOS!$I$5:$I$400),"+#,##0;-#,##0;0")&amp;" kg)",TRIM(IF(MOVIMIENTOS!$G100&lt;&gt;"",MOVIMIENTOS!$G100&amp;"  ","")&amp;IF(N(MOVIMIENTOS!$D100)&gt;0,MOVIMIENTOS!$D100&amp;" "&amp;MOVIMIENTOS!$D100,"")))),"")</f>
        <v/>
      </c>
      <c r="P101" s="48" t="n">
        <f aca="false">N(P100)+N(M101)-N(N101)</f>
        <v>5833</v>
      </c>
      <c r="Q101" s="48"/>
      <c r="R101" s="48"/>
      <c r="S101" s="48"/>
      <c r="T101" s="48"/>
    </row>
    <row r="102" customFormat="false" ht="15" hidden="false" customHeight="true" outlineLevel="0" collapsed="false">
      <c r="A102" s="51" t="n">
        <f aca="false">IFERROR(INDEX(K$6:K$401,MATCH(ROW()-5,J$6:J$401,0)),"")</f>
        <v>46226</v>
      </c>
      <c r="B102" s="56" t="str">
        <f aca="false">IFERROR(INDEX(L$6:L$401,MATCH(ROW()-5,J$6:J$401,0)),"")</f>
        <v>INGRESO (compra)</v>
      </c>
      <c r="C102" s="52" t="n">
        <f aca="false">IFERROR(INDEX(M$6:M$401,MATCH(ROW()-5,J$6:J$401,0)),"")</f>
        <v>4085</v>
      </c>
      <c r="D102" s="52" t="str">
        <f aca="false">IFERROR(INDEX(N$6:N$401,MATCH(ROW()-5,J$6:J$401,0)),"")</f>
        <v/>
      </c>
      <c r="E102" s="56" t="str">
        <f aca="false">IFERROR(INDEX(O$6:O$401,MATCH(ROW()-5,J$6:J$401,0)),"")</f>
        <v/>
      </c>
      <c r="F102" s="52" t="n">
        <f aca="false">IFERROR(INDEX(P$6:P$401,MATCH(ROW()-5,J$6:J$401,0)),"")</f>
        <v>6584</v>
      </c>
      <c r="G102" s="48"/>
      <c r="H102" s="48"/>
      <c r="I102" s="48"/>
      <c r="J102" s="48" t="n">
        <f aca="false">IF(AND(MOVIMIENTOS!$B101&lt;&gt;"",NOT(AND(MOVIMIENTOS!$B101="PROCESO",MOVIMIENTOS!$C101&lt;&gt;"Chancho")),NOT(AND(MOVIMIENTOS!$B101="SALDO INICIAL",MOVIMIENTOS!$C101="Chancho"))),COUNT(J$6:J101)+1,"")</f>
        <v>58</v>
      </c>
      <c r="K102" s="53" t="n">
        <f aca="false">IF(AND(MOVIMIENTOS!$B101&lt;&gt;"",NOT(AND(MOVIMIENTOS!$B101="PROCESO",MOVIMIENTOS!$C101&lt;&gt;"Chancho")),NOT(AND(MOVIMIENTOS!$B101="SALDO INICIAL",MOVIMIENTOS!$C101="Chancho"))),MOVIMIENTOS!$A101,"")</f>
        <v>46223</v>
      </c>
      <c r="L102" s="48" t="str">
        <f aca="false">IF(AND(MOVIMIENTOS!$B101&lt;&gt;"",NOT(AND(MOVIMIENTOS!$B101="PROCESO",MOVIMIENTOS!$C101&lt;&gt;"Chancho")),NOT(AND(MOVIMIENTOS!$B101="SALDO INICIAL",MOVIMIENTOS!$C101="Chancho"))),IF(MOVIMIENTOS!$B101="SALDO INICIAL","APERTURA ("&amp;MOVIMIENTOS!$C101&amp;")",IF(MOVIMIENTOS!$B101="COMPRA","INGRESO (compra)",IF(MOVIMIENTOS!$B101="PROCESO","CHANCHO (proceso)",IF(MOVIMIENTOS!$B101="ENVÍO A SUPESA","ENVÍO cal. "&amp;MOVIMIENTOS!$C101,IF(MOVIMIENTOS!$B101="VENTA CHANCHO","VENTA CHANCHO",IF(MOVIMIENTOS!$B101="VENTA","VENTA cal. "&amp;MOVIMIENTOS!$C101,IF(MOVIMIENTOS!$B101="REGALO","REGALO "&amp;MOVIMIENTOS!$C101,IF(MOVIMIENTOS!$B101="RECHAZO","RECHAZO cal. "&amp;MOVIMIENTOS!$C101&amp;" (va a reproceso)",IF(MOVIMIENTOS!$B101="DEVOLUCIÓN","DEVOLUCIÓN cal. "&amp;MOVIMIENTOS!$C101&amp;" (regresa intacta)",IF(MOVIMIENTOS!$B101="TRASIEGO","TRASIEGO cal. "&amp;MOVIMIENTOS!$C101,MOVIMIENTOS!$B101)))))))))),"")</f>
        <v>CHANCHO (proceso)</v>
      </c>
      <c r="M102" s="48" t="str">
        <f aca="false">IF(AND(AND(MOVIMIENTOS!$B101&lt;&gt;"",NOT(AND(MOVIMIENTOS!$B101="PROCESO",MOVIMIENTOS!$C101&lt;&gt;"Chancho")),NOT(AND(MOVIMIENTOS!$B101="SALDO INICIAL",MOVIMIENTOS!$C101="Chancho"))),OR(MOVIMIENTOS!$B101="SALDO INICIAL",MOVIMIENTOS!$B101="COMPRA",MOVIMIENTOS!$B101="REPROCESO",MOVIMIENTOS!$B101="DEVOLUCIÓN",AND(MOVIMIENTOS!$B101="AJUSTE",MOVIMIENTOS!$C101&lt;&gt;"Chancho",N(MOVIMIENTOS!$F101)&gt;=0))),N(MOVIMIENTOS!$F101),"")</f>
        <v/>
      </c>
      <c r="N102" s="48" t="n">
        <f aca="false">IF(AND(AND(MOVIMIENTOS!$B101&lt;&gt;"",NOT(AND(MOVIMIENTOS!$B101="PROCESO",MOVIMIENTOS!$C101&lt;&gt;"Chancho")),NOT(AND(MOVIMIENTOS!$B101="SALDO INICIAL",MOVIMIENTOS!$C101="Chancho"))),OR(MOVIMIENTOS!$B101="ENVÍO A SUPESA",MOVIMIENTOS!$B101="MALOGRADO",MOVIMIENTOS!$B101="OTRA SALIDA",MOVIMIENTOS!$B101="TRASIEGO",AND(MOVIMIENTOS!$B101="PROCESO",MOVIMIENTOS!$C101="Chancho"),AND(MOVIMIENTOS!$B101="REGALO",MOVIMIENTOS!$C101&lt;&gt;"Chancho"),AND(MOVIMIENTOS!$B101="VENTA",MOVIMIENTOS!$C101&lt;&gt;"Chancho"),AND(MOVIMIENTOS!$B101="AJUSTE",MOVIMIENTOS!$C101&lt;&gt;"Chancho",N(MOVIMIENTOS!$F101)&lt;0))),IF(MOVIMIENTOS!$B101="AJUSTE",-N(MOVIMIENTOS!$F101),N(MOVIMIENTOS!$F101)),"")</f>
        <v>617.5</v>
      </c>
      <c r="O102" s="48" t="str">
        <f aca="false">IF(AND(MOVIMIENTOS!$B101&lt;&gt;"",NOT(AND(MOVIMIENTOS!$B101="PROCESO",MOVIMIENTOS!$C101&lt;&gt;"Chancho")),NOT(AND(MOVIMIENTOS!$B101="SALDO INICIAL",MOVIMIENTOS!$C101="Chancho"))),IF(MOVIMIENTOS!$B101="RECHAZO",MOVIMIENTOS!$E101&amp;" jabas rechazadas · van a reproceso",IF(MOVIMIENTOS!$B101="REPROCESO",MOVIMIENTOS!$E101&amp;" kg recuperados (merma del día: "&amp;TEXT(SUMPRODUCT((MOVIMIENTOS!$A$5:$A$400=MOVIMIENTOS!$A101)*(MOVIMIENTOS!$B$5:$B$400="RECHAZO")*(MOVIMIENTOS!$D$5:$D$400="jabas")*MOVIMIENTOS!$E$5:$E$400*IFERROR(_xlfn.SWITCH(MOVIMIENTOS!$C$5:$C$400,"A",15,"P",18,"C",17,"M",17,0),0))-SUMPRODUCT((MOVIMIENTOS!$A$5:$A$400=MOVIMIENTOS!$A101)*(MOVIMIENTOS!$B$5:$B$400="REPROCESO")*MOVIMIENTOS!$I$5:$I$400),"+#,##0;-#,##0;0")&amp;" kg)",TRIM(IF(MOVIMIENTOS!$G101&lt;&gt;"",MOVIMIENTOS!$G101&amp;"  ","")&amp;IF(N(MOVIMIENTOS!$D101)&gt;0,MOVIMIENTOS!$D101&amp;" "&amp;MOVIMIENTOS!$D101,"")))),"")</f>
        <v/>
      </c>
      <c r="P102" s="48" t="n">
        <f aca="false">N(P101)+N(M102)-N(N102)</f>
        <v>5215.5</v>
      </c>
      <c r="Q102" s="48"/>
      <c r="R102" s="48"/>
      <c r="S102" s="48"/>
      <c r="T102" s="48"/>
    </row>
    <row r="103" customFormat="false" ht="15" hidden="false" customHeight="true" outlineLevel="0" collapsed="false">
      <c r="A103" s="51" t="n">
        <f aca="false">IFERROR(INDEX(K$6:K$401,MATCH(ROW()-5,J$6:J$401,0)),"")</f>
        <v>46226</v>
      </c>
      <c r="B103" s="56" t="str">
        <f aca="false">IFERROR(INDEX(L$6:L$401,MATCH(ROW()-5,J$6:J$401,0)),"")</f>
        <v>INGRESO (compra)</v>
      </c>
      <c r="C103" s="52" t="n">
        <f aca="false">IFERROR(INDEX(M$6:M$401,MATCH(ROW()-5,J$6:J$401,0)),"")</f>
        <v>3515</v>
      </c>
      <c r="D103" s="52" t="str">
        <f aca="false">IFERROR(INDEX(N$6:N$401,MATCH(ROW()-5,J$6:J$401,0)),"")</f>
        <v/>
      </c>
      <c r="E103" s="56" t="str">
        <f aca="false">IFERROR(INDEX(O$6:O$401,MATCH(ROW()-5,J$6:J$401,0)),"")</f>
        <v/>
      </c>
      <c r="F103" s="52" t="n">
        <f aca="false">IFERROR(INDEX(P$6:P$401,MATCH(ROW()-5,J$6:J$401,0)),"")</f>
        <v>10099</v>
      </c>
      <c r="G103" s="48"/>
      <c r="H103" s="48"/>
      <c r="I103" s="48"/>
      <c r="J103" s="48" t="n">
        <f aca="false">IF(AND(MOVIMIENTOS!$B102&lt;&gt;"",NOT(AND(MOVIMIENTOS!$B102="PROCESO",MOVIMIENTOS!$C102&lt;&gt;"Chancho")),NOT(AND(MOVIMIENTOS!$B102="SALDO INICIAL",MOVIMIENTOS!$C102="Chancho"))),COUNT(J$6:J102)+1,"")</f>
        <v>59</v>
      </c>
      <c r="K103" s="53" t="n">
        <f aca="false">IF(AND(MOVIMIENTOS!$B102&lt;&gt;"",NOT(AND(MOVIMIENTOS!$B102="PROCESO",MOVIMIENTOS!$C102&lt;&gt;"Chancho")),NOT(AND(MOVIMIENTOS!$B102="SALDO INICIAL",MOVIMIENTOS!$C102="Chancho"))),MOVIMIENTOS!$A102,"")</f>
        <v>46223</v>
      </c>
      <c r="L103" s="48" t="str">
        <f aca="false">IF(AND(MOVIMIENTOS!$B102&lt;&gt;"",NOT(AND(MOVIMIENTOS!$B102="PROCESO",MOVIMIENTOS!$C102&lt;&gt;"Chancho")),NOT(AND(MOVIMIENTOS!$B102="SALDO INICIAL",MOVIMIENTOS!$C102="Chancho"))),IF(MOVIMIENTOS!$B102="SALDO INICIAL","APERTURA ("&amp;MOVIMIENTOS!$C102&amp;")",IF(MOVIMIENTOS!$B102="COMPRA","INGRESO (compra)",IF(MOVIMIENTOS!$B102="PROCESO","CHANCHO (proceso)",IF(MOVIMIENTOS!$B102="ENVÍO A SUPESA","ENVÍO cal. "&amp;MOVIMIENTOS!$C102,IF(MOVIMIENTOS!$B102="VENTA CHANCHO","VENTA CHANCHO",IF(MOVIMIENTOS!$B102="VENTA","VENTA cal. "&amp;MOVIMIENTOS!$C102,IF(MOVIMIENTOS!$B102="REGALO","REGALO "&amp;MOVIMIENTOS!$C102,IF(MOVIMIENTOS!$B102="RECHAZO","RECHAZO cal. "&amp;MOVIMIENTOS!$C102&amp;" (va a reproceso)",IF(MOVIMIENTOS!$B102="DEVOLUCIÓN","DEVOLUCIÓN cal. "&amp;MOVIMIENTOS!$C102&amp;" (regresa intacta)",IF(MOVIMIENTOS!$B102="TRASIEGO","TRASIEGO cal. "&amp;MOVIMIENTOS!$C102,MOVIMIENTOS!$B102)))))))))),"")</f>
        <v>ENVÍO cal. A</v>
      </c>
      <c r="M103" s="48" t="str">
        <f aca="false">IF(AND(AND(MOVIMIENTOS!$B102&lt;&gt;"",NOT(AND(MOVIMIENTOS!$B102="PROCESO",MOVIMIENTOS!$C102&lt;&gt;"Chancho")),NOT(AND(MOVIMIENTOS!$B102="SALDO INICIAL",MOVIMIENTOS!$C102="Chancho"))),OR(MOVIMIENTOS!$B102="SALDO INICIAL",MOVIMIENTOS!$B102="COMPRA",MOVIMIENTOS!$B102="REPROCESO",MOVIMIENTOS!$B102="DEVOLUCIÓN",AND(MOVIMIENTOS!$B102="AJUSTE",MOVIMIENTOS!$C102&lt;&gt;"Chancho",N(MOVIMIENTOS!$F102)&gt;=0))),N(MOVIMIENTOS!$F102),"")</f>
        <v/>
      </c>
      <c r="N103" s="48" t="n">
        <f aca="false">IF(AND(AND(MOVIMIENTOS!$B102&lt;&gt;"",NOT(AND(MOVIMIENTOS!$B102="PROCESO",MOVIMIENTOS!$C102&lt;&gt;"Chancho")),NOT(AND(MOVIMIENTOS!$B102="SALDO INICIAL",MOVIMIENTOS!$C102="Chancho"))),OR(MOVIMIENTOS!$B102="ENVÍO A SUPESA",MOVIMIENTOS!$B102="MALOGRADO",MOVIMIENTOS!$B102="OTRA SALIDA",MOVIMIENTOS!$B102="TRASIEGO",AND(MOVIMIENTOS!$B102="PROCESO",MOVIMIENTOS!$C102="Chancho"),AND(MOVIMIENTOS!$B102="REGALO",MOVIMIENTOS!$C102&lt;&gt;"Chancho"),AND(MOVIMIENTOS!$B102="VENTA",MOVIMIENTOS!$C102&lt;&gt;"Chancho"),AND(MOVIMIENTOS!$B102="AJUSTE",MOVIMIENTOS!$C102&lt;&gt;"Chancho",N(MOVIMIENTOS!$F102)&lt;0))),IF(MOVIMIENTOS!$B102="AJUSTE",-N(MOVIMIENTOS!$F102),N(MOVIMIENTOS!$F102)),"")</f>
        <v>1005</v>
      </c>
      <c r="O103" s="48" t="str">
        <f aca="false">IF(AND(MOVIMIENTOS!$B102&lt;&gt;"",NOT(AND(MOVIMIENTOS!$B102="PROCESO",MOVIMIENTOS!$C102&lt;&gt;"Chancho")),NOT(AND(MOVIMIENTOS!$B102="SALDO INICIAL",MOVIMIENTOS!$C102="Chancho"))),IF(MOVIMIENTOS!$B102="RECHAZO",MOVIMIENTOS!$E102&amp;" jabas rechazadas · van a reproceso",IF(MOVIMIENTOS!$B102="REPROCESO",MOVIMIENTOS!$E102&amp;" kg recuperados (merma del día: "&amp;TEXT(SUMPRODUCT((MOVIMIENTOS!$A$5:$A$400=MOVIMIENTOS!$A102)*(MOVIMIENTOS!$B$5:$B$400="RECHAZO")*(MOVIMIENTOS!$D$5:$D$400="jabas")*MOVIMIENTOS!$E$5:$E$400*IFERROR(_xlfn.SWITCH(MOVIMIENTOS!$C$5:$C$400,"A",15,"P",18,"C",17,"M",17,0),0))-SUMPRODUCT((MOVIMIENTOS!$A$5:$A$400=MOVIMIENTOS!$A102)*(MOVIMIENTOS!$B$5:$B$400="REPROCESO")*MOVIMIENTOS!$I$5:$I$400),"+#,##0;-#,##0;0")&amp;" kg)",TRIM(IF(MOVIMIENTOS!$G102&lt;&gt;"",MOVIMIENTOS!$G102&amp;"  ","")&amp;IF(N(MOVIMIENTOS!$D102)&gt;0,MOVIMIENTOS!$D102&amp;" "&amp;MOVIMIENTOS!$D102,"")))),"")</f>
        <v>3001</v>
      </c>
      <c r="P103" s="48" t="n">
        <f aca="false">N(P102)+N(M103)-N(N103)</f>
        <v>4210.5</v>
      </c>
      <c r="Q103" s="48"/>
      <c r="R103" s="48"/>
      <c r="S103" s="48"/>
      <c r="T103" s="48"/>
    </row>
    <row r="104" customFormat="false" ht="15" hidden="false" customHeight="true" outlineLevel="0" collapsed="false">
      <c r="A104" s="51" t="n">
        <f aca="false">IFERROR(INDEX(K$6:K$401,MATCH(ROW()-5,J$6:J$401,0)),"")</f>
        <v>46227</v>
      </c>
      <c r="B104" s="56" t="str">
        <f aca="false">IFERROR(INDEX(L$6:L$401,MATCH(ROW()-5,J$6:J$401,0)),"")</f>
        <v>CHANCHO (proceso)</v>
      </c>
      <c r="C104" s="52" t="str">
        <f aca="false">IFERROR(INDEX(M$6:M$401,MATCH(ROW()-5,J$6:J$401,0)),"")</f>
        <v/>
      </c>
      <c r="D104" s="52" t="n">
        <f aca="false">IFERROR(INDEX(N$6:N$401,MATCH(ROW()-5,J$6:J$401,0)),"")</f>
        <v>570</v>
      </c>
      <c r="E104" s="56" t="str">
        <f aca="false">IFERROR(INDEX(O$6:O$401,MATCH(ROW()-5,J$6:J$401,0)),"")</f>
        <v/>
      </c>
      <c r="F104" s="52" t="n">
        <f aca="false">IFERROR(INDEX(P$6:P$401,MATCH(ROW()-5,J$6:J$401,0)),"")</f>
        <v>9529</v>
      </c>
      <c r="G104" s="48"/>
      <c r="H104" s="48"/>
      <c r="I104" s="48"/>
      <c r="J104" s="48" t="n">
        <f aca="false">IF(AND(MOVIMIENTOS!$B103&lt;&gt;"",NOT(AND(MOVIMIENTOS!$B103="PROCESO",MOVIMIENTOS!$C103&lt;&gt;"Chancho")),NOT(AND(MOVIMIENTOS!$B103="SALDO INICIAL",MOVIMIENTOS!$C103="Chancho"))),COUNT(J$6:J103)+1,"")</f>
        <v>60</v>
      </c>
      <c r="K104" s="53" t="n">
        <f aca="false">IF(AND(MOVIMIENTOS!$B103&lt;&gt;"",NOT(AND(MOVIMIENTOS!$B103="PROCESO",MOVIMIENTOS!$C103&lt;&gt;"Chancho")),NOT(AND(MOVIMIENTOS!$B103="SALDO INICIAL",MOVIMIENTOS!$C103="Chancho"))),MOVIMIENTOS!$A103,"")</f>
        <v>46223</v>
      </c>
      <c r="L104" s="48" t="str">
        <f aca="false">IF(AND(MOVIMIENTOS!$B103&lt;&gt;"",NOT(AND(MOVIMIENTOS!$B103="PROCESO",MOVIMIENTOS!$C103&lt;&gt;"Chancho")),NOT(AND(MOVIMIENTOS!$B103="SALDO INICIAL",MOVIMIENTOS!$C103="Chancho"))),IF(MOVIMIENTOS!$B103="SALDO INICIAL","APERTURA ("&amp;MOVIMIENTOS!$C103&amp;")",IF(MOVIMIENTOS!$B103="COMPRA","INGRESO (compra)",IF(MOVIMIENTOS!$B103="PROCESO","CHANCHO (proceso)",IF(MOVIMIENTOS!$B103="ENVÍO A SUPESA","ENVÍO cal. "&amp;MOVIMIENTOS!$C103,IF(MOVIMIENTOS!$B103="VENTA CHANCHO","VENTA CHANCHO",IF(MOVIMIENTOS!$B103="VENTA","VENTA cal. "&amp;MOVIMIENTOS!$C103,IF(MOVIMIENTOS!$B103="REGALO","REGALO "&amp;MOVIMIENTOS!$C103,IF(MOVIMIENTOS!$B103="RECHAZO","RECHAZO cal. "&amp;MOVIMIENTOS!$C103&amp;" (va a reproceso)",IF(MOVIMIENTOS!$B103="DEVOLUCIÓN","DEVOLUCIÓN cal. "&amp;MOVIMIENTOS!$C103&amp;" (regresa intacta)",IF(MOVIMIENTOS!$B103="TRASIEGO","TRASIEGO cal. "&amp;MOVIMIENTOS!$C103,MOVIMIENTOS!$B103)))))))))),"")</f>
        <v>ENVÍO cal. P</v>
      </c>
      <c r="M104" s="48" t="str">
        <f aca="false">IF(AND(AND(MOVIMIENTOS!$B103&lt;&gt;"",NOT(AND(MOVIMIENTOS!$B103="PROCESO",MOVIMIENTOS!$C103&lt;&gt;"Chancho")),NOT(AND(MOVIMIENTOS!$B103="SALDO INICIAL",MOVIMIENTOS!$C103="Chancho"))),OR(MOVIMIENTOS!$B103="SALDO INICIAL",MOVIMIENTOS!$B103="COMPRA",MOVIMIENTOS!$B103="REPROCESO",MOVIMIENTOS!$B103="DEVOLUCIÓN",AND(MOVIMIENTOS!$B103="AJUSTE",MOVIMIENTOS!$C103&lt;&gt;"Chancho",N(MOVIMIENTOS!$F103)&gt;=0))),N(MOVIMIENTOS!$F103),"")</f>
        <v/>
      </c>
      <c r="N104" s="48" t="n">
        <f aca="false">IF(AND(AND(MOVIMIENTOS!$B103&lt;&gt;"",NOT(AND(MOVIMIENTOS!$B103="PROCESO",MOVIMIENTOS!$C103&lt;&gt;"Chancho")),NOT(AND(MOVIMIENTOS!$B103="SALDO INICIAL",MOVIMIENTOS!$C103="Chancho"))),OR(MOVIMIENTOS!$B103="ENVÍO A SUPESA",MOVIMIENTOS!$B103="MALOGRADO",MOVIMIENTOS!$B103="OTRA SALIDA",MOVIMIENTOS!$B103="TRASIEGO",AND(MOVIMIENTOS!$B103="PROCESO",MOVIMIENTOS!$C103="Chancho"),AND(MOVIMIENTOS!$B103="REGALO",MOVIMIENTOS!$C103&lt;&gt;"Chancho"),AND(MOVIMIENTOS!$B103="VENTA",MOVIMIENTOS!$C103&lt;&gt;"Chancho"),AND(MOVIMIENTOS!$B103="AJUSTE",MOVIMIENTOS!$C103&lt;&gt;"Chancho",N(MOVIMIENTOS!$F103)&lt;0))),IF(MOVIMIENTOS!$B103="AJUSTE",-N(MOVIMIENTOS!$F103),N(MOVIMIENTOS!$F103)),"")</f>
        <v>198</v>
      </c>
      <c r="O104" s="48" t="str">
        <f aca="false">IF(AND(MOVIMIENTOS!$B103&lt;&gt;"",NOT(AND(MOVIMIENTOS!$B103="PROCESO",MOVIMIENTOS!$C103&lt;&gt;"Chancho")),NOT(AND(MOVIMIENTOS!$B103="SALDO INICIAL",MOVIMIENTOS!$C103="Chancho"))),IF(MOVIMIENTOS!$B103="RECHAZO",MOVIMIENTOS!$E103&amp;" jabas rechazadas · van a reproceso",IF(MOVIMIENTOS!$B103="REPROCESO",MOVIMIENTOS!$E103&amp;" kg recuperados (merma del día: "&amp;TEXT(SUMPRODUCT((MOVIMIENTOS!$A$5:$A$400=MOVIMIENTOS!$A103)*(MOVIMIENTOS!$B$5:$B$400="RECHAZO")*(MOVIMIENTOS!$D$5:$D$400="jabas")*MOVIMIENTOS!$E$5:$E$400*IFERROR(_xlfn.SWITCH(MOVIMIENTOS!$C$5:$C$400,"A",15,"P",18,"C",17,"M",17,0),0))-SUMPRODUCT((MOVIMIENTOS!$A$5:$A$400=MOVIMIENTOS!$A103)*(MOVIMIENTOS!$B$5:$B$400="REPROCESO")*MOVIMIENTOS!$I$5:$I$400),"+#,##0;-#,##0;0")&amp;" kg)",TRIM(IF(MOVIMIENTOS!$G103&lt;&gt;"",MOVIMIENTOS!$G103&amp;"  ","")&amp;IF(N(MOVIMIENTOS!$D103)&gt;0,MOVIMIENTOS!$D103&amp;" "&amp;MOVIMIENTOS!$D103,"")))),"")</f>
        <v>3001</v>
      </c>
      <c r="P104" s="48" t="n">
        <f aca="false">N(P103)+N(M104)-N(N104)</f>
        <v>4012.5</v>
      </c>
      <c r="Q104" s="48"/>
      <c r="R104" s="48"/>
      <c r="S104" s="48"/>
      <c r="T104" s="48"/>
    </row>
    <row r="105" customFormat="false" ht="15" hidden="false" customHeight="true" outlineLevel="0" collapsed="false">
      <c r="A105" s="51" t="n">
        <f aca="false">IFERROR(INDEX(K$6:K$401,MATCH(ROW()-5,J$6:J$401,0)),"")</f>
        <v>46227</v>
      </c>
      <c r="B105" s="56" t="str">
        <f aca="false">IFERROR(INDEX(L$6:L$401,MATCH(ROW()-5,J$6:J$401,0)),"")</f>
        <v>ENVÍO cal. A</v>
      </c>
      <c r="C105" s="52" t="str">
        <f aca="false">IFERROR(INDEX(M$6:M$401,MATCH(ROW()-5,J$6:J$401,0)),"")</f>
        <v/>
      </c>
      <c r="D105" s="52" t="n">
        <f aca="false">IFERROR(INDEX(N$6:N$401,MATCH(ROW()-5,J$6:J$401,0)),"")</f>
        <v>1005</v>
      </c>
      <c r="E105" s="56" t="str">
        <f aca="false">IFERROR(INDEX(O$6:O$401,MATCH(ROW()-5,J$6:J$401,0)),"")</f>
        <v>3011</v>
      </c>
      <c r="F105" s="52" t="n">
        <f aca="false">IFERROR(INDEX(P$6:P$401,MATCH(ROW()-5,J$6:J$401,0)),"")</f>
        <v>8524</v>
      </c>
      <c r="G105" s="48"/>
      <c r="H105" s="48"/>
      <c r="I105" s="48"/>
      <c r="J105" s="48" t="n">
        <f aca="false">IF(AND(MOVIMIENTOS!$B104&lt;&gt;"",NOT(AND(MOVIMIENTOS!$B104="PROCESO",MOVIMIENTOS!$C104&lt;&gt;"Chancho")),NOT(AND(MOVIMIENTOS!$B104="SALDO INICIAL",MOVIMIENTOS!$C104="Chancho"))),COUNT(J$6:J104)+1,"")</f>
        <v>61</v>
      </c>
      <c r="K105" s="53" t="n">
        <f aca="false">IF(AND(MOVIMIENTOS!$B104&lt;&gt;"",NOT(AND(MOVIMIENTOS!$B104="PROCESO",MOVIMIENTOS!$C104&lt;&gt;"Chancho")),NOT(AND(MOVIMIENTOS!$B104="SALDO INICIAL",MOVIMIENTOS!$C104="Chancho"))),MOVIMIENTOS!$A104,"")</f>
        <v>46223</v>
      </c>
      <c r="L105" s="48" t="str">
        <f aca="false">IF(AND(MOVIMIENTOS!$B104&lt;&gt;"",NOT(AND(MOVIMIENTOS!$B104="PROCESO",MOVIMIENTOS!$C104&lt;&gt;"Chancho")),NOT(AND(MOVIMIENTOS!$B104="SALDO INICIAL",MOVIMIENTOS!$C104="Chancho"))),IF(MOVIMIENTOS!$B104="SALDO INICIAL","APERTURA ("&amp;MOVIMIENTOS!$C104&amp;")",IF(MOVIMIENTOS!$B104="COMPRA","INGRESO (compra)",IF(MOVIMIENTOS!$B104="PROCESO","CHANCHO (proceso)",IF(MOVIMIENTOS!$B104="ENVÍO A SUPESA","ENVÍO cal. "&amp;MOVIMIENTOS!$C104,IF(MOVIMIENTOS!$B104="VENTA CHANCHO","VENTA CHANCHO",IF(MOVIMIENTOS!$B104="VENTA","VENTA cal. "&amp;MOVIMIENTOS!$C104,IF(MOVIMIENTOS!$B104="REGALO","REGALO "&amp;MOVIMIENTOS!$C104,IF(MOVIMIENTOS!$B104="RECHAZO","RECHAZO cal. "&amp;MOVIMIENTOS!$C104&amp;" (va a reproceso)",IF(MOVIMIENTOS!$B104="DEVOLUCIÓN","DEVOLUCIÓN cal. "&amp;MOVIMIENTOS!$C104&amp;" (regresa intacta)",IF(MOVIMIENTOS!$B104="TRASIEGO","TRASIEGO cal. "&amp;MOVIMIENTOS!$C104,MOVIMIENTOS!$B104)))))))))),"")</f>
        <v>ENVÍO cal. C</v>
      </c>
      <c r="M105" s="48" t="str">
        <f aca="false">IF(AND(AND(MOVIMIENTOS!$B104&lt;&gt;"",NOT(AND(MOVIMIENTOS!$B104="PROCESO",MOVIMIENTOS!$C104&lt;&gt;"Chancho")),NOT(AND(MOVIMIENTOS!$B104="SALDO INICIAL",MOVIMIENTOS!$C104="Chancho"))),OR(MOVIMIENTOS!$B104="SALDO INICIAL",MOVIMIENTOS!$B104="COMPRA",MOVIMIENTOS!$B104="REPROCESO",MOVIMIENTOS!$B104="DEVOLUCIÓN",AND(MOVIMIENTOS!$B104="AJUSTE",MOVIMIENTOS!$C104&lt;&gt;"Chancho",N(MOVIMIENTOS!$F104)&gt;=0))),N(MOVIMIENTOS!$F104),"")</f>
        <v/>
      </c>
      <c r="N105" s="48" t="n">
        <f aca="false">IF(AND(AND(MOVIMIENTOS!$B104&lt;&gt;"",NOT(AND(MOVIMIENTOS!$B104="PROCESO",MOVIMIENTOS!$C104&lt;&gt;"Chancho")),NOT(AND(MOVIMIENTOS!$B104="SALDO INICIAL",MOVIMIENTOS!$C104="Chancho"))),OR(MOVIMIENTOS!$B104="ENVÍO A SUPESA",MOVIMIENTOS!$B104="MALOGRADO",MOVIMIENTOS!$B104="OTRA SALIDA",MOVIMIENTOS!$B104="TRASIEGO",AND(MOVIMIENTOS!$B104="PROCESO",MOVIMIENTOS!$C104="Chancho"),AND(MOVIMIENTOS!$B104="REGALO",MOVIMIENTOS!$C104&lt;&gt;"Chancho"),AND(MOVIMIENTOS!$B104="VENTA",MOVIMIENTOS!$C104&lt;&gt;"Chancho"),AND(MOVIMIENTOS!$B104="AJUSTE",MOVIMIENTOS!$C104&lt;&gt;"Chancho",N(MOVIMIENTOS!$F104)&lt;0))),IF(MOVIMIENTOS!$B104="AJUSTE",-N(MOVIMIENTOS!$F104),N(MOVIMIENTOS!$F104)),"")</f>
        <v>204</v>
      </c>
      <c r="O105" s="48" t="str">
        <f aca="false">IF(AND(MOVIMIENTOS!$B104&lt;&gt;"",NOT(AND(MOVIMIENTOS!$B104="PROCESO",MOVIMIENTOS!$C104&lt;&gt;"Chancho")),NOT(AND(MOVIMIENTOS!$B104="SALDO INICIAL",MOVIMIENTOS!$C104="Chancho"))),IF(MOVIMIENTOS!$B104="RECHAZO",MOVIMIENTOS!$E104&amp;" jabas rechazadas · van a reproceso",IF(MOVIMIENTOS!$B104="REPROCESO",MOVIMIENTOS!$E104&amp;" kg recuperados (merma del día: "&amp;TEXT(SUMPRODUCT((MOVIMIENTOS!$A$5:$A$400=MOVIMIENTOS!$A104)*(MOVIMIENTOS!$B$5:$B$400="RECHAZO")*(MOVIMIENTOS!$D$5:$D$400="jabas")*MOVIMIENTOS!$E$5:$E$400*IFERROR(_xlfn.SWITCH(MOVIMIENTOS!$C$5:$C$400,"A",15,"P",18,"C",17,"M",17,0),0))-SUMPRODUCT((MOVIMIENTOS!$A$5:$A$400=MOVIMIENTOS!$A104)*(MOVIMIENTOS!$B$5:$B$400="REPROCESO")*MOVIMIENTOS!$I$5:$I$400),"+#,##0;-#,##0;0")&amp;" kg)",TRIM(IF(MOVIMIENTOS!$G104&lt;&gt;"",MOVIMIENTOS!$G104&amp;"  ","")&amp;IF(N(MOVIMIENTOS!$D104)&gt;0,MOVIMIENTOS!$D104&amp;" "&amp;MOVIMIENTOS!$D104,"")))),"")</f>
        <v>3001</v>
      </c>
      <c r="P105" s="48" t="n">
        <f aca="false">N(P104)+N(M105)-N(N105)</f>
        <v>3808.5</v>
      </c>
      <c r="Q105" s="48"/>
      <c r="R105" s="48"/>
      <c r="S105" s="48"/>
      <c r="T105" s="48"/>
    </row>
    <row r="106" customFormat="false" ht="15" hidden="false" customHeight="true" outlineLevel="0" collapsed="false">
      <c r="A106" s="51" t="n">
        <f aca="false">IFERROR(INDEX(K$6:K$401,MATCH(ROW()-5,J$6:J$401,0)),"")</f>
        <v>46227</v>
      </c>
      <c r="B106" s="56" t="str">
        <f aca="false">IFERROR(INDEX(L$6:L$401,MATCH(ROW()-5,J$6:J$401,0)),"")</f>
        <v>ENVÍO cal. P</v>
      </c>
      <c r="C106" s="52" t="str">
        <f aca="false">IFERROR(INDEX(M$6:M$401,MATCH(ROW()-5,J$6:J$401,0)),"")</f>
        <v/>
      </c>
      <c r="D106" s="52" t="n">
        <f aca="false">IFERROR(INDEX(N$6:N$401,MATCH(ROW()-5,J$6:J$401,0)),"")</f>
        <v>198</v>
      </c>
      <c r="E106" s="56" t="str">
        <f aca="false">IFERROR(INDEX(O$6:O$401,MATCH(ROW()-5,J$6:J$401,0)),"")</f>
        <v>3011</v>
      </c>
      <c r="F106" s="52" t="n">
        <f aca="false">IFERROR(INDEX(P$6:P$401,MATCH(ROW()-5,J$6:J$401,0)),"")</f>
        <v>8326</v>
      </c>
      <c r="G106" s="48"/>
      <c r="H106" s="48"/>
      <c r="I106" s="48"/>
      <c r="J106" s="48" t="n">
        <f aca="false">IF(AND(MOVIMIENTOS!$B105&lt;&gt;"",NOT(AND(MOVIMIENTOS!$B105="PROCESO",MOVIMIENTOS!$C105&lt;&gt;"Chancho")),NOT(AND(MOVIMIENTOS!$B105="SALDO INICIAL",MOVIMIENTOS!$C105="Chancho"))),COUNT(J$6:J105)+1,"")</f>
        <v>62</v>
      </c>
      <c r="K106" s="53" t="n">
        <f aca="false">IF(AND(MOVIMIENTOS!$B105&lt;&gt;"",NOT(AND(MOVIMIENTOS!$B105="PROCESO",MOVIMIENTOS!$C105&lt;&gt;"Chancho")),NOT(AND(MOVIMIENTOS!$B105="SALDO INICIAL",MOVIMIENTOS!$C105="Chancho"))),MOVIMIENTOS!$A105,"")</f>
        <v>46223</v>
      </c>
      <c r="L106" s="48" t="str">
        <f aca="false">IF(AND(MOVIMIENTOS!$B105&lt;&gt;"",NOT(AND(MOVIMIENTOS!$B105="PROCESO",MOVIMIENTOS!$C105&lt;&gt;"Chancho")),NOT(AND(MOVIMIENTOS!$B105="SALDO INICIAL",MOVIMIENTOS!$C105="Chancho"))),IF(MOVIMIENTOS!$B105="SALDO INICIAL","APERTURA ("&amp;MOVIMIENTOS!$C105&amp;")",IF(MOVIMIENTOS!$B105="COMPRA","INGRESO (compra)",IF(MOVIMIENTOS!$B105="PROCESO","CHANCHO (proceso)",IF(MOVIMIENTOS!$B105="ENVÍO A SUPESA","ENVÍO cal. "&amp;MOVIMIENTOS!$C105,IF(MOVIMIENTOS!$B105="VENTA CHANCHO","VENTA CHANCHO",IF(MOVIMIENTOS!$B105="VENTA","VENTA cal. "&amp;MOVIMIENTOS!$C105,IF(MOVIMIENTOS!$B105="REGALO","REGALO "&amp;MOVIMIENTOS!$C105,IF(MOVIMIENTOS!$B105="RECHAZO","RECHAZO cal. "&amp;MOVIMIENTOS!$C105&amp;" (va a reproceso)",IF(MOVIMIENTOS!$B105="DEVOLUCIÓN","DEVOLUCIÓN cal. "&amp;MOVIMIENTOS!$C105&amp;" (regresa intacta)",IF(MOVIMIENTOS!$B105="TRASIEGO","TRASIEGO cal. "&amp;MOVIMIENTOS!$C105,MOVIMIENTOS!$B105)))))))))),"")</f>
        <v>ENVÍO cal. M</v>
      </c>
      <c r="M106" s="48" t="str">
        <f aca="false">IF(AND(AND(MOVIMIENTOS!$B105&lt;&gt;"",NOT(AND(MOVIMIENTOS!$B105="PROCESO",MOVIMIENTOS!$C105&lt;&gt;"Chancho")),NOT(AND(MOVIMIENTOS!$B105="SALDO INICIAL",MOVIMIENTOS!$C105="Chancho"))),OR(MOVIMIENTOS!$B105="SALDO INICIAL",MOVIMIENTOS!$B105="COMPRA",MOVIMIENTOS!$B105="REPROCESO",MOVIMIENTOS!$B105="DEVOLUCIÓN",AND(MOVIMIENTOS!$B105="AJUSTE",MOVIMIENTOS!$C105&lt;&gt;"Chancho",N(MOVIMIENTOS!$F105)&gt;=0))),N(MOVIMIENTOS!$F105),"")</f>
        <v/>
      </c>
      <c r="N106" s="48" t="n">
        <f aca="false">IF(AND(AND(MOVIMIENTOS!$B105&lt;&gt;"",NOT(AND(MOVIMIENTOS!$B105="PROCESO",MOVIMIENTOS!$C105&lt;&gt;"Chancho")),NOT(AND(MOVIMIENTOS!$B105="SALDO INICIAL",MOVIMIENTOS!$C105="Chancho"))),OR(MOVIMIENTOS!$B105="ENVÍO A SUPESA",MOVIMIENTOS!$B105="MALOGRADO",MOVIMIENTOS!$B105="OTRA SALIDA",MOVIMIENTOS!$B105="TRASIEGO",AND(MOVIMIENTOS!$B105="PROCESO",MOVIMIENTOS!$C105="Chancho"),AND(MOVIMIENTOS!$B105="REGALO",MOVIMIENTOS!$C105&lt;&gt;"Chancho"),AND(MOVIMIENTOS!$B105="VENTA",MOVIMIENTOS!$C105&lt;&gt;"Chancho"),AND(MOVIMIENTOS!$B105="AJUSTE",MOVIMIENTOS!$C105&lt;&gt;"Chancho",N(MOVIMIENTOS!$F105)&lt;0))),IF(MOVIMIENTOS!$B105="AJUSTE",-N(MOVIMIENTOS!$F105),N(MOVIMIENTOS!$F105)),"")</f>
        <v>1887</v>
      </c>
      <c r="O106" s="48" t="str">
        <f aca="false">IF(AND(MOVIMIENTOS!$B105&lt;&gt;"",NOT(AND(MOVIMIENTOS!$B105="PROCESO",MOVIMIENTOS!$C105&lt;&gt;"Chancho")),NOT(AND(MOVIMIENTOS!$B105="SALDO INICIAL",MOVIMIENTOS!$C105="Chancho"))),IF(MOVIMIENTOS!$B105="RECHAZO",MOVIMIENTOS!$E105&amp;" jabas rechazadas · van a reproceso",IF(MOVIMIENTOS!$B105="REPROCESO",MOVIMIENTOS!$E105&amp;" kg recuperados (merma del día: "&amp;TEXT(SUMPRODUCT((MOVIMIENTOS!$A$5:$A$400=MOVIMIENTOS!$A105)*(MOVIMIENTOS!$B$5:$B$400="RECHAZO")*(MOVIMIENTOS!$D$5:$D$400="jabas")*MOVIMIENTOS!$E$5:$E$400*IFERROR(_xlfn.SWITCH(MOVIMIENTOS!$C$5:$C$400,"A",15,"P",18,"C",17,"M",17,0),0))-SUMPRODUCT((MOVIMIENTOS!$A$5:$A$400=MOVIMIENTOS!$A105)*(MOVIMIENTOS!$B$5:$B$400="REPROCESO")*MOVIMIENTOS!$I$5:$I$400),"+#,##0;-#,##0;0")&amp;" kg)",TRIM(IF(MOVIMIENTOS!$G105&lt;&gt;"",MOVIMIENTOS!$G105&amp;"  ","")&amp;IF(N(MOVIMIENTOS!$D105)&gt;0,MOVIMIENTOS!$D105&amp;" "&amp;MOVIMIENTOS!$D105,"")))),"")</f>
        <v>3001</v>
      </c>
      <c r="P106" s="48" t="n">
        <f aca="false">N(P105)+N(M106)-N(N106)</f>
        <v>1921.5</v>
      </c>
      <c r="Q106" s="48"/>
      <c r="R106" s="48"/>
      <c r="S106" s="48"/>
      <c r="T106" s="48"/>
    </row>
    <row r="107" customFormat="false" ht="15" hidden="false" customHeight="true" outlineLevel="0" collapsed="false">
      <c r="A107" s="51" t="n">
        <f aca="false">IFERROR(INDEX(K$6:K$401,MATCH(ROW()-5,J$6:J$401,0)),"")</f>
        <v>46227</v>
      </c>
      <c r="B107" s="56" t="str">
        <f aca="false">IFERROR(INDEX(L$6:L$401,MATCH(ROW()-5,J$6:J$401,0)),"")</f>
        <v>ENVÍO cal. C</v>
      </c>
      <c r="C107" s="52" t="str">
        <f aca="false">IFERROR(INDEX(M$6:M$401,MATCH(ROW()-5,J$6:J$401,0)),"")</f>
        <v/>
      </c>
      <c r="D107" s="52" t="n">
        <f aca="false">IFERROR(INDEX(N$6:N$401,MATCH(ROW()-5,J$6:J$401,0)),"")</f>
        <v>204</v>
      </c>
      <c r="E107" s="56" t="str">
        <f aca="false">IFERROR(INDEX(O$6:O$401,MATCH(ROW()-5,J$6:J$401,0)),"")</f>
        <v>3011</v>
      </c>
      <c r="F107" s="52" t="n">
        <f aca="false">IFERROR(INDEX(P$6:P$401,MATCH(ROW()-5,J$6:J$401,0)),"")</f>
        <v>8122</v>
      </c>
      <c r="G107" s="48"/>
      <c r="H107" s="48"/>
      <c r="I107" s="48"/>
      <c r="J107" s="48" t="n">
        <f aca="false">IF(AND(MOVIMIENTOS!$B106&lt;&gt;"",NOT(AND(MOVIMIENTOS!$B106="PROCESO",MOVIMIENTOS!$C106&lt;&gt;"Chancho")),NOT(AND(MOVIMIENTOS!$B106="SALDO INICIAL",MOVIMIENTOS!$C106="Chancho"))),COUNT(J$6:J106)+1,"")</f>
        <v>63</v>
      </c>
      <c r="K107" s="53" t="n">
        <f aca="false">IF(AND(MOVIMIENTOS!$B106&lt;&gt;"",NOT(AND(MOVIMIENTOS!$B106="PROCESO",MOVIMIENTOS!$C106&lt;&gt;"Chancho")),NOT(AND(MOVIMIENTOS!$B106="SALDO INICIAL",MOVIMIENTOS!$C106="Chancho"))),MOVIMIENTOS!$A106,"")</f>
        <v>46223</v>
      </c>
      <c r="L107" s="48" t="str">
        <f aca="false">IF(AND(MOVIMIENTOS!$B106&lt;&gt;"",NOT(AND(MOVIMIENTOS!$B106="PROCESO",MOVIMIENTOS!$C106&lt;&gt;"Chancho")),NOT(AND(MOVIMIENTOS!$B106="SALDO INICIAL",MOVIMIENTOS!$C106="Chancho"))),IF(MOVIMIENTOS!$B106="SALDO INICIAL","APERTURA ("&amp;MOVIMIENTOS!$C106&amp;")",IF(MOVIMIENTOS!$B106="COMPRA","INGRESO (compra)",IF(MOVIMIENTOS!$B106="PROCESO","CHANCHO (proceso)",IF(MOVIMIENTOS!$B106="ENVÍO A SUPESA","ENVÍO cal. "&amp;MOVIMIENTOS!$C106,IF(MOVIMIENTOS!$B106="VENTA CHANCHO","VENTA CHANCHO",IF(MOVIMIENTOS!$B106="VENTA","VENTA cal. "&amp;MOVIMIENTOS!$C106,IF(MOVIMIENTOS!$B106="REGALO","REGALO "&amp;MOVIMIENTOS!$C106,IF(MOVIMIENTOS!$B106="RECHAZO","RECHAZO cal. "&amp;MOVIMIENTOS!$C106&amp;" (va a reproceso)",IF(MOVIMIENTOS!$B106="DEVOLUCIÓN","DEVOLUCIÓN cal. "&amp;MOVIMIENTOS!$C106&amp;" (regresa intacta)",IF(MOVIMIENTOS!$B106="TRASIEGO","TRASIEGO cal. "&amp;MOVIMIENTOS!$C106,MOVIMIENTOS!$B106)))))))))),"")</f>
        <v>VENTA CHANCHO</v>
      </c>
      <c r="M107" s="48" t="str">
        <f aca="false">IF(AND(AND(MOVIMIENTOS!$B106&lt;&gt;"",NOT(AND(MOVIMIENTOS!$B106="PROCESO",MOVIMIENTOS!$C106&lt;&gt;"Chancho")),NOT(AND(MOVIMIENTOS!$B106="SALDO INICIAL",MOVIMIENTOS!$C106="Chancho"))),OR(MOVIMIENTOS!$B106="SALDO INICIAL",MOVIMIENTOS!$B106="COMPRA",MOVIMIENTOS!$B106="REPROCESO",MOVIMIENTOS!$B106="DEVOLUCIÓN",AND(MOVIMIENTOS!$B106="AJUSTE",MOVIMIENTOS!$C106&lt;&gt;"Chancho",N(MOVIMIENTOS!$F106)&gt;=0))),N(MOVIMIENTOS!$F106),"")</f>
        <v/>
      </c>
      <c r="N107" s="48" t="str">
        <f aca="false">IF(AND(AND(MOVIMIENTOS!$B106&lt;&gt;"",NOT(AND(MOVIMIENTOS!$B106="PROCESO",MOVIMIENTOS!$C106&lt;&gt;"Chancho")),NOT(AND(MOVIMIENTOS!$B106="SALDO INICIAL",MOVIMIENTOS!$C106="Chancho"))),OR(MOVIMIENTOS!$B106="ENVÍO A SUPESA",MOVIMIENTOS!$B106="MALOGRADO",MOVIMIENTOS!$B106="OTRA SALIDA",MOVIMIENTOS!$B106="TRASIEGO",AND(MOVIMIENTOS!$B106="PROCESO",MOVIMIENTOS!$C106="Chancho"),AND(MOVIMIENTOS!$B106="REGALO",MOVIMIENTOS!$C106&lt;&gt;"Chancho"),AND(MOVIMIENTOS!$B106="VENTA",MOVIMIENTOS!$C106&lt;&gt;"Chancho"),AND(MOVIMIENTOS!$B106="AJUSTE",MOVIMIENTOS!$C106&lt;&gt;"Chancho",N(MOVIMIENTOS!$F106)&lt;0))),IF(MOVIMIENTOS!$B106="AJUSTE",-N(MOVIMIENTOS!$F106),N(MOVIMIENTOS!$F106)),"")</f>
        <v/>
      </c>
      <c r="O107" s="48" t="str">
        <f aca="false">IF(AND(MOVIMIENTOS!$B106&lt;&gt;"",NOT(AND(MOVIMIENTOS!$B106="PROCESO",MOVIMIENTOS!$C106&lt;&gt;"Chancho")),NOT(AND(MOVIMIENTOS!$B106="SALDO INICIAL",MOVIMIENTOS!$C106="Chancho"))),IF(MOVIMIENTOS!$B106="RECHAZO",MOVIMIENTOS!$E106&amp;" jabas rechazadas · van a reproceso",IF(MOVIMIENTOS!$B106="REPROCESO",MOVIMIENTOS!$E106&amp;" kg recuperados (merma del día: "&amp;TEXT(SUMPRODUCT((MOVIMIENTOS!$A$5:$A$400=MOVIMIENTOS!$A106)*(MOVIMIENTOS!$B$5:$B$400="RECHAZO")*(MOVIMIENTOS!$D$5:$D$400="jabas")*MOVIMIENTOS!$E$5:$E$400*IFERROR(_xlfn.SWITCH(MOVIMIENTOS!$C$5:$C$400,"A",15,"P",18,"C",17,"M",17,0),0))-SUMPRODUCT((MOVIMIENTOS!$A$5:$A$400=MOVIMIENTOS!$A106)*(MOVIMIENTOS!$B$5:$B$400="REPROCESO")*MOVIMIENTOS!$I$5:$I$400),"+#,##0;-#,##0;0")&amp;" kg)",TRIM(IF(MOVIMIENTOS!$G106&lt;&gt;"",MOVIMIENTOS!$G106&amp;"  ","")&amp;IF(N(MOVIMIENTOS!$D106)&gt;0,MOVIMIENTOS!$D106&amp;" "&amp;MOVIMIENTOS!$D106,"")))),"")</f>
        <v>TCK002-726</v>
      </c>
      <c r="P107" s="48" t="n">
        <f aca="false">N(P106)+N(M107)-N(N107)</f>
        <v>1921.5</v>
      </c>
      <c r="Q107" s="48"/>
      <c r="R107" s="48"/>
      <c r="S107" s="48"/>
      <c r="T107" s="48"/>
    </row>
    <row r="108" customFormat="false" ht="15" hidden="false" customHeight="true" outlineLevel="0" collapsed="false">
      <c r="A108" s="51" t="n">
        <f aca="false">IFERROR(INDEX(K$6:K$401,MATCH(ROW()-5,J$6:J$401,0)),"")</f>
        <v>46227</v>
      </c>
      <c r="B108" s="56" t="str">
        <f aca="false">IFERROR(INDEX(L$6:L$401,MATCH(ROW()-5,J$6:J$401,0)),"")</f>
        <v>ENVÍO cal. M</v>
      </c>
      <c r="C108" s="52" t="str">
        <f aca="false">IFERROR(INDEX(M$6:M$401,MATCH(ROW()-5,J$6:J$401,0)),"")</f>
        <v/>
      </c>
      <c r="D108" s="52" t="n">
        <f aca="false">IFERROR(INDEX(N$6:N$401,MATCH(ROW()-5,J$6:J$401,0)),"")</f>
        <v>2006</v>
      </c>
      <c r="E108" s="56" t="str">
        <f aca="false">IFERROR(INDEX(O$6:O$401,MATCH(ROW()-5,J$6:J$401,0)),"")</f>
        <v>3011</v>
      </c>
      <c r="F108" s="52" t="n">
        <f aca="false">IFERROR(INDEX(P$6:P$401,MATCH(ROW()-5,J$6:J$401,0)),"")</f>
        <v>6116</v>
      </c>
      <c r="G108" s="48"/>
      <c r="H108" s="48"/>
      <c r="I108" s="48"/>
      <c r="J108" s="48" t="n">
        <f aca="false">IF(AND(MOVIMIENTOS!$B107&lt;&gt;"",NOT(AND(MOVIMIENTOS!$B107="PROCESO",MOVIMIENTOS!$C107&lt;&gt;"Chancho")),NOT(AND(MOVIMIENTOS!$B107="SALDO INICIAL",MOVIMIENTOS!$C107="Chancho"))),COUNT(J$6:J107)+1,"")</f>
        <v>64</v>
      </c>
      <c r="K108" s="53" t="n">
        <f aca="false">IF(AND(MOVIMIENTOS!$B107&lt;&gt;"",NOT(AND(MOVIMIENTOS!$B107="PROCESO",MOVIMIENTOS!$C107&lt;&gt;"Chancho")),NOT(AND(MOVIMIENTOS!$B107="SALDO INICIAL",MOVIMIENTOS!$C107="Chancho"))),MOVIMIENTOS!$A107,"")</f>
        <v>46223</v>
      </c>
      <c r="L108" s="48" t="str">
        <f aca="false">IF(AND(MOVIMIENTOS!$B107&lt;&gt;"",NOT(AND(MOVIMIENTOS!$B107="PROCESO",MOVIMIENTOS!$C107&lt;&gt;"Chancho")),NOT(AND(MOVIMIENTOS!$B107="SALDO INICIAL",MOVIMIENTOS!$C107="Chancho"))),IF(MOVIMIENTOS!$B107="SALDO INICIAL","APERTURA ("&amp;MOVIMIENTOS!$C107&amp;")",IF(MOVIMIENTOS!$B107="COMPRA","INGRESO (compra)",IF(MOVIMIENTOS!$B107="PROCESO","CHANCHO (proceso)",IF(MOVIMIENTOS!$B107="ENVÍO A SUPESA","ENVÍO cal. "&amp;MOVIMIENTOS!$C107,IF(MOVIMIENTOS!$B107="VENTA CHANCHO","VENTA CHANCHO",IF(MOVIMIENTOS!$B107="VENTA","VENTA cal. "&amp;MOVIMIENTOS!$C107,IF(MOVIMIENTOS!$B107="REGALO","REGALO "&amp;MOVIMIENTOS!$C107,IF(MOVIMIENTOS!$B107="RECHAZO","RECHAZO cal. "&amp;MOVIMIENTOS!$C107&amp;" (va a reproceso)",IF(MOVIMIENTOS!$B107="DEVOLUCIÓN","DEVOLUCIÓN cal. "&amp;MOVIMIENTOS!$C107&amp;" (regresa intacta)",IF(MOVIMIENTOS!$B107="TRASIEGO","TRASIEGO cal. "&amp;MOVIMIENTOS!$C107,MOVIMIENTOS!$B107)))))))))),"")</f>
        <v>INGRESO (compra)</v>
      </c>
      <c r="M108" s="48" t="n">
        <f aca="false">IF(AND(AND(MOVIMIENTOS!$B107&lt;&gt;"",NOT(AND(MOVIMIENTOS!$B107="PROCESO",MOVIMIENTOS!$C107&lt;&gt;"Chancho")),NOT(AND(MOVIMIENTOS!$B107="SALDO INICIAL",MOVIMIENTOS!$C107="Chancho"))),OR(MOVIMIENTOS!$B107="SALDO INICIAL",MOVIMIENTOS!$B107="COMPRA",MOVIMIENTOS!$B107="REPROCESO",MOVIMIENTOS!$B107="DEVOLUCIÓN",AND(MOVIMIENTOS!$B107="AJUSTE",MOVIMIENTOS!$C107&lt;&gt;"Chancho",N(MOVIMIENTOS!$F107)&gt;=0))),N(MOVIMIENTOS!$F107),"")</f>
        <v>2090</v>
      </c>
      <c r="N108" s="48" t="str">
        <f aca="false">IF(AND(AND(MOVIMIENTOS!$B107&lt;&gt;"",NOT(AND(MOVIMIENTOS!$B107="PROCESO",MOVIMIENTOS!$C107&lt;&gt;"Chancho")),NOT(AND(MOVIMIENTOS!$B107="SALDO INICIAL",MOVIMIENTOS!$C107="Chancho"))),OR(MOVIMIENTOS!$B107="ENVÍO A SUPESA",MOVIMIENTOS!$B107="MALOGRADO",MOVIMIENTOS!$B107="OTRA SALIDA",MOVIMIENTOS!$B107="TRASIEGO",AND(MOVIMIENTOS!$B107="PROCESO",MOVIMIENTOS!$C107="Chancho"),AND(MOVIMIENTOS!$B107="REGALO",MOVIMIENTOS!$C107&lt;&gt;"Chancho"),AND(MOVIMIENTOS!$B107="VENTA",MOVIMIENTOS!$C107&lt;&gt;"Chancho"),AND(MOVIMIENTOS!$B107="AJUSTE",MOVIMIENTOS!$C107&lt;&gt;"Chancho",N(MOVIMIENTOS!$F107)&lt;0))),IF(MOVIMIENTOS!$B107="AJUSTE",-N(MOVIMIENTOS!$F107),N(MOVIMIENTOS!$F107)),"")</f>
        <v/>
      </c>
      <c r="O108" s="48" t="str">
        <f aca="false">IF(AND(MOVIMIENTOS!$B107&lt;&gt;"",NOT(AND(MOVIMIENTOS!$B107="PROCESO",MOVIMIENTOS!$C107&lt;&gt;"Chancho")),NOT(AND(MOVIMIENTOS!$B107="SALDO INICIAL",MOVIMIENTOS!$C107="Chancho"))),IF(MOVIMIENTOS!$B107="RECHAZO",MOVIMIENTOS!$E107&amp;" jabas rechazadas · van a reproceso",IF(MOVIMIENTOS!$B107="REPROCESO",MOVIMIENTOS!$E107&amp;" kg recuperados (merma del día: "&amp;TEXT(SUMPRODUCT((MOVIMIENTOS!$A$5:$A$400=MOVIMIENTOS!$A107)*(MOVIMIENTOS!$B$5:$B$400="RECHAZO")*(MOVIMIENTOS!$D$5:$D$400="jabas")*MOVIMIENTOS!$E$5:$E$400*IFERROR(_xlfn.SWITCH(MOVIMIENTOS!$C$5:$C$400,"A",15,"P",18,"C",17,"M",17,0),0))-SUMPRODUCT((MOVIMIENTOS!$A$5:$A$400=MOVIMIENTOS!$A107)*(MOVIMIENTOS!$B$5:$B$400="REPROCESO")*MOVIMIENTOS!$I$5:$I$400),"+#,##0;-#,##0;0")&amp;" kg)",TRIM(IF(MOVIMIENTOS!$G107&lt;&gt;"",MOVIMIENTOS!$G107&amp;"  ","")&amp;IF(N(MOVIMIENTOS!$D107)&gt;0,MOVIMIENTOS!$D107&amp;" "&amp;MOVIMIENTOS!$D107,"")))),"")</f>
        <v/>
      </c>
      <c r="P108" s="48" t="n">
        <f aca="false">N(P107)+N(M108)-N(N108)</f>
        <v>4011.5</v>
      </c>
      <c r="Q108" s="48"/>
      <c r="R108" s="48"/>
      <c r="S108" s="48"/>
      <c r="T108" s="48"/>
    </row>
    <row r="109" customFormat="false" ht="15" hidden="false" customHeight="true" outlineLevel="0" collapsed="false">
      <c r="A109" s="51" t="n">
        <f aca="false">IFERROR(INDEX(K$6:K$401,MATCH(ROW()-5,J$6:J$401,0)),"")</f>
        <v>46227</v>
      </c>
      <c r="B109" s="56" t="str">
        <f aca="false">IFERROR(INDEX(L$6:L$401,MATCH(ROW()-5,J$6:J$401,0)),"")</f>
        <v>RECHAZO cal. A (va a reproceso)</v>
      </c>
      <c r="C109" s="52" t="str">
        <f aca="false">IFERROR(INDEX(M$6:M$401,MATCH(ROW()-5,J$6:J$401,0)),"")</f>
        <v/>
      </c>
      <c r="D109" s="52" t="str">
        <f aca="false">IFERROR(INDEX(N$6:N$401,MATCH(ROW()-5,J$6:J$401,0)),"")</f>
        <v/>
      </c>
      <c r="E109" s="56" t="str">
        <f aca="false">IFERROR(INDEX(O$6:O$401,MATCH(ROW()-5,J$6:J$401,0)),"")</f>
        <v>1 jabas rechazadas · van a reproceso</v>
      </c>
      <c r="F109" s="52" t="n">
        <f aca="false">IFERROR(INDEX(P$6:P$401,MATCH(ROW()-5,J$6:J$401,0)),"")</f>
        <v>6116</v>
      </c>
      <c r="G109" s="48"/>
      <c r="H109" s="48"/>
      <c r="I109" s="48"/>
      <c r="J109" s="48" t="n">
        <f aca="false">IF(AND(MOVIMIENTOS!$B108&lt;&gt;"",NOT(AND(MOVIMIENTOS!$B108="PROCESO",MOVIMIENTOS!$C108&lt;&gt;"Chancho")),NOT(AND(MOVIMIENTOS!$B108="SALDO INICIAL",MOVIMIENTOS!$C108="Chancho"))),COUNT(J$6:J108)+1,"")</f>
        <v>65</v>
      </c>
      <c r="K109" s="53" t="n">
        <f aca="false">IF(AND(MOVIMIENTOS!$B108&lt;&gt;"",NOT(AND(MOVIMIENTOS!$B108="PROCESO",MOVIMIENTOS!$C108&lt;&gt;"Chancho")),NOT(AND(MOVIMIENTOS!$B108="SALDO INICIAL",MOVIMIENTOS!$C108="Chancho"))),MOVIMIENTOS!$A108,"")</f>
        <v>46223</v>
      </c>
      <c r="L109" s="48" t="str">
        <f aca="false">IF(AND(MOVIMIENTOS!$B108&lt;&gt;"",NOT(AND(MOVIMIENTOS!$B108="PROCESO",MOVIMIENTOS!$C108&lt;&gt;"Chancho")),NOT(AND(MOVIMIENTOS!$B108="SALDO INICIAL",MOVIMIENTOS!$C108="Chancho"))),IF(MOVIMIENTOS!$B108="SALDO INICIAL","APERTURA ("&amp;MOVIMIENTOS!$C108&amp;")",IF(MOVIMIENTOS!$B108="COMPRA","INGRESO (compra)",IF(MOVIMIENTOS!$B108="PROCESO","CHANCHO (proceso)",IF(MOVIMIENTOS!$B108="ENVÍO A SUPESA","ENVÍO cal. "&amp;MOVIMIENTOS!$C108,IF(MOVIMIENTOS!$B108="VENTA CHANCHO","VENTA CHANCHO",IF(MOVIMIENTOS!$B108="VENTA","VENTA cal. "&amp;MOVIMIENTOS!$C108,IF(MOVIMIENTOS!$B108="REGALO","REGALO "&amp;MOVIMIENTOS!$C108,IF(MOVIMIENTOS!$B108="RECHAZO","RECHAZO cal. "&amp;MOVIMIENTOS!$C108&amp;" (va a reproceso)",IF(MOVIMIENTOS!$B108="DEVOLUCIÓN","DEVOLUCIÓN cal. "&amp;MOVIMIENTOS!$C108&amp;" (regresa intacta)",IF(MOVIMIENTOS!$B108="TRASIEGO","TRASIEGO cal. "&amp;MOVIMIENTOS!$C108,MOVIMIENTOS!$B108)))))))))),"")</f>
        <v>TRASIEGO cal. P</v>
      </c>
      <c r="M109" s="48" t="str">
        <f aca="false">IF(AND(AND(MOVIMIENTOS!$B108&lt;&gt;"",NOT(AND(MOVIMIENTOS!$B108="PROCESO",MOVIMIENTOS!$C108&lt;&gt;"Chancho")),NOT(AND(MOVIMIENTOS!$B108="SALDO INICIAL",MOVIMIENTOS!$C108="Chancho"))),OR(MOVIMIENTOS!$B108="SALDO INICIAL",MOVIMIENTOS!$B108="COMPRA",MOVIMIENTOS!$B108="REPROCESO",MOVIMIENTOS!$B108="DEVOLUCIÓN",AND(MOVIMIENTOS!$B108="AJUSTE",MOVIMIENTOS!$C108&lt;&gt;"Chancho",N(MOVIMIENTOS!$F108)&gt;=0))),N(MOVIMIENTOS!$F108),"")</f>
        <v/>
      </c>
      <c r="N109" s="48" t="n">
        <f aca="false">IF(AND(AND(MOVIMIENTOS!$B108&lt;&gt;"",NOT(AND(MOVIMIENTOS!$B108="PROCESO",MOVIMIENTOS!$C108&lt;&gt;"Chancho")),NOT(AND(MOVIMIENTOS!$B108="SALDO INICIAL",MOVIMIENTOS!$C108="Chancho"))),OR(MOVIMIENTOS!$B108="ENVÍO A SUPESA",MOVIMIENTOS!$B108="MALOGRADO",MOVIMIENTOS!$B108="OTRA SALIDA",MOVIMIENTOS!$B108="TRASIEGO",AND(MOVIMIENTOS!$B108="PROCESO",MOVIMIENTOS!$C108="Chancho"),AND(MOVIMIENTOS!$B108="REGALO",MOVIMIENTOS!$C108&lt;&gt;"Chancho"),AND(MOVIMIENTOS!$B108="VENTA",MOVIMIENTOS!$C108&lt;&gt;"Chancho"),AND(MOVIMIENTOS!$B108="AJUSTE",MOVIMIENTOS!$C108&lt;&gt;"Chancho",N(MOVIMIENTOS!$F108)&lt;0))),IF(MOVIMIENTOS!$B108="AJUSTE",-N(MOVIMIENTOS!$F108),N(MOVIMIENTOS!$F108)),"")</f>
        <v>18</v>
      </c>
      <c r="O109" s="48" t="str">
        <f aca="false">IF(AND(MOVIMIENTOS!$B108&lt;&gt;"",NOT(AND(MOVIMIENTOS!$B108="PROCESO",MOVIMIENTOS!$C108&lt;&gt;"Chancho")),NOT(AND(MOVIMIENTOS!$B108="SALDO INICIAL",MOVIMIENTOS!$C108="Chancho"))),IF(MOVIMIENTOS!$B108="RECHAZO",MOVIMIENTOS!$E108&amp;" jabas rechazadas · van a reproceso",IF(MOVIMIENTOS!$B108="REPROCESO",MOVIMIENTOS!$E108&amp;" kg recuperados (merma del día: "&amp;TEXT(SUMPRODUCT((MOVIMIENTOS!$A$5:$A$400=MOVIMIENTOS!$A108)*(MOVIMIENTOS!$B$5:$B$400="RECHAZO")*(MOVIMIENTOS!$D$5:$D$400="jabas")*MOVIMIENTOS!$E$5:$E$400*IFERROR(_xlfn.SWITCH(MOVIMIENTOS!$C$5:$C$400,"A",15,"P",18,"C",17,"M",17,0),0))-SUMPRODUCT((MOVIMIENTOS!$A$5:$A$400=MOVIMIENTOS!$A108)*(MOVIMIENTOS!$B$5:$B$400="REPROCESO")*MOVIMIENTOS!$I$5:$I$400),"+#,##0;-#,##0;0")&amp;" kg)",TRIM(IF(MOVIMIENTOS!$G108&lt;&gt;"",MOVIMIENTOS!$G108&amp;"  ","")&amp;IF(N(MOVIMIENTOS!$D108)&gt;0,MOVIMIENTOS!$D108&amp;" "&amp;MOVIMIENTOS!$D108,"")))),"")</f>
        <v/>
      </c>
      <c r="P109" s="48" t="n">
        <f aca="false">N(P108)+N(M109)-N(N109)</f>
        <v>3993.5</v>
      </c>
      <c r="Q109" s="48"/>
      <c r="R109" s="48"/>
      <c r="S109" s="48"/>
      <c r="T109" s="48"/>
    </row>
    <row r="110" customFormat="false" ht="15" hidden="false" customHeight="true" outlineLevel="0" collapsed="false">
      <c r="A110" s="51" t="n">
        <f aca="false">IFERROR(INDEX(K$6:K$401,MATCH(ROW()-5,J$6:J$401,0)),"")</f>
        <v>46227</v>
      </c>
      <c r="B110" s="56" t="str">
        <f aca="false">IFERROR(INDEX(L$6:L$401,MATCH(ROW()-5,J$6:J$401,0)),"")</f>
        <v>REPROCESO</v>
      </c>
      <c r="C110" s="52" t="n">
        <f aca="false">IFERROR(INDEX(M$6:M$401,MATCH(ROW()-5,J$6:J$401,0)),"")</f>
        <v>11</v>
      </c>
      <c r="D110" s="52" t="str">
        <f aca="false">IFERROR(INDEX(N$6:N$401,MATCH(ROW()-5,J$6:J$401,0)),"")</f>
        <v/>
      </c>
      <c r="E110" s="56" t="str">
        <f aca="false">IFERROR(INDEX(O$6:O$401,MATCH(ROW()-5,J$6:J$401,0)),"")</f>
        <v>11 kg recuperados (merma del día: +11 kg)</v>
      </c>
      <c r="F110" s="52" t="n">
        <f aca="false">IFERROR(INDEX(P$6:P$401,MATCH(ROW()-5,J$6:J$401,0)),"")</f>
        <v>6127</v>
      </c>
      <c r="G110" s="48"/>
      <c r="H110" s="48"/>
      <c r="I110" s="48"/>
      <c r="J110" s="48" t="n">
        <f aca="false">IF(AND(MOVIMIENTOS!$B109&lt;&gt;"",NOT(AND(MOVIMIENTOS!$B109="PROCESO",MOVIMIENTOS!$C109&lt;&gt;"Chancho")),NOT(AND(MOVIMIENTOS!$B109="SALDO INICIAL",MOVIMIENTOS!$C109="Chancho"))),COUNT(J$6:J109)+1,"")</f>
        <v>66</v>
      </c>
      <c r="K110" s="53" t="n">
        <f aca="false">IF(AND(MOVIMIENTOS!$B109&lt;&gt;"",NOT(AND(MOVIMIENTOS!$B109="PROCESO",MOVIMIENTOS!$C109&lt;&gt;"Chancho")),NOT(AND(MOVIMIENTOS!$B109="SALDO INICIAL",MOVIMIENTOS!$C109="Chancho"))),MOVIMIENTOS!$A109,"")</f>
        <v>46223</v>
      </c>
      <c r="L110" s="48" t="str">
        <f aca="false">IF(AND(MOVIMIENTOS!$B109&lt;&gt;"",NOT(AND(MOVIMIENTOS!$B109="PROCESO",MOVIMIENTOS!$C109&lt;&gt;"Chancho")),NOT(AND(MOVIMIENTOS!$B109="SALDO INICIAL",MOVIMIENTOS!$C109="Chancho"))),IF(MOVIMIENTOS!$B109="SALDO INICIAL","APERTURA ("&amp;MOVIMIENTOS!$C109&amp;")",IF(MOVIMIENTOS!$B109="COMPRA","INGRESO (compra)",IF(MOVIMIENTOS!$B109="PROCESO","CHANCHO (proceso)",IF(MOVIMIENTOS!$B109="ENVÍO A SUPESA","ENVÍO cal. "&amp;MOVIMIENTOS!$C109,IF(MOVIMIENTOS!$B109="VENTA CHANCHO","VENTA CHANCHO",IF(MOVIMIENTOS!$B109="VENTA","VENTA cal. "&amp;MOVIMIENTOS!$C109,IF(MOVIMIENTOS!$B109="REGALO","REGALO "&amp;MOVIMIENTOS!$C109,IF(MOVIMIENTOS!$B109="RECHAZO","RECHAZO cal. "&amp;MOVIMIENTOS!$C109&amp;" (va a reproceso)",IF(MOVIMIENTOS!$B109="DEVOLUCIÓN","DEVOLUCIÓN cal. "&amp;MOVIMIENTOS!$C109&amp;" (regresa intacta)",IF(MOVIMIENTOS!$B109="TRASIEGO","TRASIEGO cal. "&amp;MOVIMIENTOS!$C109,MOVIMIENTOS!$B109)))))))))),"")</f>
        <v>TRASIEGO cal. C</v>
      </c>
      <c r="M110" s="48" t="str">
        <f aca="false">IF(AND(AND(MOVIMIENTOS!$B109&lt;&gt;"",NOT(AND(MOVIMIENTOS!$B109="PROCESO",MOVIMIENTOS!$C109&lt;&gt;"Chancho")),NOT(AND(MOVIMIENTOS!$B109="SALDO INICIAL",MOVIMIENTOS!$C109="Chancho"))),OR(MOVIMIENTOS!$B109="SALDO INICIAL",MOVIMIENTOS!$B109="COMPRA",MOVIMIENTOS!$B109="REPROCESO",MOVIMIENTOS!$B109="DEVOLUCIÓN",AND(MOVIMIENTOS!$B109="AJUSTE",MOVIMIENTOS!$C109&lt;&gt;"Chancho",N(MOVIMIENTOS!$F109)&gt;=0))),N(MOVIMIENTOS!$F109),"")</f>
        <v/>
      </c>
      <c r="N110" s="48" t="n">
        <f aca="false">IF(AND(AND(MOVIMIENTOS!$B109&lt;&gt;"",NOT(AND(MOVIMIENTOS!$B109="PROCESO",MOVIMIENTOS!$C109&lt;&gt;"Chancho")),NOT(AND(MOVIMIENTOS!$B109="SALDO INICIAL",MOVIMIENTOS!$C109="Chancho"))),OR(MOVIMIENTOS!$B109="ENVÍO A SUPESA",MOVIMIENTOS!$B109="MALOGRADO",MOVIMIENTOS!$B109="OTRA SALIDA",MOVIMIENTOS!$B109="TRASIEGO",AND(MOVIMIENTOS!$B109="PROCESO",MOVIMIENTOS!$C109="Chancho"),AND(MOVIMIENTOS!$B109="REGALO",MOVIMIENTOS!$C109&lt;&gt;"Chancho"),AND(MOVIMIENTOS!$B109="VENTA",MOVIMIENTOS!$C109&lt;&gt;"Chancho"),AND(MOVIMIENTOS!$B109="AJUSTE",MOVIMIENTOS!$C109&lt;&gt;"Chancho",N(MOVIMIENTOS!$F109)&lt;0))),IF(MOVIMIENTOS!$B109="AJUSTE",-N(MOVIMIENTOS!$F109),N(MOVIMIENTOS!$F109)),"")</f>
        <v>17</v>
      </c>
      <c r="O110" s="48" t="str">
        <f aca="false">IF(AND(MOVIMIENTOS!$B109&lt;&gt;"",NOT(AND(MOVIMIENTOS!$B109="PROCESO",MOVIMIENTOS!$C109&lt;&gt;"Chancho")),NOT(AND(MOVIMIENTOS!$B109="SALDO INICIAL",MOVIMIENTOS!$C109="Chancho"))),IF(MOVIMIENTOS!$B109="RECHAZO",MOVIMIENTOS!$E109&amp;" jabas rechazadas · van a reproceso",IF(MOVIMIENTOS!$B109="REPROCESO",MOVIMIENTOS!$E109&amp;" kg recuperados (merma del día: "&amp;TEXT(SUMPRODUCT((MOVIMIENTOS!$A$5:$A$400=MOVIMIENTOS!$A109)*(MOVIMIENTOS!$B$5:$B$400="RECHAZO")*(MOVIMIENTOS!$D$5:$D$400="jabas")*MOVIMIENTOS!$E$5:$E$400*IFERROR(_xlfn.SWITCH(MOVIMIENTOS!$C$5:$C$400,"A",15,"P",18,"C",17,"M",17,0),0))-SUMPRODUCT((MOVIMIENTOS!$A$5:$A$400=MOVIMIENTOS!$A109)*(MOVIMIENTOS!$B$5:$B$400="REPROCESO")*MOVIMIENTOS!$I$5:$I$400),"+#,##0;-#,##0;0")&amp;" kg)",TRIM(IF(MOVIMIENTOS!$G109&lt;&gt;"",MOVIMIENTOS!$G109&amp;"  ","")&amp;IF(N(MOVIMIENTOS!$D109)&gt;0,MOVIMIENTOS!$D109&amp;" "&amp;MOVIMIENTOS!$D109,"")))),"")</f>
        <v/>
      </c>
      <c r="P110" s="48" t="n">
        <f aca="false">N(P109)+N(M110)-N(N110)</f>
        <v>3976.5</v>
      </c>
      <c r="Q110" s="48"/>
      <c r="R110" s="48"/>
      <c r="S110" s="48"/>
      <c r="T110" s="48"/>
    </row>
    <row r="111" customFormat="false" ht="15" hidden="false" customHeight="true" outlineLevel="0" collapsed="false">
      <c r="A111" s="51" t="n">
        <f aca="false">IFERROR(INDEX(K$6:K$401,MATCH(ROW()-5,J$6:J$401,0)),"")</f>
        <v>46227</v>
      </c>
      <c r="B111" s="56" t="str">
        <f aca="false">IFERROR(INDEX(L$6:L$401,MATCH(ROW()-5,J$6:J$401,0)),"")</f>
        <v>RECHAZO cal. M (va a reproceso)</v>
      </c>
      <c r="C111" s="52" t="str">
        <f aca="false">IFERROR(INDEX(M$6:M$401,MATCH(ROW()-5,J$6:J$401,0)),"")</f>
        <v/>
      </c>
      <c r="D111" s="52" t="str">
        <f aca="false">IFERROR(INDEX(N$6:N$401,MATCH(ROW()-5,J$6:J$401,0)),"")</f>
        <v/>
      </c>
      <c r="E111" s="56" t="str">
        <f aca="false">IFERROR(INDEX(O$6:O$401,MATCH(ROW()-5,J$6:J$401,0)),"")</f>
        <v>1 jabas rechazadas · van a reproceso</v>
      </c>
      <c r="F111" s="52" t="n">
        <f aca="false">IFERROR(INDEX(P$6:P$401,MATCH(ROW()-5,J$6:J$401,0)),"")</f>
        <v>6127</v>
      </c>
      <c r="G111" s="48"/>
      <c r="H111" s="48"/>
      <c r="I111" s="48"/>
      <c r="J111" s="48" t="str">
        <f aca="false">IF(AND(MOVIMIENTOS!$B110&lt;&gt;"",NOT(AND(MOVIMIENTOS!$B110="PROCESO",MOVIMIENTOS!$C110&lt;&gt;"Chancho")),NOT(AND(MOVIMIENTOS!$B110="SALDO INICIAL",MOVIMIENTOS!$C110="Chancho"))),COUNT(J$6:J110)+1,"")</f>
        <v/>
      </c>
      <c r="K111" s="48" t="str">
        <f aca="false">IF(AND(MOVIMIENTOS!$B110&lt;&gt;"",NOT(AND(MOVIMIENTOS!$B110="PROCESO",MOVIMIENTOS!$C110&lt;&gt;"Chancho")),NOT(AND(MOVIMIENTOS!$B110="SALDO INICIAL",MOVIMIENTOS!$C110="Chancho"))),MOVIMIENTOS!$A110,"")</f>
        <v/>
      </c>
      <c r="L111" s="48" t="str">
        <f aca="false">IF(AND(MOVIMIENTOS!$B110&lt;&gt;"",NOT(AND(MOVIMIENTOS!$B110="PROCESO",MOVIMIENTOS!$C110&lt;&gt;"Chancho")),NOT(AND(MOVIMIENTOS!$B110="SALDO INICIAL",MOVIMIENTOS!$C110="Chancho"))),IF(MOVIMIENTOS!$B110="SALDO INICIAL","APERTURA ("&amp;MOVIMIENTOS!$C110&amp;")",IF(MOVIMIENTOS!$B110="COMPRA","INGRESO (compra)",IF(MOVIMIENTOS!$B110="PROCESO","CHANCHO (proceso)",IF(MOVIMIENTOS!$B110="ENVÍO A SUPESA","ENVÍO cal. "&amp;MOVIMIENTOS!$C110,IF(MOVIMIENTOS!$B110="VENTA CHANCHO","VENTA CHANCHO",IF(MOVIMIENTOS!$B110="VENTA","VENTA cal. "&amp;MOVIMIENTOS!$C110,IF(MOVIMIENTOS!$B110="REGALO","REGALO "&amp;MOVIMIENTOS!$C110,IF(MOVIMIENTOS!$B110="RECHAZO","RECHAZO cal. "&amp;MOVIMIENTOS!$C110&amp;" (va a reproceso)",IF(MOVIMIENTOS!$B110="DEVOLUCIÓN","DEVOLUCIÓN cal. "&amp;MOVIMIENTOS!$C110&amp;" (regresa intacta)",IF(MOVIMIENTOS!$B110="TRASIEGO","TRASIEGO cal. "&amp;MOVIMIENTOS!$C110,MOVIMIENTOS!$B110)))))))))),"")</f>
        <v/>
      </c>
      <c r="M111" s="48" t="str">
        <f aca="false">IF(AND(AND(MOVIMIENTOS!$B110&lt;&gt;"",NOT(AND(MOVIMIENTOS!$B110="PROCESO",MOVIMIENTOS!$C110&lt;&gt;"Chancho")),NOT(AND(MOVIMIENTOS!$B110="SALDO INICIAL",MOVIMIENTOS!$C110="Chancho"))),OR(MOVIMIENTOS!$B110="SALDO INICIAL",MOVIMIENTOS!$B110="COMPRA",MOVIMIENTOS!$B110="REPROCESO",MOVIMIENTOS!$B110="DEVOLUCIÓN",AND(MOVIMIENTOS!$B110="AJUSTE",MOVIMIENTOS!$C110&lt;&gt;"Chancho",N(MOVIMIENTOS!$F110)&gt;=0))),N(MOVIMIENTOS!$F110),"")</f>
        <v/>
      </c>
      <c r="N111" s="48" t="str">
        <f aca="false">IF(AND(AND(MOVIMIENTOS!$B110&lt;&gt;"",NOT(AND(MOVIMIENTOS!$B110="PROCESO",MOVIMIENTOS!$C110&lt;&gt;"Chancho")),NOT(AND(MOVIMIENTOS!$B110="SALDO INICIAL",MOVIMIENTOS!$C110="Chancho"))),OR(MOVIMIENTOS!$B110="ENVÍO A SUPESA",MOVIMIENTOS!$B110="MALOGRADO",MOVIMIENTOS!$B110="OTRA SALIDA",MOVIMIENTOS!$B110="TRASIEGO",AND(MOVIMIENTOS!$B110="PROCESO",MOVIMIENTOS!$C110="Chancho"),AND(MOVIMIENTOS!$B110="REGALO",MOVIMIENTOS!$C110&lt;&gt;"Chancho"),AND(MOVIMIENTOS!$B110="VENTA",MOVIMIENTOS!$C110&lt;&gt;"Chancho"),AND(MOVIMIENTOS!$B110="AJUSTE",MOVIMIENTOS!$C110&lt;&gt;"Chancho",N(MOVIMIENTOS!$F110)&lt;0))),IF(MOVIMIENTOS!$B110="AJUSTE",-N(MOVIMIENTOS!$F110),N(MOVIMIENTOS!$F110)),"")</f>
        <v/>
      </c>
      <c r="O111" s="48" t="str">
        <f aca="false">IF(AND(MOVIMIENTOS!$B110&lt;&gt;"",NOT(AND(MOVIMIENTOS!$B110="PROCESO",MOVIMIENTOS!$C110&lt;&gt;"Chancho")),NOT(AND(MOVIMIENTOS!$B110="SALDO INICIAL",MOVIMIENTOS!$C110="Chancho"))),IF(MOVIMIENTOS!$B110="RECHAZO",MOVIMIENTOS!$E110&amp;" jabas rechazadas · van a reproceso",IF(MOVIMIENTOS!$B110="REPROCESO",MOVIMIENTOS!$E110&amp;" kg recuperados (merma del día: "&amp;TEXT(SUMPRODUCT((MOVIMIENTOS!$A$5:$A$400=MOVIMIENTOS!$A110)*(MOVIMIENTOS!$B$5:$B$400="RECHAZO")*(MOVIMIENTOS!$D$5:$D$400="jabas")*MOVIMIENTOS!$E$5:$E$400*IFERROR(_xlfn.SWITCH(MOVIMIENTOS!$C$5:$C$400,"A",15,"P",18,"C",17,"M",17,0),0))-SUMPRODUCT((MOVIMIENTOS!$A$5:$A$400=MOVIMIENTOS!$A110)*(MOVIMIENTOS!$B$5:$B$400="REPROCESO")*MOVIMIENTOS!$I$5:$I$400),"+#,##0;-#,##0;0")&amp;" kg)",TRIM(IF(MOVIMIENTOS!$G110&lt;&gt;"",MOVIMIENTOS!$G110&amp;"  ","")&amp;IF(N(MOVIMIENTOS!$D110)&gt;0,MOVIMIENTOS!$D110&amp;" "&amp;MOVIMIENTOS!$D110,"")))),"")</f>
        <v/>
      </c>
      <c r="P111" s="48" t="n">
        <f aca="false">N(P110)+N(M111)-N(N111)</f>
        <v>3976.5</v>
      </c>
      <c r="Q111" s="48"/>
      <c r="R111" s="48"/>
      <c r="S111" s="48"/>
      <c r="T111" s="48"/>
    </row>
    <row r="112" customFormat="false" ht="15" hidden="false" customHeight="true" outlineLevel="0" collapsed="false">
      <c r="A112" s="51" t="n">
        <f aca="false">IFERROR(INDEX(K$6:K$401,MATCH(ROW()-5,J$6:J$401,0)),"")</f>
        <v>46227</v>
      </c>
      <c r="B112" s="56" t="str">
        <f aca="false">IFERROR(INDEX(L$6:L$401,MATCH(ROW()-5,J$6:J$401,0)),"")</f>
        <v>REPROCESO</v>
      </c>
      <c r="C112" s="52" t="n">
        <f aca="false">IFERROR(INDEX(M$6:M$401,MATCH(ROW()-5,J$6:J$401,0)),"")</f>
        <v>10</v>
      </c>
      <c r="D112" s="52" t="str">
        <f aca="false">IFERROR(INDEX(N$6:N$401,MATCH(ROW()-5,J$6:J$401,0)),"")</f>
        <v/>
      </c>
      <c r="E112" s="56" t="str">
        <f aca="false">IFERROR(INDEX(O$6:O$401,MATCH(ROW()-5,J$6:J$401,0)),"")</f>
        <v>10 kg recuperados (merma del día: +11 kg)</v>
      </c>
      <c r="F112" s="52" t="n">
        <f aca="false">IFERROR(INDEX(P$6:P$401,MATCH(ROW()-5,J$6:J$401,0)),"")</f>
        <v>6137</v>
      </c>
      <c r="G112" s="48"/>
      <c r="H112" s="48"/>
      <c r="I112" s="48"/>
      <c r="J112" s="48" t="str">
        <f aca="false">IF(AND(MOVIMIENTOS!$B111&lt;&gt;"",NOT(AND(MOVIMIENTOS!$B111="PROCESO",MOVIMIENTOS!$C111&lt;&gt;"Chancho")),NOT(AND(MOVIMIENTOS!$B111="SALDO INICIAL",MOVIMIENTOS!$C111="Chancho"))),COUNT(J$6:J111)+1,"")</f>
        <v/>
      </c>
      <c r="K112" s="48" t="str">
        <f aca="false">IF(AND(MOVIMIENTOS!$B111&lt;&gt;"",NOT(AND(MOVIMIENTOS!$B111="PROCESO",MOVIMIENTOS!$C111&lt;&gt;"Chancho")),NOT(AND(MOVIMIENTOS!$B111="SALDO INICIAL",MOVIMIENTOS!$C111="Chancho"))),MOVIMIENTOS!$A111,"")</f>
        <v/>
      </c>
      <c r="L112" s="48" t="str">
        <f aca="false">IF(AND(MOVIMIENTOS!$B111&lt;&gt;"",NOT(AND(MOVIMIENTOS!$B111="PROCESO",MOVIMIENTOS!$C111&lt;&gt;"Chancho")),NOT(AND(MOVIMIENTOS!$B111="SALDO INICIAL",MOVIMIENTOS!$C111="Chancho"))),IF(MOVIMIENTOS!$B111="SALDO INICIAL","APERTURA ("&amp;MOVIMIENTOS!$C111&amp;")",IF(MOVIMIENTOS!$B111="COMPRA","INGRESO (compra)",IF(MOVIMIENTOS!$B111="PROCESO","CHANCHO (proceso)",IF(MOVIMIENTOS!$B111="ENVÍO A SUPESA","ENVÍO cal. "&amp;MOVIMIENTOS!$C111,IF(MOVIMIENTOS!$B111="VENTA CHANCHO","VENTA CHANCHO",IF(MOVIMIENTOS!$B111="VENTA","VENTA cal. "&amp;MOVIMIENTOS!$C111,IF(MOVIMIENTOS!$B111="REGALO","REGALO "&amp;MOVIMIENTOS!$C111,IF(MOVIMIENTOS!$B111="RECHAZO","RECHAZO cal. "&amp;MOVIMIENTOS!$C111&amp;" (va a reproceso)",IF(MOVIMIENTOS!$B111="DEVOLUCIÓN","DEVOLUCIÓN cal. "&amp;MOVIMIENTOS!$C111&amp;" (regresa intacta)",IF(MOVIMIENTOS!$B111="TRASIEGO","TRASIEGO cal. "&amp;MOVIMIENTOS!$C111,MOVIMIENTOS!$B111)))))))))),"")</f>
        <v/>
      </c>
      <c r="M112" s="48" t="str">
        <f aca="false">IF(AND(AND(MOVIMIENTOS!$B111&lt;&gt;"",NOT(AND(MOVIMIENTOS!$B111="PROCESO",MOVIMIENTOS!$C111&lt;&gt;"Chancho")),NOT(AND(MOVIMIENTOS!$B111="SALDO INICIAL",MOVIMIENTOS!$C111="Chancho"))),OR(MOVIMIENTOS!$B111="SALDO INICIAL",MOVIMIENTOS!$B111="COMPRA",MOVIMIENTOS!$B111="REPROCESO",MOVIMIENTOS!$B111="DEVOLUCIÓN",AND(MOVIMIENTOS!$B111="AJUSTE",MOVIMIENTOS!$C111&lt;&gt;"Chancho",N(MOVIMIENTOS!$F111)&gt;=0))),N(MOVIMIENTOS!$F111),"")</f>
        <v/>
      </c>
      <c r="N112" s="48" t="str">
        <f aca="false">IF(AND(AND(MOVIMIENTOS!$B111&lt;&gt;"",NOT(AND(MOVIMIENTOS!$B111="PROCESO",MOVIMIENTOS!$C111&lt;&gt;"Chancho")),NOT(AND(MOVIMIENTOS!$B111="SALDO INICIAL",MOVIMIENTOS!$C111="Chancho"))),OR(MOVIMIENTOS!$B111="ENVÍO A SUPESA",MOVIMIENTOS!$B111="MALOGRADO",MOVIMIENTOS!$B111="OTRA SALIDA",MOVIMIENTOS!$B111="TRASIEGO",AND(MOVIMIENTOS!$B111="PROCESO",MOVIMIENTOS!$C111="Chancho"),AND(MOVIMIENTOS!$B111="REGALO",MOVIMIENTOS!$C111&lt;&gt;"Chancho"),AND(MOVIMIENTOS!$B111="VENTA",MOVIMIENTOS!$C111&lt;&gt;"Chancho"),AND(MOVIMIENTOS!$B111="AJUSTE",MOVIMIENTOS!$C111&lt;&gt;"Chancho",N(MOVIMIENTOS!$F111)&lt;0))),IF(MOVIMIENTOS!$B111="AJUSTE",-N(MOVIMIENTOS!$F111),N(MOVIMIENTOS!$F111)),"")</f>
        <v/>
      </c>
      <c r="O112" s="48" t="str">
        <f aca="false">IF(AND(MOVIMIENTOS!$B111&lt;&gt;"",NOT(AND(MOVIMIENTOS!$B111="PROCESO",MOVIMIENTOS!$C111&lt;&gt;"Chancho")),NOT(AND(MOVIMIENTOS!$B111="SALDO INICIAL",MOVIMIENTOS!$C111="Chancho"))),IF(MOVIMIENTOS!$B111="RECHAZO",MOVIMIENTOS!$E111&amp;" jabas rechazadas · van a reproceso",IF(MOVIMIENTOS!$B111="REPROCESO",MOVIMIENTOS!$E111&amp;" kg recuperados (merma del día: "&amp;TEXT(SUMPRODUCT((MOVIMIENTOS!$A$5:$A$400=MOVIMIENTOS!$A111)*(MOVIMIENTOS!$B$5:$B$400="RECHAZO")*(MOVIMIENTOS!$D$5:$D$400="jabas")*MOVIMIENTOS!$E$5:$E$400*IFERROR(_xlfn.SWITCH(MOVIMIENTOS!$C$5:$C$400,"A",15,"P",18,"C",17,"M",17,0),0))-SUMPRODUCT((MOVIMIENTOS!$A$5:$A$400=MOVIMIENTOS!$A111)*(MOVIMIENTOS!$B$5:$B$400="REPROCESO")*MOVIMIENTOS!$I$5:$I$400),"+#,##0;-#,##0;0")&amp;" kg)",TRIM(IF(MOVIMIENTOS!$G111&lt;&gt;"",MOVIMIENTOS!$G111&amp;"  ","")&amp;IF(N(MOVIMIENTOS!$D111)&gt;0,MOVIMIENTOS!$D111&amp;" "&amp;MOVIMIENTOS!$D111,"")))),"")</f>
        <v/>
      </c>
      <c r="P112" s="48" t="n">
        <f aca="false">N(P111)+N(M112)-N(N112)</f>
        <v>3976.5</v>
      </c>
      <c r="Q112" s="48"/>
      <c r="R112" s="48"/>
      <c r="S112" s="48"/>
      <c r="T112" s="48"/>
    </row>
    <row r="113" customFormat="false" ht="15" hidden="false" customHeight="true" outlineLevel="0" collapsed="false">
      <c r="A113" s="51" t="n">
        <f aca="false">IFERROR(INDEX(K$6:K$401,MATCH(ROW()-5,J$6:J$401,0)),"")</f>
        <v>46227</v>
      </c>
      <c r="B113" s="56" t="str">
        <f aca="false">IFERROR(INDEX(L$6:L$401,MATCH(ROW()-5,J$6:J$401,0)),"")</f>
        <v>VENTA CHANCHO</v>
      </c>
      <c r="C113" s="52" t="str">
        <f aca="false">IFERROR(INDEX(M$6:M$401,MATCH(ROW()-5,J$6:J$401,0)),"")</f>
        <v/>
      </c>
      <c r="D113" s="52" t="str">
        <f aca="false">IFERROR(INDEX(N$6:N$401,MATCH(ROW()-5,J$6:J$401,0)),"")</f>
        <v/>
      </c>
      <c r="E113" s="56" t="str">
        <f aca="false">IFERROR(INDEX(O$6:O$401,MATCH(ROW()-5,J$6:J$401,0)),"")</f>
        <v>TCK002-729</v>
      </c>
      <c r="F113" s="52" t="n">
        <f aca="false">IFERROR(INDEX(P$6:P$401,MATCH(ROW()-5,J$6:J$401,0)),"")</f>
        <v>6137</v>
      </c>
      <c r="G113" s="48"/>
      <c r="H113" s="48"/>
      <c r="I113" s="48"/>
      <c r="J113" s="48" t="n">
        <f aca="false">IF(AND(MOVIMIENTOS!$B112&lt;&gt;"",NOT(AND(MOVIMIENTOS!$B112="PROCESO",MOVIMIENTOS!$C112&lt;&gt;"Chancho")),NOT(AND(MOVIMIENTOS!$B112="SALDO INICIAL",MOVIMIENTOS!$C112="Chancho"))),COUNT(J$6:J112)+1,"")</f>
        <v>67</v>
      </c>
      <c r="K113" s="53" t="n">
        <f aca="false">IF(AND(MOVIMIENTOS!$B112&lt;&gt;"",NOT(AND(MOVIMIENTOS!$B112="PROCESO",MOVIMIENTOS!$C112&lt;&gt;"Chancho")),NOT(AND(MOVIMIENTOS!$B112="SALDO INICIAL",MOVIMIENTOS!$C112="Chancho"))),MOVIMIENTOS!$A112,"")</f>
        <v>46224</v>
      </c>
      <c r="L113" s="48" t="str">
        <f aca="false">IF(AND(MOVIMIENTOS!$B112&lt;&gt;"",NOT(AND(MOVIMIENTOS!$B112="PROCESO",MOVIMIENTOS!$C112&lt;&gt;"Chancho")),NOT(AND(MOVIMIENTOS!$B112="SALDO INICIAL",MOVIMIENTOS!$C112="Chancho"))),IF(MOVIMIENTOS!$B112="SALDO INICIAL","APERTURA ("&amp;MOVIMIENTOS!$C112&amp;")",IF(MOVIMIENTOS!$B112="COMPRA","INGRESO (compra)",IF(MOVIMIENTOS!$B112="PROCESO","CHANCHO (proceso)",IF(MOVIMIENTOS!$B112="ENVÍO A SUPESA","ENVÍO cal. "&amp;MOVIMIENTOS!$C112,IF(MOVIMIENTOS!$B112="VENTA CHANCHO","VENTA CHANCHO",IF(MOVIMIENTOS!$B112="VENTA","VENTA cal. "&amp;MOVIMIENTOS!$C112,IF(MOVIMIENTOS!$B112="REGALO","REGALO "&amp;MOVIMIENTOS!$C112,IF(MOVIMIENTOS!$B112="RECHAZO","RECHAZO cal. "&amp;MOVIMIENTOS!$C112&amp;" (va a reproceso)",IF(MOVIMIENTOS!$B112="DEVOLUCIÓN","DEVOLUCIÓN cal. "&amp;MOVIMIENTOS!$C112&amp;" (regresa intacta)",IF(MOVIMIENTOS!$B112="TRASIEGO","TRASIEGO cal. "&amp;MOVIMIENTOS!$C112,MOVIMIENTOS!$B112)))))))))),"")</f>
        <v>CHANCHO (proceso)</v>
      </c>
      <c r="M113" s="48" t="str">
        <f aca="false">IF(AND(AND(MOVIMIENTOS!$B112&lt;&gt;"",NOT(AND(MOVIMIENTOS!$B112="PROCESO",MOVIMIENTOS!$C112&lt;&gt;"Chancho")),NOT(AND(MOVIMIENTOS!$B112="SALDO INICIAL",MOVIMIENTOS!$C112="Chancho"))),OR(MOVIMIENTOS!$B112="SALDO INICIAL",MOVIMIENTOS!$B112="COMPRA",MOVIMIENTOS!$B112="REPROCESO",MOVIMIENTOS!$B112="DEVOLUCIÓN",AND(MOVIMIENTOS!$B112="AJUSTE",MOVIMIENTOS!$C112&lt;&gt;"Chancho",N(MOVIMIENTOS!$F112)&gt;=0))),N(MOVIMIENTOS!$F112),"")</f>
        <v/>
      </c>
      <c r="N113" s="48" t="n">
        <f aca="false">IF(AND(AND(MOVIMIENTOS!$B112&lt;&gt;"",NOT(AND(MOVIMIENTOS!$B112="PROCESO",MOVIMIENTOS!$C112&lt;&gt;"Chancho")),NOT(AND(MOVIMIENTOS!$B112="SALDO INICIAL",MOVIMIENTOS!$C112="Chancho"))),OR(MOVIMIENTOS!$B112="ENVÍO A SUPESA",MOVIMIENTOS!$B112="MALOGRADO",MOVIMIENTOS!$B112="OTRA SALIDA",MOVIMIENTOS!$B112="TRASIEGO",AND(MOVIMIENTOS!$B112="PROCESO",MOVIMIENTOS!$C112="Chancho"),AND(MOVIMIENTOS!$B112="REGALO",MOVIMIENTOS!$C112&lt;&gt;"Chancho"),AND(MOVIMIENTOS!$B112="VENTA",MOVIMIENTOS!$C112&lt;&gt;"Chancho"),AND(MOVIMIENTOS!$B112="AJUSTE",MOVIMIENTOS!$C112&lt;&gt;"Chancho",N(MOVIMIENTOS!$F112)&lt;0))),IF(MOVIMIENTOS!$B112="AJUSTE",-N(MOVIMIENTOS!$F112),N(MOVIMIENTOS!$F112)),"")</f>
        <v>285</v>
      </c>
      <c r="O113" s="48" t="str">
        <f aca="false">IF(AND(MOVIMIENTOS!$B112&lt;&gt;"",NOT(AND(MOVIMIENTOS!$B112="PROCESO",MOVIMIENTOS!$C112&lt;&gt;"Chancho")),NOT(AND(MOVIMIENTOS!$B112="SALDO INICIAL",MOVIMIENTOS!$C112="Chancho"))),IF(MOVIMIENTOS!$B112="RECHAZO",MOVIMIENTOS!$E112&amp;" jabas rechazadas · van a reproceso",IF(MOVIMIENTOS!$B112="REPROCESO",MOVIMIENTOS!$E112&amp;" kg recuperados (merma del día: "&amp;TEXT(SUMPRODUCT((MOVIMIENTOS!$A$5:$A$400=MOVIMIENTOS!$A112)*(MOVIMIENTOS!$B$5:$B$400="RECHAZO")*(MOVIMIENTOS!$D$5:$D$400="jabas")*MOVIMIENTOS!$E$5:$E$400*IFERROR(_xlfn.SWITCH(MOVIMIENTOS!$C$5:$C$400,"A",15,"P",18,"C",17,"M",17,0),0))-SUMPRODUCT((MOVIMIENTOS!$A$5:$A$400=MOVIMIENTOS!$A112)*(MOVIMIENTOS!$B$5:$B$400="REPROCESO")*MOVIMIENTOS!$I$5:$I$400),"+#,##0;-#,##0;0")&amp;" kg)",TRIM(IF(MOVIMIENTOS!$G112&lt;&gt;"",MOVIMIENTOS!$G112&amp;"  ","")&amp;IF(N(MOVIMIENTOS!$D112)&gt;0,MOVIMIENTOS!$D112&amp;" "&amp;MOVIMIENTOS!$D112,"")))),"")</f>
        <v/>
      </c>
      <c r="P113" s="48" t="n">
        <f aca="false">N(P112)+N(M113)-N(N113)</f>
        <v>3691.5</v>
      </c>
      <c r="Q113" s="48"/>
      <c r="R113" s="48"/>
      <c r="S113" s="48"/>
      <c r="T113" s="48"/>
    </row>
    <row r="114" customFormat="false" ht="15" hidden="false" customHeight="true" outlineLevel="0" collapsed="false">
      <c r="A114" s="51" t="n">
        <f aca="false">IFERROR(INDEX(K$6:K$401,MATCH(ROW()-5,J$6:J$401,0)),"")</f>
        <v>46227</v>
      </c>
      <c r="B114" s="56" t="str">
        <f aca="false">IFERROR(INDEX(L$6:L$401,MATCH(ROW()-5,J$6:J$401,0)),"")</f>
        <v>VENTA CHANCHO</v>
      </c>
      <c r="C114" s="52" t="str">
        <f aca="false">IFERROR(INDEX(M$6:M$401,MATCH(ROW()-5,J$6:J$401,0)),"")</f>
        <v/>
      </c>
      <c r="D114" s="52" t="str">
        <f aca="false">IFERROR(INDEX(N$6:N$401,MATCH(ROW()-5,J$6:J$401,0)),"")</f>
        <v/>
      </c>
      <c r="E114" s="56" t="str">
        <f aca="false">IFERROR(INDEX(O$6:O$401,MATCH(ROW()-5,J$6:J$401,0)),"")</f>
        <v/>
      </c>
      <c r="F114" s="52" t="n">
        <f aca="false">IFERROR(INDEX(P$6:P$401,MATCH(ROW()-5,J$6:J$401,0)),"")</f>
        <v>6137</v>
      </c>
      <c r="G114" s="48"/>
      <c r="H114" s="48"/>
      <c r="I114" s="48"/>
      <c r="J114" s="48" t="n">
        <f aca="false">IF(AND(MOVIMIENTOS!$B113&lt;&gt;"",NOT(AND(MOVIMIENTOS!$B113="PROCESO",MOVIMIENTOS!$C113&lt;&gt;"Chancho")),NOT(AND(MOVIMIENTOS!$B113="SALDO INICIAL",MOVIMIENTOS!$C113="Chancho"))),COUNT(J$6:J113)+1,"")</f>
        <v>68</v>
      </c>
      <c r="K114" s="53" t="n">
        <f aca="false">IF(AND(MOVIMIENTOS!$B113&lt;&gt;"",NOT(AND(MOVIMIENTOS!$B113="PROCESO",MOVIMIENTOS!$C113&lt;&gt;"Chancho")),NOT(AND(MOVIMIENTOS!$B113="SALDO INICIAL",MOVIMIENTOS!$C113="Chancho"))),MOVIMIENTOS!$A113,"")</f>
        <v>46224</v>
      </c>
      <c r="L114" s="48" t="str">
        <f aca="false">IF(AND(MOVIMIENTOS!$B113&lt;&gt;"",NOT(AND(MOVIMIENTOS!$B113="PROCESO",MOVIMIENTOS!$C113&lt;&gt;"Chancho")),NOT(AND(MOVIMIENTOS!$B113="SALDO INICIAL",MOVIMIENTOS!$C113="Chancho"))),IF(MOVIMIENTOS!$B113="SALDO INICIAL","APERTURA ("&amp;MOVIMIENTOS!$C113&amp;")",IF(MOVIMIENTOS!$B113="COMPRA","INGRESO (compra)",IF(MOVIMIENTOS!$B113="PROCESO","CHANCHO (proceso)",IF(MOVIMIENTOS!$B113="ENVÍO A SUPESA","ENVÍO cal. "&amp;MOVIMIENTOS!$C113,IF(MOVIMIENTOS!$B113="VENTA CHANCHO","VENTA CHANCHO",IF(MOVIMIENTOS!$B113="VENTA","VENTA cal. "&amp;MOVIMIENTOS!$C113,IF(MOVIMIENTOS!$B113="REGALO","REGALO "&amp;MOVIMIENTOS!$C113,IF(MOVIMIENTOS!$B113="RECHAZO","RECHAZO cal. "&amp;MOVIMIENTOS!$C113&amp;" (va a reproceso)",IF(MOVIMIENTOS!$B113="DEVOLUCIÓN","DEVOLUCIÓN cal. "&amp;MOVIMIENTOS!$C113&amp;" (regresa intacta)",IF(MOVIMIENTOS!$B113="TRASIEGO","TRASIEGO cal. "&amp;MOVIMIENTOS!$C113,MOVIMIENTOS!$B113)))))))))),"")</f>
        <v>INGRESO (compra)</v>
      </c>
      <c r="M114" s="48" t="n">
        <f aca="false">IF(AND(AND(MOVIMIENTOS!$B113&lt;&gt;"",NOT(AND(MOVIMIENTOS!$B113="PROCESO",MOVIMIENTOS!$C113&lt;&gt;"Chancho")),NOT(AND(MOVIMIENTOS!$B113="SALDO INICIAL",MOVIMIENTOS!$C113="Chancho"))),OR(MOVIMIENTOS!$B113="SALDO INICIAL",MOVIMIENTOS!$B113="COMPRA",MOVIMIENTOS!$B113="REPROCESO",MOVIMIENTOS!$B113="DEVOLUCIÓN",AND(MOVIMIENTOS!$B113="AJUSTE",MOVIMIENTOS!$C113&lt;&gt;"Chancho",N(MOVIMIENTOS!$F113)&gt;=0))),N(MOVIMIENTOS!$F113),"")</f>
        <v>6650</v>
      </c>
      <c r="N114" s="48" t="str">
        <f aca="false">IF(AND(AND(MOVIMIENTOS!$B113&lt;&gt;"",NOT(AND(MOVIMIENTOS!$B113="PROCESO",MOVIMIENTOS!$C113&lt;&gt;"Chancho")),NOT(AND(MOVIMIENTOS!$B113="SALDO INICIAL",MOVIMIENTOS!$C113="Chancho"))),OR(MOVIMIENTOS!$B113="ENVÍO A SUPESA",MOVIMIENTOS!$B113="MALOGRADO",MOVIMIENTOS!$B113="OTRA SALIDA",MOVIMIENTOS!$B113="TRASIEGO",AND(MOVIMIENTOS!$B113="PROCESO",MOVIMIENTOS!$C113="Chancho"),AND(MOVIMIENTOS!$B113="REGALO",MOVIMIENTOS!$C113&lt;&gt;"Chancho"),AND(MOVIMIENTOS!$B113="VENTA",MOVIMIENTOS!$C113&lt;&gt;"Chancho"),AND(MOVIMIENTOS!$B113="AJUSTE",MOVIMIENTOS!$C113&lt;&gt;"Chancho",N(MOVIMIENTOS!$F113)&lt;0))),IF(MOVIMIENTOS!$B113="AJUSTE",-N(MOVIMIENTOS!$F113),N(MOVIMIENTOS!$F113)),"")</f>
        <v/>
      </c>
      <c r="O114" s="48" t="str">
        <f aca="false">IF(AND(MOVIMIENTOS!$B113&lt;&gt;"",NOT(AND(MOVIMIENTOS!$B113="PROCESO",MOVIMIENTOS!$C113&lt;&gt;"Chancho")),NOT(AND(MOVIMIENTOS!$B113="SALDO INICIAL",MOVIMIENTOS!$C113="Chancho"))),IF(MOVIMIENTOS!$B113="RECHAZO",MOVIMIENTOS!$E113&amp;" jabas rechazadas · van a reproceso",IF(MOVIMIENTOS!$B113="REPROCESO",MOVIMIENTOS!$E113&amp;" kg recuperados (merma del día: "&amp;TEXT(SUMPRODUCT((MOVIMIENTOS!$A$5:$A$400=MOVIMIENTOS!$A113)*(MOVIMIENTOS!$B$5:$B$400="RECHAZO")*(MOVIMIENTOS!$D$5:$D$400="jabas")*MOVIMIENTOS!$E$5:$E$400*IFERROR(_xlfn.SWITCH(MOVIMIENTOS!$C$5:$C$400,"A",15,"P",18,"C",17,"M",17,0),0))-SUMPRODUCT((MOVIMIENTOS!$A$5:$A$400=MOVIMIENTOS!$A113)*(MOVIMIENTOS!$B$5:$B$400="REPROCESO")*MOVIMIENTOS!$I$5:$I$400),"+#,##0;-#,##0;0")&amp;" kg)",TRIM(IF(MOVIMIENTOS!$G113&lt;&gt;"",MOVIMIENTOS!$G113&amp;"  ","")&amp;IF(N(MOVIMIENTOS!$D113)&gt;0,MOVIMIENTOS!$D113&amp;" "&amp;MOVIMIENTOS!$D113,"")))),"")</f>
        <v/>
      </c>
      <c r="P114" s="48" t="n">
        <f aca="false">N(P113)+N(M114)-N(N114)</f>
        <v>10341.5</v>
      </c>
      <c r="Q114" s="48"/>
      <c r="R114" s="48"/>
      <c r="S114" s="48"/>
      <c r="T114" s="48"/>
    </row>
    <row r="115" customFormat="false" ht="15" hidden="false" customHeight="true" outlineLevel="0" collapsed="false">
      <c r="A115" s="51" t="n">
        <f aca="false">IFERROR(INDEX(K$6:K$401,MATCH(ROW()-5,J$6:J$401,0)),"")</f>
        <v>46227</v>
      </c>
      <c r="B115" s="56" t="str">
        <f aca="false">IFERROR(INDEX(L$6:L$401,MATCH(ROW()-5,J$6:J$401,0)),"")</f>
        <v>ENVIO A TOTTUS</v>
      </c>
      <c r="C115" s="52" t="str">
        <f aca="false">IFERROR(INDEX(M$6:M$401,MATCH(ROW()-5,J$6:J$401,0)),"")</f>
        <v/>
      </c>
      <c r="D115" s="52" t="str">
        <f aca="false">IFERROR(INDEX(N$6:N$401,MATCH(ROW()-5,J$6:J$401,0)),"")</f>
        <v/>
      </c>
      <c r="E115" s="56" t="str">
        <f aca="false">IFERROR(INDEX(O$6:O$401,MATCH(ROW()-5,J$6:J$401,0)),"")</f>
        <v/>
      </c>
      <c r="F115" s="52" t="n">
        <f aca="false">IFERROR(INDEX(P$6:P$401,MATCH(ROW()-5,J$6:J$401,0)),"")</f>
        <v>6137</v>
      </c>
      <c r="G115" s="48"/>
      <c r="H115" s="48"/>
      <c r="I115" s="48"/>
      <c r="J115" s="48" t="str">
        <f aca="false">IF(AND(MOVIMIENTOS!$B114&lt;&gt;"",NOT(AND(MOVIMIENTOS!$B114="PROCESO",MOVIMIENTOS!$C114&lt;&gt;"Chancho")),NOT(AND(MOVIMIENTOS!$B114="SALDO INICIAL",MOVIMIENTOS!$C114="Chancho"))),COUNT(J$6:J114)+1,"")</f>
        <v/>
      </c>
      <c r="K115" s="48" t="str">
        <f aca="false">IF(AND(MOVIMIENTOS!$B114&lt;&gt;"",NOT(AND(MOVIMIENTOS!$B114="PROCESO",MOVIMIENTOS!$C114&lt;&gt;"Chancho")),NOT(AND(MOVIMIENTOS!$B114="SALDO INICIAL",MOVIMIENTOS!$C114="Chancho"))),MOVIMIENTOS!$A114,"")</f>
        <v/>
      </c>
      <c r="L115" s="48" t="str">
        <f aca="false">IF(AND(MOVIMIENTOS!$B114&lt;&gt;"",NOT(AND(MOVIMIENTOS!$B114="PROCESO",MOVIMIENTOS!$C114&lt;&gt;"Chancho")),NOT(AND(MOVIMIENTOS!$B114="SALDO INICIAL",MOVIMIENTOS!$C114="Chancho"))),IF(MOVIMIENTOS!$B114="SALDO INICIAL","APERTURA ("&amp;MOVIMIENTOS!$C114&amp;")",IF(MOVIMIENTOS!$B114="COMPRA","INGRESO (compra)",IF(MOVIMIENTOS!$B114="PROCESO","CHANCHO (proceso)",IF(MOVIMIENTOS!$B114="ENVÍO A SUPESA","ENVÍO cal. "&amp;MOVIMIENTOS!$C114,IF(MOVIMIENTOS!$B114="VENTA CHANCHO","VENTA CHANCHO",IF(MOVIMIENTOS!$B114="VENTA","VENTA cal. "&amp;MOVIMIENTOS!$C114,IF(MOVIMIENTOS!$B114="REGALO","REGALO "&amp;MOVIMIENTOS!$C114,IF(MOVIMIENTOS!$B114="RECHAZO","RECHAZO cal. "&amp;MOVIMIENTOS!$C114&amp;" (va a reproceso)",IF(MOVIMIENTOS!$B114="DEVOLUCIÓN","DEVOLUCIÓN cal. "&amp;MOVIMIENTOS!$C114&amp;" (regresa intacta)",IF(MOVIMIENTOS!$B114="TRASIEGO","TRASIEGO cal. "&amp;MOVIMIENTOS!$C114,MOVIMIENTOS!$B114)))))))))),"")</f>
        <v/>
      </c>
      <c r="M115" s="48" t="str">
        <f aca="false">IF(AND(AND(MOVIMIENTOS!$B114&lt;&gt;"",NOT(AND(MOVIMIENTOS!$B114="PROCESO",MOVIMIENTOS!$C114&lt;&gt;"Chancho")),NOT(AND(MOVIMIENTOS!$B114="SALDO INICIAL",MOVIMIENTOS!$C114="Chancho"))),OR(MOVIMIENTOS!$B114="SALDO INICIAL",MOVIMIENTOS!$B114="COMPRA",MOVIMIENTOS!$B114="REPROCESO",MOVIMIENTOS!$B114="DEVOLUCIÓN",AND(MOVIMIENTOS!$B114="AJUSTE",MOVIMIENTOS!$C114&lt;&gt;"Chancho",N(MOVIMIENTOS!$F114)&gt;=0))),N(MOVIMIENTOS!$F114),"")</f>
        <v/>
      </c>
      <c r="N115" s="48" t="str">
        <f aca="false">IF(AND(AND(MOVIMIENTOS!$B114&lt;&gt;"",NOT(AND(MOVIMIENTOS!$B114="PROCESO",MOVIMIENTOS!$C114&lt;&gt;"Chancho")),NOT(AND(MOVIMIENTOS!$B114="SALDO INICIAL",MOVIMIENTOS!$C114="Chancho"))),OR(MOVIMIENTOS!$B114="ENVÍO A SUPESA",MOVIMIENTOS!$B114="MALOGRADO",MOVIMIENTOS!$B114="OTRA SALIDA",MOVIMIENTOS!$B114="TRASIEGO",AND(MOVIMIENTOS!$B114="PROCESO",MOVIMIENTOS!$C114="Chancho"),AND(MOVIMIENTOS!$B114="REGALO",MOVIMIENTOS!$C114&lt;&gt;"Chancho"),AND(MOVIMIENTOS!$B114="VENTA",MOVIMIENTOS!$C114&lt;&gt;"Chancho"),AND(MOVIMIENTOS!$B114="AJUSTE",MOVIMIENTOS!$C114&lt;&gt;"Chancho",N(MOVIMIENTOS!$F114)&lt;0))),IF(MOVIMIENTOS!$B114="AJUSTE",-N(MOVIMIENTOS!$F114),N(MOVIMIENTOS!$F114)),"")</f>
        <v/>
      </c>
      <c r="O115" s="48" t="str">
        <f aca="false">IF(AND(MOVIMIENTOS!$B114&lt;&gt;"",NOT(AND(MOVIMIENTOS!$B114="PROCESO",MOVIMIENTOS!$C114&lt;&gt;"Chancho")),NOT(AND(MOVIMIENTOS!$B114="SALDO INICIAL",MOVIMIENTOS!$C114="Chancho"))),IF(MOVIMIENTOS!$B114="RECHAZO",MOVIMIENTOS!$E114&amp;" jabas rechazadas · van a reproceso",IF(MOVIMIENTOS!$B114="REPROCESO",MOVIMIENTOS!$E114&amp;" kg recuperados (merma del día: "&amp;TEXT(SUMPRODUCT((MOVIMIENTOS!$A$5:$A$400=MOVIMIENTOS!$A114)*(MOVIMIENTOS!$B$5:$B$400="RECHAZO")*(MOVIMIENTOS!$D$5:$D$400="jabas")*MOVIMIENTOS!$E$5:$E$400*IFERROR(_xlfn.SWITCH(MOVIMIENTOS!$C$5:$C$400,"A",15,"P",18,"C",17,"M",17,0),0))-SUMPRODUCT((MOVIMIENTOS!$A$5:$A$400=MOVIMIENTOS!$A114)*(MOVIMIENTOS!$B$5:$B$400="REPROCESO")*MOVIMIENTOS!$I$5:$I$400),"+#,##0;-#,##0;0")&amp;" kg)",TRIM(IF(MOVIMIENTOS!$G114&lt;&gt;"",MOVIMIENTOS!$G114&amp;"  ","")&amp;IF(N(MOVIMIENTOS!$D114)&gt;0,MOVIMIENTOS!$D114&amp;" "&amp;MOVIMIENTOS!$D114,"")))),"")</f>
        <v/>
      </c>
      <c r="P115" s="48" t="n">
        <f aca="false">N(P114)+N(M115)-N(N115)</f>
        <v>10341.5</v>
      </c>
      <c r="Q115" s="48"/>
      <c r="R115" s="48"/>
      <c r="S115" s="48"/>
      <c r="T115" s="48"/>
    </row>
    <row r="116" customFormat="false" ht="15" hidden="false" customHeight="true" outlineLevel="0" collapsed="false">
      <c r="A116" s="51" t="n">
        <f aca="false">IFERROR(INDEX(K$6:K$401,MATCH(ROW()-5,J$6:J$401,0)),"")</f>
        <v>46228</v>
      </c>
      <c r="B116" s="56" t="str">
        <f aca="false">IFERROR(INDEX(L$6:L$401,MATCH(ROW()-5,J$6:J$401,0)),"")</f>
        <v>ENVÍO cal. A</v>
      </c>
      <c r="C116" s="52" t="str">
        <f aca="false">IFERROR(INDEX(M$6:M$401,MATCH(ROW()-5,J$6:J$401,0)),"")</f>
        <v/>
      </c>
      <c r="D116" s="52" t="n">
        <f aca="false">IFERROR(INDEX(N$6:N$401,MATCH(ROW()-5,J$6:J$401,0)),"")</f>
        <v>1005</v>
      </c>
      <c r="E116" s="56" t="str">
        <f aca="false">IFERROR(INDEX(O$6:O$401,MATCH(ROW()-5,J$6:J$401,0)),"")</f>
        <v>3014</v>
      </c>
      <c r="F116" s="52" t="n">
        <f aca="false">IFERROR(INDEX(P$6:P$401,MATCH(ROW()-5,J$6:J$401,0)),"")</f>
        <v>5132</v>
      </c>
      <c r="G116" s="48"/>
      <c r="H116" s="48"/>
      <c r="I116" s="48"/>
      <c r="J116" s="48" t="str">
        <f aca="false">IF(AND(MOVIMIENTOS!$B115&lt;&gt;"",NOT(AND(MOVIMIENTOS!$B115="PROCESO",MOVIMIENTOS!$C115&lt;&gt;"Chancho")),NOT(AND(MOVIMIENTOS!$B115="SALDO INICIAL",MOVIMIENTOS!$C115="Chancho"))),COUNT(J$6:J115)+1,"")</f>
        <v/>
      </c>
      <c r="K116" s="48" t="str">
        <f aca="false">IF(AND(MOVIMIENTOS!$B115&lt;&gt;"",NOT(AND(MOVIMIENTOS!$B115="PROCESO",MOVIMIENTOS!$C115&lt;&gt;"Chancho")),NOT(AND(MOVIMIENTOS!$B115="SALDO INICIAL",MOVIMIENTOS!$C115="Chancho"))),MOVIMIENTOS!$A115,"")</f>
        <v/>
      </c>
      <c r="L116" s="48" t="str">
        <f aca="false">IF(AND(MOVIMIENTOS!$B115&lt;&gt;"",NOT(AND(MOVIMIENTOS!$B115="PROCESO",MOVIMIENTOS!$C115&lt;&gt;"Chancho")),NOT(AND(MOVIMIENTOS!$B115="SALDO INICIAL",MOVIMIENTOS!$C115="Chancho"))),IF(MOVIMIENTOS!$B115="SALDO INICIAL","APERTURA ("&amp;MOVIMIENTOS!$C115&amp;")",IF(MOVIMIENTOS!$B115="COMPRA","INGRESO (compra)",IF(MOVIMIENTOS!$B115="PROCESO","CHANCHO (proceso)",IF(MOVIMIENTOS!$B115="ENVÍO A SUPESA","ENVÍO cal. "&amp;MOVIMIENTOS!$C115,IF(MOVIMIENTOS!$B115="VENTA CHANCHO","VENTA CHANCHO",IF(MOVIMIENTOS!$B115="VENTA","VENTA cal. "&amp;MOVIMIENTOS!$C115,IF(MOVIMIENTOS!$B115="REGALO","REGALO "&amp;MOVIMIENTOS!$C115,IF(MOVIMIENTOS!$B115="RECHAZO","RECHAZO cal. "&amp;MOVIMIENTOS!$C115&amp;" (va a reproceso)",IF(MOVIMIENTOS!$B115="DEVOLUCIÓN","DEVOLUCIÓN cal. "&amp;MOVIMIENTOS!$C115&amp;" (regresa intacta)",IF(MOVIMIENTOS!$B115="TRASIEGO","TRASIEGO cal. "&amp;MOVIMIENTOS!$C115,MOVIMIENTOS!$B115)))))))))),"")</f>
        <v/>
      </c>
      <c r="M116" s="48" t="str">
        <f aca="false">IF(AND(AND(MOVIMIENTOS!$B115&lt;&gt;"",NOT(AND(MOVIMIENTOS!$B115="PROCESO",MOVIMIENTOS!$C115&lt;&gt;"Chancho")),NOT(AND(MOVIMIENTOS!$B115="SALDO INICIAL",MOVIMIENTOS!$C115="Chancho"))),OR(MOVIMIENTOS!$B115="SALDO INICIAL",MOVIMIENTOS!$B115="COMPRA",MOVIMIENTOS!$B115="REPROCESO",MOVIMIENTOS!$B115="DEVOLUCIÓN",AND(MOVIMIENTOS!$B115="AJUSTE",MOVIMIENTOS!$C115&lt;&gt;"Chancho",N(MOVIMIENTOS!$F115)&gt;=0))),N(MOVIMIENTOS!$F115),"")</f>
        <v/>
      </c>
      <c r="N116" s="48" t="str">
        <f aca="false">IF(AND(AND(MOVIMIENTOS!$B115&lt;&gt;"",NOT(AND(MOVIMIENTOS!$B115="PROCESO",MOVIMIENTOS!$C115&lt;&gt;"Chancho")),NOT(AND(MOVIMIENTOS!$B115="SALDO INICIAL",MOVIMIENTOS!$C115="Chancho"))),OR(MOVIMIENTOS!$B115="ENVÍO A SUPESA",MOVIMIENTOS!$B115="MALOGRADO",MOVIMIENTOS!$B115="OTRA SALIDA",MOVIMIENTOS!$B115="TRASIEGO",AND(MOVIMIENTOS!$B115="PROCESO",MOVIMIENTOS!$C115="Chancho"),AND(MOVIMIENTOS!$B115="REGALO",MOVIMIENTOS!$C115&lt;&gt;"Chancho"),AND(MOVIMIENTOS!$B115="VENTA",MOVIMIENTOS!$C115&lt;&gt;"Chancho"),AND(MOVIMIENTOS!$B115="AJUSTE",MOVIMIENTOS!$C115&lt;&gt;"Chancho",N(MOVIMIENTOS!$F115)&lt;0))),IF(MOVIMIENTOS!$B115="AJUSTE",-N(MOVIMIENTOS!$F115),N(MOVIMIENTOS!$F115)),"")</f>
        <v/>
      </c>
      <c r="O116" s="48" t="str">
        <f aca="false">IF(AND(MOVIMIENTOS!$B115&lt;&gt;"",NOT(AND(MOVIMIENTOS!$B115="PROCESO",MOVIMIENTOS!$C115&lt;&gt;"Chancho")),NOT(AND(MOVIMIENTOS!$B115="SALDO INICIAL",MOVIMIENTOS!$C115="Chancho"))),IF(MOVIMIENTOS!$B115="RECHAZO",MOVIMIENTOS!$E115&amp;" jabas rechazadas · van a reproceso",IF(MOVIMIENTOS!$B115="REPROCESO",MOVIMIENTOS!$E115&amp;" kg recuperados (merma del día: "&amp;TEXT(SUMPRODUCT((MOVIMIENTOS!$A$5:$A$400=MOVIMIENTOS!$A115)*(MOVIMIENTOS!$B$5:$B$400="RECHAZO")*(MOVIMIENTOS!$D$5:$D$400="jabas")*MOVIMIENTOS!$E$5:$E$400*IFERROR(_xlfn.SWITCH(MOVIMIENTOS!$C$5:$C$400,"A",15,"P",18,"C",17,"M",17,0),0))-SUMPRODUCT((MOVIMIENTOS!$A$5:$A$400=MOVIMIENTOS!$A115)*(MOVIMIENTOS!$B$5:$B$400="REPROCESO")*MOVIMIENTOS!$I$5:$I$400),"+#,##0;-#,##0;0")&amp;" kg)",TRIM(IF(MOVIMIENTOS!$G115&lt;&gt;"",MOVIMIENTOS!$G115&amp;"  ","")&amp;IF(N(MOVIMIENTOS!$D115)&gt;0,MOVIMIENTOS!$D115&amp;" "&amp;MOVIMIENTOS!$D115,"")))),"")</f>
        <v/>
      </c>
      <c r="P116" s="48" t="n">
        <f aca="false">N(P115)+N(M116)-N(N116)</f>
        <v>10341.5</v>
      </c>
      <c r="Q116" s="48"/>
      <c r="R116" s="48"/>
      <c r="S116" s="48"/>
      <c r="T116" s="48"/>
    </row>
    <row r="117" customFormat="false" ht="15" hidden="false" customHeight="true" outlineLevel="0" collapsed="false">
      <c r="A117" s="51" t="n">
        <f aca="false">IFERROR(INDEX(K$6:K$401,MATCH(ROW()-5,J$6:J$401,0)),"")</f>
        <v>46228</v>
      </c>
      <c r="B117" s="56" t="str">
        <f aca="false">IFERROR(INDEX(L$6:L$401,MATCH(ROW()-5,J$6:J$401,0)),"")</f>
        <v>ENVÍO cal. P</v>
      </c>
      <c r="C117" s="52" t="str">
        <f aca="false">IFERROR(INDEX(M$6:M$401,MATCH(ROW()-5,J$6:J$401,0)),"")</f>
        <v/>
      </c>
      <c r="D117" s="52" t="n">
        <f aca="false">IFERROR(INDEX(N$6:N$401,MATCH(ROW()-5,J$6:J$401,0)),"")</f>
        <v>72</v>
      </c>
      <c r="E117" s="56" t="str">
        <f aca="false">IFERROR(INDEX(O$6:O$401,MATCH(ROW()-5,J$6:J$401,0)),"")</f>
        <v>3014</v>
      </c>
      <c r="F117" s="52" t="n">
        <f aca="false">IFERROR(INDEX(P$6:P$401,MATCH(ROW()-5,J$6:J$401,0)),"")</f>
        <v>5060</v>
      </c>
      <c r="G117" s="48"/>
      <c r="H117" s="48"/>
      <c r="I117" s="48"/>
      <c r="J117" s="48" t="str">
        <f aca="false">IF(AND(MOVIMIENTOS!$B116&lt;&gt;"",NOT(AND(MOVIMIENTOS!$B116="PROCESO",MOVIMIENTOS!$C116&lt;&gt;"Chancho")),NOT(AND(MOVIMIENTOS!$B116="SALDO INICIAL",MOVIMIENTOS!$C116="Chancho"))),COUNT(J$6:J116)+1,"")</f>
        <v/>
      </c>
      <c r="K117" s="48" t="str">
        <f aca="false">IF(AND(MOVIMIENTOS!$B116&lt;&gt;"",NOT(AND(MOVIMIENTOS!$B116="PROCESO",MOVIMIENTOS!$C116&lt;&gt;"Chancho")),NOT(AND(MOVIMIENTOS!$B116="SALDO INICIAL",MOVIMIENTOS!$C116="Chancho"))),MOVIMIENTOS!$A116,"")</f>
        <v/>
      </c>
      <c r="L117" s="48" t="str">
        <f aca="false">IF(AND(MOVIMIENTOS!$B116&lt;&gt;"",NOT(AND(MOVIMIENTOS!$B116="PROCESO",MOVIMIENTOS!$C116&lt;&gt;"Chancho")),NOT(AND(MOVIMIENTOS!$B116="SALDO INICIAL",MOVIMIENTOS!$C116="Chancho"))),IF(MOVIMIENTOS!$B116="SALDO INICIAL","APERTURA ("&amp;MOVIMIENTOS!$C116&amp;")",IF(MOVIMIENTOS!$B116="COMPRA","INGRESO (compra)",IF(MOVIMIENTOS!$B116="PROCESO","CHANCHO (proceso)",IF(MOVIMIENTOS!$B116="ENVÍO A SUPESA","ENVÍO cal. "&amp;MOVIMIENTOS!$C116,IF(MOVIMIENTOS!$B116="VENTA CHANCHO","VENTA CHANCHO",IF(MOVIMIENTOS!$B116="VENTA","VENTA cal. "&amp;MOVIMIENTOS!$C116,IF(MOVIMIENTOS!$B116="REGALO","REGALO "&amp;MOVIMIENTOS!$C116,IF(MOVIMIENTOS!$B116="RECHAZO","RECHAZO cal. "&amp;MOVIMIENTOS!$C116&amp;" (va a reproceso)",IF(MOVIMIENTOS!$B116="DEVOLUCIÓN","DEVOLUCIÓN cal. "&amp;MOVIMIENTOS!$C116&amp;" (regresa intacta)",IF(MOVIMIENTOS!$B116="TRASIEGO","TRASIEGO cal. "&amp;MOVIMIENTOS!$C116,MOVIMIENTOS!$B116)))))))))),"")</f>
        <v/>
      </c>
      <c r="M117" s="48" t="str">
        <f aca="false">IF(AND(AND(MOVIMIENTOS!$B116&lt;&gt;"",NOT(AND(MOVIMIENTOS!$B116="PROCESO",MOVIMIENTOS!$C116&lt;&gt;"Chancho")),NOT(AND(MOVIMIENTOS!$B116="SALDO INICIAL",MOVIMIENTOS!$C116="Chancho"))),OR(MOVIMIENTOS!$B116="SALDO INICIAL",MOVIMIENTOS!$B116="COMPRA",MOVIMIENTOS!$B116="REPROCESO",MOVIMIENTOS!$B116="DEVOLUCIÓN",AND(MOVIMIENTOS!$B116="AJUSTE",MOVIMIENTOS!$C116&lt;&gt;"Chancho",N(MOVIMIENTOS!$F116)&gt;=0))),N(MOVIMIENTOS!$F116),"")</f>
        <v/>
      </c>
      <c r="N117" s="48" t="str">
        <f aca="false">IF(AND(AND(MOVIMIENTOS!$B116&lt;&gt;"",NOT(AND(MOVIMIENTOS!$B116="PROCESO",MOVIMIENTOS!$C116&lt;&gt;"Chancho")),NOT(AND(MOVIMIENTOS!$B116="SALDO INICIAL",MOVIMIENTOS!$C116="Chancho"))),OR(MOVIMIENTOS!$B116="ENVÍO A SUPESA",MOVIMIENTOS!$B116="MALOGRADO",MOVIMIENTOS!$B116="OTRA SALIDA",MOVIMIENTOS!$B116="TRASIEGO",AND(MOVIMIENTOS!$B116="PROCESO",MOVIMIENTOS!$C116="Chancho"),AND(MOVIMIENTOS!$B116="REGALO",MOVIMIENTOS!$C116&lt;&gt;"Chancho"),AND(MOVIMIENTOS!$B116="VENTA",MOVIMIENTOS!$C116&lt;&gt;"Chancho"),AND(MOVIMIENTOS!$B116="AJUSTE",MOVIMIENTOS!$C116&lt;&gt;"Chancho",N(MOVIMIENTOS!$F116)&lt;0))),IF(MOVIMIENTOS!$B116="AJUSTE",-N(MOVIMIENTOS!$F116),N(MOVIMIENTOS!$F116)),"")</f>
        <v/>
      </c>
      <c r="O117" s="48" t="str">
        <f aca="false">IF(AND(MOVIMIENTOS!$B116&lt;&gt;"",NOT(AND(MOVIMIENTOS!$B116="PROCESO",MOVIMIENTOS!$C116&lt;&gt;"Chancho")),NOT(AND(MOVIMIENTOS!$B116="SALDO INICIAL",MOVIMIENTOS!$C116="Chancho"))),IF(MOVIMIENTOS!$B116="RECHAZO",MOVIMIENTOS!$E116&amp;" jabas rechazadas · van a reproceso",IF(MOVIMIENTOS!$B116="REPROCESO",MOVIMIENTOS!$E116&amp;" kg recuperados (merma del día: "&amp;TEXT(SUMPRODUCT((MOVIMIENTOS!$A$5:$A$400=MOVIMIENTOS!$A116)*(MOVIMIENTOS!$B$5:$B$400="RECHAZO")*(MOVIMIENTOS!$D$5:$D$400="jabas")*MOVIMIENTOS!$E$5:$E$400*IFERROR(_xlfn.SWITCH(MOVIMIENTOS!$C$5:$C$400,"A",15,"P",18,"C",17,"M",17,0),0))-SUMPRODUCT((MOVIMIENTOS!$A$5:$A$400=MOVIMIENTOS!$A116)*(MOVIMIENTOS!$B$5:$B$400="REPROCESO")*MOVIMIENTOS!$I$5:$I$400),"+#,##0;-#,##0;0")&amp;" kg)",TRIM(IF(MOVIMIENTOS!$G116&lt;&gt;"",MOVIMIENTOS!$G116&amp;"  ","")&amp;IF(N(MOVIMIENTOS!$D116)&gt;0,MOVIMIENTOS!$D116&amp;" "&amp;MOVIMIENTOS!$D116,"")))),"")</f>
        <v/>
      </c>
      <c r="P117" s="48" t="n">
        <f aca="false">N(P116)+N(M117)-N(N117)</f>
        <v>10341.5</v>
      </c>
      <c r="Q117" s="48"/>
      <c r="R117" s="48"/>
      <c r="S117" s="48"/>
      <c r="T117" s="48"/>
    </row>
    <row r="118" customFormat="false" ht="15" hidden="false" customHeight="true" outlineLevel="0" collapsed="false">
      <c r="A118" s="51" t="n">
        <f aca="false">IFERROR(INDEX(K$6:K$401,MATCH(ROW()-5,J$6:J$401,0)),"")</f>
        <v>46228</v>
      </c>
      <c r="B118" s="56" t="str">
        <f aca="false">IFERROR(INDEX(L$6:L$401,MATCH(ROW()-5,J$6:J$401,0)),"")</f>
        <v>ENVÍO cal. C</v>
      </c>
      <c r="C118" s="52" t="str">
        <f aca="false">IFERROR(INDEX(M$6:M$401,MATCH(ROW()-5,J$6:J$401,0)),"")</f>
        <v/>
      </c>
      <c r="D118" s="52" t="n">
        <f aca="false">IFERROR(INDEX(N$6:N$401,MATCH(ROW()-5,J$6:J$401,0)),"")</f>
        <v>85</v>
      </c>
      <c r="E118" s="56" t="str">
        <f aca="false">IFERROR(INDEX(O$6:O$401,MATCH(ROW()-5,J$6:J$401,0)),"")</f>
        <v>3014</v>
      </c>
      <c r="F118" s="52" t="n">
        <f aca="false">IFERROR(INDEX(P$6:P$401,MATCH(ROW()-5,J$6:J$401,0)),"")</f>
        <v>4975</v>
      </c>
      <c r="G118" s="48"/>
      <c r="H118" s="48"/>
      <c r="I118" s="48"/>
      <c r="J118" s="48" t="str">
        <f aca="false">IF(AND(MOVIMIENTOS!$B117&lt;&gt;"",NOT(AND(MOVIMIENTOS!$B117="PROCESO",MOVIMIENTOS!$C117&lt;&gt;"Chancho")),NOT(AND(MOVIMIENTOS!$B117="SALDO INICIAL",MOVIMIENTOS!$C117="Chancho"))),COUNT(J$6:J117)+1,"")</f>
        <v/>
      </c>
      <c r="K118" s="48" t="str">
        <f aca="false">IF(AND(MOVIMIENTOS!$B117&lt;&gt;"",NOT(AND(MOVIMIENTOS!$B117="PROCESO",MOVIMIENTOS!$C117&lt;&gt;"Chancho")),NOT(AND(MOVIMIENTOS!$B117="SALDO INICIAL",MOVIMIENTOS!$C117="Chancho"))),MOVIMIENTOS!$A117,"")</f>
        <v/>
      </c>
      <c r="L118" s="48" t="str">
        <f aca="false">IF(AND(MOVIMIENTOS!$B117&lt;&gt;"",NOT(AND(MOVIMIENTOS!$B117="PROCESO",MOVIMIENTOS!$C117&lt;&gt;"Chancho")),NOT(AND(MOVIMIENTOS!$B117="SALDO INICIAL",MOVIMIENTOS!$C117="Chancho"))),IF(MOVIMIENTOS!$B117="SALDO INICIAL","APERTURA ("&amp;MOVIMIENTOS!$C117&amp;")",IF(MOVIMIENTOS!$B117="COMPRA","INGRESO (compra)",IF(MOVIMIENTOS!$B117="PROCESO","CHANCHO (proceso)",IF(MOVIMIENTOS!$B117="ENVÍO A SUPESA","ENVÍO cal. "&amp;MOVIMIENTOS!$C117,IF(MOVIMIENTOS!$B117="VENTA CHANCHO","VENTA CHANCHO",IF(MOVIMIENTOS!$B117="VENTA","VENTA cal. "&amp;MOVIMIENTOS!$C117,IF(MOVIMIENTOS!$B117="REGALO","REGALO "&amp;MOVIMIENTOS!$C117,IF(MOVIMIENTOS!$B117="RECHAZO","RECHAZO cal. "&amp;MOVIMIENTOS!$C117&amp;" (va a reproceso)",IF(MOVIMIENTOS!$B117="DEVOLUCIÓN","DEVOLUCIÓN cal. "&amp;MOVIMIENTOS!$C117&amp;" (regresa intacta)",IF(MOVIMIENTOS!$B117="TRASIEGO","TRASIEGO cal. "&amp;MOVIMIENTOS!$C117,MOVIMIENTOS!$B117)))))))))),"")</f>
        <v/>
      </c>
      <c r="M118" s="48" t="str">
        <f aca="false">IF(AND(AND(MOVIMIENTOS!$B117&lt;&gt;"",NOT(AND(MOVIMIENTOS!$B117="PROCESO",MOVIMIENTOS!$C117&lt;&gt;"Chancho")),NOT(AND(MOVIMIENTOS!$B117="SALDO INICIAL",MOVIMIENTOS!$C117="Chancho"))),OR(MOVIMIENTOS!$B117="SALDO INICIAL",MOVIMIENTOS!$B117="COMPRA",MOVIMIENTOS!$B117="REPROCESO",MOVIMIENTOS!$B117="DEVOLUCIÓN",AND(MOVIMIENTOS!$B117="AJUSTE",MOVIMIENTOS!$C117&lt;&gt;"Chancho",N(MOVIMIENTOS!$F117)&gt;=0))),N(MOVIMIENTOS!$F117),"")</f>
        <v/>
      </c>
      <c r="N118" s="48" t="str">
        <f aca="false">IF(AND(AND(MOVIMIENTOS!$B117&lt;&gt;"",NOT(AND(MOVIMIENTOS!$B117="PROCESO",MOVIMIENTOS!$C117&lt;&gt;"Chancho")),NOT(AND(MOVIMIENTOS!$B117="SALDO INICIAL",MOVIMIENTOS!$C117="Chancho"))),OR(MOVIMIENTOS!$B117="ENVÍO A SUPESA",MOVIMIENTOS!$B117="MALOGRADO",MOVIMIENTOS!$B117="OTRA SALIDA",MOVIMIENTOS!$B117="TRASIEGO",AND(MOVIMIENTOS!$B117="PROCESO",MOVIMIENTOS!$C117="Chancho"),AND(MOVIMIENTOS!$B117="REGALO",MOVIMIENTOS!$C117&lt;&gt;"Chancho"),AND(MOVIMIENTOS!$B117="VENTA",MOVIMIENTOS!$C117&lt;&gt;"Chancho"),AND(MOVIMIENTOS!$B117="AJUSTE",MOVIMIENTOS!$C117&lt;&gt;"Chancho",N(MOVIMIENTOS!$F117)&lt;0))),IF(MOVIMIENTOS!$B117="AJUSTE",-N(MOVIMIENTOS!$F117),N(MOVIMIENTOS!$F117)),"")</f>
        <v/>
      </c>
      <c r="O118" s="48" t="str">
        <f aca="false">IF(AND(MOVIMIENTOS!$B117&lt;&gt;"",NOT(AND(MOVIMIENTOS!$B117="PROCESO",MOVIMIENTOS!$C117&lt;&gt;"Chancho")),NOT(AND(MOVIMIENTOS!$B117="SALDO INICIAL",MOVIMIENTOS!$C117="Chancho"))),IF(MOVIMIENTOS!$B117="RECHAZO",MOVIMIENTOS!$E117&amp;" jabas rechazadas · van a reproceso",IF(MOVIMIENTOS!$B117="REPROCESO",MOVIMIENTOS!$E117&amp;" kg recuperados (merma del día: "&amp;TEXT(SUMPRODUCT((MOVIMIENTOS!$A$5:$A$400=MOVIMIENTOS!$A117)*(MOVIMIENTOS!$B$5:$B$400="RECHAZO")*(MOVIMIENTOS!$D$5:$D$400="jabas")*MOVIMIENTOS!$E$5:$E$400*IFERROR(_xlfn.SWITCH(MOVIMIENTOS!$C$5:$C$400,"A",15,"P",18,"C",17,"M",17,0),0))-SUMPRODUCT((MOVIMIENTOS!$A$5:$A$400=MOVIMIENTOS!$A117)*(MOVIMIENTOS!$B$5:$B$400="REPROCESO")*MOVIMIENTOS!$I$5:$I$400),"+#,##0;-#,##0;0")&amp;" kg)",TRIM(IF(MOVIMIENTOS!$G117&lt;&gt;"",MOVIMIENTOS!$G117&amp;"  ","")&amp;IF(N(MOVIMIENTOS!$D117)&gt;0,MOVIMIENTOS!$D117&amp;" "&amp;MOVIMIENTOS!$D117,"")))),"")</f>
        <v/>
      </c>
      <c r="P118" s="48" t="n">
        <f aca="false">N(P117)+N(M118)-N(N118)</f>
        <v>10341.5</v>
      </c>
      <c r="Q118" s="48"/>
      <c r="R118" s="48"/>
      <c r="S118" s="48"/>
      <c r="T118" s="48"/>
    </row>
    <row r="119" customFormat="false" ht="15" hidden="false" customHeight="true" outlineLevel="0" collapsed="false">
      <c r="A119" s="51" t="n">
        <f aca="false">IFERROR(INDEX(K$6:K$401,MATCH(ROW()-5,J$6:J$401,0)),"")</f>
        <v>46228</v>
      </c>
      <c r="B119" s="56" t="str">
        <f aca="false">IFERROR(INDEX(L$6:L$401,MATCH(ROW()-5,J$6:J$401,0)),"")</f>
        <v>ENVÍO cal. M</v>
      </c>
      <c r="C119" s="52" t="str">
        <f aca="false">IFERROR(INDEX(M$6:M$401,MATCH(ROW()-5,J$6:J$401,0)),"")</f>
        <v/>
      </c>
      <c r="D119" s="52" t="n">
        <f aca="false">IFERROR(INDEX(N$6:N$401,MATCH(ROW()-5,J$6:J$401,0)),"")</f>
        <v>2006</v>
      </c>
      <c r="E119" s="56" t="str">
        <f aca="false">IFERROR(INDEX(O$6:O$401,MATCH(ROW()-5,J$6:J$401,0)),"")</f>
        <v>3014</v>
      </c>
      <c r="F119" s="52" t="n">
        <f aca="false">IFERROR(INDEX(P$6:P$401,MATCH(ROW()-5,J$6:J$401,0)),"")</f>
        <v>2969</v>
      </c>
      <c r="G119" s="48"/>
      <c r="H119" s="48"/>
      <c r="I119" s="48"/>
      <c r="J119" s="48" t="n">
        <f aca="false">IF(AND(MOVIMIENTOS!$B118&lt;&gt;"",NOT(AND(MOVIMIENTOS!$B118="PROCESO",MOVIMIENTOS!$C118&lt;&gt;"Chancho")),NOT(AND(MOVIMIENTOS!$B118="SALDO INICIAL",MOVIMIENTOS!$C118="Chancho"))),COUNT(J$6:J118)+1,"")</f>
        <v>69</v>
      </c>
      <c r="K119" s="53" t="n">
        <f aca="false">IF(AND(MOVIMIENTOS!$B118&lt;&gt;"",NOT(AND(MOVIMIENTOS!$B118="PROCESO",MOVIMIENTOS!$C118&lt;&gt;"Chancho")),NOT(AND(MOVIMIENTOS!$B118="SALDO INICIAL",MOVIMIENTOS!$C118="Chancho"))),MOVIMIENTOS!$A118,"")</f>
        <v>46224</v>
      </c>
      <c r="L119" s="48" t="str">
        <f aca="false">IF(AND(MOVIMIENTOS!$B118&lt;&gt;"",NOT(AND(MOVIMIENTOS!$B118="PROCESO",MOVIMIENTOS!$C118&lt;&gt;"Chancho")),NOT(AND(MOVIMIENTOS!$B118="SALDO INICIAL",MOVIMIENTOS!$C118="Chancho"))),IF(MOVIMIENTOS!$B118="SALDO INICIAL","APERTURA ("&amp;MOVIMIENTOS!$C118&amp;")",IF(MOVIMIENTOS!$B118="COMPRA","INGRESO (compra)",IF(MOVIMIENTOS!$B118="PROCESO","CHANCHO (proceso)",IF(MOVIMIENTOS!$B118="ENVÍO A SUPESA","ENVÍO cal. "&amp;MOVIMIENTOS!$C118,IF(MOVIMIENTOS!$B118="VENTA CHANCHO","VENTA CHANCHO",IF(MOVIMIENTOS!$B118="VENTA","VENTA cal. "&amp;MOVIMIENTOS!$C118,IF(MOVIMIENTOS!$B118="REGALO","REGALO "&amp;MOVIMIENTOS!$C118,IF(MOVIMIENTOS!$B118="RECHAZO","RECHAZO cal. "&amp;MOVIMIENTOS!$C118&amp;" (va a reproceso)",IF(MOVIMIENTOS!$B118="DEVOLUCIÓN","DEVOLUCIÓN cal. "&amp;MOVIMIENTOS!$C118&amp;" (regresa intacta)",IF(MOVIMIENTOS!$B118="TRASIEGO","TRASIEGO cal. "&amp;MOVIMIENTOS!$C118,MOVIMIENTOS!$B118)))))))))),"")</f>
        <v>CHANCHO (proceso)</v>
      </c>
      <c r="M119" s="48" t="str">
        <f aca="false">IF(AND(AND(MOVIMIENTOS!$B118&lt;&gt;"",NOT(AND(MOVIMIENTOS!$B118="PROCESO",MOVIMIENTOS!$C118&lt;&gt;"Chancho")),NOT(AND(MOVIMIENTOS!$B118="SALDO INICIAL",MOVIMIENTOS!$C118="Chancho"))),OR(MOVIMIENTOS!$B118="SALDO INICIAL",MOVIMIENTOS!$B118="COMPRA",MOVIMIENTOS!$B118="REPROCESO",MOVIMIENTOS!$B118="DEVOLUCIÓN",AND(MOVIMIENTOS!$B118="AJUSTE",MOVIMIENTOS!$C118&lt;&gt;"Chancho",N(MOVIMIENTOS!$F118)&gt;=0))),N(MOVIMIENTOS!$F118),"")</f>
        <v/>
      </c>
      <c r="N119" s="48" t="n">
        <f aca="false">IF(AND(AND(MOVIMIENTOS!$B118&lt;&gt;"",NOT(AND(MOVIMIENTOS!$B118="PROCESO",MOVIMIENTOS!$C118&lt;&gt;"Chancho")),NOT(AND(MOVIMIENTOS!$B118="SALDO INICIAL",MOVIMIENTOS!$C118="Chancho"))),OR(MOVIMIENTOS!$B118="ENVÍO A SUPESA",MOVIMIENTOS!$B118="MALOGRADO",MOVIMIENTOS!$B118="OTRA SALIDA",MOVIMIENTOS!$B118="TRASIEGO",AND(MOVIMIENTOS!$B118="PROCESO",MOVIMIENTOS!$C118="Chancho"),AND(MOVIMIENTOS!$B118="REGALO",MOVIMIENTOS!$C118&lt;&gt;"Chancho"),AND(MOVIMIENTOS!$B118="VENTA",MOVIMIENTOS!$C118&lt;&gt;"Chancho"),AND(MOVIMIENTOS!$B118="AJUSTE",MOVIMIENTOS!$C118&lt;&gt;"Chancho",N(MOVIMIENTOS!$F118)&lt;0))),IF(MOVIMIENTOS!$B118="AJUSTE",-N(MOVIMIENTOS!$F118),N(MOVIMIENTOS!$F118)),"")</f>
        <v>380</v>
      </c>
      <c r="O119" s="48" t="str">
        <f aca="false">IF(AND(MOVIMIENTOS!$B118&lt;&gt;"",NOT(AND(MOVIMIENTOS!$B118="PROCESO",MOVIMIENTOS!$C118&lt;&gt;"Chancho")),NOT(AND(MOVIMIENTOS!$B118="SALDO INICIAL",MOVIMIENTOS!$C118="Chancho"))),IF(MOVIMIENTOS!$B118="RECHAZO",MOVIMIENTOS!$E118&amp;" jabas rechazadas · van a reproceso",IF(MOVIMIENTOS!$B118="REPROCESO",MOVIMIENTOS!$E118&amp;" kg recuperados (merma del día: "&amp;TEXT(SUMPRODUCT((MOVIMIENTOS!$A$5:$A$400=MOVIMIENTOS!$A118)*(MOVIMIENTOS!$B$5:$B$400="RECHAZO")*(MOVIMIENTOS!$D$5:$D$400="jabas")*MOVIMIENTOS!$E$5:$E$400*IFERROR(_xlfn.SWITCH(MOVIMIENTOS!$C$5:$C$400,"A",15,"P",18,"C",17,"M",17,0),0))-SUMPRODUCT((MOVIMIENTOS!$A$5:$A$400=MOVIMIENTOS!$A118)*(MOVIMIENTOS!$B$5:$B$400="REPROCESO")*MOVIMIENTOS!$I$5:$I$400),"+#,##0;-#,##0;0")&amp;" kg)",TRIM(IF(MOVIMIENTOS!$G118&lt;&gt;"",MOVIMIENTOS!$G118&amp;"  ","")&amp;IF(N(MOVIMIENTOS!$D118)&gt;0,MOVIMIENTOS!$D118&amp;" "&amp;MOVIMIENTOS!$D118,"")))),"")</f>
        <v/>
      </c>
      <c r="P119" s="48" t="n">
        <f aca="false">N(P118)+N(M119)-N(N119)</f>
        <v>9961.5</v>
      </c>
      <c r="Q119" s="48"/>
      <c r="R119" s="48"/>
      <c r="S119" s="48"/>
      <c r="T119" s="48"/>
    </row>
    <row r="120" customFormat="false" ht="15" hidden="false" customHeight="true" outlineLevel="0" collapsed="false">
      <c r="A120" s="51" t="n">
        <f aca="false">IFERROR(INDEX(K$6:K$401,MATCH(ROW()-5,J$6:J$401,0)),"")</f>
        <v>46228</v>
      </c>
      <c r="B120" s="56" t="str">
        <f aca="false">IFERROR(INDEX(L$6:L$401,MATCH(ROW()-5,J$6:J$401,0)),"")</f>
        <v>CHANCHO (proceso)</v>
      </c>
      <c r="C120" s="52" t="str">
        <f aca="false">IFERROR(INDEX(M$6:M$401,MATCH(ROW()-5,J$6:J$401,0)),"")</f>
        <v/>
      </c>
      <c r="D120" s="52" t="n">
        <f aca="false">IFERROR(INDEX(N$6:N$401,MATCH(ROW()-5,J$6:J$401,0)),"")</f>
        <v>902.5</v>
      </c>
      <c r="E120" s="56" t="str">
        <f aca="false">IFERROR(INDEX(O$6:O$401,MATCH(ROW()-5,J$6:J$401,0)),"")</f>
        <v/>
      </c>
      <c r="F120" s="52" t="n">
        <f aca="false">IFERROR(INDEX(P$6:P$401,MATCH(ROW()-5,J$6:J$401,0)),"")</f>
        <v>2066.5</v>
      </c>
      <c r="G120" s="48"/>
      <c r="H120" s="48"/>
      <c r="I120" s="48"/>
      <c r="J120" s="48" t="n">
        <f aca="false">IF(AND(MOVIMIENTOS!$B119&lt;&gt;"",NOT(AND(MOVIMIENTOS!$B119="PROCESO",MOVIMIENTOS!$C119&lt;&gt;"Chancho")),NOT(AND(MOVIMIENTOS!$B119="SALDO INICIAL",MOVIMIENTOS!$C119="Chancho"))),COUNT(J$6:J119)+1,"")</f>
        <v>70</v>
      </c>
      <c r="K120" s="53" t="n">
        <f aca="false">IF(AND(MOVIMIENTOS!$B119&lt;&gt;"",NOT(AND(MOVIMIENTOS!$B119="PROCESO",MOVIMIENTOS!$C119&lt;&gt;"Chancho")),NOT(AND(MOVIMIENTOS!$B119="SALDO INICIAL",MOVIMIENTOS!$C119="Chancho"))),MOVIMIENTOS!$A119,"")</f>
        <v>46224</v>
      </c>
      <c r="L120" s="48" t="str">
        <f aca="false">IF(AND(MOVIMIENTOS!$B119&lt;&gt;"",NOT(AND(MOVIMIENTOS!$B119="PROCESO",MOVIMIENTOS!$C119&lt;&gt;"Chancho")),NOT(AND(MOVIMIENTOS!$B119="SALDO INICIAL",MOVIMIENTOS!$C119="Chancho"))),IF(MOVIMIENTOS!$B119="SALDO INICIAL","APERTURA ("&amp;MOVIMIENTOS!$C119&amp;")",IF(MOVIMIENTOS!$B119="COMPRA","INGRESO (compra)",IF(MOVIMIENTOS!$B119="PROCESO","CHANCHO (proceso)",IF(MOVIMIENTOS!$B119="ENVÍO A SUPESA","ENVÍO cal. "&amp;MOVIMIENTOS!$C119,IF(MOVIMIENTOS!$B119="VENTA CHANCHO","VENTA CHANCHO",IF(MOVIMIENTOS!$B119="VENTA","VENTA cal. "&amp;MOVIMIENTOS!$C119,IF(MOVIMIENTOS!$B119="REGALO","REGALO "&amp;MOVIMIENTOS!$C119,IF(MOVIMIENTOS!$B119="RECHAZO","RECHAZO cal. "&amp;MOVIMIENTOS!$C119&amp;" (va a reproceso)",IF(MOVIMIENTOS!$B119="DEVOLUCIÓN","DEVOLUCIÓN cal. "&amp;MOVIMIENTOS!$C119&amp;" (regresa intacta)",IF(MOVIMIENTOS!$B119="TRASIEGO","TRASIEGO cal. "&amp;MOVIMIENTOS!$C119,MOVIMIENTOS!$B119)))))))))),"")</f>
        <v>ENVÍO cal. A</v>
      </c>
      <c r="M120" s="48" t="str">
        <f aca="false">IF(AND(AND(MOVIMIENTOS!$B119&lt;&gt;"",NOT(AND(MOVIMIENTOS!$B119="PROCESO",MOVIMIENTOS!$C119&lt;&gt;"Chancho")),NOT(AND(MOVIMIENTOS!$B119="SALDO INICIAL",MOVIMIENTOS!$C119="Chancho"))),OR(MOVIMIENTOS!$B119="SALDO INICIAL",MOVIMIENTOS!$B119="COMPRA",MOVIMIENTOS!$B119="REPROCESO",MOVIMIENTOS!$B119="DEVOLUCIÓN",AND(MOVIMIENTOS!$B119="AJUSTE",MOVIMIENTOS!$C119&lt;&gt;"Chancho",N(MOVIMIENTOS!$F119)&gt;=0))),N(MOVIMIENTOS!$F119),"")</f>
        <v/>
      </c>
      <c r="N120" s="48" t="n">
        <f aca="false">IF(AND(AND(MOVIMIENTOS!$B119&lt;&gt;"",NOT(AND(MOVIMIENTOS!$B119="PROCESO",MOVIMIENTOS!$C119&lt;&gt;"Chancho")),NOT(AND(MOVIMIENTOS!$B119="SALDO INICIAL",MOVIMIENTOS!$C119="Chancho"))),OR(MOVIMIENTOS!$B119="ENVÍO A SUPESA",MOVIMIENTOS!$B119="MALOGRADO",MOVIMIENTOS!$B119="OTRA SALIDA",MOVIMIENTOS!$B119="TRASIEGO",AND(MOVIMIENTOS!$B119="PROCESO",MOVIMIENTOS!$C119="Chancho"),AND(MOVIMIENTOS!$B119="REGALO",MOVIMIENTOS!$C119&lt;&gt;"Chancho"),AND(MOVIMIENTOS!$B119="VENTA",MOVIMIENTOS!$C119&lt;&gt;"Chancho"),AND(MOVIMIENTOS!$B119="AJUSTE",MOVIMIENTOS!$C119&lt;&gt;"Chancho",N(MOVIMIENTOS!$F119)&lt;0))),IF(MOVIMIENTOS!$B119="AJUSTE",-N(MOVIMIENTOS!$F119),N(MOVIMIENTOS!$F119)),"")</f>
        <v>1005</v>
      </c>
      <c r="O120" s="48" t="str">
        <f aca="false">IF(AND(MOVIMIENTOS!$B119&lt;&gt;"",NOT(AND(MOVIMIENTOS!$B119="PROCESO",MOVIMIENTOS!$C119&lt;&gt;"Chancho")),NOT(AND(MOVIMIENTOS!$B119="SALDO INICIAL",MOVIMIENTOS!$C119="Chancho"))),IF(MOVIMIENTOS!$B119="RECHAZO",MOVIMIENTOS!$E119&amp;" jabas rechazadas · van a reproceso",IF(MOVIMIENTOS!$B119="REPROCESO",MOVIMIENTOS!$E119&amp;" kg recuperados (merma del día: "&amp;TEXT(SUMPRODUCT((MOVIMIENTOS!$A$5:$A$400=MOVIMIENTOS!$A119)*(MOVIMIENTOS!$B$5:$B$400="RECHAZO")*(MOVIMIENTOS!$D$5:$D$400="jabas")*MOVIMIENTOS!$E$5:$E$400*IFERROR(_xlfn.SWITCH(MOVIMIENTOS!$C$5:$C$400,"A",15,"P",18,"C",17,"M",17,0),0))-SUMPRODUCT((MOVIMIENTOS!$A$5:$A$400=MOVIMIENTOS!$A119)*(MOVIMIENTOS!$B$5:$B$400="REPROCESO")*MOVIMIENTOS!$I$5:$I$400),"+#,##0;-#,##0;0")&amp;" kg)",TRIM(IF(MOVIMIENTOS!$G119&lt;&gt;"",MOVIMIENTOS!$G119&amp;"  ","")&amp;IF(N(MOVIMIENTOS!$D119)&gt;0,MOVIMIENTOS!$D119&amp;" "&amp;MOVIMIENTOS!$D119,"")))),"")</f>
        <v>3004</v>
      </c>
      <c r="P120" s="48" t="n">
        <f aca="false">N(P119)+N(M120)-N(N120)</f>
        <v>8956.5</v>
      </c>
      <c r="Q120" s="48"/>
      <c r="R120" s="48"/>
      <c r="S120" s="48"/>
      <c r="T120" s="48"/>
    </row>
    <row r="121" customFormat="false" ht="15" hidden="false" customHeight="true" outlineLevel="0" collapsed="false">
      <c r="A121" s="51" t="n">
        <f aca="false">IFERROR(INDEX(K$6:K$401,MATCH(ROW()-5,J$6:J$401,0)),"")</f>
        <v>46229</v>
      </c>
      <c r="B121" s="56" t="str">
        <f aca="false">IFERROR(INDEX(L$6:L$401,MATCH(ROW()-5,J$6:J$401,0)),"")</f>
        <v>ENVÍO cal. A</v>
      </c>
      <c r="C121" s="52" t="str">
        <f aca="false">IFERROR(INDEX(M$6:M$401,MATCH(ROW()-5,J$6:J$401,0)),"")</f>
        <v/>
      </c>
      <c r="D121" s="52" t="n">
        <f aca="false">IFERROR(INDEX(N$6:N$401,MATCH(ROW()-5,J$6:J$401,0)),"")</f>
        <v>1005</v>
      </c>
      <c r="E121" s="56" t="str">
        <f aca="false">IFERROR(INDEX(O$6:O$401,MATCH(ROW()-5,J$6:J$401,0)),"")</f>
        <v>3018</v>
      </c>
      <c r="F121" s="52" t="n">
        <f aca="false">IFERROR(INDEX(P$6:P$401,MATCH(ROW()-5,J$6:J$401,0)),"")</f>
        <v>1061.5</v>
      </c>
      <c r="G121" s="48"/>
      <c r="H121" s="48"/>
      <c r="I121" s="48"/>
      <c r="J121" s="48" t="n">
        <f aca="false">IF(AND(MOVIMIENTOS!$B120&lt;&gt;"",NOT(AND(MOVIMIENTOS!$B120="PROCESO",MOVIMIENTOS!$C120&lt;&gt;"Chancho")),NOT(AND(MOVIMIENTOS!$B120="SALDO INICIAL",MOVIMIENTOS!$C120="Chancho"))),COUNT(J$6:J120)+1,"")</f>
        <v>71</v>
      </c>
      <c r="K121" s="53" t="n">
        <f aca="false">IF(AND(MOVIMIENTOS!$B120&lt;&gt;"",NOT(AND(MOVIMIENTOS!$B120="PROCESO",MOVIMIENTOS!$C120&lt;&gt;"Chancho")),NOT(AND(MOVIMIENTOS!$B120="SALDO INICIAL",MOVIMIENTOS!$C120="Chancho"))),MOVIMIENTOS!$A120,"")</f>
        <v>46224</v>
      </c>
      <c r="L121" s="48" t="str">
        <f aca="false">IF(AND(MOVIMIENTOS!$B120&lt;&gt;"",NOT(AND(MOVIMIENTOS!$B120="PROCESO",MOVIMIENTOS!$C120&lt;&gt;"Chancho")),NOT(AND(MOVIMIENTOS!$B120="SALDO INICIAL",MOVIMIENTOS!$C120="Chancho"))),IF(MOVIMIENTOS!$B120="SALDO INICIAL","APERTURA ("&amp;MOVIMIENTOS!$C120&amp;")",IF(MOVIMIENTOS!$B120="COMPRA","INGRESO (compra)",IF(MOVIMIENTOS!$B120="PROCESO","CHANCHO (proceso)",IF(MOVIMIENTOS!$B120="ENVÍO A SUPESA","ENVÍO cal. "&amp;MOVIMIENTOS!$C120,IF(MOVIMIENTOS!$B120="VENTA CHANCHO","VENTA CHANCHO",IF(MOVIMIENTOS!$B120="VENTA","VENTA cal. "&amp;MOVIMIENTOS!$C120,IF(MOVIMIENTOS!$B120="REGALO","REGALO "&amp;MOVIMIENTOS!$C120,IF(MOVIMIENTOS!$B120="RECHAZO","RECHAZO cal. "&amp;MOVIMIENTOS!$C120&amp;" (va a reproceso)",IF(MOVIMIENTOS!$B120="DEVOLUCIÓN","DEVOLUCIÓN cal. "&amp;MOVIMIENTOS!$C120&amp;" (regresa intacta)",IF(MOVIMIENTOS!$B120="TRASIEGO","TRASIEGO cal. "&amp;MOVIMIENTOS!$C120,MOVIMIENTOS!$B120)))))))))),"")</f>
        <v>ENVÍO cal. P</v>
      </c>
      <c r="M121" s="48" t="str">
        <f aca="false">IF(AND(AND(MOVIMIENTOS!$B120&lt;&gt;"",NOT(AND(MOVIMIENTOS!$B120="PROCESO",MOVIMIENTOS!$C120&lt;&gt;"Chancho")),NOT(AND(MOVIMIENTOS!$B120="SALDO INICIAL",MOVIMIENTOS!$C120="Chancho"))),OR(MOVIMIENTOS!$B120="SALDO INICIAL",MOVIMIENTOS!$B120="COMPRA",MOVIMIENTOS!$B120="REPROCESO",MOVIMIENTOS!$B120="DEVOLUCIÓN",AND(MOVIMIENTOS!$B120="AJUSTE",MOVIMIENTOS!$C120&lt;&gt;"Chancho",N(MOVIMIENTOS!$F120)&gt;=0))),N(MOVIMIENTOS!$F120),"")</f>
        <v/>
      </c>
      <c r="N121" s="48" t="n">
        <f aca="false">IF(AND(AND(MOVIMIENTOS!$B120&lt;&gt;"",NOT(AND(MOVIMIENTOS!$B120="PROCESO",MOVIMIENTOS!$C120&lt;&gt;"Chancho")),NOT(AND(MOVIMIENTOS!$B120="SALDO INICIAL",MOVIMIENTOS!$C120="Chancho"))),OR(MOVIMIENTOS!$B120="ENVÍO A SUPESA",MOVIMIENTOS!$B120="MALOGRADO",MOVIMIENTOS!$B120="OTRA SALIDA",MOVIMIENTOS!$B120="TRASIEGO",AND(MOVIMIENTOS!$B120="PROCESO",MOVIMIENTOS!$C120="Chancho"),AND(MOVIMIENTOS!$B120="REGALO",MOVIMIENTOS!$C120&lt;&gt;"Chancho"),AND(MOVIMIENTOS!$B120="VENTA",MOVIMIENTOS!$C120&lt;&gt;"Chancho"),AND(MOVIMIENTOS!$B120="AJUSTE",MOVIMIENTOS!$C120&lt;&gt;"Chancho",N(MOVIMIENTOS!$F120)&lt;0))),IF(MOVIMIENTOS!$B120="AJUSTE",-N(MOVIMIENTOS!$F120),N(MOVIMIENTOS!$F120)),"")</f>
        <v>198</v>
      </c>
      <c r="O121" s="48" t="str">
        <f aca="false">IF(AND(MOVIMIENTOS!$B120&lt;&gt;"",NOT(AND(MOVIMIENTOS!$B120="PROCESO",MOVIMIENTOS!$C120&lt;&gt;"Chancho")),NOT(AND(MOVIMIENTOS!$B120="SALDO INICIAL",MOVIMIENTOS!$C120="Chancho"))),IF(MOVIMIENTOS!$B120="RECHAZO",MOVIMIENTOS!$E120&amp;" jabas rechazadas · van a reproceso",IF(MOVIMIENTOS!$B120="REPROCESO",MOVIMIENTOS!$E120&amp;" kg recuperados (merma del día: "&amp;TEXT(SUMPRODUCT((MOVIMIENTOS!$A$5:$A$400=MOVIMIENTOS!$A120)*(MOVIMIENTOS!$B$5:$B$400="RECHAZO")*(MOVIMIENTOS!$D$5:$D$400="jabas")*MOVIMIENTOS!$E$5:$E$400*IFERROR(_xlfn.SWITCH(MOVIMIENTOS!$C$5:$C$400,"A",15,"P",18,"C",17,"M",17,0),0))-SUMPRODUCT((MOVIMIENTOS!$A$5:$A$400=MOVIMIENTOS!$A120)*(MOVIMIENTOS!$B$5:$B$400="REPROCESO")*MOVIMIENTOS!$I$5:$I$400),"+#,##0;-#,##0;0")&amp;" kg)",TRIM(IF(MOVIMIENTOS!$G120&lt;&gt;"",MOVIMIENTOS!$G120&amp;"  ","")&amp;IF(N(MOVIMIENTOS!$D120)&gt;0,MOVIMIENTOS!$D120&amp;" "&amp;MOVIMIENTOS!$D120,"")))),"")</f>
        <v>3004</v>
      </c>
      <c r="P121" s="48" t="n">
        <f aca="false">N(P120)+N(M121)-N(N121)</f>
        <v>8758.5</v>
      </c>
      <c r="Q121" s="48"/>
      <c r="R121" s="48"/>
      <c r="S121" s="48"/>
      <c r="T121" s="48"/>
    </row>
    <row r="122" customFormat="false" ht="15" hidden="false" customHeight="true" outlineLevel="0" collapsed="false">
      <c r="A122" s="51" t="n">
        <f aca="false">IFERROR(INDEX(K$6:K$401,MATCH(ROW()-5,J$6:J$401,0)),"")</f>
        <v>46229</v>
      </c>
      <c r="B122" s="56" t="str">
        <f aca="false">IFERROR(INDEX(L$6:L$401,MATCH(ROW()-5,J$6:J$401,0)),"")</f>
        <v>ENVÍO cal. P</v>
      </c>
      <c r="C122" s="52" t="str">
        <f aca="false">IFERROR(INDEX(M$6:M$401,MATCH(ROW()-5,J$6:J$401,0)),"")</f>
        <v/>
      </c>
      <c r="D122" s="52" t="n">
        <f aca="false">IFERROR(INDEX(N$6:N$401,MATCH(ROW()-5,J$6:J$401,0)),"")</f>
        <v>198</v>
      </c>
      <c r="E122" s="56" t="str">
        <f aca="false">IFERROR(INDEX(O$6:O$401,MATCH(ROW()-5,J$6:J$401,0)),"")</f>
        <v>3018</v>
      </c>
      <c r="F122" s="52" t="n">
        <f aca="false">IFERROR(INDEX(P$6:P$401,MATCH(ROW()-5,J$6:J$401,0)),"")</f>
        <v>863.5</v>
      </c>
      <c r="G122" s="48"/>
      <c r="H122" s="48"/>
      <c r="I122" s="48"/>
      <c r="J122" s="48" t="n">
        <f aca="false">IF(AND(MOVIMIENTOS!$B121&lt;&gt;"",NOT(AND(MOVIMIENTOS!$B121="PROCESO",MOVIMIENTOS!$C121&lt;&gt;"Chancho")),NOT(AND(MOVIMIENTOS!$B121="SALDO INICIAL",MOVIMIENTOS!$C121="Chancho"))),COUNT(J$6:J121)+1,"")</f>
        <v>72</v>
      </c>
      <c r="K122" s="53" t="n">
        <f aca="false">IF(AND(MOVIMIENTOS!$B121&lt;&gt;"",NOT(AND(MOVIMIENTOS!$B121="PROCESO",MOVIMIENTOS!$C121&lt;&gt;"Chancho")),NOT(AND(MOVIMIENTOS!$B121="SALDO INICIAL",MOVIMIENTOS!$C121="Chancho"))),MOVIMIENTOS!$A121,"")</f>
        <v>46224</v>
      </c>
      <c r="L122" s="48" t="str">
        <f aca="false">IF(AND(MOVIMIENTOS!$B121&lt;&gt;"",NOT(AND(MOVIMIENTOS!$B121="PROCESO",MOVIMIENTOS!$C121&lt;&gt;"Chancho")),NOT(AND(MOVIMIENTOS!$B121="SALDO INICIAL",MOVIMIENTOS!$C121="Chancho"))),IF(MOVIMIENTOS!$B121="SALDO INICIAL","APERTURA ("&amp;MOVIMIENTOS!$C121&amp;")",IF(MOVIMIENTOS!$B121="COMPRA","INGRESO (compra)",IF(MOVIMIENTOS!$B121="PROCESO","CHANCHO (proceso)",IF(MOVIMIENTOS!$B121="ENVÍO A SUPESA","ENVÍO cal. "&amp;MOVIMIENTOS!$C121,IF(MOVIMIENTOS!$B121="VENTA CHANCHO","VENTA CHANCHO",IF(MOVIMIENTOS!$B121="VENTA","VENTA cal. "&amp;MOVIMIENTOS!$C121,IF(MOVIMIENTOS!$B121="REGALO","REGALO "&amp;MOVIMIENTOS!$C121,IF(MOVIMIENTOS!$B121="RECHAZO","RECHAZO cal. "&amp;MOVIMIENTOS!$C121&amp;" (va a reproceso)",IF(MOVIMIENTOS!$B121="DEVOLUCIÓN","DEVOLUCIÓN cal. "&amp;MOVIMIENTOS!$C121&amp;" (regresa intacta)",IF(MOVIMIENTOS!$B121="TRASIEGO","TRASIEGO cal. "&amp;MOVIMIENTOS!$C121,MOVIMIENTOS!$B121)))))))))),"")</f>
        <v>ENVÍO cal. C</v>
      </c>
      <c r="M122" s="48" t="str">
        <f aca="false">IF(AND(AND(MOVIMIENTOS!$B121&lt;&gt;"",NOT(AND(MOVIMIENTOS!$B121="PROCESO",MOVIMIENTOS!$C121&lt;&gt;"Chancho")),NOT(AND(MOVIMIENTOS!$B121="SALDO INICIAL",MOVIMIENTOS!$C121="Chancho"))),OR(MOVIMIENTOS!$B121="SALDO INICIAL",MOVIMIENTOS!$B121="COMPRA",MOVIMIENTOS!$B121="REPROCESO",MOVIMIENTOS!$B121="DEVOLUCIÓN",AND(MOVIMIENTOS!$B121="AJUSTE",MOVIMIENTOS!$C121&lt;&gt;"Chancho",N(MOVIMIENTOS!$F121)&gt;=0))),N(MOVIMIENTOS!$F121),"")</f>
        <v/>
      </c>
      <c r="N122" s="48" t="n">
        <f aca="false">IF(AND(AND(MOVIMIENTOS!$B121&lt;&gt;"",NOT(AND(MOVIMIENTOS!$B121="PROCESO",MOVIMIENTOS!$C121&lt;&gt;"Chancho")),NOT(AND(MOVIMIENTOS!$B121="SALDO INICIAL",MOVIMIENTOS!$C121="Chancho"))),OR(MOVIMIENTOS!$B121="ENVÍO A SUPESA",MOVIMIENTOS!$B121="MALOGRADO",MOVIMIENTOS!$B121="OTRA SALIDA",MOVIMIENTOS!$B121="TRASIEGO",AND(MOVIMIENTOS!$B121="PROCESO",MOVIMIENTOS!$C121="Chancho"),AND(MOVIMIENTOS!$B121="REGALO",MOVIMIENTOS!$C121&lt;&gt;"Chancho"),AND(MOVIMIENTOS!$B121="VENTA",MOVIMIENTOS!$C121&lt;&gt;"Chancho"),AND(MOVIMIENTOS!$B121="AJUSTE",MOVIMIENTOS!$C121&lt;&gt;"Chancho",N(MOVIMIENTOS!$F121)&lt;0))),IF(MOVIMIENTOS!$B121="AJUSTE",-N(MOVIMIENTOS!$F121),N(MOVIMIENTOS!$F121)),"")</f>
        <v>170</v>
      </c>
      <c r="O122" s="48" t="str">
        <f aca="false">IF(AND(MOVIMIENTOS!$B121&lt;&gt;"",NOT(AND(MOVIMIENTOS!$B121="PROCESO",MOVIMIENTOS!$C121&lt;&gt;"Chancho")),NOT(AND(MOVIMIENTOS!$B121="SALDO INICIAL",MOVIMIENTOS!$C121="Chancho"))),IF(MOVIMIENTOS!$B121="RECHAZO",MOVIMIENTOS!$E121&amp;" jabas rechazadas · van a reproceso",IF(MOVIMIENTOS!$B121="REPROCESO",MOVIMIENTOS!$E121&amp;" kg recuperados (merma del día: "&amp;TEXT(SUMPRODUCT((MOVIMIENTOS!$A$5:$A$400=MOVIMIENTOS!$A121)*(MOVIMIENTOS!$B$5:$B$400="RECHAZO")*(MOVIMIENTOS!$D$5:$D$400="jabas")*MOVIMIENTOS!$E$5:$E$400*IFERROR(_xlfn.SWITCH(MOVIMIENTOS!$C$5:$C$400,"A",15,"P",18,"C",17,"M",17,0),0))-SUMPRODUCT((MOVIMIENTOS!$A$5:$A$400=MOVIMIENTOS!$A121)*(MOVIMIENTOS!$B$5:$B$400="REPROCESO")*MOVIMIENTOS!$I$5:$I$400),"+#,##0;-#,##0;0")&amp;" kg)",TRIM(IF(MOVIMIENTOS!$G121&lt;&gt;"",MOVIMIENTOS!$G121&amp;"  ","")&amp;IF(N(MOVIMIENTOS!$D121)&gt;0,MOVIMIENTOS!$D121&amp;" "&amp;MOVIMIENTOS!$D121,"")))),"")</f>
        <v>3004</v>
      </c>
      <c r="P122" s="48" t="n">
        <f aca="false">N(P121)+N(M122)-N(N122)</f>
        <v>8588.5</v>
      </c>
      <c r="Q122" s="48"/>
      <c r="R122" s="48"/>
      <c r="S122" s="48"/>
      <c r="T122" s="48"/>
    </row>
    <row r="123" customFormat="false" ht="15" hidden="false" customHeight="true" outlineLevel="0" collapsed="false">
      <c r="A123" s="51" t="n">
        <f aca="false">IFERROR(INDEX(K$6:K$401,MATCH(ROW()-5,J$6:J$401,0)),"")</f>
        <v>46229</v>
      </c>
      <c r="B123" s="56" t="str">
        <f aca="false">IFERROR(INDEX(L$6:L$401,MATCH(ROW()-5,J$6:J$401,0)),"")</f>
        <v>ENVÍO cal. C</v>
      </c>
      <c r="C123" s="52" t="str">
        <f aca="false">IFERROR(INDEX(M$6:M$401,MATCH(ROW()-5,J$6:J$401,0)),"")</f>
        <v/>
      </c>
      <c r="D123" s="52" t="n">
        <f aca="false">IFERROR(INDEX(N$6:N$401,MATCH(ROW()-5,J$6:J$401,0)),"")</f>
        <v>204</v>
      </c>
      <c r="E123" s="56" t="str">
        <f aca="false">IFERROR(INDEX(O$6:O$401,MATCH(ROW()-5,J$6:J$401,0)),"")</f>
        <v>3018</v>
      </c>
      <c r="F123" s="52" t="n">
        <f aca="false">IFERROR(INDEX(P$6:P$401,MATCH(ROW()-5,J$6:J$401,0)),"")</f>
        <v>659.5</v>
      </c>
      <c r="G123" s="48"/>
      <c r="H123" s="48"/>
      <c r="I123" s="48"/>
      <c r="J123" s="48" t="n">
        <f aca="false">IF(AND(MOVIMIENTOS!$B122&lt;&gt;"",NOT(AND(MOVIMIENTOS!$B122="PROCESO",MOVIMIENTOS!$C122&lt;&gt;"Chancho")),NOT(AND(MOVIMIENTOS!$B122="SALDO INICIAL",MOVIMIENTOS!$C122="Chancho"))),COUNT(J$6:J122)+1,"")</f>
        <v>73</v>
      </c>
      <c r="K123" s="53" t="n">
        <f aca="false">IF(AND(MOVIMIENTOS!$B122&lt;&gt;"",NOT(AND(MOVIMIENTOS!$B122="PROCESO",MOVIMIENTOS!$C122&lt;&gt;"Chancho")),NOT(AND(MOVIMIENTOS!$B122="SALDO INICIAL",MOVIMIENTOS!$C122="Chancho"))),MOVIMIENTOS!$A122,"")</f>
        <v>46224</v>
      </c>
      <c r="L123" s="48" t="str">
        <f aca="false">IF(AND(MOVIMIENTOS!$B122&lt;&gt;"",NOT(AND(MOVIMIENTOS!$B122="PROCESO",MOVIMIENTOS!$C122&lt;&gt;"Chancho")),NOT(AND(MOVIMIENTOS!$B122="SALDO INICIAL",MOVIMIENTOS!$C122="Chancho"))),IF(MOVIMIENTOS!$B122="SALDO INICIAL","APERTURA ("&amp;MOVIMIENTOS!$C122&amp;")",IF(MOVIMIENTOS!$B122="COMPRA","INGRESO (compra)",IF(MOVIMIENTOS!$B122="PROCESO","CHANCHO (proceso)",IF(MOVIMIENTOS!$B122="ENVÍO A SUPESA","ENVÍO cal. "&amp;MOVIMIENTOS!$C122,IF(MOVIMIENTOS!$B122="VENTA CHANCHO","VENTA CHANCHO",IF(MOVIMIENTOS!$B122="VENTA","VENTA cal. "&amp;MOVIMIENTOS!$C122,IF(MOVIMIENTOS!$B122="REGALO","REGALO "&amp;MOVIMIENTOS!$C122,IF(MOVIMIENTOS!$B122="RECHAZO","RECHAZO cal. "&amp;MOVIMIENTOS!$C122&amp;" (va a reproceso)",IF(MOVIMIENTOS!$B122="DEVOLUCIÓN","DEVOLUCIÓN cal. "&amp;MOVIMIENTOS!$C122&amp;" (regresa intacta)",IF(MOVIMIENTOS!$B122="TRASIEGO","TRASIEGO cal. "&amp;MOVIMIENTOS!$C122,MOVIMIENTOS!$B122)))))))))),"")</f>
        <v>ENVÍO cal. M</v>
      </c>
      <c r="M123" s="48" t="str">
        <f aca="false">IF(AND(AND(MOVIMIENTOS!$B122&lt;&gt;"",NOT(AND(MOVIMIENTOS!$B122="PROCESO",MOVIMIENTOS!$C122&lt;&gt;"Chancho")),NOT(AND(MOVIMIENTOS!$B122="SALDO INICIAL",MOVIMIENTOS!$C122="Chancho"))),OR(MOVIMIENTOS!$B122="SALDO INICIAL",MOVIMIENTOS!$B122="COMPRA",MOVIMIENTOS!$B122="REPROCESO",MOVIMIENTOS!$B122="DEVOLUCIÓN",AND(MOVIMIENTOS!$B122="AJUSTE",MOVIMIENTOS!$C122&lt;&gt;"Chancho",N(MOVIMIENTOS!$F122)&gt;=0))),N(MOVIMIENTOS!$F122),"")</f>
        <v/>
      </c>
      <c r="N123" s="48" t="n">
        <f aca="false">IF(AND(AND(MOVIMIENTOS!$B122&lt;&gt;"",NOT(AND(MOVIMIENTOS!$B122="PROCESO",MOVIMIENTOS!$C122&lt;&gt;"Chancho")),NOT(AND(MOVIMIENTOS!$B122="SALDO INICIAL",MOVIMIENTOS!$C122="Chancho"))),OR(MOVIMIENTOS!$B122="ENVÍO A SUPESA",MOVIMIENTOS!$B122="MALOGRADO",MOVIMIENTOS!$B122="OTRA SALIDA",MOVIMIENTOS!$B122="TRASIEGO",AND(MOVIMIENTOS!$B122="PROCESO",MOVIMIENTOS!$C122="Chancho"),AND(MOVIMIENTOS!$B122="REGALO",MOVIMIENTOS!$C122&lt;&gt;"Chancho"),AND(MOVIMIENTOS!$B122="VENTA",MOVIMIENTOS!$C122&lt;&gt;"Chancho"),AND(MOVIMIENTOS!$B122="AJUSTE",MOVIMIENTOS!$C122&lt;&gt;"Chancho",N(MOVIMIENTOS!$F122)&lt;0))),IF(MOVIMIENTOS!$B122="AJUSTE",-N(MOVIMIENTOS!$F122),N(MOVIMIENTOS!$F122)),"")</f>
        <v>1887</v>
      </c>
      <c r="O123" s="48" t="str">
        <f aca="false">IF(AND(MOVIMIENTOS!$B122&lt;&gt;"",NOT(AND(MOVIMIENTOS!$B122="PROCESO",MOVIMIENTOS!$C122&lt;&gt;"Chancho")),NOT(AND(MOVIMIENTOS!$B122="SALDO INICIAL",MOVIMIENTOS!$C122="Chancho"))),IF(MOVIMIENTOS!$B122="RECHAZO",MOVIMIENTOS!$E122&amp;" jabas rechazadas · van a reproceso",IF(MOVIMIENTOS!$B122="REPROCESO",MOVIMIENTOS!$E122&amp;" kg recuperados (merma del día: "&amp;TEXT(SUMPRODUCT((MOVIMIENTOS!$A$5:$A$400=MOVIMIENTOS!$A122)*(MOVIMIENTOS!$B$5:$B$400="RECHAZO")*(MOVIMIENTOS!$D$5:$D$400="jabas")*MOVIMIENTOS!$E$5:$E$400*IFERROR(_xlfn.SWITCH(MOVIMIENTOS!$C$5:$C$400,"A",15,"P",18,"C",17,"M",17,0),0))-SUMPRODUCT((MOVIMIENTOS!$A$5:$A$400=MOVIMIENTOS!$A122)*(MOVIMIENTOS!$B$5:$B$400="REPROCESO")*MOVIMIENTOS!$I$5:$I$400),"+#,##0;-#,##0;0")&amp;" kg)",TRIM(IF(MOVIMIENTOS!$G122&lt;&gt;"",MOVIMIENTOS!$G122&amp;"  ","")&amp;IF(N(MOVIMIENTOS!$D122)&gt;0,MOVIMIENTOS!$D122&amp;" "&amp;MOVIMIENTOS!$D122,"")))),"")</f>
        <v>3004</v>
      </c>
      <c r="P123" s="48" t="n">
        <f aca="false">N(P122)+N(M123)-N(N123)</f>
        <v>6701.5</v>
      </c>
      <c r="Q123" s="48"/>
      <c r="R123" s="48"/>
      <c r="S123" s="48"/>
      <c r="T123" s="48"/>
    </row>
    <row r="124" customFormat="false" ht="15" hidden="false" customHeight="true" outlineLevel="0" collapsed="false">
      <c r="A124" s="51" t="n">
        <f aca="false">IFERROR(INDEX(K$6:K$401,MATCH(ROW()-5,J$6:J$401,0)),"")</f>
        <v>46230</v>
      </c>
      <c r="B124" s="56" t="str">
        <f aca="false">IFERROR(INDEX(L$6:L$401,MATCH(ROW()-5,J$6:J$401,0)),"")</f>
        <v>INGRESO (compra)</v>
      </c>
      <c r="C124" s="52" t="n">
        <f aca="false">IFERROR(INDEX(M$6:M$401,MATCH(ROW()-5,J$6:J$401,0)),"")</f>
        <v>4275</v>
      </c>
      <c r="D124" s="52" t="str">
        <f aca="false">IFERROR(INDEX(N$6:N$401,MATCH(ROW()-5,J$6:J$401,0)),"")</f>
        <v/>
      </c>
      <c r="E124" s="56" t="str">
        <f aca="false">IFERROR(INDEX(O$6:O$401,MATCH(ROW()-5,J$6:J$401,0)),"")</f>
        <v/>
      </c>
      <c r="F124" s="52" t="n">
        <f aca="false">IFERROR(INDEX(P$6:P$401,MATCH(ROW()-5,J$6:J$401,0)),"")</f>
        <v>4934.5</v>
      </c>
      <c r="G124" s="48"/>
      <c r="H124" s="48"/>
      <c r="I124" s="48"/>
      <c r="J124" s="48" t="n">
        <f aca="false">IF(AND(MOVIMIENTOS!$B123&lt;&gt;"",NOT(AND(MOVIMIENTOS!$B123="PROCESO",MOVIMIENTOS!$C123&lt;&gt;"Chancho")),NOT(AND(MOVIMIENTOS!$B123="SALDO INICIAL",MOVIMIENTOS!$C123="Chancho"))),COUNT(J$6:J123)+1,"")</f>
        <v>74</v>
      </c>
      <c r="K124" s="53" t="n">
        <f aca="false">IF(AND(MOVIMIENTOS!$B123&lt;&gt;"",NOT(AND(MOVIMIENTOS!$B123="PROCESO",MOVIMIENTOS!$C123&lt;&gt;"Chancho")),NOT(AND(MOVIMIENTOS!$B123="SALDO INICIAL",MOVIMIENTOS!$C123="Chancho"))),MOVIMIENTOS!$A123,"")</f>
        <v>46224</v>
      </c>
      <c r="L124" s="48" t="str">
        <f aca="false">IF(AND(MOVIMIENTOS!$B123&lt;&gt;"",NOT(AND(MOVIMIENTOS!$B123="PROCESO",MOVIMIENTOS!$C123&lt;&gt;"Chancho")),NOT(AND(MOVIMIENTOS!$B123="SALDO INICIAL",MOVIMIENTOS!$C123="Chancho"))),IF(MOVIMIENTOS!$B123="SALDO INICIAL","APERTURA ("&amp;MOVIMIENTOS!$C123&amp;")",IF(MOVIMIENTOS!$B123="COMPRA","INGRESO (compra)",IF(MOVIMIENTOS!$B123="PROCESO","CHANCHO (proceso)",IF(MOVIMIENTOS!$B123="ENVÍO A SUPESA","ENVÍO cal. "&amp;MOVIMIENTOS!$C123,IF(MOVIMIENTOS!$B123="VENTA CHANCHO","VENTA CHANCHO",IF(MOVIMIENTOS!$B123="VENTA","VENTA cal. "&amp;MOVIMIENTOS!$C123,IF(MOVIMIENTOS!$B123="REGALO","REGALO "&amp;MOVIMIENTOS!$C123,IF(MOVIMIENTOS!$B123="RECHAZO","RECHAZO cal. "&amp;MOVIMIENTOS!$C123&amp;" (va a reproceso)",IF(MOVIMIENTOS!$B123="DEVOLUCIÓN","DEVOLUCIÓN cal. "&amp;MOVIMIENTOS!$C123&amp;" (regresa intacta)",IF(MOVIMIENTOS!$B123="TRASIEGO","TRASIEGO cal. "&amp;MOVIMIENTOS!$C123,MOVIMIENTOS!$B123)))))))))),"")</f>
        <v>RECHAZO cal. A (va a reproceso)</v>
      </c>
      <c r="M124" s="48" t="str">
        <f aca="false">IF(AND(AND(MOVIMIENTOS!$B123&lt;&gt;"",NOT(AND(MOVIMIENTOS!$B123="PROCESO",MOVIMIENTOS!$C123&lt;&gt;"Chancho")),NOT(AND(MOVIMIENTOS!$B123="SALDO INICIAL",MOVIMIENTOS!$C123="Chancho"))),OR(MOVIMIENTOS!$B123="SALDO INICIAL",MOVIMIENTOS!$B123="COMPRA",MOVIMIENTOS!$B123="REPROCESO",MOVIMIENTOS!$B123="DEVOLUCIÓN",AND(MOVIMIENTOS!$B123="AJUSTE",MOVIMIENTOS!$C123&lt;&gt;"Chancho",N(MOVIMIENTOS!$F123)&gt;=0))),N(MOVIMIENTOS!$F123),"")</f>
        <v/>
      </c>
      <c r="N124" s="48" t="str">
        <f aca="false">IF(AND(AND(MOVIMIENTOS!$B123&lt;&gt;"",NOT(AND(MOVIMIENTOS!$B123="PROCESO",MOVIMIENTOS!$C123&lt;&gt;"Chancho")),NOT(AND(MOVIMIENTOS!$B123="SALDO INICIAL",MOVIMIENTOS!$C123="Chancho"))),OR(MOVIMIENTOS!$B123="ENVÍO A SUPESA",MOVIMIENTOS!$B123="MALOGRADO",MOVIMIENTOS!$B123="OTRA SALIDA",MOVIMIENTOS!$B123="TRASIEGO",AND(MOVIMIENTOS!$B123="PROCESO",MOVIMIENTOS!$C123="Chancho"),AND(MOVIMIENTOS!$B123="REGALO",MOVIMIENTOS!$C123&lt;&gt;"Chancho"),AND(MOVIMIENTOS!$B123="VENTA",MOVIMIENTOS!$C123&lt;&gt;"Chancho"),AND(MOVIMIENTOS!$B123="AJUSTE",MOVIMIENTOS!$C123&lt;&gt;"Chancho",N(MOVIMIENTOS!$F123)&lt;0))),IF(MOVIMIENTOS!$B123="AJUSTE",-N(MOVIMIENTOS!$F123),N(MOVIMIENTOS!$F123)),"")</f>
        <v/>
      </c>
      <c r="O124" s="48" t="str">
        <f aca="false">IF(AND(MOVIMIENTOS!$B123&lt;&gt;"",NOT(AND(MOVIMIENTOS!$B123="PROCESO",MOVIMIENTOS!$C123&lt;&gt;"Chancho")),NOT(AND(MOVIMIENTOS!$B123="SALDO INICIAL",MOVIMIENTOS!$C123="Chancho"))),IF(MOVIMIENTOS!$B123="RECHAZO",MOVIMIENTOS!$E123&amp;" jabas rechazadas · van a reproceso",IF(MOVIMIENTOS!$B123="REPROCESO",MOVIMIENTOS!$E123&amp;" kg recuperados (merma del día: "&amp;TEXT(SUMPRODUCT((MOVIMIENTOS!$A$5:$A$400=MOVIMIENTOS!$A123)*(MOVIMIENTOS!$B$5:$B$400="RECHAZO")*(MOVIMIENTOS!$D$5:$D$400="jabas")*MOVIMIENTOS!$E$5:$E$400*IFERROR(_xlfn.SWITCH(MOVIMIENTOS!$C$5:$C$400,"A",15,"P",18,"C",17,"M",17,0),0))-SUMPRODUCT((MOVIMIENTOS!$A$5:$A$400=MOVIMIENTOS!$A123)*(MOVIMIENTOS!$B$5:$B$400="REPROCESO")*MOVIMIENTOS!$I$5:$I$400),"+#,##0;-#,##0;0")&amp;" kg)",TRIM(IF(MOVIMIENTOS!$G123&lt;&gt;"",MOVIMIENTOS!$G123&amp;"  ","")&amp;IF(N(MOVIMIENTOS!$D123)&gt;0,MOVIMIENTOS!$D123&amp;" "&amp;MOVIMIENTOS!$D123,"")))),"")</f>
        <v>1 jabas rechazadas · van a reproceso</v>
      </c>
      <c r="P124" s="48" t="n">
        <f aca="false">N(P123)+N(M124)-N(N124)</f>
        <v>6701.5</v>
      </c>
      <c r="Q124" s="48"/>
      <c r="R124" s="48"/>
      <c r="S124" s="48"/>
      <c r="T124" s="48"/>
    </row>
    <row r="125" customFormat="false" ht="15" hidden="false" customHeight="true" outlineLevel="0" collapsed="false">
      <c r="A125" s="51" t="n">
        <f aca="false">IFERROR(INDEX(K$6:K$401,MATCH(ROW()-5,J$6:J$401,0)),"")</f>
        <v>46230</v>
      </c>
      <c r="B125" s="56" t="str">
        <f aca="false">IFERROR(INDEX(L$6:L$401,MATCH(ROW()-5,J$6:J$401,0)),"")</f>
        <v>CHANCHO (proceso)</v>
      </c>
      <c r="C125" s="52" t="str">
        <f aca="false">IFERROR(INDEX(M$6:M$401,MATCH(ROW()-5,J$6:J$401,0)),"")</f>
        <v/>
      </c>
      <c r="D125" s="52" t="n">
        <f aca="false">IFERROR(INDEX(N$6:N$401,MATCH(ROW()-5,J$6:J$401,0)),"")</f>
        <v>807.5</v>
      </c>
      <c r="E125" s="56" t="str">
        <f aca="false">IFERROR(INDEX(O$6:O$401,MATCH(ROW()-5,J$6:J$401,0)),"")</f>
        <v/>
      </c>
      <c r="F125" s="52" t="n">
        <f aca="false">IFERROR(INDEX(P$6:P$401,MATCH(ROW()-5,J$6:J$401,0)),"")</f>
        <v>4127</v>
      </c>
      <c r="G125" s="48"/>
      <c r="H125" s="48"/>
      <c r="I125" s="48"/>
      <c r="J125" s="48" t="n">
        <f aca="false">IF(AND(MOVIMIENTOS!$B124&lt;&gt;"",NOT(AND(MOVIMIENTOS!$B124="PROCESO",MOVIMIENTOS!$C124&lt;&gt;"Chancho")),NOT(AND(MOVIMIENTOS!$B124="SALDO INICIAL",MOVIMIENTOS!$C124="Chancho"))),COUNT(J$6:J124)+1,"")</f>
        <v>75</v>
      </c>
      <c r="K125" s="53" t="n">
        <f aca="false">IF(AND(MOVIMIENTOS!$B124&lt;&gt;"",NOT(AND(MOVIMIENTOS!$B124="PROCESO",MOVIMIENTOS!$C124&lt;&gt;"Chancho")),NOT(AND(MOVIMIENTOS!$B124="SALDO INICIAL",MOVIMIENTOS!$C124="Chancho"))),MOVIMIENTOS!$A124,"")</f>
        <v>46224</v>
      </c>
      <c r="L125" s="48" t="str">
        <f aca="false">IF(AND(MOVIMIENTOS!$B124&lt;&gt;"",NOT(AND(MOVIMIENTOS!$B124="PROCESO",MOVIMIENTOS!$C124&lt;&gt;"Chancho")),NOT(AND(MOVIMIENTOS!$B124="SALDO INICIAL",MOVIMIENTOS!$C124="Chancho"))),IF(MOVIMIENTOS!$B124="SALDO INICIAL","APERTURA ("&amp;MOVIMIENTOS!$C124&amp;")",IF(MOVIMIENTOS!$B124="COMPRA","INGRESO (compra)",IF(MOVIMIENTOS!$B124="PROCESO","CHANCHO (proceso)",IF(MOVIMIENTOS!$B124="ENVÍO A SUPESA","ENVÍO cal. "&amp;MOVIMIENTOS!$C124,IF(MOVIMIENTOS!$B124="VENTA CHANCHO","VENTA CHANCHO",IF(MOVIMIENTOS!$B124="VENTA","VENTA cal. "&amp;MOVIMIENTOS!$C124,IF(MOVIMIENTOS!$B124="REGALO","REGALO "&amp;MOVIMIENTOS!$C124,IF(MOVIMIENTOS!$B124="RECHAZO","RECHAZO cal. "&amp;MOVIMIENTOS!$C124&amp;" (va a reproceso)",IF(MOVIMIENTOS!$B124="DEVOLUCIÓN","DEVOLUCIÓN cal. "&amp;MOVIMIENTOS!$C124&amp;" (regresa intacta)",IF(MOVIMIENTOS!$B124="TRASIEGO","TRASIEGO cal. "&amp;MOVIMIENTOS!$C124,MOVIMIENTOS!$B124)))))))))),"")</f>
        <v>RECHAZO cal. M (va a reproceso)</v>
      </c>
      <c r="M125" s="48" t="str">
        <f aca="false">IF(AND(AND(MOVIMIENTOS!$B124&lt;&gt;"",NOT(AND(MOVIMIENTOS!$B124="PROCESO",MOVIMIENTOS!$C124&lt;&gt;"Chancho")),NOT(AND(MOVIMIENTOS!$B124="SALDO INICIAL",MOVIMIENTOS!$C124="Chancho"))),OR(MOVIMIENTOS!$B124="SALDO INICIAL",MOVIMIENTOS!$B124="COMPRA",MOVIMIENTOS!$B124="REPROCESO",MOVIMIENTOS!$B124="DEVOLUCIÓN",AND(MOVIMIENTOS!$B124="AJUSTE",MOVIMIENTOS!$C124&lt;&gt;"Chancho",N(MOVIMIENTOS!$F124)&gt;=0))),N(MOVIMIENTOS!$F124),"")</f>
        <v/>
      </c>
      <c r="N125" s="48" t="str">
        <f aca="false">IF(AND(AND(MOVIMIENTOS!$B124&lt;&gt;"",NOT(AND(MOVIMIENTOS!$B124="PROCESO",MOVIMIENTOS!$C124&lt;&gt;"Chancho")),NOT(AND(MOVIMIENTOS!$B124="SALDO INICIAL",MOVIMIENTOS!$C124="Chancho"))),OR(MOVIMIENTOS!$B124="ENVÍO A SUPESA",MOVIMIENTOS!$B124="MALOGRADO",MOVIMIENTOS!$B124="OTRA SALIDA",MOVIMIENTOS!$B124="TRASIEGO",AND(MOVIMIENTOS!$B124="PROCESO",MOVIMIENTOS!$C124="Chancho"),AND(MOVIMIENTOS!$B124="REGALO",MOVIMIENTOS!$C124&lt;&gt;"Chancho"),AND(MOVIMIENTOS!$B124="VENTA",MOVIMIENTOS!$C124&lt;&gt;"Chancho"),AND(MOVIMIENTOS!$B124="AJUSTE",MOVIMIENTOS!$C124&lt;&gt;"Chancho",N(MOVIMIENTOS!$F124)&lt;0))),IF(MOVIMIENTOS!$B124="AJUSTE",-N(MOVIMIENTOS!$F124),N(MOVIMIENTOS!$F124)),"")</f>
        <v/>
      </c>
      <c r="O125" s="48" t="str">
        <f aca="false">IF(AND(MOVIMIENTOS!$B124&lt;&gt;"",NOT(AND(MOVIMIENTOS!$B124="PROCESO",MOVIMIENTOS!$C124&lt;&gt;"Chancho")),NOT(AND(MOVIMIENTOS!$B124="SALDO INICIAL",MOVIMIENTOS!$C124="Chancho"))),IF(MOVIMIENTOS!$B124="RECHAZO",MOVIMIENTOS!$E124&amp;" jabas rechazadas · van a reproceso",IF(MOVIMIENTOS!$B124="REPROCESO",MOVIMIENTOS!$E124&amp;" kg recuperados (merma del día: "&amp;TEXT(SUMPRODUCT((MOVIMIENTOS!$A$5:$A$400=MOVIMIENTOS!$A124)*(MOVIMIENTOS!$B$5:$B$400="RECHAZO")*(MOVIMIENTOS!$D$5:$D$400="jabas")*MOVIMIENTOS!$E$5:$E$400*IFERROR(_xlfn.SWITCH(MOVIMIENTOS!$C$5:$C$400,"A",15,"P",18,"C",17,"M",17,0),0))-SUMPRODUCT((MOVIMIENTOS!$A$5:$A$400=MOVIMIENTOS!$A124)*(MOVIMIENTOS!$B$5:$B$400="REPROCESO")*MOVIMIENTOS!$I$5:$I$400),"+#,##0;-#,##0;0")&amp;" kg)",TRIM(IF(MOVIMIENTOS!$G124&lt;&gt;"",MOVIMIENTOS!$G124&amp;"  ","")&amp;IF(N(MOVIMIENTOS!$D124)&gt;0,MOVIMIENTOS!$D124&amp;" "&amp;MOVIMIENTOS!$D124,"")))),"")</f>
        <v>1 jabas rechazadas · van a reproceso</v>
      </c>
      <c r="P125" s="48" t="n">
        <f aca="false">N(P124)+N(M125)-N(N125)</f>
        <v>6701.5</v>
      </c>
      <c r="Q125" s="48"/>
      <c r="R125" s="48"/>
      <c r="S125" s="48"/>
      <c r="T125" s="48"/>
    </row>
    <row r="126" customFormat="false" ht="15" hidden="false" customHeight="true" outlineLevel="0" collapsed="false">
      <c r="A126" s="51" t="n">
        <f aca="false">IFERROR(INDEX(K$6:K$401,MATCH(ROW()-5,J$6:J$401,0)),"")</f>
        <v>46230</v>
      </c>
      <c r="B126" s="56" t="str">
        <f aca="false">IFERROR(INDEX(L$6:L$401,MATCH(ROW()-5,J$6:J$401,0)),"")</f>
        <v>ENVÍO cal. A</v>
      </c>
      <c r="C126" s="52" t="str">
        <f aca="false">IFERROR(INDEX(M$6:M$401,MATCH(ROW()-5,J$6:J$401,0)),"")</f>
        <v/>
      </c>
      <c r="D126" s="52" t="n">
        <f aca="false">IFERROR(INDEX(N$6:N$401,MATCH(ROW()-5,J$6:J$401,0)),"")</f>
        <v>1005</v>
      </c>
      <c r="E126" s="56" t="str">
        <f aca="false">IFERROR(INDEX(O$6:O$401,MATCH(ROW()-5,J$6:J$401,0)),"")</f>
        <v>3021</v>
      </c>
      <c r="F126" s="52" t="n">
        <f aca="false">IFERROR(INDEX(P$6:P$401,MATCH(ROW()-5,J$6:J$401,0)),"")</f>
        <v>3122</v>
      </c>
      <c r="G126" s="48"/>
      <c r="H126" s="48"/>
      <c r="I126" s="48"/>
      <c r="J126" s="48" t="n">
        <f aca="false">IF(AND(MOVIMIENTOS!$B125&lt;&gt;"",NOT(AND(MOVIMIENTOS!$B125="PROCESO",MOVIMIENTOS!$C125&lt;&gt;"Chancho")),NOT(AND(MOVIMIENTOS!$B125="SALDO INICIAL",MOVIMIENTOS!$C125="Chancho"))),COUNT(J$6:J125)+1,"")</f>
        <v>76</v>
      </c>
      <c r="K126" s="53" t="n">
        <f aca="false">IF(AND(MOVIMIENTOS!$B125&lt;&gt;"",NOT(AND(MOVIMIENTOS!$B125="PROCESO",MOVIMIENTOS!$C125&lt;&gt;"Chancho")),NOT(AND(MOVIMIENTOS!$B125="SALDO INICIAL",MOVIMIENTOS!$C125="Chancho"))),MOVIMIENTOS!$A125,"")</f>
        <v>46224</v>
      </c>
      <c r="L126" s="48" t="str">
        <f aca="false">IF(AND(MOVIMIENTOS!$B125&lt;&gt;"",NOT(AND(MOVIMIENTOS!$B125="PROCESO",MOVIMIENTOS!$C125&lt;&gt;"Chancho")),NOT(AND(MOVIMIENTOS!$B125="SALDO INICIAL",MOVIMIENTOS!$C125="Chancho"))),IF(MOVIMIENTOS!$B125="SALDO INICIAL","APERTURA ("&amp;MOVIMIENTOS!$C125&amp;")",IF(MOVIMIENTOS!$B125="COMPRA","INGRESO (compra)",IF(MOVIMIENTOS!$B125="PROCESO","CHANCHO (proceso)",IF(MOVIMIENTOS!$B125="ENVÍO A SUPESA","ENVÍO cal. "&amp;MOVIMIENTOS!$C125,IF(MOVIMIENTOS!$B125="VENTA CHANCHO","VENTA CHANCHO",IF(MOVIMIENTOS!$B125="VENTA","VENTA cal. "&amp;MOVIMIENTOS!$C125,IF(MOVIMIENTOS!$B125="REGALO","REGALO "&amp;MOVIMIENTOS!$C125,IF(MOVIMIENTOS!$B125="RECHAZO","RECHAZO cal. "&amp;MOVIMIENTOS!$C125&amp;" (va a reproceso)",IF(MOVIMIENTOS!$B125="DEVOLUCIÓN","DEVOLUCIÓN cal. "&amp;MOVIMIENTOS!$C125&amp;" (regresa intacta)",IF(MOVIMIENTOS!$B125="TRASIEGO","TRASIEGO cal. "&amp;MOVIMIENTOS!$C125,MOVIMIENTOS!$B125)))))))))),"")</f>
        <v>TRASIEGO cal. A</v>
      </c>
      <c r="M126" s="48" t="str">
        <f aca="false">IF(AND(AND(MOVIMIENTOS!$B125&lt;&gt;"",NOT(AND(MOVIMIENTOS!$B125="PROCESO",MOVIMIENTOS!$C125&lt;&gt;"Chancho")),NOT(AND(MOVIMIENTOS!$B125="SALDO INICIAL",MOVIMIENTOS!$C125="Chancho"))),OR(MOVIMIENTOS!$B125="SALDO INICIAL",MOVIMIENTOS!$B125="COMPRA",MOVIMIENTOS!$B125="REPROCESO",MOVIMIENTOS!$B125="DEVOLUCIÓN",AND(MOVIMIENTOS!$B125="AJUSTE",MOVIMIENTOS!$C125&lt;&gt;"Chancho",N(MOVIMIENTOS!$F125)&gt;=0))),N(MOVIMIENTOS!$F125),"")</f>
        <v/>
      </c>
      <c r="N126" s="48" t="n">
        <f aca="false">IF(AND(AND(MOVIMIENTOS!$B125&lt;&gt;"",NOT(AND(MOVIMIENTOS!$B125="PROCESO",MOVIMIENTOS!$C125&lt;&gt;"Chancho")),NOT(AND(MOVIMIENTOS!$B125="SALDO INICIAL",MOVIMIENTOS!$C125="Chancho"))),OR(MOVIMIENTOS!$B125="ENVÍO A SUPESA",MOVIMIENTOS!$B125="MALOGRADO",MOVIMIENTOS!$B125="OTRA SALIDA",MOVIMIENTOS!$B125="TRASIEGO",AND(MOVIMIENTOS!$B125="PROCESO",MOVIMIENTOS!$C125="Chancho"),AND(MOVIMIENTOS!$B125="REGALO",MOVIMIENTOS!$C125&lt;&gt;"Chancho"),AND(MOVIMIENTOS!$B125="VENTA",MOVIMIENTOS!$C125&lt;&gt;"Chancho"),AND(MOVIMIENTOS!$B125="AJUSTE",MOVIMIENTOS!$C125&lt;&gt;"Chancho",N(MOVIMIENTOS!$F125)&lt;0))),IF(MOVIMIENTOS!$B125="AJUSTE",-N(MOVIMIENTOS!$F125),N(MOVIMIENTOS!$F125)),"")</f>
        <v>15</v>
      </c>
      <c r="O126" s="48" t="str">
        <f aca="false">IF(AND(MOVIMIENTOS!$B125&lt;&gt;"",NOT(AND(MOVIMIENTOS!$B125="PROCESO",MOVIMIENTOS!$C125&lt;&gt;"Chancho")),NOT(AND(MOVIMIENTOS!$B125="SALDO INICIAL",MOVIMIENTOS!$C125="Chancho"))),IF(MOVIMIENTOS!$B125="RECHAZO",MOVIMIENTOS!$E125&amp;" jabas rechazadas · van a reproceso",IF(MOVIMIENTOS!$B125="REPROCESO",MOVIMIENTOS!$E125&amp;" kg recuperados (merma del día: "&amp;TEXT(SUMPRODUCT((MOVIMIENTOS!$A$5:$A$400=MOVIMIENTOS!$A125)*(MOVIMIENTOS!$B$5:$B$400="RECHAZO")*(MOVIMIENTOS!$D$5:$D$400="jabas")*MOVIMIENTOS!$E$5:$E$400*IFERROR(_xlfn.SWITCH(MOVIMIENTOS!$C$5:$C$400,"A",15,"P",18,"C",17,"M",17,0),0))-SUMPRODUCT((MOVIMIENTOS!$A$5:$A$400=MOVIMIENTOS!$A125)*(MOVIMIENTOS!$B$5:$B$400="REPROCESO")*MOVIMIENTOS!$I$5:$I$400),"+#,##0;-#,##0;0")&amp;" kg)",TRIM(IF(MOVIMIENTOS!$G125&lt;&gt;"",MOVIMIENTOS!$G125&amp;"  ","")&amp;IF(N(MOVIMIENTOS!$D125)&gt;0,MOVIMIENTOS!$D125&amp;" "&amp;MOVIMIENTOS!$D125,"")))),"")</f>
        <v/>
      </c>
      <c r="P126" s="48" t="n">
        <f aca="false">N(P125)+N(M126)-N(N126)</f>
        <v>6686.5</v>
      </c>
      <c r="Q126" s="48"/>
      <c r="R126" s="48"/>
      <c r="S126" s="48"/>
      <c r="T126" s="48"/>
    </row>
    <row r="127" customFormat="false" ht="15" hidden="false" customHeight="true" outlineLevel="0" collapsed="false">
      <c r="A127" s="51" t="n">
        <f aca="false">IFERROR(INDEX(K$6:K$401,MATCH(ROW()-5,J$6:J$401,0)),"")</f>
        <v>46230</v>
      </c>
      <c r="B127" s="56" t="str">
        <f aca="false">IFERROR(INDEX(L$6:L$401,MATCH(ROW()-5,J$6:J$401,0)),"")</f>
        <v>ENVÍO cal. P</v>
      </c>
      <c r="C127" s="52" t="str">
        <f aca="false">IFERROR(INDEX(M$6:M$401,MATCH(ROW()-5,J$6:J$401,0)),"")</f>
        <v/>
      </c>
      <c r="D127" s="52" t="n">
        <f aca="false">IFERROR(INDEX(N$6:N$401,MATCH(ROW()-5,J$6:J$401,0)),"")</f>
        <v>198</v>
      </c>
      <c r="E127" s="56" t="str">
        <f aca="false">IFERROR(INDEX(O$6:O$401,MATCH(ROW()-5,J$6:J$401,0)),"")</f>
        <v>3021</v>
      </c>
      <c r="F127" s="52" t="n">
        <f aca="false">IFERROR(INDEX(P$6:P$401,MATCH(ROW()-5,J$6:J$401,0)),"")</f>
        <v>2924</v>
      </c>
      <c r="G127" s="48"/>
      <c r="H127" s="48"/>
      <c r="I127" s="48"/>
      <c r="J127" s="48" t="n">
        <f aca="false">IF(AND(MOVIMIENTOS!$B126&lt;&gt;"",NOT(AND(MOVIMIENTOS!$B126="PROCESO",MOVIMIENTOS!$C126&lt;&gt;"Chancho")),NOT(AND(MOVIMIENTOS!$B126="SALDO INICIAL",MOVIMIENTOS!$C126="Chancho"))),COUNT(J$6:J126)+1,"")</f>
        <v>77</v>
      </c>
      <c r="K127" s="53" t="n">
        <f aca="false">IF(AND(MOVIMIENTOS!$B126&lt;&gt;"",NOT(AND(MOVIMIENTOS!$B126="PROCESO",MOVIMIENTOS!$C126&lt;&gt;"Chancho")),NOT(AND(MOVIMIENTOS!$B126="SALDO INICIAL",MOVIMIENTOS!$C126="Chancho"))),MOVIMIENTOS!$A126,"")</f>
        <v>46224</v>
      </c>
      <c r="L127" s="48" t="str">
        <f aca="false">IF(AND(MOVIMIENTOS!$B126&lt;&gt;"",NOT(AND(MOVIMIENTOS!$B126="PROCESO",MOVIMIENTOS!$C126&lt;&gt;"Chancho")),NOT(AND(MOVIMIENTOS!$B126="SALDO INICIAL",MOVIMIENTOS!$C126="Chancho"))),IF(MOVIMIENTOS!$B126="SALDO INICIAL","APERTURA ("&amp;MOVIMIENTOS!$C126&amp;")",IF(MOVIMIENTOS!$B126="COMPRA","INGRESO (compra)",IF(MOVIMIENTOS!$B126="PROCESO","CHANCHO (proceso)",IF(MOVIMIENTOS!$B126="ENVÍO A SUPESA","ENVÍO cal. "&amp;MOVIMIENTOS!$C126,IF(MOVIMIENTOS!$B126="VENTA CHANCHO","VENTA CHANCHO",IF(MOVIMIENTOS!$B126="VENTA","VENTA cal. "&amp;MOVIMIENTOS!$C126,IF(MOVIMIENTOS!$B126="REGALO","REGALO "&amp;MOVIMIENTOS!$C126,IF(MOVIMIENTOS!$B126="RECHAZO","RECHAZO cal. "&amp;MOVIMIENTOS!$C126&amp;" (va a reproceso)",IF(MOVIMIENTOS!$B126="DEVOLUCIÓN","DEVOLUCIÓN cal. "&amp;MOVIMIENTOS!$C126&amp;" (regresa intacta)",IF(MOVIMIENTOS!$B126="TRASIEGO","TRASIEGO cal. "&amp;MOVIMIENTOS!$C126,MOVIMIENTOS!$B126)))))))))),"")</f>
        <v>TRASIEGO cal. M</v>
      </c>
      <c r="M127" s="48" t="str">
        <f aca="false">IF(AND(AND(MOVIMIENTOS!$B126&lt;&gt;"",NOT(AND(MOVIMIENTOS!$B126="PROCESO",MOVIMIENTOS!$C126&lt;&gt;"Chancho")),NOT(AND(MOVIMIENTOS!$B126="SALDO INICIAL",MOVIMIENTOS!$C126="Chancho"))),OR(MOVIMIENTOS!$B126="SALDO INICIAL",MOVIMIENTOS!$B126="COMPRA",MOVIMIENTOS!$B126="REPROCESO",MOVIMIENTOS!$B126="DEVOLUCIÓN",AND(MOVIMIENTOS!$B126="AJUSTE",MOVIMIENTOS!$C126&lt;&gt;"Chancho",N(MOVIMIENTOS!$F126)&gt;=0))),N(MOVIMIENTOS!$F126),"")</f>
        <v/>
      </c>
      <c r="N127" s="48" t="n">
        <f aca="false">IF(AND(AND(MOVIMIENTOS!$B126&lt;&gt;"",NOT(AND(MOVIMIENTOS!$B126="PROCESO",MOVIMIENTOS!$C126&lt;&gt;"Chancho")),NOT(AND(MOVIMIENTOS!$B126="SALDO INICIAL",MOVIMIENTOS!$C126="Chancho"))),OR(MOVIMIENTOS!$B126="ENVÍO A SUPESA",MOVIMIENTOS!$B126="MALOGRADO",MOVIMIENTOS!$B126="OTRA SALIDA",MOVIMIENTOS!$B126="TRASIEGO",AND(MOVIMIENTOS!$B126="PROCESO",MOVIMIENTOS!$C126="Chancho"),AND(MOVIMIENTOS!$B126="REGALO",MOVIMIENTOS!$C126&lt;&gt;"Chancho"),AND(MOVIMIENTOS!$B126="VENTA",MOVIMIENTOS!$C126&lt;&gt;"Chancho"),AND(MOVIMIENTOS!$B126="AJUSTE",MOVIMIENTOS!$C126&lt;&gt;"Chancho",N(MOVIMIENTOS!$F126)&lt;0))),IF(MOVIMIENTOS!$B126="AJUSTE",-N(MOVIMIENTOS!$F126),N(MOVIMIENTOS!$F126)),"")</f>
        <v>17</v>
      </c>
      <c r="O127" s="48" t="str">
        <f aca="false">IF(AND(MOVIMIENTOS!$B126&lt;&gt;"",NOT(AND(MOVIMIENTOS!$B126="PROCESO",MOVIMIENTOS!$C126&lt;&gt;"Chancho")),NOT(AND(MOVIMIENTOS!$B126="SALDO INICIAL",MOVIMIENTOS!$C126="Chancho"))),IF(MOVIMIENTOS!$B126="RECHAZO",MOVIMIENTOS!$E126&amp;" jabas rechazadas · van a reproceso",IF(MOVIMIENTOS!$B126="REPROCESO",MOVIMIENTOS!$E126&amp;" kg recuperados (merma del día: "&amp;TEXT(SUMPRODUCT((MOVIMIENTOS!$A$5:$A$400=MOVIMIENTOS!$A126)*(MOVIMIENTOS!$B$5:$B$400="RECHAZO")*(MOVIMIENTOS!$D$5:$D$400="jabas")*MOVIMIENTOS!$E$5:$E$400*IFERROR(_xlfn.SWITCH(MOVIMIENTOS!$C$5:$C$400,"A",15,"P",18,"C",17,"M",17,0),0))-SUMPRODUCT((MOVIMIENTOS!$A$5:$A$400=MOVIMIENTOS!$A126)*(MOVIMIENTOS!$B$5:$B$400="REPROCESO")*MOVIMIENTOS!$I$5:$I$400),"+#,##0;-#,##0;0")&amp;" kg)",TRIM(IF(MOVIMIENTOS!$G126&lt;&gt;"",MOVIMIENTOS!$G126&amp;"  ","")&amp;IF(N(MOVIMIENTOS!$D126)&gt;0,MOVIMIENTOS!$D126&amp;" "&amp;MOVIMIENTOS!$D126,"")))),"")</f>
        <v/>
      </c>
      <c r="P127" s="48" t="n">
        <f aca="false">N(P126)+N(M127)-N(N127)</f>
        <v>6669.5</v>
      </c>
      <c r="Q127" s="48"/>
      <c r="R127" s="48"/>
      <c r="S127" s="48"/>
      <c r="T127" s="48"/>
    </row>
    <row r="128" customFormat="false" ht="15" hidden="false" customHeight="true" outlineLevel="0" collapsed="false">
      <c r="A128" s="51" t="n">
        <f aca="false">IFERROR(INDEX(K$6:K$401,MATCH(ROW()-5,J$6:J$401,0)),"")</f>
        <v>46230</v>
      </c>
      <c r="B128" s="56" t="str">
        <f aca="false">IFERROR(INDEX(L$6:L$401,MATCH(ROW()-5,J$6:J$401,0)),"")</f>
        <v>ENVÍO cal. C</v>
      </c>
      <c r="C128" s="52" t="str">
        <f aca="false">IFERROR(INDEX(M$6:M$401,MATCH(ROW()-5,J$6:J$401,0)),"")</f>
        <v/>
      </c>
      <c r="D128" s="52" t="n">
        <f aca="false">IFERROR(INDEX(N$6:N$401,MATCH(ROW()-5,J$6:J$401,0)),"")</f>
        <v>136</v>
      </c>
      <c r="E128" s="56" t="str">
        <f aca="false">IFERROR(INDEX(O$6:O$401,MATCH(ROW()-5,J$6:J$401,0)),"")</f>
        <v>3021</v>
      </c>
      <c r="F128" s="52" t="n">
        <f aca="false">IFERROR(INDEX(P$6:P$401,MATCH(ROW()-5,J$6:J$401,0)),"")</f>
        <v>2788</v>
      </c>
      <c r="G128" s="48"/>
      <c r="H128" s="48"/>
      <c r="I128" s="48"/>
      <c r="J128" s="48" t="n">
        <f aca="false">IF(AND(MOVIMIENTOS!$B127&lt;&gt;"",NOT(AND(MOVIMIENTOS!$B127="PROCESO",MOVIMIENTOS!$C127&lt;&gt;"Chancho")),NOT(AND(MOVIMIENTOS!$B127="SALDO INICIAL",MOVIMIENTOS!$C127="Chancho"))),COUNT(J$6:J127)+1,"")</f>
        <v>78</v>
      </c>
      <c r="K128" s="53" t="n">
        <f aca="false">IF(AND(MOVIMIENTOS!$B127&lt;&gt;"",NOT(AND(MOVIMIENTOS!$B127="PROCESO",MOVIMIENTOS!$C127&lt;&gt;"Chancho")),NOT(AND(MOVIMIENTOS!$B127="SALDO INICIAL",MOVIMIENTOS!$C127="Chancho"))),MOVIMIENTOS!$A127,"")</f>
        <v>46224</v>
      </c>
      <c r="L128" s="48" t="str">
        <f aca="false">IF(AND(MOVIMIENTOS!$B127&lt;&gt;"",NOT(AND(MOVIMIENTOS!$B127="PROCESO",MOVIMIENTOS!$C127&lt;&gt;"Chancho")),NOT(AND(MOVIMIENTOS!$B127="SALDO INICIAL",MOVIMIENTOS!$C127="Chancho"))),IF(MOVIMIENTOS!$B127="SALDO INICIAL","APERTURA ("&amp;MOVIMIENTOS!$C127&amp;")",IF(MOVIMIENTOS!$B127="COMPRA","INGRESO (compra)",IF(MOVIMIENTOS!$B127="PROCESO","CHANCHO (proceso)",IF(MOVIMIENTOS!$B127="ENVÍO A SUPESA","ENVÍO cal. "&amp;MOVIMIENTOS!$C127,IF(MOVIMIENTOS!$B127="VENTA CHANCHO","VENTA CHANCHO",IF(MOVIMIENTOS!$B127="VENTA","VENTA cal. "&amp;MOVIMIENTOS!$C127,IF(MOVIMIENTOS!$B127="REGALO","REGALO "&amp;MOVIMIENTOS!$C127,IF(MOVIMIENTOS!$B127="RECHAZO","RECHAZO cal. "&amp;MOVIMIENTOS!$C127&amp;" (va a reproceso)",IF(MOVIMIENTOS!$B127="DEVOLUCIÓN","DEVOLUCIÓN cal. "&amp;MOVIMIENTOS!$C127&amp;" (regresa intacta)",IF(MOVIMIENTOS!$B127="TRASIEGO","TRASIEGO cal. "&amp;MOVIMIENTOS!$C127,MOVIMIENTOS!$B127)))))))))),"")</f>
        <v>REPROCESO</v>
      </c>
      <c r="M128" s="48" t="n">
        <f aca="false">IF(AND(AND(MOVIMIENTOS!$B127&lt;&gt;"",NOT(AND(MOVIMIENTOS!$B127="PROCESO",MOVIMIENTOS!$C127&lt;&gt;"Chancho")),NOT(AND(MOVIMIENTOS!$B127="SALDO INICIAL",MOVIMIENTOS!$C127="Chancho"))),OR(MOVIMIENTOS!$B127="SALDO INICIAL",MOVIMIENTOS!$B127="COMPRA",MOVIMIENTOS!$B127="REPROCESO",MOVIMIENTOS!$B127="DEVOLUCIÓN",AND(MOVIMIENTOS!$B127="AJUSTE",MOVIMIENTOS!$C127&lt;&gt;"Chancho",N(MOVIMIENTOS!$F127)&gt;=0))),N(MOVIMIENTOS!$F127),"")</f>
        <v>17</v>
      </c>
      <c r="N128" s="48" t="str">
        <f aca="false">IF(AND(AND(MOVIMIENTOS!$B127&lt;&gt;"",NOT(AND(MOVIMIENTOS!$B127="PROCESO",MOVIMIENTOS!$C127&lt;&gt;"Chancho")),NOT(AND(MOVIMIENTOS!$B127="SALDO INICIAL",MOVIMIENTOS!$C127="Chancho"))),OR(MOVIMIENTOS!$B127="ENVÍO A SUPESA",MOVIMIENTOS!$B127="MALOGRADO",MOVIMIENTOS!$B127="OTRA SALIDA",MOVIMIENTOS!$B127="TRASIEGO",AND(MOVIMIENTOS!$B127="PROCESO",MOVIMIENTOS!$C127="Chancho"),AND(MOVIMIENTOS!$B127="REGALO",MOVIMIENTOS!$C127&lt;&gt;"Chancho"),AND(MOVIMIENTOS!$B127="VENTA",MOVIMIENTOS!$C127&lt;&gt;"Chancho"),AND(MOVIMIENTOS!$B127="AJUSTE",MOVIMIENTOS!$C127&lt;&gt;"Chancho",N(MOVIMIENTOS!$F127)&lt;0))),IF(MOVIMIENTOS!$B127="AJUSTE",-N(MOVIMIENTOS!$F127),N(MOVIMIENTOS!$F127)),"")</f>
        <v/>
      </c>
      <c r="O128" s="48" t="str">
        <f aca="false">IF(AND(MOVIMIENTOS!$B127&lt;&gt;"",NOT(AND(MOVIMIENTOS!$B127="PROCESO",MOVIMIENTOS!$C127&lt;&gt;"Chancho")),NOT(AND(MOVIMIENTOS!$B127="SALDO INICIAL",MOVIMIENTOS!$C127="Chancho"))),IF(MOVIMIENTOS!$B127="RECHAZO",MOVIMIENTOS!$E127&amp;" jabas rechazadas · van a reproceso",IF(MOVIMIENTOS!$B127="REPROCESO",MOVIMIENTOS!$E127&amp;" kg recuperados (merma del día: "&amp;TEXT(SUMPRODUCT((MOVIMIENTOS!$A$5:$A$400=MOVIMIENTOS!$A127)*(MOVIMIENTOS!$B$5:$B$400="RECHAZO")*(MOVIMIENTOS!$D$5:$D$400="jabas")*MOVIMIENTOS!$E$5:$E$400*IFERROR(_xlfn.SWITCH(MOVIMIENTOS!$C$5:$C$400,"A",15,"P",18,"C",17,"M",17,0),0))-SUMPRODUCT((MOVIMIENTOS!$A$5:$A$400=MOVIMIENTOS!$A127)*(MOVIMIENTOS!$B$5:$B$400="REPROCESO")*MOVIMIENTOS!$I$5:$I$400),"+#,##0;-#,##0;0")&amp;" kg)",TRIM(IF(MOVIMIENTOS!$G127&lt;&gt;"",MOVIMIENTOS!$G127&amp;"  ","")&amp;IF(N(MOVIMIENTOS!$D127)&gt;0,MOVIMIENTOS!$D127&amp;" "&amp;MOVIMIENTOS!$D127,"")))),"")</f>
        <v>17 kg recuperados (merma del día: +15 kg)</v>
      </c>
      <c r="P128" s="48" t="n">
        <f aca="false">N(P127)+N(M128)-N(N128)</f>
        <v>6686.5</v>
      </c>
      <c r="Q128" s="48"/>
      <c r="R128" s="48"/>
      <c r="S128" s="48"/>
      <c r="T128" s="48"/>
    </row>
    <row r="129" customFormat="false" ht="15" hidden="false" customHeight="true" outlineLevel="0" collapsed="false">
      <c r="A129" s="51" t="n">
        <f aca="false">IFERROR(INDEX(K$6:K$401,MATCH(ROW()-5,J$6:J$401,0)),"")</f>
        <v>46230</v>
      </c>
      <c r="B129" s="56" t="str">
        <f aca="false">IFERROR(INDEX(L$6:L$401,MATCH(ROW()-5,J$6:J$401,0)),"")</f>
        <v>VENTA CHANCHO</v>
      </c>
      <c r="C129" s="52" t="str">
        <f aca="false">IFERROR(INDEX(M$6:M$401,MATCH(ROW()-5,J$6:J$401,0)),"")</f>
        <v/>
      </c>
      <c r="D129" s="52" t="str">
        <f aca="false">IFERROR(INDEX(N$6:N$401,MATCH(ROW()-5,J$6:J$401,0)),"")</f>
        <v/>
      </c>
      <c r="E129" s="56" t="str">
        <f aca="false">IFERROR(INDEX(O$6:O$401,MATCH(ROW()-5,J$6:J$401,0)),"")</f>
        <v/>
      </c>
      <c r="F129" s="52" t="n">
        <f aca="false">IFERROR(INDEX(P$6:P$401,MATCH(ROW()-5,J$6:J$401,0)),"")</f>
        <v>2788</v>
      </c>
      <c r="G129" s="48"/>
      <c r="H129" s="48"/>
      <c r="I129" s="48"/>
      <c r="J129" s="48" t="str">
        <f aca="false">IF(AND(MOVIMIENTOS!$B128&lt;&gt;"",NOT(AND(MOVIMIENTOS!$B128="PROCESO",MOVIMIENTOS!$C128&lt;&gt;"Chancho")),NOT(AND(MOVIMIENTOS!$B128="SALDO INICIAL",MOVIMIENTOS!$C128="Chancho"))),COUNT(J$6:J128)+1,"")</f>
        <v/>
      </c>
      <c r="K129" s="48" t="str">
        <f aca="false">IF(AND(MOVIMIENTOS!$B128&lt;&gt;"",NOT(AND(MOVIMIENTOS!$B128="PROCESO",MOVIMIENTOS!$C128&lt;&gt;"Chancho")),NOT(AND(MOVIMIENTOS!$B128="SALDO INICIAL",MOVIMIENTOS!$C128="Chancho"))),MOVIMIENTOS!$A128,"")</f>
        <v/>
      </c>
      <c r="L129" s="48" t="str">
        <f aca="false">IF(AND(MOVIMIENTOS!$B128&lt;&gt;"",NOT(AND(MOVIMIENTOS!$B128="PROCESO",MOVIMIENTOS!$C128&lt;&gt;"Chancho")),NOT(AND(MOVIMIENTOS!$B128="SALDO INICIAL",MOVIMIENTOS!$C128="Chancho"))),IF(MOVIMIENTOS!$B128="SALDO INICIAL","APERTURA ("&amp;MOVIMIENTOS!$C128&amp;")",IF(MOVIMIENTOS!$B128="COMPRA","INGRESO (compra)",IF(MOVIMIENTOS!$B128="PROCESO","CHANCHO (proceso)",IF(MOVIMIENTOS!$B128="ENVÍO A SUPESA","ENVÍO cal. "&amp;MOVIMIENTOS!$C128,IF(MOVIMIENTOS!$B128="VENTA CHANCHO","VENTA CHANCHO",IF(MOVIMIENTOS!$B128="VENTA","VENTA cal. "&amp;MOVIMIENTOS!$C128,IF(MOVIMIENTOS!$B128="REGALO","REGALO "&amp;MOVIMIENTOS!$C128,IF(MOVIMIENTOS!$B128="RECHAZO","RECHAZO cal. "&amp;MOVIMIENTOS!$C128&amp;" (va a reproceso)",IF(MOVIMIENTOS!$B128="DEVOLUCIÓN","DEVOLUCIÓN cal. "&amp;MOVIMIENTOS!$C128&amp;" (regresa intacta)",IF(MOVIMIENTOS!$B128="TRASIEGO","TRASIEGO cal. "&amp;MOVIMIENTOS!$C128,MOVIMIENTOS!$B128)))))))))),"")</f>
        <v/>
      </c>
      <c r="M129" s="48" t="str">
        <f aca="false">IF(AND(AND(MOVIMIENTOS!$B128&lt;&gt;"",NOT(AND(MOVIMIENTOS!$B128="PROCESO",MOVIMIENTOS!$C128&lt;&gt;"Chancho")),NOT(AND(MOVIMIENTOS!$B128="SALDO INICIAL",MOVIMIENTOS!$C128="Chancho"))),OR(MOVIMIENTOS!$B128="SALDO INICIAL",MOVIMIENTOS!$B128="COMPRA",MOVIMIENTOS!$B128="REPROCESO",MOVIMIENTOS!$B128="DEVOLUCIÓN",AND(MOVIMIENTOS!$B128="AJUSTE",MOVIMIENTOS!$C128&lt;&gt;"Chancho",N(MOVIMIENTOS!$F128)&gt;=0))),N(MOVIMIENTOS!$F128),"")</f>
        <v/>
      </c>
      <c r="N129" s="48" t="str">
        <f aca="false">IF(AND(AND(MOVIMIENTOS!$B128&lt;&gt;"",NOT(AND(MOVIMIENTOS!$B128="PROCESO",MOVIMIENTOS!$C128&lt;&gt;"Chancho")),NOT(AND(MOVIMIENTOS!$B128="SALDO INICIAL",MOVIMIENTOS!$C128="Chancho"))),OR(MOVIMIENTOS!$B128="ENVÍO A SUPESA",MOVIMIENTOS!$B128="MALOGRADO",MOVIMIENTOS!$B128="OTRA SALIDA",MOVIMIENTOS!$B128="TRASIEGO",AND(MOVIMIENTOS!$B128="PROCESO",MOVIMIENTOS!$C128="Chancho"),AND(MOVIMIENTOS!$B128="REGALO",MOVIMIENTOS!$C128&lt;&gt;"Chancho"),AND(MOVIMIENTOS!$B128="VENTA",MOVIMIENTOS!$C128&lt;&gt;"Chancho"),AND(MOVIMIENTOS!$B128="AJUSTE",MOVIMIENTOS!$C128&lt;&gt;"Chancho",N(MOVIMIENTOS!$F128)&lt;0))),IF(MOVIMIENTOS!$B128="AJUSTE",-N(MOVIMIENTOS!$F128),N(MOVIMIENTOS!$F128)),"")</f>
        <v/>
      </c>
      <c r="O129" s="48" t="str">
        <f aca="false">IF(AND(MOVIMIENTOS!$B128&lt;&gt;"",NOT(AND(MOVIMIENTOS!$B128="PROCESO",MOVIMIENTOS!$C128&lt;&gt;"Chancho")),NOT(AND(MOVIMIENTOS!$B128="SALDO INICIAL",MOVIMIENTOS!$C128="Chancho"))),IF(MOVIMIENTOS!$B128="RECHAZO",MOVIMIENTOS!$E128&amp;" jabas rechazadas · van a reproceso",IF(MOVIMIENTOS!$B128="REPROCESO",MOVIMIENTOS!$E128&amp;" kg recuperados (merma del día: "&amp;TEXT(SUMPRODUCT((MOVIMIENTOS!$A$5:$A$400=MOVIMIENTOS!$A128)*(MOVIMIENTOS!$B$5:$B$400="RECHAZO")*(MOVIMIENTOS!$D$5:$D$400="jabas")*MOVIMIENTOS!$E$5:$E$400*IFERROR(_xlfn.SWITCH(MOVIMIENTOS!$C$5:$C$400,"A",15,"P",18,"C",17,"M",17,0),0))-SUMPRODUCT((MOVIMIENTOS!$A$5:$A$400=MOVIMIENTOS!$A128)*(MOVIMIENTOS!$B$5:$B$400="REPROCESO")*MOVIMIENTOS!$I$5:$I$400),"+#,##0;-#,##0;0")&amp;" kg)",TRIM(IF(MOVIMIENTOS!$G128&lt;&gt;"",MOVIMIENTOS!$G128&amp;"  ","")&amp;IF(N(MOVIMIENTOS!$D128)&gt;0,MOVIMIENTOS!$D128&amp;" "&amp;MOVIMIENTOS!$D128,"")))),"")</f>
        <v/>
      </c>
      <c r="P129" s="48" t="n">
        <f aca="false">N(P128)+N(M129)-N(N129)</f>
        <v>6686.5</v>
      </c>
      <c r="Q129" s="48"/>
      <c r="R129" s="48"/>
      <c r="S129" s="48"/>
      <c r="T129" s="48"/>
    </row>
    <row r="130" customFormat="false" ht="15" hidden="false" customHeight="true" outlineLevel="0" collapsed="false">
      <c r="A130" s="51" t="n">
        <f aca="false">IFERROR(INDEX(K$6:K$401,MATCH(ROW()-5,J$6:J$401,0)),"")</f>
        <v>46230</v>
      </c>
      <c r="B130" s="56" t="str">
        <f aca="false">IFERROR(INDEX(L$6:L$401,MATCH(ROW()-5,J$6:J$401,0)),"")</f>
        <v>VENTA CHANCHO</v>
      </c>
      <c r="C130" s="52" t="str">
        <f aca="false">IFERROR(INDEX(M$6:M$401,MATCH(ROW()-5,J$6:J$401,0)),"")</f>
        <v/>
      </c>
      <c r="D130" s="52" t="str">
        <f aca="false">IFERROR(INDEX(N$6:N$401,MATCH(ROW()-5,J$6:J$401,0)),"")</f>
        <v/>
      </c>
      <c r="E130" s="56" t="str">
        <f aca="false">IFERROR(INDEX(O$6:O$401,MATCH(ROW()-5,J$6:J$401,0)),"")</f>
        <v/>
      </c>
      <c r="F130" s="52" t="n">
        <f aca="false">IFERROR(INDEX(P$6:P$401,MATCH(ROW()-5,J$6:J$401,0)),"")</f>
        <v>2788</v>
      </c>
      <c r="G130" s="48"/>
      <c r="H130" s="48"/>
      <c r="I130" s="48"/>
      <c r="J130" s="48" t="str">
        <f aca="false">IF(AND(MOVIMIENTOS!$B129&lt;&gt;"",NOT(AND(MOVIMIENTOS!$B129="PROCESO",MOVIMIENTOS!$C129&lt;&gt;"Chancho")),NOT(AND(MOVIMIENTOS!$B129="SALDO INICIAL",MOVIMIENTOS!$C129="Chancho"))),COUNT(J$6:J129)+1,"")</f>
        <v/>
      </c>
      <c r="K130" s="48" t="str">
        <f aca="false">IF(AND(MOVIMIENTOS!$B129&lt;&gt;"",NOT(AND(MOVIMIENTOS!$B129="PROCESO",MOVIMIENTOS!$C129&lt;&gt;"Chancho")),NOT(AND(MOVIMIENTOS!$B129="SALDO INICIAL",MOVIMIENTOS!$C129="Chancho"))),MOVIMIENTOS!$A129,"")</f>
        <v/>
      </c>
      <c r="L130" s="48" t="str">
        <f aca="false">IF(AND(MOVIMIENTOS!$B129&lt;&gt;"",NOT(AND(MOVIMIENTOS!$B129="PROCESO",MOVIMIENTOS!$C129&lt;&gt;"Chancho")),NOT(AND(MOVIMIENTOS!$B129="SALDO INICIAL",MOVIMIENTOS!$C129="Chancho"))),IF(MOVIMIENTOS!$B129="SALDO INICIAL","APERTURA ("&amp;MOVIMIENTOS!$C129&amp;")",IF(MOVIMIENTOS!$B129="COMPRA","INGRESO (compra)",IF(MOVIMIENTOS!$B129="PROCESO","CHANCHO (proceso)",IF(MOVIMIENTOS!$B129="ENVÍO A SUPESA","ENVÍO cal. "&amp;MOVIMIENTOS!$C129,IF(MOVIMIENTOS!$B129="VENTA CHANCHO","VENTA CHANCHO",IF(MOVIMIENTOS!$B129="VENTA","VENTA cal. "&amp;MOVIMIENTOS!$C129,IF(MOVIMIENTOS!$B129="REGALO","REGALO "&amp;MOVIMIENTOS!$C129,IF(MOVIMIENTOS!$B129="RECHAZO","RECHAZO cal. "&amp;MOVIMIENTOS!$C129&amp;" (va a reproceso)",IF(MOVIMIENTOS!$B129="DEVOLUCIÓN","DEVOLUCIÓN cal. "&amp;MOVIMIENTOS!$C129&amp;" (regresa intacta)",IF(MOVIMIENTOS!$B129="TRASIEGO","TRASIEGO cal. "&amp;MOVIMIENTOS!$C129,MOVIMIENTOS!$B129)))))))))),"")</f>
        <v/>
      </c>
      <c r="M130" s="48" t="str">
        <f aca="false">IF(AND(AND(MOVIMIENTOS!$B129&lt;&gt;"",NOT(AND(MOVIMIENTOS!$B129="PROCESO",MOVIMIENTOS!$C129&lt;&gt;"Chancho")),NOT(AND(MOVIMIENTOS!$B129="SALDO INICIAL",MOVIMIENTOS!$C129="Chancho"))),OR(MOVIMIENTOS!$B129="SALDO INICIAL",MOVIMIENTOS!$B129="COMPRA",MOVIMIENTOS!$B129="REPROCESO",MOVIMIENTOS!$B129="DEVOLUCIÓN",AND(MOVIMIENTOS!$B129="AJUSTE",MOVIMIENTOS!$C129&lt;&gt;"Chancho",N(MOVIMIENTOS!$F129)&gt;=0))),N(MOVIMIENTOS!$F129),"")</f>
        <v/>
      </c>
      <c r="N130" s="48" t="str">
        <f aca="false">IF(AND(AND(MOVIMIENTOS!$B129&lt;&gt;"",NOT(AND(MOVIMIENTOS!$B129="PROCESO",MOVIMIENTOS!$C129&lt;&gt;"Chancho")),NOT(AND(MOVIMIENTOS!$B129="SALDO INICIAL",MOVIMIENTOS!$C129="Chancho"))),OR(MOVIMIENTOS!$B129="ENVÍO A SUPESA",MOVIMIENTOS!$B129="MALOGRADO",MOVIMIENTOS!$B129="OTRA SALIDA",MOVIMIENTOS!$B129="TRASIEGO",AND(MOVIMIENTOS!$B129="PROCESO",MOVIMIENTOS!$C129="Chancho"),AND(MOVIMIENTOS!$B129="REGALO",MOVIMIENTOS!$C129&lt;&gt;"Chancho"),AND(MOVIMIENTOS!$B129="VENTA",MOVIMIENTOS!$C129&lt;&gt;"Chancho"),AND(MOVIMIENTOS!$B129="AJUSTE",MOVIMIENTOS!$C129&lt;&gt;"Chancho",N(MOVIMIENTOS!$F129)&lt;0))),IF(MOVIMIENTOS!$B129="AJUSTE",-N(MOVIMIENTOS!$F129),N(MOVIMIENTOS!$F129)),"")</f>
        <v/>
      </c>
      <c r="O130" s="48" t="str">
        <f aca="false">IF(AND(MOVIMIENTOS!$B129&lt;&gt;"",NOT(AND(MOVIMIENTOS!$B129="PROCESO",MOVIMIENTOS!$C129&lt;&gt;"Chancho")),NOT(AND(MOVIMIENTOS!$B129="SALDO INICIAL",MOVIMIENTOS!$C129="Chancho"))),IF(MOVIMIENTOS!$B129="RECHAZO",MOVIMIENTOS!$E129&amp;" jabas rechazadas · van a reproceso",IF(MOVIMIENTOS!$B129="REPROCESO",MOVIMIENTOS!$E129&amp;" kg recuperados (merma del día: "&amp;TEXT(SUMPRODUCT((MOVIMIENTOS!$A$5:$A$400=MOVIMIENTOS!$A129)*(MOVIMIENTOS!$B$5:$B$400="RECHAZO")*(MOVIMIENTOS!$D$5:$D$400="jabas")*MOVIMIENTOS!$E$5:$E$400*IFERROR(_xlfn.SWITCH(MOVIMIENTOS!$C$5:$C$400,"A",15,"P",18,"C",17,"M",17,0),0))-SUMPRODUCT((MOVIMIENTOS!$A$5:$A$400=MOVIMIENTOS!$A129)*(MOVIMIENTOS!$B$5:$B$400="REPROCESO")*MOVIMIENTOS!$I$5:$I$400),"+#,##0;-#,##0;0")&amp;" kg)",TRIM(IF(MOVIMIENTOS!$G129&lt;&gt;"",MOVIMIENTOS!$G129&amp;"  ","")&amp;IF(N(MOVIMIENTOS!$D129)&gt;0,MOVIMIENTOS!$D129&amp;" "&amp;MOVIMIENTOS!$D129,"")))),"")</f>
        <v/>
      </c>
      <c r="P130" s="48" t="n">
        <f aca="false">N(P129)+N(M130)-N(N130)</f>
        <v>6686.5</v>
      </c>
      <c r="Q130" s="48"/>
      <c r="R130" s="48"/>
      <c r="S130" s="48"/>
      <c r="T130" s="48"/>
    </row>
    <row r="131" customFormat="false" ht="15" hidden="false" customHeight="true" outlineLevel="0" collapsed="false">
      <c r="A131" s="51" t="n">
        <f aca="false">IFERROR(INDEX(K$6:K$401,MATCH(ROW()-5,J$6:J$401,0)),"")</f>
        <v>46230</v>
      </c>
      <c r="B131" s="56" t="str">
        <f aca="false">IFERROR(INDEX(L$6:L$401,MATCH(ROW()-5,J$6:J$401,0)),"")</f>
        <v>RECHAZO cal. A (va a reproceso)</v>
      </c>
      <c r="C131" s="52" t="str">
        <f aca="false">IFERROR(INDEX(M$6:M$401,MATCH(ROW()-5,J$6:J$401,0)),"")</f>
        <v/>
      </c>
      <c r="D131" s="52" t="str">
        <f aca="false">IFERROR(INDEX(N$6:N$401,MATCH(ROW()-5,J$6:J$401,0)),"")</f>
        <v/>
      </c>
      <c r="E131" s="56" t="str">
        <f aca="false">IFERROR(INDEX(O$6:O$401,MATCH(ROW()-5,J$6:J$401,0)),"")</f>
        <v>1 jabas rechazadas · van a reproceso</v>
      </c>
      <c r="F131" s="52" t="n">
        <f aca="false">IFERROR(INDEX(P$6:P$401,MATCH(ROW()-5,J$6:J$401,0)),"")</f>
        <v>2788</v>
      </c>
      <c r="G131" s="48"/>
      <c r="H131" s="48"/>
      <c r="I131" s="48"/>
      <c r="J131" s="48" t="str">
        <f aca="false">IF(AND(MOVIMIENTOS!$B130&lt;&gt;"",NOT(AND(MOVIMIENTOS!$B130="PROCESO",MOVIMIENTOS!$C130&lt;&gt;"Chancho")),NOT(AND(MOVIMIENTOS!$B130="SALDO INICIAL",MOVIMIENTOS!$C130="Chancho"))),COUNT(J$6:J130)+1,"")</f>
        <v/>
      </c>
      <c r="K131" s="48" t="str">
        <f aca="false">IF(AND(MOVIMIENTOS!$B130&lt;&gt;"",NOT(AND(MOVIMIENTOS!$B130="PROCESO",MOVIMIENTOS!$C130&lt;&gt;"Chancho")),NOT(AND(MOVIMIENTOS!$B130="SALDO INICIAL",MOVIMIENTOS!$C130="Chancho"))),MOVIMIENTOS!$A130,"")</f>
        <v/>
      </c>
      <c r="L131" s="48" t="str">
        <f aca="false">IF(AND(MOVIMIENTOS!$B130&lt;&gt;"",NOT(AND(MOVIMIENTOS!$B130="PROCESO",MOVIMIENTOS!$C130&lt;&gt;"Chancho")),NOT(AND(MOVIMIENTOS!$B130="SALDO INICIAL",MOVIMIENTOS!$C130="Chancho"))),IF(MOVIMIENTOS!$B130="SALDO INICIAL","APERTURA ("&amp;MOVIMIENTOS!$C130&amp;")",IF(MOVIMIENTOS!$B130="COMPRA","INGRESO (compra)",IF(MOVIMIENTOS!$B130="PROCESO","CHANCHO (proceso)",IF(MOVIMIENTOS!$B130="ENVÍO A SUPESA","ENVÍO cal. "&amp;MOVIMIENTOS!$C130,IF(MOVIMIENTOS!$B130="VENTA CHANCHO","VENTA CHANCHO",IF(MOVIMIENTOS!$B130="VENTA","VENTA cal. "&amp;MOVIMIENTOS!$C130,IF(MOVIMIENTOS!$B130="REGALO","REGALO "&amp;MOVIMIENTOS!$C130,IF(MOVIMIENTOS!$B130="RECHAZO","RECHAZO cal. "&amp;MOVIMIENTOS!$C130&amp;" (va a reproceso)",IF(MOVIMIENTOS!$B130="DEVOLUCIÓN","DEVOLUCIÓN cal. "&amp;MOVIMIENTOS!$C130&amp;" (regresa intacta)",IF(MOVIMIENTOS!$B130="TRASIEGO","TRASIEGO cal. "&amp;MOVIMIENTOS!$C130,MOVIMIENTOS!$B130)))))))))),"")</f>
        <v/>
      </c>
      <c r="M131" s="48" t="str">
        <f aca="false">IF(AND(AND(MOVIMIENTOS!$B130&lt;&gt;"",NOT(AND(MOVIMIENTOS!$B130="PROCESO",MOVIMIENTOS!$C130&lt;&gt;"Chancho")),NOT(AND(MOVIMIENTOS!$B130="SALDO INICIAL",MOVIMIENTOS!$C130="Chancho"))),OR(MOVIMIENTOS!$B130="SALDO INICIAL",MOVIMIENTOS!$B130="COMPRA",MOVIMIENTOS!$B130="REPROCESO",MOVIMIENTOS!$B130="DEVOLUCIÓN",AND(MOVIMIENTOS!$B130="AJUSTE",MOVIMIENTOS!$C130&lt;&gt;"Chancho",N(MOVIMIENTOS!$F130)&gt;=0))),N(MOVIMIENTOS!$F130),"")</f>
        <v/>
      </c>
      <c r="N131" s="48" t="str">
        <f aca="false">IF(AND(AND(MOVIMIENTOS!$B130&lt;&gt;"",NOT(AND(MOVIMIENTOS!$B130="PROCESO",MOVIMIENTOS!$C130&lt;&gt;"Chancho")),NOT(AND(MOVIMIENTOS!$B130="SALDO INICIAL",MOVIMIENTOS!$C130="Chancho"))),OR(MOVIMIENTOS!$B130="ENVÍO A SUPESA",MOVIMIENTOS!$B130="MALOGRADO",MOVIMIENTOS!$B130="OTRA SALIDA",MOVIMIENTOS!$B130="TRASIEGO",AND(MOVIMIENTOS!$B130="PROCESO",MOVIMIENTOS!$C130="Chancho"),AND(MOVIMIENTOS!$B130="REGALO",MOVIMIENTOS!$C130&lt;&gt;"Chancho"),AND(MOVIMIENTOS!$B130="VENTA",MOVIMIENTOS!$C130&lt;&gt;"Chancho"),AND(MOVIMIENTOS!$B130="AJUSTE",MOVIMIENTOS!$C130&lt;&gt;"Chancho",N(MOVIMIENTOS!$F130)&lt;0))),IF(MOVIMIENTOS!$B130="AJUSTE",-N(MOVIMIENTOS!$F130),N(MOVIMIENTOS!$F130)),"")</f>
        <v/>
      </c>
      <c r="O131" s="48" t="str">
        <f aca="false">IF(AND(MOVIMIENTOS!$B130&lt;&gt;"",NOT(AND(MOVIMIENTOS!$B130="PROCESO",MOVIMIENTOS!$C130&lt;&gt;"Chancho")),NOT(AND(MOVIMIENTOS!$B130="SALDO INICIAL",MOVIMIENTOS!$C130="Chancho"))),IF(MOVIMIENTOS!$B130="RECHAZO",MOVIMIENTOS!$E130&amp;" jabas rechazadas · van a reproceso",IF(MOVIMIENTOS!$B130="REPROCESO",MOVIMIENTOS!$E130&amp;" kg recuperados (merma del día: "&amp;TEXT(SUMPRODUCT((MOVIMIENTOS!$A$5:$A$400=MOVIMIENTOS!$A130)*(MOVIMIENTOS!$B$5:$B$400="RECHAZO")*(MOVIMIENTOS!$D$5:$D$400="jabas")*MOVIMIENTOS!$E$5:$E$400*IFERROR(_xlfn.SWITCH(MOVIMIENTOS!$C$5:$C$400,"A",15,"P",18,"C",17,"M",17,0),0))-SUMPRODUCT((MOVIMIENTOS!$A$5:$A$400=MOVIMIENTOS!$A130)*(MOVIMIENTOS!$B$5:$B$400="REPROCESO")*MOVIMIENTOS!$I$5:$I$400),"+#,##0;-#,##0;0")&amp;" kg)",TRIM(IF(MOVIMIENTOS!$G130&lt;&gt;"",MOVIMIENTOS!$G130&amp;"  ","")&amp;IF(N(MOVIMIENTOS!$D130)&gt;0,MOVIMIENTOS!$D130&amp;" "&amp;MOVIMIENTOS!$D130,"")))),"")</f>
        <v/>
      </c>
      <c r="P131" s="48" t="n">
        <f aca="false">N(P130)+N(M131)-N(N131)</f>
        <v>6686.5</v>
      </c>
      <c r="Q131" s="48"/>
      <c r="R131" s="48"/>
      <c r="S131" s="48"/>
      <c r="T131" s="48"/>
    </row>
    <row r="132" customFormat="false" ht="15" hidden="false" customHeight="true" outlineLevel="0" collapsed="false">
      <c r="A132" s="51" t="n">
        <f aca="false">IFERROR(INDEX(K$6:K$401,MATCH(ROW()-5,J$6:J$401,0)),"")</f>
        <v>46230</v>
      </c>
      <c r="B132" s="56" t="str">
        <f aca="false">IFERROR(INDEX(L$6:L$401,MATCH(ROW()-5,J$6:J$401,0)),"")</f>
        <v>REPROCESO</v>
      </c>
      <c r="C132" s="52" t="n">
        <f aca="false">IFERROR(INDEX(M$6:M$401,MATCH(ROW()-5,J$6:J$401,0)),"")</f>
        <v>7</v>
      </c>
      <c r="D132" s="52" t="str">
        <f aca="false">IFERROR(INDEX(N$6:N$401,MATCH(ROW()-5,J$6:J$401,0)),"")</f>
        <v/>
      </c>
      <c r="E132" s="56" t="str">
        <f aca="false">IFERROR(INDEX(O$6:O$401,MATCH(ROW()-5,J$6:J$401,0)),"")</f>
        <v>7 kg recuperados (merma del día: +8 kg)</v>
      </c>
      <c r="F132" s="52" t="n">
        <f aca="false">IFERROR(INDEX(P$6:P$401,MATCH(ROW()-5,J$6:J$401,0)),"")</f>
        <v>2795</v>
      </c>
      <c r="G132" s="48"/>
      <c r="H132" s="48"/>
      <c r="I132" s="48"/>
      <c r="J132" s="48" t="str">
        <f aca="false">IF(AND(MOVIMIENTOS!$B131&lt;&gt;"",NOT(AND(MOVIMIENTOS!$B131="PROCESO",MOVIMIENTOS!$C131&lt;&gt;"Chancho")),NOT(AND(MOVIMIENTOS!$B131="SALDO INICIAL",MOVIMIENTOS!$C131="Chancho"))),COUNT(J$6:J131)+1,"")</f>
        <v/>
      </c>
      <c r="K132" s="48" t="str">
        <f aca="false">IF(AND(MOVIMIENTOS!$B131&lt;&gt;"",NOT(AND(MOVIMIENTOS!$B131="PROCESO",MOVIMIENTOS!$C131&lt;&gt;"Chancho")),NOT(AND(MOVIMIENTOS!$B131="SALDO INICIAL",MOVIMIENTOS!$C131="Chancho"))),MOVIMIENTOS!$A131,"")</f>
        <v/>
      </c>
      <c r="L132" s="48" t="str">
        <f aca="false">IF(AND(MOVIMIENTOS!$B131&lt;&gt;"",NOT(AND(MOVIMIENTOS!$B131="PROCESO",MOVIMIENTOS!$C131&lt;&gt;"Chancho")),NOT(AND(MOVIMIENTOS!$B131="SALDO INICIAL",MOVIMIENTOS!$C131="Chancho"))),IF(MOVIMIENTOS!$B131="SALDO INICIAL","APERTURA ("&amp;MOVIMIENTOS!$C131&amp;")",IF(MOVIMIENTOS!$B131="COMPRA","INGRESO (compra)",IF(MOVIMIENTOS!$B131="PROCESO","CHANCHO (proceso)",IF(MOVIMIENTOS!$B131="ENVÍO A SUPESA","ENVÍO cal. "&amp;MOVIMIENTOS!$C131,IF(MOVIMIENTOS!$B131="VENTA CHANCHO","VENTA CHANCHO",IF(MOVIMIENTOS!$B131="VENTA","VENTA cal. "&amp;MOVIMIENTOS!$C131,IF(MOVIMIENTOS!$B131="REGALO","REGALO "&amp;MOVIMIENTOS!$C131,IF(MOVIMIENTOS!$B131="RECHAZO","RECHAZO cal. "&amp;MOVIMIENTOS!$C131&amp;" (va a reproceso)",IF(MOVIMIENTOS!$B131="DEVOLUCIÓN","DEVOLUCIÓN cal. "&amp;MOVIMIENTOS!$C131&amp;" (regresa intacta)",IF(MOVIMIENTOS!$B131="TRASIEGO","TRASIEGO cal. "&amp;MOVIMIENTOS!$C131,MOVIMIENTOS!$B131)))))))))),"")</f>
        <v/>
      </c>
      <c r="M132" s="48" t="str">
        <f aca="false">IF(AND(AND(MOVIMIENTOS!$B131&lt;&gt;"",NOT(AND(MOVIMIENTOS!$B131="PROCESO",MOVIMIENTOS!$C131&lt;&gt;"Chancho")),NOT(AND(MOVIMIENTOS!$B131="SALDO INICIAL",MOVIMIENTOS!$C131="Chancho"))),OR(MOVIMIENTOS!$B131="SALDO INICIAL",MOVIMIENTOS!$B131="COMPRA",MOVIMIENTOS!$B131="REPROCESO",MOVIMIENTOS!$B131="DEVOLUCIÓN",AND(MOVIMIENTOS!$B131="AJUSTE",MOVIMIENTOS!$C131&lt;&gt;"Chancho",N(MOVIMIENTOS!$F131)&gt;=0))),N(MOVIMIENTOS!$F131),"")</f>
        <v/>
      </c>
      <c r="N132" s="48" t="str">
        <f aca="false">IF(AND(AND(MOVIMIENTOS!$B131&lt;&gt;"",NOT(AND(MOVIMIENTOS!$B131="PROCESO",MOVIMIENTOS!$C131&lt;&gt;"Chancho")),NOT(AND(MOVIMIENTOS!$B131="SALDO INICIAL",MOVIMIENTOS!$C131="Chancho"))),OR(MOVIMIENTOS!$B131="ENVÍO A SUPESA",MOVIMIENTOS!$B131="MALOGRADO",MOVIMIENTOS!$B131="OTRA SALIDA",MOVIMIENTOS!$B131="TRASIEGO",AND(MOVIMIENTOS!$B131="PROCESO",MOVIMIENTOS!$C131="Chancho"),AND(MOVIMIENTOS!$B131="REGALO",MOVIMIENTOS!$C131&lt;&gt;"Chancho"),AND(MOVIMIENTOS!$B131="VENTA",MOVIMIENTOS!$C131&lt;&gt;"Chancho"),AND(MOVIMIENTOS!$B131="AJUSTE",MOVIMIENTOS!$C131&lt;&gt;"Chancho",N(MOVIMIENTOS!$F131)&lt;0))),IF(MOVIMIENTOS!$B131="AJUSTE",-N(MOVIMIENTOS!$F131),N(MOVIMIENTOS!$F131)),"")</f>
        <v/>
      </c>
      <c r="O132" s="48" t="str">
        <f aca="false">IF(AND(MOVIMIENTOS!$B131&lt;&gt;"",NOT(AND(MOVIMIENTOS!$B131="PROCESO",MOVIMIENTOS!$C131&lt;&gt;"Chancho")),NOT(AND(MOVIMIENTOS!$B131="SALDO INICIAL",MOVIMIENTOS!$C131="Chancho"))),IF(MOVIMIENTOS!$B131="RECHAZO",MOVIMIENTOS!$E131&amp;" jabas rechazadas · van a reproceso",IF(MOVIMIENTOS!$B131="REPROCESO",MOVIMIENTOS!$E131&amp;" kg recuperados (merma del día: "&amp;TEXT(SUMPRODUCT((MOVIMIENTOS!$A$5:$A$400=MOVIMIENTOS!$A131)*(MOVIMIENTOS!$B$5:$B$400="RECHAZO")*(MOVIMIENTOS!$D$5:$D$400="jabas")*MOVIMIENTOS!$E$5:$E$400*IFERROR(_xlfn.SWITCH(MOVIMIENTOS!$C$5:$C$400,"A",15,"P",18,"C",17,"M",17,0),0))-SUMPRODUCT((MOVIMIENTOS!$A$5:$A$400=MOVIMIENTOS!$A131)*(MOVIMIENTOS!$B$5:$B$400="REPROCESO")*MOVIMIENTOS!$I$5:$I$400),"+#,##0;-#,##0;0")&amp;" kg)",TRIM(IF(MOVIMIENTOS!$G131&lt;&gt;"",MOVIMIENTOS!$G131&amp;"  ","")&amp;IF(N(MOVIMIENTOS!$D131)&gt;0,MOVIMIENTOS!$D131&amp;" "&amp;MOVIMIENTOS!$D131,"")))),"")</f>
        <v/>
      </c>
      <c r="P132" s="48" t="n">
        <f aca="false">N(P131)+N(M132)-N(N132)</f>
        <v>6686.5</v>
      </c>
      <c r="Q132" s="48"/>
      <c r="R132" s="48"/>
      <c r="S132" s="48"/>
      <c r="T132" s="48"/>
    </row>
    <row r="133" customFormat="false" ht="15" hidden="false" customHeight="true" outlineLevel="0" collapsed="false">
      <c r="A133" s="51" t="n">
        <f aca="false">IFERROR(INDEX(K$6:K$401,MATCH(ROW()-5,J$6:J$401,0)),"")</f>
        <v>46231</v>
      </c>
      <c r="B133" s="56" t="str">
        <f aca="false">IFERROR(INDEX(L$6:L$401,MATCH(ROW()-5,J$6:J$401,0)),"")</f>
        <v>INGRESO (compra)</v>
      </c>
      <c r="C133" s="52" t="n">
        <f aca="false">IFERROR(INDEX(M$6:M$401,MATCH(ROW()-5,J$6:J$401,0)),"")</f>
        <v>5225</v>
      </c>
      <c r="D133" s="52" t="str">
        <f aca="false">IFERROR(INDEX(N$6:N$401,MATCH(ROW()-5,J$6:J$401,0)),"")</f>
        <v/>
      </c>
      <c r="E133" s="56" t="str">
        <f aca="false">IFERROR(INDEX(O$6:O$401,MATCH(ROW()-5,J$6:J$401,0)),"")</f>
        <v/>
      </c>
      <c r="F133" s="52" t="n">
        <f aca="false">IFERROR(INDEX(P$6:P$401,MATCH(ROW()-5,J$6:J$401,0)),"")</f>
        <v>8020</v>
      </c>
      <c r="G133" s="48"/>
      <c r="H133" s="48"/>
      <c r="I133" s="48"/>
      <c r="J133" s="48" t="n">
        <f aca="false">IF(AND(MOVIMIENTOS!$B132&lt;&gt;"",NOT(AND(MOVIMIENTOS!$B132="PROCESO",MOVIMIENTOS!$C132&lt;&gt;"Chancho")),NOT(AND(MOVIMIENTOS!$B132="SALDO INICIAL",MOVIMIENTOS!$C132="Chancho"))),COUNT(J$6:J132)+1,"")</f>
        <v>79</v>
      </c>
      <c r="K133" s="53" t="n">
        <f aca="false">IF(AND(MOVIMIENTOS!$B132&lt;&gt;"",NOT(AND(MOVIMIENTOS!$B132="PROCESO",MOVIMIENTOS!$C132&lt;&gt;"Chancho")),NOT(AND(MOVIMIENTOS!$B132="SALDO INICIAL",MOVIMIENTOS!$C132="Chancho"))),MOVIMIENTOS!$A132,"")</f>
        <v>46225</v>
      </c>
      <c r="L133" s="48" t="str">
        <f aca="false">IF(AND(MOVIMIENTOS!$B132&lt;&gt;"",NOT(AND(MOVIMIENTOS!$B132="PROCESO",MOVIMIENTOS!$C132&lt;&gt;"Chancho")),NOT(AND(MOVIMIENTOS!$B132="SALDO INICIAL",MOVIMIENTOS!$C132="Chancho"))),IF(MOVIMIENTOS!$B132="SALDO INICIAL","APERTURA ("&amp;MOVIMIENTOS!$C132&amp;")",IF(MOVIMIENTOS!$B132="COMPRA","INGRESO (compra)",IF(MOVIMIENTOS!$B132="PROCESO","CHANCHO (proceso)",IF(MOVIMIENTOS!$B132="ENVÍO A SUPESA","ENVÍO cal. "&amp;MOVIMIENTOS!$C132,IF(MOVIMIENTOS!$B132="VENTA CHANCHO","VENTA CHANCHO",IF(MOVIMIENTOS!$B132="VENTA","VENTA cal. "&amp;MOVIMIENTOS!$C132,IF(MOVIMIENTOS!$B132="REGALO","REGALO "&amp;MOVIMIENTOS!$C132,IF(MOVIMIENTOS!$B132="RECHAZO","RECHAZO cal. "&amp;MOVIMIENTOS!$C132&amp;" (va a reproceso)",IF(MOVIMIENTOS!$B132="DEVOLUCIÓN","DEVOLUCIÓN cal. "&amp;MOVIMIENTOS!$C132&amp;" (regresa intacta)",IF(MOVIMIENTOS!$B132="TRASIEGO","TRASIEGO cal. "&amp;MOVIMIENTOS!$C132,MOVIMIENTOS!$B132)))))))))),"")</f>
        <v>CHANCHO (proceso)</v>
      </c>
      <c r="M133" s="48" t="str">
        <f aca="false">IF(AND(AND(MOVIMIENTOS!$B132&lt;&gt;"",NOT(AND(MOVIMIENTOS!$B132="PROCESO",MOVIMIENTOS!$C132&lt;&gt;"Chancho")),NOT(AND(MOVIMIENTOS!$B132="SALDO INICIAL",MOVIMIENTOS!$C132="Chancho"))),OR(MOVIMIENTOS!$B132="SALDO INICIAL",MOVIMIENTOS!$B132="COMPRA",MOVIMIENTOS!$B132="REPROCESO",MOVIMIENTOS!$B132="DEVOLUCIÓN",AND(MOVIMIENTOS!$B132="AJUSTE",MOVIMIENTOS!$C132&lt;&gt;"Chancho",N(MOVIMIENTOS!$F132)&gt;=0))),N(MOVIMIENTOS!$F132),"")</f>
        <v/>
      </c>
      <c r="N133" s="48" t="n">
        <f aca="false">IF(AND(AND(MOVIMIENTOS!$B132&lt;&gt;"",NOT(AND(MOVIMIENTOS!$B132="PROCESO",MOVIMIENTOS!$C132&lt;&gt;"Chancho")),NOT(AND(MOVIMIENTOS!$B132="SALDO INICIAL",MOVIMIENTOS!$C132="Chancho"))),OR(MOVIMIENTOS!$B132="ENVÍO A SUPESA",MOVIMIENTOS!$B132="MALOGRADO",MOVIMIENTOS!$B132="OTRA SALIDA",MOVIMIENTOS!$B132="TRASIEGO",AND(MOVIMIENTOS!$B132="PROCESO",MOVIMIENTOS!$C132="Chancho"),AND(MOVIMIENTOS!$B132="REGALO",MOVIMIENTOS!$C132&lt;&gt;"Chancho"),AND(MOVIMIENTOS!$B132="VENTA",MOVIMIENTOS!$C132&lt;&gt;"Chancho"),AND(MOVIMIENTOS!$B132="AJUSTE",MOVIMIENTOS!$C132&lt;&gt;"Chancho",N(MOVIMIENTOS!$F132)&lt;0))),IF(MOVIMIENTOS!$B132="AJUSTE",-N(MOVIMIENTOS!$F132),N(MOVIMIENTOS!$F132)),"")</f>
        <v>760</v>
      </c>
      <c r="O133" s="48" t="str">
        <f aca="false">IF(AND(MOVIMIENTOS!$B132&lt;&gt;"",NOT(AND(MOVIMIENTOS!$B132="PROCESO",MOVIMIENTOS!$C132&lt;&gt;"Chancho")),NOT(AND(MOVIMIENTOS!$B132="SALDO INICIAL",MOVIMIENTOS!$C132="Chancho"))),IF(MOVIMIENTOS!$B132="RECHAZO",MOVIMIENTOS!$E132&amp;" jabas rechazadas · van a reproceso",IF(MOVIMIENTOS!$B132="REPROCESO",MOVIMIENTOS!$E132&amp;" kg recuperados (merma del día: "&amp;TEXT(SUMPRODUCT((MOVIMIENTOS!$A$5:$A$400=MOVIMIENTOS!$A132)*(MOVIMIENTOS!$B$5:$B$400="RECHAZO")*(MOVIMIENTOS!$D$5:$D$400="jabas")*MOVIMIENTOS!$E$5:$E$400*IFERROR(_xlfn.SWITCH(MOVIMIENTOS!$C$5:$C$400,"A",15,"P",18,"C",17,"M",17,0),0))-SUMPRODUCT((MOVIMIENTOS!$A$5:$A$400=MOVIMIENTOS!$A132)*(MOVIMIENTOS!$B$5:$B$400="REPROCESO")*MOVIMIENTOS!$I$5:$I$400),"+#,##0;-#,##0;0")&amp;" kg)",TRIM(IF(MOVIMIENTOS!$G132&lt;&gt;"",MOVIMIENTOS!$G132&amp;"  ","")&amp;IF(N(MOVIMIENTOS!$D132)&gt;0,MOVIMIENTOS!$D132&amp;" "&amp;MOVIMIENTOS!$D132,"")))),"")</f>
        <v/>
      </c>
      <c r="P133" s="48" t="n">
        <f aca="false">N(P132)+N(M133)-N(N133)</f>
        <v>5926.5</v>
      </c>
      <c r="Q133" s="48"/>
      <c r="R133" s="48"/>
      <c r="S133" s="48"/>
      <c r="T133" s="48"/>
    </row>
    <row r="134" customFormat="false" ht="15" hidden="false" customHeight="true" outlineLevel="0" collapsed="false">
      <c r="A134" s="51" t="n">
        <f aca="false">IFERROR(INDEX(K$6:K$401,MATCH(ROW()-5,J$6:J$401,0)),"")</f>
        <v>46231</v>
      </c>
      <c r="B134" s="56" t="str">
        <f aca="false">IFERROR(INDEX(L$6:L$401,MATCH(ROW()-5,J$6:J$401,0)),"")</f>
        <v>CHANCHO (proceso)</v>
      </c>
      <c r="C134" s="52" t="str">
        <f aca="false">IFERROR(INDEX(M$6:M$401,MATCH(ROW()-5,J$6:J$401,0)),"")</f>
        <v/>
      </c>
      <c r="D134" s="52" t="n">
        <f aca="false">IFERROR(INDEX(N$6:N$401,MATCH(ROW()-5,J$6:J$401,0)),"")</f>
        <v>2137.5</v>
      </c>
      <c r="E134" s="56" t="str">
        <f aca="false">IFERROR(INDEX(O$6:O$401,MATCH(ROW()-5,J$6:J$401,0)),"")</f>
        <v/>
      </c>
      <c r="F134" s="52" t="n">
        <f aca="false">IFERROR(INDEX(P$6:P$401,MATCH(ROW()-5,J$6:J$401,0)),"")</f>
        <v>5882.5</v>
      </c>
      <c r="G134" s="48"/>
      <c r="H134" s="48"/>
      <c r="I134" s="48"/>
      <c r="J134" s="48" t="n">
        <f aca="false">IF(AND(MOVIMIENTOS!$B133&lt;&gt;"",NOT(AND(MOVIMIENTOS!$B133="PROCESO",MOVIMIENTOS!$C133&lt;&gt;"Chancho")),NOT(AND(MOVIMIENTOS!$B133="SALDO INICIAL",MOVIMIENTOS!$C133="Chancho"))),COUNT(J$6:J133)+1,"")</f>
        <v>80</v>
      </c>
      <c r="K134" s="53" t="n">
        <f aca="false">IF(AND(MOVIMIENTOS!$B133&lt;&gt;"",NOT(AND(MOVIMIENTOS!$B133="PROCESO",MOVIMIENTOS!$C133&lt;&gt;"Chancho")),NOT(AND(MOVIMIENTOS!$B133="SALDO INICIAL",MOVIMIENTOS!$C133="Chancho"))),MOVIMIENTOS!$A133,"")</f>
        <v>46225</v>
      </c>
      <c r="L134" s="48" t="str">
        <f aca="false">IF(AND(MOVIMIENTOS!$B133&lt;&gt;"",NOT(AND(MOVIMIENTOS!$B133="PROCESO",MOVIMIENTOS!$C133&lt;&gt;"Chancho")),NOT(AND(MOVIMIENTOS!$B133="SALDO INICIAL",MOVIMIENTOS!$C133="Chancho"))),IF(MOVIMIENTOS!$B133="SALDO INICIAL","APERTURA ("&amp;MOVIMIENTOS!$C133&amp;")",IF(MOVIMIENTOS!$B133="COMPRA","INGRESO (compra)",IF(MOVIMIENTOS!$B133="PROCESO","CHANCHO (proceso)",IF(MOVIMIENTOS!$B133="ENVÍO A SUPESA","ENVÍO cal. "&amp;MOVIMIENTOS!$C133,IF(MOVIMIENTOS!$B133="VENTA CHANCHO","VENTA CHANCHO",IF(MOVIMIENTOS!$B133="VENTA","VENTA cal. "&amp;MOVIMIENTOS!$C133,IF(MOVIMIENTOS!$B133="REGALO","REGALO "&amp;MOVIMIENTOS!$C133,IF(MOVIMIENTOS!$B133="RECHAZO","RECHAZO cal. "&amp;MOVIMIENTOS!$C133&amp;" (va a reproceso)",IF(MOVIMIENTOS!$B133="DEVOLUCIÓN","DEVOLUCIÓN cal. "&amp;MOVIMIENTOS!$C133&amp;" (regresa intacta)",IF(MOVIMIENTOS!$B133="TRASIEGO","TRASIEGO cal. "&amp;MOVIMIENTOS!$C133,MOVIMIENTOS!$B133)))))))))),"")</f>
        <v>MALOGRADO</v>
      </c>
      <c r="M134" s="48" t="str">
        <f aca="false">IF(AND(AND(MOVIMIENTOS!$B133&lt;&gt;"",NOT(AND(MOVIMIENTOS!$B133="PROCESO",MOVIMIENTOS!$C133&lt;&gt;"Chancho")),NOT(AND(MOVIMIENTOS!$B133="SALDO INICIAL",MOVIMIENTOS!$C133="Chancho"))),OR(MOVIMIENTOS!$B133="SALDO INICIAL",MOVIMIENTOS!$B133="COMPRA",MOVIMIENTOS!$B133="REPROCESO",MOVIMIENTOS!$B133="DEVOLUCIÓN",AND(MOVIMIENTOS!$B133="AJUSTE",MOVIMIENTOS!$C133&lt;&gt;"Chancho",N(MOVIMIENTOS!$F133)&gt;=0))),N(MOVIMIENTOS!$F133),"")</f>
        <v/>
      </c>
      <c r="N134" s="48" t="n">
        <f aca="false">IF(AND(AND(MOVIMIENTOS!$B133&lt;&gt;"",NOT(AND(MOVIMIENTOS!$B133="PROCESO",MOVIMIENTOS!$C133&lt;&gt;"Chancho")),NOT(AND(MOVIMIENTOS!$B133="SALDO INICIAL",MOVIMIENTOS!$C133="Chancho"))),OR(MOVIMIENTOS!$B133="ENVÍO A SUPESA",MOVIMIENTOS!$B133="MALOGRADO",MOVIMIENTOS!$B133="OTRA SALIDA",MOVIMIENTOS!$B133="TRASIEGO",AND(MOVIMIENTOS!$B133="PROCESO",MOVIMIENTOS!$C133="Chancho"),AND(MOVIMIENTOS!$B133="REGALO",MOVIMIENTOS!$C133&lt;&gt;"Chancho"),AND(MOVIMIENTOS!$B133="VENTA",MOVIMIENTOS!$C133&lt;&gt;"Chancho"),AND(MOVIMIENTOS!$B133="AJUSTE",MOVIMIENTOS!$C133&lt;&gt;"Chancho",N(MOVIMIENTOS!$F133)&lt;0))),IF(MOVIMIENTOS!$B133="AJUSTE",-N(MOVIMIENTOS!$F133),N(MOVIMIENTOS!$F133)),"")</f>
        <v>50</v>
      </c>
      <c r="O134" s="48" t="str">
        <f aca="false">IF(AND(MOVIMIENTOS!$B133&lt;&gt;"",NOT(AND(MOVIMIENTOS!$B133="PROCESO",MOVIMIENTOS!$C133&lt;&gt;"Chancho")),NOT(AND(MOVIMIENTOS!$B133="SALDO INICIAL",MOVIMIENTOS!$C133="Chancho"))),IF(MOVIMIENTOS!$B133="RECHAZO",MOVIMIENTOS!$E133&amp;" jabas rechazadas · van a reproceso",IF(MOVIMIENTOS!$B133="REPROCESO",MOVIMIENTOS!$E133&amp;" kg recuperados (merma del día: "&amp;TEXT(SUMPRODUCT((MOVIMIENTOS!$A$5:$A$400=MOVIMIENTOS!$A133)*(MOVIMIENTOS!$B$5:$B$400="RECHAZO")*(MOVIMIENTOS!$D$5:$D$400="jabas")*MOVIMIENTOS!$E$5:$E$400*IFERROR(_xlfn.SWITCH(MOVIMIENTOS!$C$5:$C$400,"A",15,"P",18,"C",17,"M",17,0),0))-SUMPRODUCT((MOVIMIENTOS!$A$5:$A$400=MOVIMIENTOS!$A133)*(MOVIMIENTOS!$B$5:$B$400="REPROCESO")*MOVIMIENTOS!$I$5:$I$400),"+#,##0;-#,##0;0")&amp;" kg)",TRIM(IF(MOVIMIENTOS!$G133&lt;&gt;"",MOVIMIENTOS!$G133&amp;"  ","")&amp;IF(N(MOVIMIENTOS!$D133)&gt;0,MOVIMIENTOS!$D133&amp;" "&amp;MOVIMIENTOS!$D133,"")))),"")</f>
        <v/>
      </c>
      <c r="P134" s="48" t="n">
        <f aca="false">N(P133)+N(M134)-N(N134)</f>
        <v>5876.5</v>
      </c>
      <c r="Q134" s="48"/>
      <c r="R134" s="48"/>
      <c r="S134" s="48"/>
      <c r="T134" s="48"/>
    </row>
    <row r="135" customFormat="false" ht="15" hidden="false" customHeight="true" outlineLevel="0" collapsed="false">
      <c r="A135" s="51" t="n">
        <f aca="false">IFERROR(INDEX(K$6:K$401,MATCH(ROW()-5,J$6:J$401,0)),"")</f>
        <v>46231</v>
      </c>
      <c r="B135" s="56" t="str">
        <f aca="false">IFERROR(INDEX(L$6:L$401,MATCH(ROW()-5,J$6:J$401,0)),"")</f>
        <v>ENVÍO cal. A</v>
      </c>
      <c r="C135" s="52" t="str">
        <f aca="false">IFERROR(INDEX(M$6:M$401,MATCH(ROW()-5,J$6:J$401,0)),"")</f>
        <v/>
      </c>
      <c r="D135" s="52" t="n">
        <f aca="false">IFERROR(INDEX(N$6:N$401,MATCH(ROW()-5,J$6:J$401,0)),"")</f>
        <v>1005</v>
      </c>
      <c r="E135" s="56" t="str">
        <f aca="false">IFERROR(INDEX(O$6:O$401,MATCH(ROW()-5,J$6:J$401,0)),"")</f>
        <v>3023</v>
      </c>
      <c r="F135" s="52" t="n">
        <f aca="false">IFERROR(INDEX(P$6:P$401,MATCH(ROW()-5,J$6:J$401,0)),"")</f>
        <v>4877.5</v>
      </c>
      <c r="G135" s="48"/>
      <c r="H135" s="48"/>
      <c r="I135" s="48"/>
      <c r="J135" s="48" t="n">
        <f aca="false">IF(AND(MOVIMIENTOS!$B134&lt;&gt;"",NOT(AND(MOVIMIENTOS!$B134="PROCESO",MOVIMIENTOS!$C134&lt;&gt;"Chancho")),NOT(AND(MOVIMIENTOS!$B134="SALDO INICIAL",MOVIMIENTOS!$C134="Chancho"))),COUNT(J$6:J134)+1,"")</f>
        <v>81</v>
      </c>
      <c r="K135" s="53" t="n">
        <f aca="false">IF(AND(MOVIMIENTOS!$B134&lt;&gt;"",NOT(AND(MOVIMIENTOS!$B134="PROCESO",MOVIMIENTOS!$C134&lt;&gt;"Chancho")),NOT(AND(MOVIMIENTOS!$B134="SALDO INICIAL",MOVIMIENTOS!$C134="Chancho"))),MOVIMIENTOS!$A134,"")</f>
        <v>46225</v>
      </c>
      <c r="L135" s="48" t="str">
        <f aca="false">IF(AND(MOVIMIENTOS!$B134&lt;&gt;"",NOT(AND(MOVIMIENTOS!$B134="PROCESO",MOVIMIENTOS!$C134&lt;&gt;"Chancho")),NOT(AND(MOVIMIENTOS!$B134="SALDO INICIAL",MOVIMIENTOS!$C134="Chancho"))),IF(MOVIMIENTOS!$B134="SALDO INICIAL","APERTURA ("&amp;MOVIMIENTOS!$C134&amp;")",IF(MOVIMIENTOS!$B134="COMPRA","INGRESO (compra)",IF(MOVIMIENTOS!$B134="PROCESO","CHANCHO (proceso)",IF(MOVIMIENTOS!$B134="ENVÍO A SUPESA","ENVÍO cal. "&amp;MOVIMIENTOS!$C134,IF(MOVIMIENTOS!$B134="VENTA CHANCHO","VENTA CHANCHO",IF(MOVIMIENTOS!$B134="VENTA","VENTA cal. "&amp;MOVIMIENTOS!$C134,IF(MOVIMIENTOS!$B134="REGALO","REGALO "&amp;MOVIMIENTOS!$C134,IF(MOVIMIENTOS!$B134="RECHAZO","RECHAZO cal. "&amp;MOVIMIENTOS!$C134&amp;" (va a reproceso)",IF(MOVIMIENTOS!$B134="DEVOLUCIÓN","DEVOLUCIÓN cal. "&amp;MOVIMIENTOS!$C134&amp;" (regresa intacta)",IF(MOVIMIENTOS!$B134="TRASIEGO","TRASIEGO cal. "&amp;MOVIMIENTOS!$C134,MOVIMIENTOS!$B134)))))))))),"")</f>
        <v>ENVÍO cal. A</v>
      </c>
      <c r="M135" s="48" t="str">
        <f aca="false">IF(AND(AND(MOVIMIENTOS!$B134&lt;&gt;"",NOT(AND(MOVIMIENTOS!$B134="PROCESO",MOVIMIENTOS!$C134&lt;&gt;"Chancho")),NOT(AND(MOVIMIENTOS!$B134="SALDO INICIAL",MOVIMIENTOS!$C134="Chancho"))),OR(MOVIMIENTOS!$B134="SALDO INICIAL",MOVIMIENTOS!$B134="COMPRA",MOVIMIENTOS!$B134="REPROCESO",MOVIMIENTOS!$B134="DEVOLUCIÓN",AND(MOVIMIENTOS!$B134="AJUSTE",MOVIMIENTOS!$C134&lt;&gt;"Chancho",N(MOVIMIENTOS!$F134)&gt;=0))),N(MOVIMIENTOS!$F134),"")</f>
        <v/>
      </c>
      <c r="N135" s="48" t="n">
        <f aca="false">IF(AND(AND(MOVIMIENTOS!$B134&lt;&gt;"",NOT(AND(MOVIMIENTOS!$B134="PROCESO",MOVIMIENTOS!$C134&lt;&gt;"Chancho")),NOT(AND(MOVIMIENTOS!$B134="SALDO INICIAL",MOVIMIENTOS!$C134="Chancho"))),OR(MOVIMIENTOS!$B134="ENVÍO A SUPESA",MOVIMIENTOS!$B134="MALOGRADO",MOVIMIENTOS!$B134="OTRA SALIDA",MOVIMIENTOS!$B134="TRASIEGO",AND(MOVIMIENTOS!$B134="PROCESO",MOVIMIENTOS!$C134="Chancho"),AND(MOVIMIENTOS!$B134="REGALO",MOVIMIENTOS!$C134&lt;&gt;"Chancho"),AND(MOVIMIENTOS!$B134="VENTA",MOVIMIENTOS!$C134&lt;&gt;"Chancho"),AND(MOVIMIENTOS!$B134="AJUSTE",MOVIMIENTOS!$C134&lt;&gt;"Chancho",N(MOVIMIENTOS!$F134)&lt;0))),IF(MOVIMIENTOS!$B134="AJUSTE",-N(MOVIMIENTOS!$F134),N(MOVIMIENTOS!$F134)),"")</f>
        <v>1005</v>
      </c>
      <c r="O135" s="48" t="str">
        <f aca="false">IF(AND(MOVIMIENTOS!$B134&lt;&gt;"",NOT(AND(MOVIMIENTOS!$B134="PROCESO",MOVIMIENTOS!$C134&lt;&gt;"Chancho")),NOT(AND(MOVIMIENTOS!$B134="SALDO INICIAL",MOVIMIENTOS!$C134="Chancho"))),IF(MOVIMIENTOS!$B134="RECHAZO",MOVIMIENTOS!$E134&amp;" jabas rechazadas · van a reproceso",IF(MOVIMIENTOS!$B134="REPROCESO",MOVIMIENTOS!$E134&amp;" kg recuperados (merma del día: "&amp;TEXT(SUMPRODUCT((MOVIMIENTOS!$A$5:$A$400=MOVIMIENTOS!$A134)*(MOVIMIENTOS!$B$5:$B$400="RECHAZO")*(MOVIMIENTOS!$D$5:$D$400="jabas")*MOVIMIENTOS!$E$5:$E$400*IFERROR(_xlfn.SWITCH(MOVIMIENTOS!$C$5:$C$400,"A",15,"P",18,"C",17,"M",17,0),0))-SUMPRODUCT((MOVIMIENTOS!$A$5:$A$400=MOVIMIENTOS!$A134)*(MOVIMIENTOS!$B$5:$B$400="REPROCESO")*MOVIMIENTOS!$I$5:$I$400),"+#,##0;-#,##0;0")&amp;" kg)",TRIM(IF(MOVIMIENTOS!$G134&lt;&gt;"",MOVIMIENTOS!$G134&amp;"  ","")&amp;IF(N(MOVIMIENTOS!$D134)&gt;0,MOVIMIENTOS!$D134&amp;" "&amp;MOVIMIENTOS!$D134,"")))),"")</f>
        <v>3006</v>
      </c>
      <c r="P135" s="48" t="n">
        <f aca="false">N(P134)+N(M135)-N(N135)</f>
        <v>4871.5</v>
      </c>
      <c r="Q135" s="48"/>
      <c r="R135" s="48"/>
      <c r="S135" s="48"/>
      <c r="T135" s="48"/>
    </row>
    <row r="136" customFormat="false" ht="15" hidden="false" customHeight="true" outlineLevel="0" collapsed="false">
      <c r="A136" s="51" t="n">
        <f aca="false">IFERROR(INDEX(K$6:K$401,MATCH(ROW()-5,J$6:J$401,0)),"")</f>
        <v>46231</v>
      </c>
      <c r="B136" s="56" t="str">
        <f aca="false">IFERROR(INDEX(L$6:L$401,MATCH(ROW()-5,J$6:J$401,0)),"")</f>
        <v>ENVÍO cal. P</v>
      </c>
      <c r="C136" s="52" t="str">
        <f aca="false">IFERROR(INDEX(M$6:M$401,MATCH(ROW()-5,J$6:J$401,0)),"")</f>
        <v/>
      </c>
      <c r="D136" s="52" t="n">
        <f aca="false">IFERROR(INDEX(N$6:N$401,MATCH(ROW()-5,J$6:J$401,0)),"")</f>
        <v>198</v>
      </c>
      <c r="E136" s="56" t="str">
        <f aca="false">IFERROR(INDEX(O$6:O$401,MATCH(ROW()-5,J$6:J$401,0)),"")</f>
        <v>3023</v>
      </c>
      <c r="F136" s="52" t="n">
        <f aca="false">IFERROR(INDEX(P$6:P$401,MATCH(ROW()-5,J$6:J$401,0)),"")</f>
        <v>4679.5</v>
      </c>
      <c r="G136" s="48"/>
      <c r="H136" s="48"/>
      <c r="I136" s="48"/>
      <c r="J136" s="48" t="n">
        <f aca="false">IF(AND(MOVIMIENTOS!$B135&lt;&gt;"",NOT(AND(MOVIMIENTOS!$B135="PROCESO",MOVIMIENTOS!$C135&lt;&gt;"Chancho")),NOT(AND(MOVIMIENTOS!$B135="SALDO INICIAL",MOVIMIENTOS!$C135="Chancho"))),COUNT(J$6:J135)+1,"")</f>
        <v>82</v>
      </c>
      <c r="K136" s="53" t="n">
        <f aca="false">IF(AND(MOVIMIENTOS!$B135&lt;&gt;"",NOT(AND(MOVIMIENTOS!$B135="PROCESO",MOVIMIENTOS!$C135&lt;&gt;"Chancho")),NOT(AND(MOVIMIENTOS!$B135="SALDO INICIAL",MOVIMIENTOS!$C135="Chancho"))),MOVIMIENTOS!$A135,"")</f>
        <v>46225</v>
      </c>
      <c r="L136" s="48" t="str">
        <f aca="false">IF(AND(MOVIMIENTOS!$B135&lt;&gt;"",NOT(AND(MOVIMIENTOS!$B135="PROCESO",MOVIMIENTOS!$C135&lt;&gt;"Chancho")),NOT(AND(MOVIMIENTOS!$B135="SALDO INICIAL",MOVIMIENTOS!$C135="Chancho"))),IF(MOVIMIENTOS!$B135="SALDO INICIAL","APERTURA ("&amp;MOVIMIENTOS!$C135&amp;")",IF(MOVIMIENTOS!$B135="COMPRA","INGRESO (compra)",IF(MOVIMIENTOS!$B135="PROCESO","CHANCHO (proceso)",IF(MOVIMIENTOS!$B135="ENVÍO A SUPESA","ENVÍO cal. "&amp;MOVIMIENTOS!$C135,IF(MOVIMIENTOS!$B135="VENTA CHANCHO","VENTA CHANCHO",IF(MOVIMIENTOS!$B135="VENTA","VENTA cal. "&amp;MOVIMIENTOS!$C135,IF(MOVIMIENTOS!$B135="REGALO","REGALO "&amp;MOVIMIENTOS!$C135,IF(MOVIMIENTOS!$B135="RECHAZO","RECHAZO cal. "&amp;MOVIMIENTOS!$C135&amp;" (va a reproceso)",IF(MOVIMIENTOS!$B135="DEVOLUCIÓN","DEVOLUCIÓN cal. "&amp;MOVIMIENTOS!$C135&amp;" (regresa intacta)",IF(MOVIMIENTOS!$B135="TRASIEGO","TRASIEGO cal. "&amp;MOVIMIENTOS!$C135,MOVIMIENTOS!$B135)))))))))),"")</f>
        <v>ENVÍO cal. P</v>
      </c>
      <c r="M136" s="48" t="str">
        <f aca="false">IF(AND(AND(MOVIMIENTOS!$B135&lt;&gt;"",NOT(AND(MOVIMIENTOS!$B135="PROCESO",MOVIMIENTOS!$C135&lt;&gt;"Chancho")),NOT(AND(MOVIMIENTOS!$B135="SALDO INICIAL",MOVIMIENTOS!$C135="Chancho"))),OR(MOVIMIENTOS!$B135="SALDO INICIAL",MOVIMIENTOS!$B135="COMPRA",MOVIMIENTOS!$B135="REPROCESO",MOVIMIENTOS!$B135="DEVOLUCIÓN",AND(MOVIMIENTOS!$B135="AJUSTE",MOVIMIENTOS!$C135&lt;&gt;"Chancho",N(MOVIMIENTOS!$F135)&gt;=0))),N(MOVIMIENTOS!$F135),"")</f>
        <v/>
      </c>
      <c r="N136" s="48" t="n">
        <f aca="false">IF(AND(AND(MOVIMIENTOS!$B135&lt;&gt;"",NOT(AND(MOVIMIENTOS!$B135="PROCESO",MOVIMIENTOS!$C135&lt;&gt;"Chancho")),NOT(AND(MOVIMIENTOS!$B135="SALDO INICIAL",MOVIMIENTOS!$C135="Chancho"))),OR(MOVIMIENTOS!$B135="ENVÍO A SUPESA",MOVIMIENTOS!$B135="MALOGRADO",MOVIMIENTOS!$B135="OTRA SALIDA",MOVIMIENTOS!$B135="TRASIEGO",AND(MOVIMIENTOS!$B135="PROCESO",MOVIMIENTOS!$C135="Chancho"),AND(MOVIMIENTOS!$B135="REGALO",MOVIMIENTOS!$C135&lt;&gt;"Chancho"),AND(MOVIMIENTOS!$B135="VENTA",MOVIMIENTOS!$C135&lt;&gt;"Chancho"),AND(MOVIMIENTOS!$B135="AJUSTE",MOVIMIENTOS!$C135&lt;&gt;"Chancho",N(MOVIMIENTOS!$F135)&lt;0))),IF(MOVIMIENTOS!$B135="AJUSTE",-N(MOVIMIENTOS!$F135),N(MOVIMIENTOS!$F135)),"")</f>
        <v>198</v>
      </c>
      <c r="O136" s="48" t="str">
        <f aca="false">IF(AND(MOVIMIENTOS!$B135&lt;&gt;"",NOT(AND(MOVIMIENTOS!$B135="PROCESO",MOVIMIENTOS!$C135&lt;&gt;"Chancho")),NOT(AND(MOVIMIENTOS!$B135="SALDO INICIAL",MOVIMIENTOS!$C135="Chancho"))),IF(MOVIMIENTOS!$B135="RECHAZO",MOVIMIENTOS!$E135&amp;" jabas rechazadas · van a reproceso",IF(MOVIMIENTOS!$B135="REPROCESO",MOVIMIENTOS!$E135&amp;" kg recuperados (merma del día: "&amp;TEXT(SUMPRODUCT((MOVIMIENTOS!$A$5:$A$400=MOVIMIENTOS!$A135)*(MOVIMIENTOS!$B$5:$B$400="RECHAZO")*(MOVIMIENTOS!$D$5:$D$400="jabas")*MOVIMIENTOS!$E$5:$E$400*IFERROR(_xlfn.SWITCH(MOVIMIENTOS!$C$5:$C$400,"A",15,"P",18,"C",17,"M",17,0),0))-SUMPRODUCT((MOVIMIENTOS!$A$5:$A$400=MOVIMIENTOS!$A135)*(MOVIMIENTOS!$B$5:$B$400="REPROCESO")*MOVIMIENTOS!$I$5:$I$400),"+#,##0;-#,##0;0")&amp;" kg)",TRIM(IF(MOVIMIENTOS!$G135&lt;&gt;"",MOVIMIENTOS!$G135&amp;"  ","")&amp;IF(N(MOVIMIENTOS!$D135)&gt;0,MOVIMIENTOS!$D135&amp;" "&amp;MOVIMIENTOS!$D135,"")))),"")</f>
        <v>3006</v>
      </c>
      <c r="P136" s="48" t="n">
        <f aca="false">N(P135)+N(M136)-N(N136)</f>
        <v>4673.5</v>
      </c>
      <c r="Q136" s="48"/>
      <c r="R136" s="48"/>
      <c r="S136" s="48"/>
      <c r="T136" s="48"/>
    </row>
    <row r="137" customFormat="false" ht="15" hidden="false" customHeight="true" outlineLevel="0" collapsed="false">
      <c r="A137" s="51" t="n">
        <f aca="false">IFERROR(INDEX(K$6:K$401,MATCH(ROW()-5,J$6:J$401,0)),"")</f>
        <v>46231</v>
      </c>
      <c r="B137" s="56" t="str">
        <f aca="false">IFERROR(INDEX(L$6:L$401,MATCH(ROW()-5,J$6:J$401,0)),"")</f>
        <v>ENVÍO cal. C</v>
      </c>
      <c r="C137" s="52" t="str">
        <f aca="false">IFERROR(INDEX(M$6:M$401,MATCH(ROW()-5,J$6:J$401,0)),"")</f>
        <v/>
      </c>
      <c r="D137" s="52" t="n">
        <f aca="false">IFERROR(INDEX(N$6:N$401,MATCH(ROW()-5,J$6:J$401,0)),"")</f>
        <v>170</v>
      </c>
      <c r="E137" s="56" t="str">
        <f aca="false">IFERROR(INDEX(O$6:O$401,MATCH(ROW()-5,J$6:J$401,0)),"")</f>
        <v>3023</v>
      </c>
      <c r="F137" s="52" t="n">
        <f aca="false">IFERROR(INDEX(P$6:P$401,MATCH(ROW()-5,J$6:J$401,0)),"")</f>
        <v>4509.5</v>
      </c>
      <c r="G137" s="48"/>
      <c r="H137" s="48"/>
      <c r="I137" s="48"/>
      <c r="J137" s="48" t="n">
        <f aca="false">IF(AND(MOVIMIENTOS!$B136&lt;&gt;"",NOT(AND(MOVIMIENTOS!$B136="PROCESO",MOVIMIENTOS!$C136&lt;&gt;"Chancho")),NOT(AND(MOVIMIENTOS!$B136="SALDO INICIAL",MOVIMIENTOS!$C136="Chancho"))),COUNT(J$6:J136)+1,"")</f>
        <v>83</v>
      </c>
      <c r="K137" s="53" t="n">
        <f aca="false">IF(AND(MOVIMIENTOS!$B136&lt;&gt;"",NOT(AND(MOVIMIENTOS!$B136="PROCESO",MOVIMIENTOS!$C136&lt;&gt;"Chancho")),NOT(AND(MOVIMIENTOS!$B136="SALDO INICIAL",MOVIMIENTOS!$C136="Chancho"))),MOVIMIENTOS!$A136,"")</f>
        <v>46225</v>
      </c>
      <c r="L137" s="48" t="str">
        <f aca="false">IF(AND(MOVIMIENTOS!$B136&lt;&gt;"",NOT(AND(MOVIMIENTOS!$B136="PROCESO",MOVIMIENTOS!$C136&lt;&gt;"Chancho")),NOT(AND(MOVIMIENTOS!$B136="SALDO INICIAL",MOVIMIENTOS!$C136="Chancho"))),IF(MOVIMIENTOS!$B136="SALDO INICIAL","APERTURA ("&amp;MOVIMIENTOS!$C136&amp;")",IF(MOVIMIENTOS!$B136="COMPRA","INGRESO (compra)",IF(MOVIMIENTOS!$B136="PROCESO","CHANCHO (proceso)",IF(MOVIMIENTOS!$B136="ENVÍO A SUPESA","ENVÍO cal. "&amp;MOVIMIENTOS!$C136,IF(MOVIMIENTOS!$B136="VENTA CHANCHO","VENTA CHANCHO",IF(MOVIMIENTOS!$B136="VENTA","VENTA cal. "&amp;MOVIMIENTOS!$C136,IF(MOVIMIENTOS!$B136="REGALO","REGALO "&amp;MOVIMIENTOS!$C136,IF(MOVIMIENTOS!$B136="RECHAZO","RECHAZO cal. "&amp;MOVIMIENTOS!$C136&amp;" (va a reproceso)",IF(MOVIMIENTOS!$B136="DEVOLUCIÓN","DEVOLUCIÓN cal. "&amp;MOVIMIENTOS!$C136&amp;" (regresa intacta)",IF(MOVIMIENTOS!$B136="TRASIEGO","TRASIEGO cal. "&amp;MOVIMIENTOS!$C136,MOVIMIENTOS!$B136)))))))))),"")</f>
        <v>ENVÍO cal. C</v>
      </c>
      <c r="M137" s="48" t="str">
        <f aca="false">IF(AND(AND(MOVIMIENTOS!$B136&lt;&gt;"",NOT(AND(MOVIMIENTOS!$B136="PROCESO",MOVIMIENTOS!$C136&lt;&gt;"Chancho")),NOT(AND(MOVIMIENTOS!$B136="SALDO INICIAL",MOVIMIENTOS!$C136="Chancho"))),OR(MOVIMIENTOS!$B136="SALDO INICIAL",MOVIMIENTOS!$B136="COMPRA",MOVIMIENTOS!$B136="REPROCESO",MOVIMIENTOS!$B136="DEVOLUCIÓN",AND(MOVIMIENTOS!$B136="AJUSTE",MOVIMIENTOS!$C136&lt;&gt;"Chancho",N(MOVIMIENTOS!$F136)&gt;=0))),N(MOVIMIENTOS!$F136),"")</f>
        <v/>
      </c>
      <c r="N137" s="48" t="n">
        <f aca="false">IF(AND(AND(MOVIMIENTOS!$B136&lt;&gt;"",NOT(AND(MOVIMIENTOS!$B136="PROCESO",MOVIMIENTOS!$C136&lt;&gt;"Chancho")),NOT(AND(MOVIMIENTOS!$B136="SALDO INICIAL",MOVIMIENTOS!$C136="Chancho"))),OR(MOVIMIENTOS!$B136="ENVÍO A SUPESA",MOVIMIENTOS!$B136="MALOGRADO",MOVIMIENTOS!$B136="OTRA SALIDA",MOVIMIENTOS!$B136="TRASIEGO",AND(MOVIMIENTOS!$B136="PROCESO",MOVIMIENTOS!$C136="Chancho"),AND(MOVIMIENTOS!$B136="REGALO",MOVIMIENTOS!$C136&lt;&gt;"Chancho"),AND(MOVIMIENTOS!$B136="VENTA",MOVIMIENTOS!$C136&lt;&gt;"Chancho"),AND(MOVIMIENTOS!$B136="AJUSTE",MOVIMIENTOS!$C136&lt;&gt;"Chancho",N(MOVIMIENTOS!$F136)&lt;0))),IF(MOVIMIENTOS!$B136="AJUSTE",-N(MOVIMIENTOS!$F136),N(MOVIMIENTOS!$F136)),"")</f>
        <v>204</v>
      </c>
      <c r="O137" s="48" t="str">
        <f aca="false">IF(AND(MOVIMIENTOS!$B136&lt;&gt;"",NOT(AND(MOVIMIENTOS!$B136="PROCESO",MOVIMIENTOS!$C136&lt;&gt;"Chancho")),NOT(AND(MOVIMIENTOS!$B136="SALDO INICIAL",MOVIMIENTOS!$C136="Chancho"))),IF(MOVIMIENTOS!$B136="RECHAZO",MOVIMIENTOS!$E136&amp;" jabas rechazadas · van a reproceso",IF(MOVIMIENTOS!$B136="REPROCESO",MOVIMIENTOS!$E136&amp;" kg recuperados (merma del día: "&amp;TEXT(SUMPRODUCT((MOVIMIENTOS!$A$5:$A$400=MOVIMIENTOS!$A136)*(MOVIMIENTOS!$B$5:$B$400="RECHAZO")*(MOVIMIENTOS!$D$5:$D$400="jabas")*MOVIMIENTOS!$E$5:$E$400*IFERROR(_xlfn.SWITCH(MOVIMIENTOS!$C$5:$C$400,"A",15,"P",18,"C",17,"M",17,0),0))-SUMPRODUCT((MOVIMIENTOS!$A$5:$A$400=MOVIMIENTOS!$A136)*(MOVIMIENTOS!$B$5:$B$400="REPROCESO")*MOVIMIENTOS!$I$5:$I$400),"+#,##0;-#,##0;0")&amp;" kg)",TRIM(IF(MOVIMIENTOS!$G136&lt;&gt;"",MOVIMIENTOS!$G136&amp;"  ","")&amp;IF(N(MOVIMIENTOS!$D136)&gt;0,MOVIMIENTOS!$D136&amp;" "&amp;MOVIMIENTOS!$D136,"")))),"")</f>
        <v>3006</v>
      </c>
      <c r="P137" s="48" t="n">
        <f aca="false">N(P136)+N(M137)-N(N137)</f>
        <v>4469.5</v>
      </c>
      <c r="Q137" s="48"/>
      <c r="R137" s="48"/>
      <c r="S137" s="48"/>
      <c r="T137" s="48"/>
    </row>
    <row r="138" customFormat="false" ht="15" hidden="false" customHeight="true" outlineLevel="0" collapsed="false">
      <c r="A138" s="51" t="n">
        <f aca="false">IFERROR(INDEX(K$6:K$401,MATCH(ROW()-5,J$6:J$401,0)),"")</f>
        <v>46231</v>
      </c>
      <c r="B138" s="56" t="str">
        <f aca="false">IFERROR(INDEX(L$6:L$401,MATCH(ROW()-5,J$6:J$401,0)),"")</f>
        <v>ENVÍO cal. M</v>
      </c>
      <c r="C138" s="52" t="str">
        <f aca="false">IFERROR(INDEX(M$6:M$401,MATCH(ROW()-5,J$6:J$401,0)),"")</f>
        <v/>
      </c>
      <c r="D138" s="52" t="n">
        <f aca="false">IFERROR(INDEX(N$6:N$401,MATCH(ROW()-5,J$6:J$401,0)),"")</f>
        <v>2006</v>
      </c>
      <c r="E138" s="56" t="str">
        <f aca="false">IFERROR(INDEX(O$6:O$401,MATCH(ROW()-5,J$6:J$401,0)),"")</f>
        <v>3023</v>
      </c>
      <c r="F138" s="52" t="n">
        <f aca="false">IFERROR(INDEX(P$6:P$401,MATCH(ROW()-5,J$6:J$401,0)),"")</f>
        <v>2503.5</v>
      </c>
      <c r="G138" s="48"/>
      <c r="H138" s="48"/>
      <c r="I138" s="48"/>
      <c r="J138" s="48" t="n">
        <f aca="false">IF(AND(MOVIMIENTOS!$B137&lt;&gt;"",NOT(AND(MOVIMIENTOS!$B137="PROCESO",MOVIMIENTOS!$C137&lt;&gt;"Chancho")),NOT(AND(MOVIMIENTOS!$B137="SALDO INICIAL",MOVIMIENTOS!$C137="Chancho"))),COUNT(J$6:J137)+1,"")</f>
        <v>84</v>
      </c>
      <c r="K138" s="53" t="n">
        <f aca="false">IF(AND(MOVIMIENTOS!$B137&lt;&gt;"",NOT(AND(MOVIMIENTOS!$B137="PROCESO",MOVIMIENTOS!$C137&lt;&gt;"Chancho")),NOT(AND(MOVIMIENTOS!$B137="SALDO INICIAL",MOVIMIENTOS!$C137="Chancho"))),MOVIMIENTOS!$A137,"")</f>
        <v>46225</v>
      </c>
      <c r="L138" s="48" t="str">
        <f aca="false">IF(AND(MOVIMIENTOS!$B137&lt;&gt;"",NOT(AND(MOVIMIENTOS!$B137="PROCESO",MOVIMIENTOS!$C137&lt;&gt;"Chancho")),NOT(AND(MOVIMIENTOS!$B137="SALDO INICIAL",MOVIMIENTOS!$C137="Chancho"))),IF(MOVIMIENTOS!$B137="SALDO INICIAL","APERTURA ("&amp;MOVIMIENTOS!$C137&amp;")",IF(MOVIMIENTOS!$B137="COMPRA","INGRESO (compra)",IF(MOVIMIENTOS!$B137="PROCESO","CHANCHO (proceso)",IF(MOVIMIENTOS!$B137="ENVÍO A SUPESA","ENVÍO cal. "&amp;MOVIMIENTOS!$C137,IF(MOVIMIENTOS!$B137="VENTA CHANCHO","VENTA CHANCHO",IF(MOVIMIENTOS!$B137="VENTA","VENTA cal. "&amp;MOVIMIENTOS!$C137,IF(MOVIMIENTOS!$B137="REGALO","REGALO "&amp;MOVIMIENTOS!$C137,IF(MOVIMIENTOS!$B137="RECHAZO","RECHAZO cal. "&amp;MOVIMIENTOS!$C137&amp;" (va a reproceso)",IF(MOVIMIENTOS!$B137="DEVOLUCIÓN","DEVOLUCIÓN cal. "&amp;MOVIMIENTOS!$C137&amp;" (regresa intacta)",IF(MOVIMIENTOS!$B137="TRASIEGO","TRASIEGO cal. "&amp;MOVIMIENTOS!$C137,MOVIMIENTOS!$B137)))))))))),"")</f>
        <v>ENVÍO cal. M</v>
      </c>
      <c r="M138" s="48" t="str">
        <f aca="false">IF(AND(AND(MOVIMIENTOS!$B137&lt;&gt;"",NOT(AND(MOVIMIENTOS!$B137="PROCESO",MOVIMIENTOS!$C137&lt;&gt;"Chancho")),NOT(AND(MOVIMIENTOS!$B137="SALDO INICIAL",MOVIMIENTOS!$C137="Chancho"))),OR(MOVIMIENTOS!$B137="SALDO INICIAL",MOVIMIENTOS!$B137="COMPRA",MOVIMIENTOS!$B137="REPROCESO",MOVIMIENTOS!$B137="DEVOLUCIÓN",AND(MOVIMIENTOS!$B137="AJUSTE",MOVIMIENTOS!$C137&lt;&gt;"Chancho",N(MOVIMIENTOS!$F137)&gt;=0))),N(MOVIMIENTOS!$F137),"")</f>
        <v/>
      </c>
      <c r="N138" s="48" t="n">
        <f aca="false">IF(AND(AND(MOVIMIENTOS!$B137&lt;&gt;"",NOT(AND(MOVIMIENTOS!$B137="PROCESO",MOVIMIENTOS!$C137&lt;&gt;"Chancho")),NOT(AND(MOVIMIENTOS!$B137="SALDO INICIAL",MOVIMIENTOS!$C137="Chancho"))),OR(MOVIMIENTOS!$B137="ENVÍO A SUPESA",MOVIMIENTOS!$B137="MALOGRADO",MOVIMIENTOS!$B137="OTRA SALIDA",MOVIMIENTOS!$B137="TRASIEGO",AND(MOVIMIENTOS!$B137="PROCESO",MOVIMIENTOS!$C137="Chancho"),AND(MOVIMIENTOS!$B137="REGALO",MOVIMIENTOS!$C137&lt;&gt;"Chancho"),AND(MOVIMIENTOS!$B137="VENTA",MOVIMIENTOS!$C137&lt;&gt;"Chancho"),AND(MOVIMIENTOS!$B137="AJUSTE",MOVIMIENTOS!$C137&lt;&gt;"Chancho",N(MOVIMIENTOS!$F137)&lt;0))),IF(MOVIMIENTOS!$B137="AJUSTE",-N(MOVIMIENTOS!$F137),N(MOVIMIENTOS!$F137)),"")</f>
        <v>1887</v>
      </c>
      <c r="O138" s="48" t="str">
        <f aca="false">IF(AND(MOVIMIENTOS!$B137&lt;&gt;"",NOT(AND(MOVIMIENTOS!$B137="PROCESO",MOVIMIENTOS!$C137&lt;&gt;"Chancho")),NOT(AND(MOVIMIENTOS!$B137="SALDO INICIAL",MOVIMIENTOS!$C137="Chancho"))),IF(MOVIMIENTOS!$B137="RECHAZO",MOVIMIENTOS!$E137&amp;" jabas rechazadas · van a reproceso",IF(MOVIMIENTOS!$B137="REPROCESO",MOVIMIENTOS!$E137&amp;" kg recuperados (merma del día: "&amp;TEXT(SUMPRODUCT((MOVIMIENTOS!$A$5:$A$400=MOVIMIENTOS!$A137)*(MOVIMIENTOS!$B$5:$B$400="RECHAZO")*(MOVIMIENTOS!$D$5:$D$400="jabas")*MOVIMIENTOS!$E$5:$E$400*IFERROR(_xlfn.SWITCH(MOVIMIENTOS!$C$5:$C$400,"A",15,"P",18,"C",17,"M",17,0),0))-SUMPRODUCT((MOVIMIENTOS!$A$5:$A$400=MOVIMIENTOS!$A137)*(MOVIMIENTOS!$B$5:$B$400="REPROCESO")*MOVIMIENTOS!$I$5:$I$400),"+#,##0;-#,##0;0")&amp;" kg)",TRIM(IF(MOVIMIENTOS!$G137&lt;&gt;"",MOVIMIENTOS!$G137&amp;"  ","")&amp;IF(N(MOVIMIENTOS!$D137)&gt;0,MOVIMIENTOS!$D137&amp;" "&amp;MOVIMIENTOS!$D137,"")))),"")</f>
        <v>3006</v>
      </c>
      <c r="P138" s="48" t="n">
        <f aca="false">N(P137)+N(M138)-N(N138)</f>
        <v>2582.5</v>
      </c>
      <c r="Q138" s="48"/>
      <c r="R138" s="48"/>
      <c r="S138" s="48"/>
      <c r="T138" s="48"/>
    </row>
    <row r="139" customFormat="false" ht="15" hidden="false" customHeight="true" outlineLevel="0" collapsed="false">
      <c r="A139" s="51" t="n">
        <f aca="false">IFERROR(INDEX(K$6:K$401,MATCH(ROW()-5,J$6:J$401,0)),"")</f>
        <v>46232</v>
      </c>
      <c r="B139" s="56" t="str">
        <f aca="false">IFERROR(INDEX(L$6:L$401,MATCH(ROW()-5,J$6:J$401,0)),"")</f>
        <v>ENVÍO cal. A</v>
      </c>
      <c r="C139" s="52" t="str">
        <f aca="false">IFERROR(INDEX(M$6:M$401,MATCH(ROW()-5,J$6:J$401,0)),"")</f>
        <v/>
      </c>
      <c r="D139" s="52" t="n">
        <f aca="false">IFERROR(INDEX(N$6:N$401,MATCH(ROW()-5,J$6:J$401,0)),"")</f>
        <v>1005</v>
      </c>
      <c r="E139" s="56" t="str">
        <f aca="false">IFERROR(INDEX(O$6:O$401,MATCH(ROW()-5,J$6:J$401,0)),"")</f>
        <v>3023</v>
      </c>
      <c r="F139" s="52" t="n">
        <f aca="false">IFERROR(INDEX(P$6:P$401,MATCH(ROW()-5,J$6:J$401,0)),"")</f>
        <v>1498.5</v>
      </c>
      <c r="G139" s="48"/>
      <c r="H139" s="48"/>
      <c r="I139" s="48"/>
      <c r="J139" s="48" t="n">
        <f aca="false">IF(AND(MOVIMIENTOS!$B138&lt;&gt;"",NOT(AND(MOVIMIENTOS!$B138="PROCESO",MOVIMIENTOS!$C138&lt;&gt;"Chancho")),NOT(AND(MOVIMIENTOS!$B138="SALDO INICIAL",MOVIMIENTOS!$C138="Chancho"))),COUNT(J$6:J138)+1,"")</f>
        <v>85</v>
      </c>
      <c r="K139" s="53" t="n">
        <f aca="false">IF(AND(MOVIMIENTOS!$B138&lt;&gt;"",NOT(AND(MOVIMIENTOS!$B138="PROCESO",MOVIMIENTOS!$C138&lt;&gt;"Chancho")),NOT(AND(MOVIMIENTOS!$B138="SALDO INICIAL",MOVIMIENTOS!$C138="Chancho"))),MOVIMIENTOS!$A138,"")</f>
        <v>46225</v>
      </c>
      <c r="L139" s="48" t="str">
        <f aca="false">IF(AND(MOVIMIENTOS!$B138&lt;&gt;"",NOT(AND(MOVIMIENTOS!$B138="PROCESO",MOVIMIENTOS!$C138&lt;&gt;"Chancho")),NOT(AND(MOVIMIENTOS!$B138="SALDO INICIAL",MOVIMIENTOS!$C138="Chancho"))),IF(MOVIMIENTOS!$B138="SALDO INICIAL","APERTURA ("&amp;MOVIMIENTOS!$C138&amp;")",IF(MOVIMIENTOS!$B138="COMPRA","INGRESO (compra)",IF(MOVIMIENTOS!$B138="PROCESO","CHANCHO (proceso)",IF(MOVIMIENTOS!$B138="ENVÍO A SUPESA","ENVÍO cal. "&amp;MOVIMIENTOS!$C138,IF(MOVIMIENTOS!$B138="VENTA CHANCHO","VENTA CHANCHO",IF(MOVIMIENTOS!$B138="VENTA","VENTA cal. "&amp;MOVIMIENTOS!$C138,IF(MOVIMIENTOS!$B138="REGALO","REGALO "&amp;MOVIMIENTOS!$C138,IF(MOVIMIENTOS!$B138="RECHAZO","RECHAZO cal. "&amp;MOVIMIENTOS!$C138&amp;" (va a reproceso)",IF(MOVIMIENTOS!$B138="DEVOLUCIÓN","DEVOLUCIÓN cal. "&amp;MOVIMIENTOS!$C138&amp;" (regresa intacta)",IF(MOVIMIENTOS!$B138="TRASIEGO","TRASIEGO cal. "&amp;MOVIMIENTOS!$C138,MOVIMIENTOS!$B138)))))))))),"")</f>
        <v>VENTA CHANCHO</v>
      </c>
      <c r="M139" s="48" t="str">
        <f aca="false">IF(AND(AND(MOVIMIENTOS!$B138&lt;&gt;"",NOT(AND(MOVIMIENTOS!$B138="PROCESO",MOVIMIENTOS!$C138&lt;&gt;"Chancho")),NOT(AND(MOVIMIENTOS!$B138="SALDO INICIAL",MOVIMIENTOS!$C138="Chancho"))),OR(MOVIMIENTOS!$B138="SALDO INICIAL",MOVIMIENTOS!$B138="COMPRA",MOVIMIENTOS!$B138="REPROCESO",MOVIMIENTOS!$B138="DEVOLUCIÓN",AND(MOVIMIENTOS!$B138="AJUSTE",MOVIMIENTOS!$C138&lt;&gt;"Chancho",N(MOVIMIENTOS!$F138)&gt;=0))),N(MOVIMIENTOS!$F138),"")</f>
        <v/>
      </c>
      <c r="N139" s="48" t="str">
        <f aca="false">IF(AND(AND(MOVIMIENTOS!$B138&lt;&gt;"",NOT(AND(MOVIMIENTOS!$B138="PROCESO",MOVIMIENTOS!$C138&lt;&gt;"Chancho")),NOT(AND(MOVIMIENTOS!$B138="SALDO INICIAL",MOVIMIENTOS!$C138="Chancho"))),OR(MOVIMIENTOS!$B138="ENVÍO A SUPESA",MOVIMIENTOS!$B138="MALOGRADO",MOVIMIENTOS!$B138="OTRA SALIDA",MOVIMIENTOS!$B138="TRASIEGO",AND(MOVIMIENTOS!$B138="PROCESO",MOVIMIENTOS!$C138="Chancho"),AND(MOVIMIENTOS!$B138="REGALO",MOVIMIENTOS!$C138&lt;&gt;"Chancho"),AND(MOVIMIENTOS!$B138="VENTA",MOVIMIENTOS!$C138&lt;&gt;"Chancho"),AND(MOVIMIENTOS!$B138="AJUSTE",MOVIMIENTOS!$C138&lt;&gt;"Chancho",N(MOVIMIENTOS!$F138)&lt;0))),IF(MOVIMIENTOS!$B138="AJUSTE",-N(MOVIMIENTOS!$F138),N(MOVIMIENTOS!$F138)),"")</f>
        <v/>
      </c>
      <c r="O139" s="48" t="str">
        <f aca="false">IF(AND(MOVIMIENTOS!$B138&lt;&gt;"",NOT(AND(MOVIMIENTOS!$B138="PROCESO",MOVIMIENTOS!$C138&lt;&gt;"Chancho")),NOT(AND(MOVIMIENTOS!$B138="SALDO INICIAL",MOVIMIENTOS!$C138="Chancho"))),IF(MOVIMIENTOS!$B138="RECHAZO",MOVIMIENTOS!$E138&amp;" jabas rechazadas · van a reproceso",IF(MOVIMIENTOS!$B138="REPROCESO",MOVIMIENTOS!$E138&amp;" kg recuperados (merma del día: "&amp;TEXT(SUMPRODUCT((MOVIMIENTOS!$A$5:$A$400=MOVIMIENTOS!$A138)*(MOVIMIENTOS!$B$5:$B$400="RECHAZO")*(MOVIMIENTOS!$D$5:$D$400="jabas")*MOVIMIENTOS!$E$5:$E$400*IFERROR(_xlfn.SWITCH(MOVIMIENTOS!$C$5:$C$400,"A",15,"P",18,"C",17,"M",17,0),0))-SUMPRODUCT((MOVIMIENTOS!$A$5:$A$400=MOVIMIENTOS!$A138)*(MOVIMIENTOS!$B$5:$B$400="REPROCESO")*MOVIMIENTOS!$I$5:$I$400),"+#,##0;-#,##0;0")&amp;" kg)",TRIM(IF(MOVIMIENTOS!$G138&lt;&gt;"",MOVIMIENTOS!$G138&amp;"  ","")&amp;IF(N(MOVIMIENTOS!$D138)&gt;0,MOVIMIENTOS!$D138&amp;" "&amp;MOVIMIENTOS!$D138,"")))),"")</f>
        <v>S/T</v>
      </c>
      <c r="P139" s="48" t="n">
        <f aca="false">N(P138)+N(M139)-N(N139)</f>
        <v>2582.5</v>
      </c>
      <c r="Q139" s="48"/>
      <c r="R139" s="48"/>
      <c r="S139" s="48"/>
      <c r="T139" s="48"/>
    </row>
    <row r="140" customFormat="false" ht="15" hidden="false" customHeight="true" outlineLevel="0" collapsed="false">
      <c r="A140" s="51" t="n">
        <f aca="false">IFERROR(INDEX(K$6:K$401,MATCH(ROW()-5,J$6:J$401,0)),"")</f>
        <v>46232</v>
      </c>
      <c r="B140" s="56" t="str">
        <f aca="false">IFERROR(INDEX(L$6:L$401,MATCH(ROW()-5,J$6:J$401,0)),"")</f>
        <v>ENVÍO cal. P</v>
      </c>
      <c r="C140" s="52" t="str">
        <f aca="false">IFERROR(INDEX(M$6:M$401,MATCH(ROW()-5,J$6:J$401,0)),"")</f>
        <v/>
      </c>
      <c r="D140" s="52" t="n">
        <f aca="false">IFERROR(INDEX(N$6:N$401,MATCH(ROW()-5,J$6:J$401,0)),"")</f>
        <v>72</v>
      </c>
      <c r="E140" s="56" t="str">
        <f aca="false">IFERROR(INDEX(O$6:O$401,MATCH(ROW()-5,J$6:J$401,0)),"")</f>
        <v>3023</v>
      </c>
      <c r="F140" s="52" t="n">
        <f aca="false">IFERROR(INDEX(P$6:P$401,MATCH(ROW()-5,J$6:J$401,0)),"")</f>
        <v>1426.5</v>
      </c>
      <c r="G140" s="48"/>
      <c r="H140" s="48"/>
      <c r="I140" s="48"/>
      <c r="J140" s="48" t="n">
        <f aca="false">IF(AND(MOVIMIENTOS!$B139&lt;&gt;"",NOT(AND(MOVIMIENTOS!$B139="PROCESO",MOVIMIENTOS!$C139&lt;&gt;"Chancho")),NOT(AND(MOVIMIENTOS!$B139="SALDO INICIAL",MOVIMIENTOS!$C139="Chancho"))),COUNT(J$6:J139)+1,"")</f>
        <v>86</v>
      </c>
      <c r="K140" s="53" t="n">
        <f aca="false">IF(AND(MOVIMIENTOS!$B139&lt;&gt;"",NOT(AND(MOVIMIENTOS!$B139="PROCESO",MOVIMIENTOS!$C139&lt;&gt;"Chancho")),NOT(AND(MOVIMIENTOS!$B139="SALDO INICIAL",MOVIMIENTOS!$C139="Chancho"))),MOVIMIENTOS!$A139,"")</f>
        <v>46225</v>
      </c>
      <c r="L140" s="48" t="str">
        <f aca="false">IF(AND(MOVIMIENTOS!$B139&lt;&gt;"",NOT(AND(MOVIMIENTOS!$B139="PROCESO",MOVIMIENTOS!$C139&lt;&gt;"Chancho")),NOT(AND(MOVIMIENTOS!$B139="SALDO INICIAL",MOVIMIENTOS!$C139="Chancho"))),IF(MOVIMIENTOS!$B139="SALDO INICIAL","APERTURA ("&amp;MOVIMIENTOS!$C139&amp;")",IF(MOVIMIENTOS!$B139="COMPRA","INGRESO (compra)",IF(MOVIMIENTOS!$B139="PROCESO","CHANCHO (proceso)",IF(MOVIMIENTOS!$B139="ENVÍO A SUPESA","ENVÍO cal. "&amp;MOVIMIENTOS!$C139,IF(MOVIMIENTOS!$B139="VENTA CHANCHO","VENTA CHANCHO",IF(MOVIMIENTOS!$B139="VENTA","VENTA cal. "&amp;MOVIMIENTOS!$C139,IF(MOVIMIENTOS!$B139="REGALO","REGALO "&amp;MOVIMIENTOS!$C139,IF(MOVIMIENTOS!$B139="RECHAZO","RECHAZO cal. "&amp;MOVIMIENTOS!$C139&amp;" (va a reproceso)",IF(MOVIMIENTOS!$B139="DEVOLUCIÓN","DEVOLUCIÓN cal. "&amp;MOVIMIENTOS!$C139&amp;" (regresa intacta)",IF(MOVIMIENTOS!$B139="TRASIEGO","TRASIEGO cal. "&amp;MOVIMIENTOS!$C139,MOVIMIENTOS!$B139)))))))))),"")</f>
        <v>RECHAZO cal. A (va a reproceso)</v>
      </c>
      <c r="M140" s="48" t="str">
        <f aca="false">IF(AND(AND(MOVIMIENTOS!$B139&lt;&gt;"",NOT(AND(MOVIMIENTOS!$B139="PROCESO",MOVIMIENTOS!$C139&lt;&gt;"Chancho")),NOT(AND(MOVIMIENTOS!$B139="SALDO INICIAL",MOVIMIENTOS!$C139="Chancho"))),OR(MOVIMIENTOS!$B139="SALDO INICIAL",MOVIMIENTOS!$B139="COMPRA",MOVIMIENTOS!$B139="REPROCESO",MOVIMIENTOS!$B139="DEVOLUCIÓN",AND(MOVIMIENTOS!$B139="AJUSTE",MOVIMIENTOS!$C139&lt;&gt;"Chancho",N(MOVIMIENTOS!$F139)&gt;=0))),N(MOVIMIENTOS!$F139),"")</f>
        <v/>
      </c>
      <c r="N140" s="48" t="str">
        <f aca="false">IF(AND(AND(MOVIMIENTOS!$B139&lt;&gt;"",NOT(AND(MOVIMIENTOS!$B139="PROCESO",MOVIMIENTOS!$C139&lt;&gt;"Chancho")),NOT(AND(MOVIMIENTOS!$B139="SALDO INICIAL",MOVIMIENTOS!$C139="Chancho"))),OR(MOVIMIENTOS!$B139="ENVÍO A SUPESA",MOVIMIENTOS!$B139="MALOGRADO",MOVIMIENTOS!$B139="OTRA SALIDA",MOVIMIENTOS!$B139="TRASIEGO",AND(MOVIMIENTOS!$B139="PROCESO",MOVIMIENTOS!$C139="Chancho"),AND(MOVIMIENTOS!$B139="REGALO",MOVIMIENTOS!$C139&lt;&gt;"Chancho"),AND(MOVIMIENTOS!$B139="VENTA",MOVIMIENTOS!$C139&lt;&gt;"Chancho"),AND(MOVIMIENTOS!$B139="AJUSTE",MOVIMIENTOS!$C139&lt;&gt;"Chancho",N(MOVIMIENTOS!$F139)&lt;0))),IF(MOVIMIENTOS!$B139="AJUSTE",-N(MOVIMIENTOS!$F139),N(MOVIMIENTOS!$F139)),"")</f>
        <v/>
      </c>
      <c r="O140" s="48" t="str">
        <f aca="false">IF(AND(MOVIMIENTOS!$B139&lt;&gt;"",NOT(AND(MOVIMIENTOS!$B139="PROCESO",MOVIMIENTOS!$C139&lt;&gt;"Chancho")),NOT(AND(MOVIMIENTOS!$B139="SALDO INICIAL",MOVIMIENTOS!$C139="Chancho"))),IF(MOVIMIENTOS!$B139="RECHAZO",MOVIMIENTOS!$E139&amp;" jabas rechazadas · van a reproceso",IF(MOVIMIENTOS!$B139="REPROCESO",MOVIMIENTOS!$E139&amp;" kg recuperados (merma del día: "&amp;TEXT(SUMPRODUCT((MOVIMIENTOS!$A$5:$A$400=MOVIMIENTOS!$A139)*(MOVIMIENTOS!$B$5:$B$400="RECHAZO")*(MOVIMIENTOS!$D$5:$D$400="jabas")*MOVIMIENTOS!$E$5:$E$400*IFERROR(_xlfn.SWITCH(MOVIMIENTOS!$C$5:$C$400,"A",15,"P",18,"C",17,"M",17,0),0))-SUMPRODUCT((MOVIMIENTOS!$A$5:$A$400=MOVIMIENTOS!$A139)*(MOVIMIENTOS!$B$5:$B$400="REPROCESO")*MOVIMIENTOS!$I$5:$I$400),"+#,##0;-#,##0;0")&amp;" kg)",TRIM(IF(MOVIMIENTOS!$G139&lt;&gt;"",MOVIMIENTOS!$G139&amp;"  ","")&amp;IF(N(MOVIMIENTOS!$D139)&gt;0,MOVIMIENTOS!$D139&amp;" "&amp;MOVIMIENTOS!$D139,"")))),"")</f>
        <v>1 jabas rechazadas · van a reproceso</v>
      </c>
      <c r="P140" s="48" t="n">
        <f aca="false">N(P139)+N(M140)-N(N140)</f>
        <v>2582.5</v>
      </c>
      <c r="Q140" s="48"/>
      <c r="R140" s="48"/>
      <c r="S140" s="48"/>
      <c r="T140" s="48"/>
    </row>
    <row r="141" customFormat="false" ht="15" hidden="false" customHeight="true" outlineLevel="0" collapsed="false">
      <c r="A141" s="51" t="n">
        <f aca="false">IFERROR(INDEX(K$6:K$401,MATCH(ROW()-5,J$6:J$401,0)),"")</f>
        <v>46232</v>
      </c>
      <c r="B141" s="56" t="str">
        <f aca="false">IFERROR(INDEX(L$6:L$401,MATCH(ROW()-5,J$6:J$401,0)),"")</f>
        <v>ENVÍO cal. C</v>
      </c>
      <c r="C141" s="52" t="str">
        <f aca="false">IFERROR(INDEX(M$6:M$401,MATCH(ROW()-5,J$6:J$401,0)),"")</f>
        <v/>
      </c>
      <c r="D141" s="52" t="n">
        <f aca="false">IFERROR(INDEX(N$6:N$401,MATCH(ROW()-5,J$6:J$401,0)),"")</f>
        <v>204</v>
      </c>
      <c r="E141" s="56" t="str">
        <f aca="false">IFERROR(INDEX(O$6:O$401,MATCH(ROW()-5,J$6:J$401,0)),"")</f>
        <v>3023</v>
      </c>
      <c r="F141" s="52" t="n">
        <f aca="false">IFERROR(INDEX(P$6:P$401,MATCH(ROW()-5,J$6:J$401,0)),"")</f>
        <v>1222.5</v>
      </c>
      <c r="G141" s="48"/>
      <c r="H141" s="48"/>
      <c r="I141" s="48"/>
      <c r="J141" s="48" t="n">
        <f aca="false">IF(AND(MOVIMIENTOS!$B140&lt;&gt;"",NOT(AND(MOVIMIENTOS!$B140="PROCESO",MOVIMIENTOS!$C140&lt;&gt;"Chancho")),NOT(AND(MOVIMIENTOS!$B140="SALDO INICIAL",MOVIMIENTOS!$C140="Chancho"))),COUNT(J$6:J140)+1,"")</f>
        <v>87</v>
      </c>
      <c r="K141" s="53" t="n">
        <f aca="false">IF(AND(MOVIMIENTOS!$B140&lt;&gt;"",NOT(AND(MOVIMIENTOS!$B140="PROCESO",MOVIMIENTOS!$C140&lt;&gt;"Chancho")),NOT(AND(MOVIMIENTOS!$B140="SALDO INICIAL",MOVIMIENTOS!$C140="Chancho"))),MOVIMIENTOS!$A140,"")</f>
        <v>46225</v>
      </c>
      <c r="L141" s="48" t="str">
        <f aca="false">IF(AND(MOVIMIENTOS!$B140&lt;&gt;"",NOT(AND(MOVIMIENTOS!$B140="PROCESO",MOVIMIENTOS!$C140&lt;&gt;"Chancho")),NOT(AND(MOVIMIENTOS!$B140="SALDO INICIAL",MOVIMIENTOS!$C140="Chancho"))),IF(MOVIMIENTOS!$B140="SALDO INICIAL","APERTURA ("&amp;MOVIMIENTOS!$C140&amp;")",IF(MOVIMIENTOS!$B140="COMPRA","INGRESO (compra)",IF(MOVIMIENTOS!$B140="PROCESO","CHANCHO (proceso)",IF(MOVIMIENTOS!$B140="ENVÍO A SUPESA","ENVÍO cal. "&amp;MOVIMIENTOS!$C140,IF(MOVIMIENTOS!$B140="VENTA CHANCHO","VENTA CHANCHO",IF(MOVIMIENTOS!$B140="VENTA","VENTA cal. "&amp;MOVIMIENTOS!$C140,IF(MOVIMIENTOS!$B140="REGALO","REGALO "&amp;MOVIMIENTOS!$C140,IF(MOVIMIENTOS!$B140="RECHAZO","RECHAZO cal. "&amp;MOVIMIENTOS!$C140&amp;" (va a reproceso)",IF(MOVIMIENTOS!$B140="DEVOLUCIÓN","DEVOLUCIÓN cal. "&amp;MOVIMIENTOS!$C140&amp;" (regresa intacta)",IF(MOVIMIENTOS!$B140="TRASIEGO","TRASIEGO cal. "&amp;MOVIMIENTOS!$C140,MOVIMIENTOS!$B140)))))))))),"")</f>
        <v>DEVOLUCIÓN cal. M (regresa intacta)</v>
      </c>
      <c r="M141" s="48" t="n">
        <f aca="false">IF(AND(AND(MOVIMIENTOS!$B140&lt;&gt;"",NOT(AND(MOVIMIENTOS!$B140="PROCESO",MOVIMIENTOS!$C140&lt;&gt;"Chancho")),NOT(AND(MOVIMIENTOS!$B140="SALDO INICIAL",MOVIMIENTOS!$C140="Chancho"))),OR(MOVIMIENTOS!$B140="SALDO INICIAL",MOVIMIENTOS!$B140="COMPRA",MOVIMIENTOS!$B140="REPROCESO",MOVIMIENTOS!$B140="DEVOLUCIÓN",AND(MOVIMIENTOS!$B140="AJUSTE",MOVIMIENTOS!$C140&lt;&gt;"Chancho",N(MOVIMIENTOS!$F140)&gt;=0))),N(MOVIMIENTOS!$F140),"")</f>
        <v>153</v>
      </c>
      <c r="N141" s="48" t="str">
        <f aca="false">IF(AND(AND(MOVIMIENTOS!$B140&lt;&gt;"",NOT(AND(MOVIMIENTOS!$B140="PROCESO",MOVIMIENTOS!$C140&lt;&gt;"Chancho")),NOT(AND(MOVIMIENTOS!$B140="SALDO INICIAL",MOVIMIENTOS!$C140="Chancho"))),OR(MOVIMIENTOS!$B140="ENVÍO A SUPESA",MOVIMIENTOS!$B140="MALOGRADO",MOVIMIENTOS!$B140="OTRA SALIDA",MOVIMIENTOS!$B140="TRASIEGO",AND(MOVIMIENTOS!$B140="PROCESO",MOVIMIENTOS!$C140="Chancho"),AND(MOVIMIENTOS!$B140="REGALO",MOVIMIENTOS!$C140&lt;&gt;"Chancho"),AND(MOVIMIENTOS!$B140="VENTA",MOVIMIENTOS!$C140&lt;&gt;"Chancho"),AND(MOVIMIENTOS!$B140="AJUSTE",MOVIMIENTOS!$C140&lt;&gt;"Chancho",N(MOVIMIENTOS!$F140)&lt;0))),IF(MOVIMIENTOS!$B140="AJUSTE",-N(MOVIMIENTOS!$F140),N(MOVIMIENTOS!$F140)),"")</f>
        <v/>
      </c>
      <c r="O141" s="48" t="str">
        <f aca="false">IF(AND(MOVIMIENTOS!$B140&lt;&gt;"",NOT(AND(MOVIMIENTOS!$B140="PROCESO",MOVIMIENTOS!$C140&lt;&gt;"Chancho")),NOT(AND(MOVIMIENTOS!$B140="SALDO INICIAL",MOVIMIENTOS!$C140="Chancho"))),IF(MOVIMIENTOS!$B140="RECHAZO",MOVIMIENTOS!$E140&amp;" jabas rechazadas · van a reproceso",IF(MOVIMIENTOS!$B140="REPROCESO",MOVIMIENTOS!$E140&amp;" kg recuperados (merma del día: "&amp;TEXT(SUMPRODUCT((MOVIMIENTOS!$A$5:$A$400=MOVIMIENTOS!$A140)*(MOVIMIENTOS!$B$5:$B$400="RECHAZO")*(MOVIMIENTOS!$D$5:$D$400="jabas")*MOVIMIENTOS!$E$5:$E$400*IFERROR(_xlfn.SWITCH(MOVIMIENTOS!$C$5:$C$400,"A",15,"P",18,"C",17,"M",17,0),0))-SUMPRODUCT((MOVIMIENTOS!$A$5:$A$400=MOVIMIENTOS!$A140)*(MOVIMIENTOS!$B$5:$B$400="REPROCESO")*MOVIMIENTOS!$I$5:$I$400),"+#,##0;-#,##0;0")&amp;" kg)",TRIM(IF(MOVIMIENTOS!$G140&lt;&gt;"",MOVIMIENTOS!$G140&amp;"  ","")&amp;IF(N(MOVIMIENTOS!$D140)&gt;0,MOVIMIENTOS!$D140&amp;" "&amp;MOVIMIENTOS!$D140,"")))),"")</f>
        <v/>
      </c>
      <c r="P141" s="48" t="n">
        <f aca="false">N(P140)+N(M141)-N(N141)</f>
        <v>2735.5</v>
      </c>
      <c r="Q141" s="48"/>
      <c r="R141" s="48"/>
      <c r="S141" s="48"/>
      <c r="T141" s="48"/>
    </row>
    <row r="142" customFormat="false" ht="15" hidden="false" customHeight="true" outlineLevel="0" collapsed="false">
      <c r="A142" s="51" t="n">
        <f aca="false">IFERROR(INDEX(K$6:K$401,MATCH(ROW()-5,J$6:J$401,0)),"")</f>
        <v>46232</v>
      </c>
      <c r="B142" s="56" t="str">
        <f aca="false">IFERROR(INDEX(L$6:L$401,MATCH(ROW()-5,J$6:J$401,0)),"")</f>
        <v>ENVÍO cal. M</v>
      </c>
      <c r="C142" s="52" t="str">
        <f aca="false">IFERROR(INDEX(M$6:M$401,MATCH(ROW()-5,J$6:J$401,0)),"")</f>
        <v/>
      </c>
      <c r="D142" s="52" t="n">
        <f aca="false">IFERROR(INDEX(N$6:N$401,MATCH(ROW()-5,J$6:J$401,0)),"")</f>
        <v>1513</v>
      </c>
      <c r="E142" s="56" t="str">
        <f aca="false">IFERROR(INDEX(O$6:O$401,MATCH(ROW()-5,J$6:J$401,0)),"")</f>
        <v>3023</v>
      </c>
      <c r="F142" s="52" t="n">
        <f aca="false">IFERROR(INDEX(P$6:P$401,MATCH(ROW()-5,J$6:J$401,0)),"")</f>
        <v>-290.5</v>
      </c>
      <c r="G142" s="48"/>
      <c r="H142" s="48"/>
      <c r="I142" s="48"/>
      <c r="J142" s="48" t="n">
        <f aca="false">IF(AND(MOVIMIENTOS!$B141&lt;&gt;"",NOT(AND(MOVIMIENTOS!$B141="PROCESO",MOVIMIENTOS!$C141&lt;&gt;"Chancho")),NOT(AND(MOVIMIENTOS!$B141="SALDO INICIAL",MOVIMIENTOS!$C141="Chancho"))),COUNT(J$6:J141)+1,"")</f>
        <v>88</v>
      </c>
      <c r="K142" s="53" t="n">
        <f aca="false">IF(AND(MOVIMIENTOS!$B141&lt;&gt;"",NOT(AND(MOVIMIENTOS!$B141="PROCESO",MOVIMIENTOS!$C141&lt;&gt;"Chancho")),NOT(AND(MOVIMIENTOS!$B141="SALDO INICIAL",MOVIMIENTOS!$C141="Chancho"))),MOVIMIENTOS!$A141,"")</f>
        <v>46225</v>
      </c>
      <c r="L142" s="48" t="str">
        <f aca="false">IF(AND(MOVIMIENTOS!$B141&lt;&gt;"",NOT(AND(MOVIMIENTOS!$B141="PROCESO",MOVIMIENTOS!$C141&lt;&gt;"Chancho")),NOT(AND(MOVIMIENTOS!$B141="SALDO INICIAL",MOVIMIENTOS!$C141="Chancho"))),IF(MOVIMIENTOS!$B141="SALDO INICIAL","APERTURA ("&amp;MOVIMIENTOS!$C141&amp;")",IF(MOVIMIENTOS!$B141="COMPRA","INGRESO (compra)",IF(MOVIMIENTOS!$B141="PROCESO","CHANCHO (proceso)",IF(MOVIMIENTOS!$B141="ENVÍO A SUPESA","ENVÍO cal. "&amp;MOVIMIENTOS!$C141,IF(MOVIMIENTOS!$B141="VENTA CHANCHO","VENTA CHANCHO",IF(MOVIMIENTOS!$B141="VENTA","VENTA cal. "&amp;MOVIMIENTOS!$C141,IF(MOVIMIENTOS!$B141="REGALO","REGALO "&amp;MOVIMIENTOS!$C141,IF(MOVIMIENTOS!$B141="RECHAZO","RECHAZO cal. "&amp;MOVIMIENTOS!$C141&amp;" (va a reproceso)",IF(MOVIMIENTOS!$B141="DEVOLUCIÓN","DEVOLUCIÓN cal. "&amp;MOVIMIENTOS!$C141&amp;" (regresa intacta)",IF(MOVIMIENTOS!$B141="TRASIEGO","TRASIEGO cal. "&amp;MOVIMIENTOS!$C141,MOVIMIENTOS!$B141)))))))))),"")</f>
        <v>TRASIEGO cal. A</v>
      </c>
      <c r="M142" s="48" t="str">
        <f aca="false">IF(AND(AND(MOVIMIENTOS!$B141&lt;&gt;"",NOT(AND(MOVIMIENTOS!$B141="PROCESO",MOVIMIENTOS!$C141&lt;&gt;"Chancho")),NOT(AND(MOVIMIENTOS!$B141="SALDO INICIAL",MOVIMIENTOS!$C141="Chancho"))),OR(MOVIMIENTOS!$B141="SALDO INICIAL",MOVIMIENTOS!$B141="COMPRA",MOVIMIENTOS!$B141="REPROCESO",MOVIMIENTOS!$B141="DEVOLUCIÓN",AND(MOVIMIENTOS!$B141="AJUSTE",MOVIMIENTOS!$C141&lt;&gt;"Chancho",N(MOVIMIENTOS!$F141)&gt;=0))),N(MOVIMIENTOS!$F141),"")</f>
        <v/>
      </c>
      <c r="N142" s="48" t="n">
        <f aca="false">IF(AND(AND(MOVIMIENTOS!$B141&lt;&gt;"",NOT(AND(MOVIMIENTOS!$B141="PROCESO",MOVIMIENTOS!$C141&lt;&gt;"Chancho")),NOT(AND(MOVIMIENTOS!$B141="SALDO INICIAL",MOVIMIENTOS!$C141="Chancho"))),OR(MOVIMIENTOS!$B141="ENVÍO A SUPESA",MOVIMIENTOS!$B141="MALOGRADO",MOVIMIENTOS!$B141="OTRA SALIDA",MOVIMIENTOS!$B141="TRASIEGO",AND(MOVIMIENTOS!$B141="PROCESO",MOVIMIENTOS!$C141="Chancho"),AND(MOVIMIENTOS!$B141="REGALO",MOVIMIENTOS!$C141&lt;&gt;"Chancho"),AND(MOVIMIENTOS!$B141="VENTA",MOVIMIENTOS!$C141&lt;&gt;"Chancho"),AND(MOVIMIENTOS!$B141="AJUSTE",MOVIMIENTOS!$C141&lt;&gt;"Chancho",N(MOVIMIENTOS!$F141)&lt;0))),IF(MOVIMIENTOS!$B141="AJUSTE",-N(MOVIMIENTOS!$F141),N(MOVIMIENTOS!$F141)),"")</f>
        <v>15</v>
      </c>
      <c r="O142" s="48" t="str">
        <f aca="false">IF(AND(MOVIMIENTOS!$B141&lt;&gt;"",NOT(AND(MOVIMIENTOS!$B141="PROCESO",MOVIMIENTOS!$C141&lt;&gt;"Chancho")),NOT(AND(MOVIMIENTOS!$B141="SALDO INICIAL",MOVIMIENTOS!$C141="Chancho"))),IF(MOVIMIENTOS!$B141="RECHAZO",MOVIMIENTOS!$E141&amp;" jabas rechazadas · van a reproceso",IF(MOVIMIENTOS!$B141="REPROCESO",MOVIMIENTOS!$E141&amp;" kg recuperados (merma del día: "&amp;TEXT(SUMPRODUCT((MOVIMIENTOS!$A$5:$A$400=MOVIMIENTOS!$A141)*(MOVIMIENTOS!$B$5:$B$400="RECHAZO")*(MOVIMIENTOS!$D$5:$D$400="jabas")*MOVIMIENTOS!$E$5:$E$400*IFERROR(_xlfn.SWITCH(MOVIMIENTOS!$C$5:$C$400,"A",15,"P",18,"C",17,"M",17,0),0))-SUMPRODUCT((MOVIMIENTOS!$A$5:$A$400=MOVIMIENTOS!$A141)*(MOVIMIENTOS!$B$5:$B$400="REPROCESO")*MOVIMIENTOS!$I$5:$I$400),"+#,##0;-#,##0;0")&amp;" kg)",TRIM(IF(MOVIMIENTOS!$G141&lt;&gt;"",MOVIMIENTOS!$G141&amp;"  ","")&amp;IF(N(MOVIMIENTOS!$D141)&gt;0,MOVIMIENTOS!$D141&amp;" "&amp;MOVIMIENTOS!$D141,"")))),"")</f>
        <v/>
      </c>
      <c r="P142" s="48" t="n">
        <f aca="false">N(P141)+N(M142)-N(N142)</f>
        <v>2720.5</v>
      </c>
      <c r="Q142" s="48"/>
      <c r="R142" s="48"/>
      <c r="S142" s="48"/>
      <c r="T142" s="48"/>
    </row>
    <row r="143" customFormat="false" ht="15" hidden="false" customHeight="true" outlineLevel="0" collapsed="false">
      <c r="A143" s="51" t="n">
        <f aca="false">IFERROR(INDEX(K$6:K$401,MATCH(ROW()-5,J$6:J$401,0)),"")</f>
        <v>46232</v>
      </c>
      <c r="B143" s="56" t="str">
        <f aca="false">IFERROR(INDEX(L$6:L$401,MATCH(ROW()-5,J$6:J$401,0)),"")</f>
        <v>VENTA CHANCHO</v>
      </c>
      <c r="C143" s="52" t="str">
        <f aca="false">IFERROR(INDEX(M$6:M$401,MATCH(ROW()-5,J$6:J$401,0)),"")</f>
        <v/>
      </c>
      <c r="D143" s="52" t="str">
        <f aca="false">IFERROR(INDEX(N$6:N$401,MATCH(ROW()-5,J$6:J$401,0)),"")</f>
        <v/>
      </c>
      <c r="E143" s="56" t="str">
        <f aca="false">IFERROR(INDEX(O$6:O$401,MATCH(ROW()-5,J$6:J$401,0)),"")</f>
        <v>TCK002-730</v>
      </c>
      <c r="F143" s="52" t="n">
        <f aca="false">IFERROR(INDEX(P$6:P$401,MATCH(ROW()-5,J$6:J$401,0)),"")</f>
        <v>-290.5</v>
      </c>
      <c r="G143" s="48"/>
      <c r="H143" s="48"/>
      <c r="I143" s="48"/>
      <c r="J143" s="48" t="n">
        <f aca="false">IF(AND(MOVIMIENTOS!$B142&lt;&gt;"",NOT(AND(MOVIMIENTOS!$B142="PROCESO",MOVIMIENTOS!$C142&lt;&gt;"Chancho")),NOT(AND(MOVIMIENTOS!$B142="SALDO INICIAL",MOVIMIENTOS!$C142="Chancho"))),COUNT(J$6:J142)+1,"")</f>
        <v>89</v>
      </c>
      <c r="K143" s="53" t="n">
        <f aca="false">IF(AND(MOVIMIENTOS!$B142&lt;&gt;"",NOT(AND(MOVIMIENTOS!$B142="PROCESO",MOVIMIENTOS!$C142&lt;&gt;"Chancho")),NOT(AND(MOVIMIENTOS!$B142="SALDO INICIAL",MOVIMIENTOS!$C142="Chancho"))),MOVIMIENTOS!$A142,"")</f>
        <v>46225</v>
      </c>
      <c r="L143" s="48" t="str">
        <f aca="false">IF(AND(MOVIMIENTOS!$B142&lt;&gt;"",NOT(AND(MOVIMIENTOS!$B142="PROCESO",MOVIMIENTOS!$C142&lt;&gt;"Chancho")),NOT(AND(MOVIMIENTOS!$B142="SALDO INICIAL",MOVIMIENTOS!$C142="Chancho"))),IF(MOVIMIENTOS!$B142="SALDO INICIAL","APERTURA ("&amp;MOVIMIENTOS!$C142&amp;")",IF(MOVIMIENTOS!$B142="COMPRA","INGRESO (compra)",IF(MOVIMIENTOS!$B142="PROCESO","CHANCHO (proceso)",IF(MOVIMIENTOS!$B142="ENVÍO A SUPESA","ENVÍO cal. "&amp;MOVIMIENTOS!$C142,IF(MOVIMIENTOS!$B142="VENTA CHANCHO","VENTA CHANCHO",IF(MOVIMIENTOS!$B142="VENTA","VENTA cal. "&amp;MOVIMIENTOS!$C142,IF(MOVIMIENTOS!$B142="REGALO","REGALO "&amp;MOVIMIENTOS!$C142,IF(MOVIMIENTOS!$B142="RECHAZO","RECHAZO cal. "&amp;MOVIMIENTOS!$C142&amp;" (va a reproceso)",IF(MOVIMIENTOS!$B142="DEVOLUCIÓN","DEVOLUCIÓN cal. "&amp;MOVIMIENTOS!$C142&amp;" (regresa intacta)",IF(MOVIMIENTOS!$B142="TRASIEGO","TRASIEGO cal. "&amp;MOVIMIENTOS!$C142,MOVIMIENTOS!$B142)))))))))),"")</f>
        <v>REPROCESO</v>
      </c>
      <c r="M143" s="48" t="n">
        <f aca="false">IF(AND(AND(MOVIMIENTOS!$B142&lt;&gt;"",NOT(AND(MOVIMIENTOS!$B142="PROCESO",MOVIMIENTOS!$C142&lt;&gt;"Chancho")),NOT(AND(MOVIMIENTOS!$B142="SALDO INICIAL",MOVIMIENTOS!$C142="Chancho"))),OR(MOVIMIENTOS!$B142="SALDO INICIAL",MOVIMIENTOS!$B142="COMPRA",MOVIMIENTOS!$B142="REPROCESO",MOVIMIENTOS!$B142="DEVOLUCIÓN",AND(MOVIMIENTOS!$B142="AJUSTE",MOVIMIENTOS!$C142&lt;&gt;"Chancho",N(MOVIMIENTOS!$F142)&gt;=0))),N(MOVIMIENTOS!$F142),"")</f>
        <v>9</v>
      </c>
      <c r="N143" s="48" t="str">
        <f aca="false">IF(AND(AND(MOVIMIENTOS!$B142&lt;&gt;"",NOT(AND(MOVIMIENTOS!$B142="PROCESO",MOVIMIENTOS!$C142&lt;&gt;"Chancho")),NOT(AND(MOVIMIENTOS!$B142="SALDO INICIAL",MOVIMIENTOS!$C142="Chancho"))),OR(MOVIMIENTOS!$B142="ENVÍO A SUPESA",MOVIMIENTOS!$B142="MALOGRADO",MOVIMIENTOS!$B142="OTRA SALIDA",MOVIMIENTOS!$B142="TRASIEGO",AND(MOVIMIENTOS!$B142="PROCESO",MOVIMIENTOS!$C142="Chancho"),AND(MOVIMIENTOS!$B142="REGALO",MOVIMIENTOS!$C142&lt;&gt;"Chancho"),AND(MOVIMIENTOS!$B142="VENTA",MOVIMIENTOS!$C142&lt;&gt;"Chancho"),AND(MOVIMIENTOS!$B142="AJUSTE",MOVIMIENTOS!$C142&lt;&gt;"Chancho",N(MOVIMIENTOS!$F142)&lt;0))),IF(MOVIMIENTOS!$B142="AJUSTE",-N(MOVIMIENTOS!$F142),N(MOVIMIENTOS!$F142)),"")</f>
        <v/>
      </c>
      <c r="O143" s="48" t="str">
        <f aca="false">IF(AND(MOVIMIENTOS!$B142&lt;&gt;"",NOT(AND(MOVIMIENTOS!$B142="PROCESO",MOVIMIENTOS!$C142&lt;&gt;"Chancho")),NOT(AND(MOVIMIENTOS!$B142="SALDO INICIAL",MOVIMIENTOS!$C142="Chancho"))),IF(MOVIMIENTOS!$B142="RECHAZO",MOVIMIENTOS!$E142&amp;" jabas rechazadas · van a reproceso",IF(MOVIMIENTOS!$B142="REPROCESO",MOVIMIENTOS!$E142&amp;" kg recuperados (merma del día: "&amp;TEXT(SUMPRODUCT((MOVIMIENTOS!$A$5:$A$400=MOVIMIENTOS!$A142)*(MOVIMIENTOS!$B$5:$B$400="RECHAZO")*(MOVIMIENTOS!$D$5:$D$400="jabas")*MOVIMIENTOS!$E$5:$E$400*IFERROR(_xlfn.SWITCH(MOVIMIENTOS!$C$5:$C$400,"A",15,"P",18,"C",17,"M",17,0),0))-SUMPRODUCT((MOVIMIENTOS!$A$5:$A$400=MOVIMIENTOS!$A142)*(MOVIMIENTOS!$B$5:$B$400="REPROCESO")*MOVIMIENTOS!$I$5:$I$400),"+#,##0;-#,##0;0")&amp;" kg)",TRIM(IF(MOVIMIENTOS!$G142&lt;&gt;"",MOVIMIENTOS!$G142&amp;"  ","")&amp;IF(N(MOVIMIENTOS!$D142)&gt;0,MOVIMIENTOS!$D142&amp;" "&amp;MOVIMIENTOS!$D142,"")))),"")</f>
        <v>9 kg recuperados (merma del día: +6 kg)</v>
      </c>
      <c r="P143" s="48" t="n">
        <f aca="false">N(P142)+N(M143)-N(N143)</f>
        <v>2729.5</v>
      </c>
      <c r="Q143" s="48"/>
      <c r="R143" s="48"/>
      <c r="S143" s="48"/>
      <c r="T143" s="48"/>
    </row>
    <row r="144" customFormat="false" ht="15" hidden="false" customHeight="true" outlineLevel="0" collapsed="false">
      <c r="A144" s="51" t="str">
        <f aca="false">IFERROR(INDEX(K$6:K$401,MATCH(ROW()-5,J$6:J$401,0)),"")</f>
        <v/>
      </c>
      <c r="B144" s="56" t="str">
        <f aca="false">IFERROR(INDEX(L$6:L$401,MATCH(ROW()-5,J$6:J$401,0)),"")</f>
        <v/>
      </c>
      <c r="C144" s="52" t="str">
        <f aca="false">IFERROR(INDEX(M$6:M$401,MATCH(ROW()-5,J$6:J$401,0)),"")</f>
        <v/>
      </c>
      <c r="D144" s="52" t="str">
        <f aca="false">IFERROR(INDEX(N$6:N$401,MATCH(ROW()-5,J$6:J$401,0)),"")</f>
        <v/>
      </c>
      <c r="E144" s="56" t="str">
        <f aca="false">IFERROR(INDEX(O$6:O$401,MATCH(ROW()-5,J$6:J$401,0)),"")</f>
        <v/>
      </c>
      <c r="F144" s="52" t="str">
        <f aca="false">IFERROR(INDEX(P$6:P$401,MATCH(ROW()-5,J$6:J$401,0)),"")</f>
        <v/>
      </c>
      <c r="G144" s="48"/>
      <c r="H144" s="48"/>
      <c r="I144" s="48"/>
      <c r="J144" s="48" t="n">
        <f aca="false">IF(AND(MOVIMIENTOS!$B143&lt;&gt;"",NOT(AND(MOVIMIENTOS!$B143="PROCESO",MOVIMIENTOS!$C143&lt;&gt;"Chancho")),NOT(AND(MOVIMIENTOS!$B143="SALDO INICIAL",MOVIMIENTOS!$C143="Chancho"))),COUNT(J$6:J143)+1,"")</f>
        <v>90</v>
      </c>
      <c r="K144" s="53" t="n">
        <f aca="false">IF(AND(MOVIMIENTOS!$B143&lt;&gt;"",NOT(AND(MOVIMIENTOS!$B143="PROCESO",MOVIMIENTOS!$C143&lt;&gt;"Chancho")),NOT(AND(MOVIMIENTOS!$B143="SALDO INICIAL",MOVIMIENTOS!$C143="Chancho"))),MOVIMIENTOS!$A143,"")</f>
        <v>46225</v>
      </c>
      <c r="L144" s="48" t="str">
        <f aca="false">IF(AND(MOVIMIENTOS!$B143&lt;&gt;"",NOT(AND(MOVIMIENTOS!$B143="PROCESO",MOVIMIENTOS!$C143&lt;&gt;"Chancho")),NOT(AND(MOVIMIENTOS!$B143="SALDO INICIAL",MOVIMIENTOS!$C143="Chancho"))),IF(MOVIMIENTOS!$B143="SALDO INICIAL","APERTURA ("&amp;MOVIMIENTOS!$C143&amp;")",IF(MOVIMIENTOS!$B143="COMPRA","INGRESO (compra)",IF(MOVIMIENTOS!$B143="PROCESO","CHANCHO (proceso)",IF(MOVIMIENTOS!$B143="ENVÍO A SUPESA","ENVÍO cal. "&amp;MOVIMIENTOS!$C143,IF(MOVIMIENTOS!$B143="VENTA CHANCHO","VENTA CHANCHO",IF(MOVIMIENTOS!$B143="VENTA","VENTA cal. "&amp;MOVIMIENTOS!$C143,IF(MOVIMIENTOS!$B143="REGALO","REGALO "&amp;MOVIMIENTOS!$C143,IF(MOVIMIENTOS!$B143="RECHAZO","RECHAZO cal. "&amp;MOVIMIENTOS!$C143&amp;" (va a reproceso)",IF(MOVIMIENTOS!$B143="DEVOLUCIÓN","DEVOLUCIÓN cal. "&amp;MOVIMIENTOS!$C143&amp;" (regresa intacta)",IF(MOVIMIENTOS!$B143="TRASIEGO","TRASIEGO cal. "&amp;MOVIMIENTOS!$C143,MOVIMIENTOS!$B143)))))))))),"")</f>
        <v>INGRESO (compra)</v>
      </c>
      <c r="M144" s="48" t="n">
        <f aca="false">IF(AND(AND(MOVIMIENTOS!$B143&lt;&gt;"",NOT(AND(MOVIMIENTOS!$B143="PROCESO",MOVIMIENTOS!$C143&lt;&gt;"Chancho")),NOT(AND(MOVIMIENTOS!$B143="SALDO INICIAL",MOVIMIENTOS!$C143="Chancho"))),OR(MOVIMIENTOS!$B143="SALDO INICIAL",MOVIMIENTOS!$B143="COMPRA",MOVIMIENTOS!$B143="REPROCESO",MOVIMIENTOS!$B143="DEVOLUCIÓN",AND(MOVIMIENTOS!$B143="AJUSTE",MOVIMIENTOS!$C143&lt;&gt;"Chancho",N(MOVIMIENTOS!$F143)&gt;=0))),N(MOVIMIENTOS!$F143),"")</f>
        <v>3800</v>
      </c>
      <c r="N144" s="48" t="str">
        <f aca="false">IF(AND(AND(MOVIMIENTOS!$B143&lt;&gt;"",NOT(AND(MOVIMIENTOS!$B143="PROCESO",MOVIMIENTOS!$C143&lt;&gt;"Chancho")),NOT(AND(MOVIMIENTOS!$B143="SALDO INICIAL",MOVIMIENTOS!$C143="Chancho"))),OR(MOVIMIENTOS!$B143="ENVÍO A SUPESA",MOVIMIENTOS!$B143="MALOGRADO",MOVIMIENTOS!$B143="OTRA SALIDA",MOVIMIENTOS!$B143="TRASIEGO",AND(MOVIMIENTOS!$B143="PROCESO",MOVIMIENTOS!$C143="Chancho"),AND(MOVIMIENTOS!$B143="REGALO",MOVIMIENTOS!$C143&lt;&gt;"Chancho"),AND(MOVIMIENTOS!$B143="VENTA",MOVIMIENTOS!$C143&lt;&gt;"Chancho"),AND(MOVIMIENTOS!$B143="AJUSTE",MOVIMIENTOS!$C143&lt;&gt;"Chancho",N(MOVIMIENTOS!$F143)&lt;0))),IF(MOVIMIENTOS!$B143="AJUSTE",-N(MOVIMIENTOS!$F143),N(MOVIMIENTOS!$F143)),"")</f>
        <v/>
      </c>
      <c r="O144" s="48" t="str">
        <f aca="false">IF(AND(MOVIMIENTOS!$B143&lt;&gt;"",NOT(AND(MOVIMIENTOS!$B143="PROCESO",MOVIMIENTOS!$C143&lt;&gt;"Chancho")),NOT(AND(MOVIMIENTOS!$B143="SALDO INICIAL",MOVIMIENTOS!$C143="Chancho"))),IF(MOVIMIENTOS!$B143="RECHAZO",MOVIMIENTOS!$E143&amp;" jabas rechazadas · van a reproceso",IF(MOVIMIENTOS!$B143="REPROCESO",MOVIMIENTOS!$E143&amp;" kg recuperados (merma del día: "&amp;TEXT(SUMPRODUCT((MOVIMIENTOS!$A$5:$A$400=MOVIMIENTOS!$A143)*(MOVIMIENTOS!$B$5:$B$400="RECHAZO")*(MOVIMIENTOS!$D$5:$D$400="jabas")*MOVIMIENTOS!$E$5:$E$400*IFERROR(_xlfn.SWITCH(MOVIMIENTOS!$C$5:$C$400,"A",15,"P",18,"C",17,"M",17,0),0))-SUMPRODUCT((MOVIMIENTOS!$A$5:$A$400=MOVIMIENTOS!$A143)*(MOVIMIENTOS!$B$5:$B$400="REPROCESO")*MOVIMIENTOS!$I$5:$I$400),"+#,##0;-#,##0;0")&amp;" kg)",TRIM(IF(MOVIMIENTOS!$G143&lt;&gt;"",MOVIMIENTOS!$G143&amp;"  ","")&amp;IF(N(MOVIMIENTOS!$D143)&gt;0,MOVIMIENTOS!$D143&amp;" "&amp;MOVIMIENTOS!$D143,"")))),"")</f>
        <v/>
      </c>
      <c r="P144" s="48" t="n">
        <f aca="false">N(P143)+N(M144)-N(N144)</f>
        <v>6529.5</v>
      </c>
      <c r="Q144" s="48"/>
      <c r="R144" s="48"/>
      <c r="S144" s="48"/>
      <c r="T144" s="48"/>
    </row>
    <row r="145" customFormat="false" ht="15" hidden="false" customHeight="true" outlineLevel="0" collapsed="false">
      <c r="A145" s="51" t="str">
        <f aca="false">IFERROR(INDEX(K$6:K$401,MATCH(ROW()-5,J$6:J$401,0)),"")</f>
        <v/>
      </c>
      <c r="B145" s="56" t="str">
        <f aca="false">IFERROR(INDEX(L$6:L$401,MATCH(ROW()-5,J$6:J$401,0)),"")</f>
        <v/>
      </c>
      <c r="C145" s="52" t="str">
        <f aca="false">IFERROR(INDEX(M$6:M$401,MATCH(ROW()-5,J$6:J$401,0)),"")</f>
        <v/>
      </c>
      <c r="D145" s="52" t="str">
        <f aca="false">IFERROR(INDEX(N$6:N$401,MATCH(ROW()-5,J$6:J$401,0)),"")</f>
        <v/>
      </c>
      <c r="E145" s="56" t="str">
        <f aca="false">IFERROR(INDEX(O$6:O$401,MATCH(ROW()-5,J$6:J$401,0)),"")</f>
        <v/>
      </c>
      <c r="F145" s="52" t="str">
        <f aca="false">IFERROR(INDEX(P$6:P$401,MATCH(ROW()-5,J$6:J$401,0)),"")</f>
        <v/>
      </c>
      <c r="G145" s="48"/>
      <c r="H145" s="48"/>
      <c r="I145" s="48"/>
      <c r="J145" s="48" t="str">
        <f aca="false">IF(AND(MOVIMIENTOS!$B144&lt;&gt;"",NOT(AND(MOVIMIENTOS!$B144="PROCESO",MOVIMIENTOS!$C144&lt;&gt;"Chancho")),NOT(AND(MOVIMIENTOS!$B144="SALDO INICIAL",MOVIMIENTOS!$C144="Chancho"))),COUNT(J$6:J144)+1,"")</f>
        <v/>
      </c>
      <c r="K145" s="48" t="str">
        <f aca="false">IF(AND(MOVIMIENTOS!$B144&lt;&gt;"",NOT(AND(MOVIMIENTOS!$B144="PROCESO",MOVIMIENTOS!$C144&lt;&gt;"Chancho")),NOT(AND(MOVIMIENTOS!$B144="SALDO INICIAL",MOVIMIENTOS!$C144="Chancho"))),MOVIMIENTOS!$A144,"")</f>
        <v/>
      </c>
      <c r="L145" s="48" t="str">
        <f aca="false">IF(AND(MOVIMIENTOS!$B144&lt;&gt;"",NOT(AND(MOVIMIENTOS!$B144="PROCESO",MOVIMIENTOS!$C144&lt;&gt;"Chancho")),NOT(AND(MOVIMIENTOS!$B144="SALDO INICIAL",MOVIMIENTOS!$C144="Chancho"))),IF(MOVIMIENTOS!$B144="SALDO INICIAL","APERTURA ("&amp;MOVIMIENTOS!$C144&amp;")",IF(MOVIMIENTOS!$B144="COMPRA","INGRESO (compra)",IF(MOVIMIENTOS!$B144="PROCESO","CHANCHO (proceso)",IF(MOVIMIENTOS!$B144="ENVÍO A SUPESA","ENVÍO cal. "&amp;MOVIMIENTOS!$C144,IF(MOVIMIENTOS!$B144="VENTA CHANCHO","VENTA CHANCHO",IF(MOVIMIENTOS!$B144="VENTA","VENTA cal. "&amp;MOVIMIENTOS!$C144,IF(MOVIMIENTOS!$B144="REGALO","REGALO "&amp;MOVIMIENTOS!$C144,IF(MOVIMIENTOS!$B144="RECHAZO","RECHAZO cal. "&amp;MOVIMIENTOS!$C144&amp;" (va a reproceso)",IF(MOVIMIENTOS!$B144="DEVOLUCIÓN","DEVOLUCIÓN cal. "&amp;MOVIMIENTOS!$C144&amp;" (regresa intacta)",IF(MOVIMIENTOS!$B144="TRASIEGO","TRASIEGO cal. "&amp;MOVIMIENTOS!$C144,MOVIMIENTOS!$B144)))))))))),"")</f>
        <v/>
      </c>
      <c r="M145" s="48" t="str">
        <f aca="false">IF(AND(AND(MOVIMIENTOS!$B144&lt;&gt;"",NOT(AND(MOVIMIENTOS!$B144="PROCESO",MOVIMIENTOS!$C144&lt;&gt;"Chancho")),NOT(AND(MOVIMIENTOS!$B144="SALDO INICIAL",MOVIMIENTOS!$C144="Chancho"))),OR(MOVIMIENTOS!$B144="SALDO INICIAL",MOVIMIENTOS!$B144="COMPRA",MOVIMIENTOS!$B144="REPROCESO",MOVIMIENTOS!$B144="DEVOLUCIÓN",AND(MOVIMIENTOS!$B144="AJUSTE",MOVIMIENTOS!$C144&lt;&gt;"Chancho",N(MOVIMIENTOS!$F144)&gt;=0))),N(MOVIMIENTOS!$F144),"")</f>
        <v/>
      </c>
      <c r="N145" s="48" t="str">
        <f aca="false">IF(AND(AND(MOVIMIENTOS!$B144&lt;&gt;"",NOT(AND(MOVIMIENTOS!$B144="PROCESO",MOVIMIENTOS!$C144&lt;&gt;"Chancho")),NOT(AND(MOVIMIENTOS!$B144="SALDO INICIAL",MOVIMIENTOS!$C144="Chancho"))),OR(MOVIMIENTOS!$B144="ENVÍO A SUPESA",MOVIMIENTOS!$B144="MALOGRADO",MOVIMIENTOS!$B144="OTRA SALIDA",MOVIMIENTOS!$B144="TRASIEGO",AND(MOVIMIENTOS!$B144="PROCESO",MOVIMIENTOS!$C144="Chancho"),AND(MOVIMIENTOS!$B144="REGALO",MOVIMIENTOS!$C144&lt;&gt;"Chancho"),AND(MOVIMIENTOS!$B144="VENTA",MOVIMIENTOS!$C144&lt;&gt;"Chancho"),AND(MOVIMIENTOS!$B144="AJUSTE",MOVIMIENTOS!$C144&lt;&gt;"Chancho",N(MOVIMIENTOS!$F144)&lt;0))),IF(MOVIMIENTOS!$B144="AJUSTE",-N(MOVIMIENTOS!$F144),N(MOVIMIENTOS!$F144)),"")</f>
        <v/>
      </c>
      <c r="O145" s="48" t="str">
        <f aca="false">IF(AND(MOVIMIENTOS!$B144&lt;&gt;"",NOT(AND(MOVIMIENTOS!$B144="PROCESO",MOVIMIENTOS!$C144&lt;&gt;"Chancho")),NOT(AND(MOVIMIENTOS!$B144="SALDO INICIAL",MOVIMIENTOS!$C144="Chancho"))),IF(MOVIMIENTOS!$B144="RECHAZO",MOVIMIENTOS!$E144&amp;" jabas rechazadas · van a reproceso",IF(MOVIMIENTOS!$B144="REPROCESO",MOVIMIENTOS!$E144&amp;" kg recuperados (merma del día: "&amp;TEXT(SUMPRODUCT((MOVIMIENTOS!$A$5:$A$400=MOVIMIENTOS!$A144)*(MOVIMIENTOS!$B$5:$B$400="RECHAZO")*(MOVIMIENTOS!$D$5:$D$400="jabas")*MOVIMIENTOS!$E$5:$E$400*IFERROR(_xlfn.SWITCH(MOVIMIENTOS!$C$5:$C$400,"A",15,"P",18,"C",17,"M",17,0),0))-SUMPRODUCT((MOVIMIENTOS!$A$5:$A$400=MOVIMIENTOS!$A144)*(MOVIMIENTOS!$B$5:$B$400="REPROCESO")*MOVIMIENTOS!$I$5:$I$400),"+#,##0;-#,##0;0")&amp;" kg)",TRIM(IF(MOVIMIENTOS!$G144&lt;&gt;"",MOVIMIENTOS!$G144&amp;"  ","")&amp;IF(N(MOVIMIENTOS!$D144)&gt;0,MOVIMIENTOS!$D144&amp;" "&amp;MOVIMIENTOS!$D144,"")))),"")</f>
        <v/>
      </c>
      <c r="P145" s="48" t="n">
        <f aca="false">N(P144)+N(M145)-N(N145)</f>
        <v>6529.5</v>
      </c>
      <c r="Q145" s="48"/>
      <c r="R145" s="48"/>
      <c r="S145" s="48"/>
      <c r="T145" s="48"/>
    </row>
    <row r="146" customFormat="false" ht="15" hidden="false" customHeight="true" outlineLevel="0" collapsed="false">
      <c r="A146" s="51" t="str">
        <f aca="false">IFERROR(INDEX(K$6:K$401,MATCH(ROW()-5,J$6:J$401,0)),"")</f>
        <v/>
      </c>
      <c r="B146" s="56" t="str">
        <f aca="false">IFERROR(INDEX(L$6:L$401,MATCH(ROW()-5,J$6:J$401,0)),"")</f>
        <v/>
      </c>
      <c r="C146" s="52" t="str">
        <f aca="false">IFERROR(INDEX(M$6:M$401,MATCH(ROW()-5,J$6:J$401,0)),"")</f>
        <v/>
      </c>
      <c r="D146" s="52" t="str">
        <f aca="false">IFERROR(INDEX(N$6:N$401,MATCH(ROW()-5,J$6:J$401,0)),"")</f>
        <v/>
      </c>
      <c r="E146" s="56" t="str">
        <f aca="false">IFERROR(INDEX(O$6:O$401,MATCH(ROW()-5,J$6:J$401,0)),"")</f>
        <v/>
      </c>
      <c r="F146" s="52" t="str">
        <f aca="false">IFERROR(INDEX(P$6:P$401,MATCH(ROW()-5,J$6:J$401,0)),"")</f>
        <v/>
      </c>
      <c r="G146" s="48"/>
      <c r="H146" s="48"/>
      <c r="I146" s="48"/>
      <c r="J146" s="48" t="str">
        <f aca="false">IF(AND(MOVIMIENTOS!$B145&lt;&gt;"",NOT(AND(MOVIMIENTOS!$B145="PROCESO",MOVIMIENTOS!$C145&lt;&gt;"Chancho")),NOT(AND(MOVIMIENTOS!$B145="SALDO INICIAL",MOVIMIENTOS!$C145="Chancho"))),COUNT(J$6:J145)+1,"")</f>
        <v/>
      </c>
      <c r="K146" s="48" t="str">
        <f aca="false">IF(AND(MOVIMIENTOS!$B145&lt;&gt;"",NOT(AND(MOVIMIENTOS!$B145="PROCESO",MOVIMIENTOS!$C145&lt;&gt;"Chancho")),NOT(AND(MOVIMIENTOS!$B145="SALDO INICIAL",MOVIMIENTOS!$C145="Chancho"))),MOVIMIENTOS!$A145,"")</f>
        <v/>
      </c>
      <c r="L146" s="48" t="str">
        <f aca="false">IF(AND(MOVIMIENTOS!$B145&lt;&gt;"",NOT(AND(MOVIMIENTOS!$B145="PROCESO",MOVIMIENTOS!$C145&lt;&gt;"Chancho")),NOT(AND(MOVIMIENTOS!$B145="SALDO INICIAL",MOVIMIENTOS!$C145="Chancho"))),IF(MOVIMIENTOS!$B145="SALDO INICIAL","APERTURA ("&amp;MOVIMIENTOS!$C145&amp;")",IF(MOVIMIENTOS!$B145="COMPRA","INGRESO (compra)",IF(MOVIMIENTOS!$B145="PROCESO","CHANCHO (proceso)",IF(MOVIMIENTOS!$B145="ENVÍO A SUPESA","ENVÍO cal. "&amp;MOVIMIENTOS!$C145,IF(MOVIMIENTOS!$B145="VENTA CHANCHO","VENTA CHANCHO",IF(MOVIMIENTOS!$B145="VENTA","VENTA cal. "&amp;MOVIMIENTOS!$C145,IF(MOVIMIENTOS!$B145="REGALO","REGALO "&amp;MOVIMIENTOS!$C145,IF(MOVIMIENTOS!$B145="RECHAZO","RECHAZO cal. "&amp;MOVIMIENTOS!$C145&amp;" (va a reproceso)",IF(MOVIMIENTOS!$B145="DEVOLUCIÓN","DEVOLUCIÓN cal. "&amp;MOVIMIENTOS!$C145&amp;" (regresa intacta)",IF(MOVIMIENTOS!$B145="TRASIEGO","TRASIEGO cal. "&amp;MOVIMIENTOS!$C145,MOVIMIENTOS!$B145)))))))))),"")</f>
        <v/>
      </c>
      <c r="M146" s="48" t="str">
        <f aca="false">IF(AND(AND(MOVIMIENTOS!$B145&lt;&gt;"",NOT(AND(MOVIMIENTOS!$B145="PROCESO",MOVIMIENTOS!$C145&lt;&gt;"Chancho")),NOT(AND(MOVIMIENTOS!$B145="SALDO INICIAL",MOVIMIENTOS!$C145="Chancho"))),OR(MOVIMIENTOS!$B145="SALDO INICIAL",MOVIMIENTOS!$B145="COMPRA",MOVIMIENTOS!$B145="REPROCESO",MOVIMIENTOS!$B145="DEVOLUCIÓN",AND(MOVIMIENTOS!$B145="AJUSTE",MOVIMIENTOS!$C145&lt;&gt;"Chancho",N(MOVIMIENTOS!$F145)&gt;=0))),N(MOVIMIENTOS!$F145),"")</f>
        <v/>
      </c>
      <c r="N146" s="48" t="str">
        <f aca="false">IF(AND(AND(MOVIMIENTOS!$B145&lt;&gt;"",NOT(AND(MOVIMIENTOS!$B145="PROCESO",MOVIMIENTOS!$C145&lt;&gt;"Chancho")),NOT(AND(MOVIMIENTOS!$B145="SALDO INICIAL",MOVIMIENTOS!$C145="Chancho"))),OR(MOVIMIENTOS!$B145="ENVÍO A SUPESA",MOVIMIENTOS!$B145="MALOGRADO",MOVIMIENTOS!$B145="OTRA SALIDA",MOVIMIENTOS!$B145="TRASIEGO",AND(MOVIMIENTOS!$B145="PROCESO",MOVIMIENTOS!$C145="Chancho"),AND(MOVIMIENTOS!$B145="REGALO",MOVIMIENTOS!$C145&lt;&gt;"Chancho"),AND(MOVIMIENTOS!$B145="VENTA",MOVIMIENTOS!$C145&lt;&gt;"Chancho"),AND(MOVIMIENTOS!$B145="AJUSTE",MOVIMIENTOS!$C145&lt;&gt;"Chancho",N(MOVIMIENTOS!$F145)&lt;0))),IF(MOVIMIENTOS!$B145="AJUSTE",-N(MOVIMIENTOS!$F145),N(MOVIMIENTOS!$F145)),"")</f>
        <v/>
      </c>
      <c r="O146" s="48" t="str">
        <f aca="false">IF(AND(MOVIMIENTOS!$B145&lt;&gt;"",NOT(AND(MOVIMIENTOS!$B145="PROCESO",MOVIMIENTOS!$C145&lt;&gt;"Chancho")),NOT(AND(MOVIMIENTOS!$B145="SALDO INICIAL",MOVIMIENTOS!$C145="Chancho"))),IF(MOVIMIENTOS!$B145="RECHAZO",MOVIMIENTOS!$E145&amp;" jabas rechazadas · van a reproceso",IF(MOVIMIENTOS!$B145="REPROCESO",MOVIMIENTOS!$E145&amp;" kg recuperados (merma del día: "&amp;TEXT(SUMPRODUCT((MOVIMIENTOS!$A$5:$A$400=MOVIMIENTOS!$A145)*(MOVIMIENTOS!$B$5:$B$400="RECHAZO")*(MOVIMIENTOS!$D$5:$D$400="jabas")*MOVIMIENTOS!$E$5:$E$400*IFERROR(_xlfn.SWITCH(MOVIMIENTOS!$C$5:$C$400,"A",15,"P",18,"C",17,"M",17,0),0))-SUMPRODUCT((MOVIMIENTOS!$A$5:$A$400=MOVIMIENTOS!$A145)*(MOVIMIENTOS!$B$5:$B$400="REPROCESO")*MOVIMIENTOS!$I$5:$I$400),"+#,##0;-#,##0;0")&amp;" kg)",TRIM(IF(MOVIMIENTOS!$G145&lt;&gt;"",MOVIMIENTOS!$G145&amp;"  ","")&amp;IF(N(MOVIMIENTOS!$D145)&gt;0,MOVIMIENTOS!$D145&amp;" "&amp;MOVIMIENTOS!$D145,"")))),"")</f>
        <v/>
      </c>
      <c r="P146" s="48" t="n">
        <f aca="false">N(P145)+N(M146)-N(N146)</f>
        <v>6529.5</v>
      </c>
      <c r="Q146" s="48"/>
      <c r="R146" s="48"/>
      <c r="S146" s="48"/>
      <c r="T146" s="48"/>
    </row>
    <row r="147" customFormat="false" ht="15" hidden="false" customHeight="true" outlineLevel="0" collapsed="false">
      <c r="A147" s="51" t="str">
        <f aca="false">IFERROR(INDEX(K$6:K$401,MATCH(ROW()-5,J$6:J$401,0)),"")</f>
        <v/>
      </c>
      <c r="B147" s="56" t="str">
        <f aca="false">IFERROR(INDEX(L$6:L$401,MATCH(ROW()-5,J$6:J$401,0)),"")</f>
        <v/>
      </c>
      <c r="C147" s="52" t="str">
        <f aca="false">IFERROR(INDEX(M$6:M$401,MATCH(ROW()-5,J$6:J$401,0)),"")</f>
        <v/>
      </c>
      <c r="D147" s="52" t="str">
        <f aca="false">IFERROR(INDEX(N$6:N$401,MATCH(ROW()-5,J$6:J$401,0)),"")</f>
        <v/>
      </c>
      <c r="E147" s="56" t="str">
        <f aca="false">IFERROR(INDEX(O$6:O$401,MATCH(ROW()-5,J$6:J$401,0)),"")</f>
        <v/>
      </c>
      <c r="F147" s="52" t="str">
        <f aca="false">IFERROR(INDEX(P$6:P$401,MATCH(ROW()-5,J$6:J$401,0)),"")</f>
        <v/>
      </c>
      <c r="G147" s="48"/>
      <c r="H147" s="48"/>
      <c r="I147" s="48"/>
      <c r="J147" s="48" t="str">
        <f aca="false">IF(AND(MOVIMIENTOS!$B146&lt;&gt;"",NOT(AND(MOVIMIENTOS!$B146="PROCESO",MOVIMIENTOS!$C146&lt;&gt;"Chancho")),NOT(AND(MOVIMIENTOS!$B146="SALDO INICIAL",MOVIMIENTOS!$C146="Chancho"))),COUNT(J$6:J146)+1,"")</f>
        <v/>
      </c>
      <c r="K147" s="48" t="str">
        <f aca="false">IF(AND(MOVIMIENTOS!$B146&lt;&gt;"",NOT(AND(MOVIMIENTOS!$B146="PROCESO",MOVIMIENTOS!$C146&lt;&gt;"Chancho")),NOT(AND(MOVIMIENTOS!$B146="SALDO INICIAL",MOVIMIENTOS!$C146="Chancho"))),MOVIMIENTOS!$A146,"")</f>
        <v/>
      </c>
      <c r="L147" s="48" t="str">
        <f aca="false">IF(AND(MOVIMIENTOS!$B146&lt;&gt;"",NOT(AND(MOVIMIENTOS!$B146="PROCESO",MOVIMIENTOS!$C146&lt;&gt;"Chancho")),NOT(AND(MOVIMIENTOS!$B146="SALDO INICIAL",MOVIMIENTOS!$C146="Chancho"))),IF(MOVIMIENTOS!$B146="SALDO INICIAL","APERTURA ("&amp;MOVIMIENTOS!$C146&amp;")",IF(MOVIMIENTOS!$B146="COMPRA","INGRESO (compra)",IF(MOVIMIENTOS!$B146="PROCESO","CHANCHO (proceso)",IF(MOVIMIENTOS!$B146="ENVÍO A SUPESA","ENVÍO cal. "&amp;MOVIMIENTOS!$C146,IF(MOVIMIENTOS!$B146="VENTA CHANCHO","VENTA CHANCHO",IF(MOVIMIENTOS!$B146="VENTA","VENTA cal. "&amp;MOVIMIENTOS!$C146,IF(MOVIMIENTOS!$B146="REGALO","REGALO "&amp;MOVIMIENTOS!$C146,IF(MOVIMIENTOS!$B146="RECHAZO","RECHAZO cal. "&amp;MOVIMIENTOS!$C146&amp;" (va a reproceso)",IF(MOVIMIENTOS!$B146="DEVOLUCIÓN","DEVOLUCIÓN cal. "&amp;MOVIMIENTOS!$C146&amp;" (regresa intacta)",IF(MOVIMIENTOS!$B146="TRASIEGO","TRASIEGO cal. "&amp;MOVIMIENTOS!$C146,MOVIMIENTOS!$B146)))))))))),"")</f>
        <v/>
      </c>
      <c r="M147" s="48" t="str">
        <f aca="false">IF(AND(AND(MOVIMIENTOS!$B146&lt;&gt;"",NOT(AND(MOVIMIENTOS!$B146="PROCESO",MOVIMIENTOS!$C146&lt;&gt;"Chancho")),NOT(AND(MOVIMIENTOS!$B146="SALDO INICIAL",MOVIMIENTOS!$C146="Chancho"))),OR(MOVIMIENTOS!$B146="SALDO INICIAL",MOVIMIENTOS!$B146="COMPRA",MOVIMIENTOS!$B146="REPROCESO",MOVIMIENTOS!$B146="DEVOLUCIÓN",AND(MOVIMIENTOS!$B146="AJUSTE",MOVIMIENTOS!$C146&lt;&gt;"Chancho",N(MOVIMIENTOS!$F146)&gt;=0))),N(MOVIMIENTOS!$F146),"")</f>
        <v/>
      </c>
      <c r="N147" s="48" t="str">
        <f aca="false">IF(AND(AND(MOVIMIENTOS!$B146&lt;&gt;"",NOT(AND(MOVIMIENTOS!$B146="PROCESO",MOVIMIENTOS!$C146&lt;&gt;"Chancho")),NOT(AND(MOVIMIENTOS!$B146="SALDO INICIAL",MOVIMIENTOS!$C146="Chancho"))),OR(MOVIMIENTOS!$B146="ENVÍO A SUPESA",MOVIMIENTOS!$B146="MALOGRADO",MOVIMIENTOS!$B146="OTRA SALIDA",MOVIMIENTOS!$B146="TRASIEGO",AND(MOVIMIENTOS!$B146="PROCESO",MOVIMIENTOS!$C146="Chancho"),AND(MOVIMIENTOS!$B146="REGALO",MOVIMIENTOS!$C146&lt;&gt;"Chancho"),AND(MOVIMIENTOS!$B146="VENTA",MOVIMIENTOS!$C146&lt;&gt;"Chancho"),AND(MOVIMIENTOS!$B146="AJUSTE",MOVIMIENTOS!$C146&lt;&gt;"Chancho",N(MOVIMIENTOS!$F146)&lt;0))),IF(MOVIMIENTOS!$B146="AJUSTE",-N(MOVIMIENTOS!$F146),N(MOVIMIENTOS!$F146)),"")</f>
        <v/>
      </c>
      <c r="O147" s="48" t="str">
        <f aca="false">IF(AND(MOVIMIENTOS!$B146&lt;&gt;"",NOT(AND(MOVIMIENTOS!$B146="PROCESO",MOVIMIENTOS!$C146&lt;&gt;"Chancho")),NOT(AND(MOVIMIENTOS!$B146="SALDO INICIAL",MOVIMIENTOS!$C146="Chancho"))),IF(MOVIMIENTOS!$B146="RECHAZO",MOVIMIENTOS!$E146&amp;" jabas rechazadas · van a reproceso",IF(MOVIMIENTOS!$B146="REPROCESO",MOVIMIENTOS!$E146&amp;" kg recuperados (merma del día: "&amp;TEXT(SUMPRODUCT((MOVIMIENTOS!$A$5:$A$400=MOVIMIENTOS!$A146)*(MOVIMIENTOS!$B$5:$B$400="RECHAZO")*(MOVIMIENTOS!$D$5:$D$400="jabas")*MOVIMIENTOS!$E$5:$E$400*IFERROR(_xlfn.SWITCH(MOVIMIENTOS!$C$5:$C$400,"A",15,"P",18,"C",17,"M",17,0),0))-SUMPRODUCT((MOVIMIENTOS!$A$5:$A$400=MOVIMIENTOS!$A146)*(MOVIMIENTOS!$B$5:$B$400="REPROCESO")*MOVIMIENTOS!$I$5:$I$400),"+#,##0;-#,##0;0")&amp;" kg)",TRIM(IF(MOVIMIENTOS!$G146&lt;&gt;"",MOVIMIENTOS!$G146&amp;"  ","")&amp;IF(N(MOVIMIENTOS!$D146)&gt;0,MOVIMIENTOS!$D146&amp;" "&amp;MOVIMIENTOS!$D146,"")))),"")</f>
        <v/>
      </c>
      <c r="P147" s="48" t="n">
        <f aca="false">N(P146)+N(M147)-N(N147)</f>
        <v>6529.5</v>
      </c>
      <c r="Q147" s="48"/>
      <c r="R147" s="48"/>
      <c r="S147" s="48"/>
      <c r="T147" s="48"/>
    </row>
    <row r="148" customFormat="false" ht="15" hidden="false" customHeight="true" outlineLevel="0" collapsed="false">
      <c r="A148" s="51" t="str">
        <f aca="false">IFERROR(INDEX(K$6:K$401,MATCH(ROW()-5,J$6:J$401,0)),"")</f>
        <v/>
      </c>
      <c r="B148" s="56" t="str">
        <f aca="false">IFERROR(INDEX(L$6:L$401,MATCH(ROW()-5,J$6:J$401,0)),"")</f>
        <v/>
      </c>
      <c r="C148" s="52" t="str">
        <f aca="false">IFERROR(INDEX(M$6:M$401,MATCH(ROW()-5,J$6:J$401,0)),"")</f>
        <v/>
      </c>
      <c r="D148" s="52" t="str">
        <f aca="false">IFERROR(INDEX(N$6:N$401,MATCH(ROW()-5,J$6:J$401,0)),"")</f>
        <v/>
      </c>
      <c r="E148" s="56" t="str">
        <f aca="false">IFERROR(INDEX(O$6:O$401,MATCH(ROW()-5,J$6:J$401,0)),"")</f>
        <v/>
      </c>
      <c r="F148" s="52" t="str">
        <f aca="false">IFERROR(INDEX(P$6:P$401,MATCH(ROW()-5,J$6:J$401,0)),"")</f>
        <v/>
      </c>
      <c r="G148" s="48"/>
      <c r="H148" s="48"/>
      <c r="I148" s="48"/>
      <c r="J148" s="48" t="str">
        <f aca="false">IF(AND(MOVIMIENTOS!$B147&lt;&gt;"",NOT(AND(MOVIMIENTOS!$B147="PROCESO",MOVIMIENTOS!$C147&lt;&gt;"Chancho")),NOT(AND(MOVIMIENTOS!$B147="SALDO INICIAL",MOVIMIENTOS!$C147="Chancho"))),COUNT(J$6:J147)+1,"")</f>
        <v/>
      </c>
      <c r="K148" s="48" t="str">
        <f aca="false">IF(AND(MOVIMIENTOS!$B147&lt;&gt;"",NOT(AND(MOVIMIENTOS!$B147="PROCESO",MOVIMIENTOS!$C147&lt;&gt;"Chancho")),NOT(AND(MOVIMIENTOS!$B147="SALDO INICIAL",MOVIMIENTOS!$C147="Chancho"))),MOVIMIENTOS!$A147,"")</f>
        <v/>
      </c>
      <c r="L148" s="48" t="str">
        <f aca="false">IF(AND(MOVIMIENTOS!$B147&lt;&gt;"",NOT(AND(MOVIMIENTOS!$B147="PROCESO",MOVIMIENTOS!$C147&lt;&gt;"Chancho")),NOT(AND(MOVIMIENTOS!$B147="SALDO INICIAL",MOVIMIENTOS!$C147="Chancho"))),IF(MOVIMIENTOS!$B147="SALDO INICIAL","APERTURA ("&amp;MOVIMIENTOS!$C147&amp;")",IF(MOVIMIENTOS!$B147="COMPRA","INGRESO (compra)",IF(MOVIMIENTOS!$B147="PROCESO","CHANCHO (proceso)",IF(MOVIMIENTOS!$B147="ENVÍO A SUPESA","ENVÍO cal. "&amp;MOVIMIENTOS!$C147,IF(MOVIMIENTOS!$B147="VENTA CHANCHO","VENTA CHANCHO",IF(MOVIMIENTOS!$B147="VENTA","VENTA cal. "&amp;MOVIMIENTOS!$C147,IF(MOVIMIENTOS!$B147="REGALO","REGALO "&amp;MOVIMIENTOS!$C147,IF(MOVIMIENTOS!$B147="RECHAZO","RECHAZO cal. "&amp;MOVIMIENTOS!$C147&amp;" (va a reproceso)",IF(MOVIMIENTOS!$B147="DEVOLUCIÓN","DEVOLUCIÓN cal. "&amp;MOVIMIENTOS!$C147&amp;" (regresa intacta)",IF(MOVIMIENTOS!$B147="TRASIEGO","TRASIEGO cal. "&amp;MOVIMIENTOS!$C147,MOVIMIENTOS!$B147)))))))))),"")</f>
        <v/>
      </c>
      <c r="M148" s="48" t="str">
        <f aca="false">IF(AND(AND(MOVIMIENTOS!$B147&lt;&gt;"",NOT(AND(MOVIMIENTOS!$B147="PROCESO",MOVIMIENTOS!$C147&lt;&gt;"Chancho")),NOT(AND(MOVIMIENTOS!$B147="SALDO INICIAL",MOVIMIENTOS!$C147="Chancho"))),OR(MOVIMIENTOS!$B147="SALDO INICIAL",MOVIMIENTOS!$B147="COMPRA",MOVIMIENTOS!$B147="REPROCESO",MOVIMIENTOS!$B147="DEVOLUCIÓN",AND(MOVIMIENTOS!$B147="AJUSTE",MOVIMIENTOS!$C147&lt;&gt;"Chancho",N(MOVIMIENTOS!$F147)&gt;=0))),N(MOVIMIENTOS!$F147),"")</f>
        <v/>
      </c>
      <c r="N148" s="48" t="str">
        <f aca="false">IF(AND(AND(MOVIMIENTOS!$B147&lt;&gt;"",NOT(AND(MOVIMIENTOS!$B147="PROCESO",MOVIMIENTOS!$C147&lt;&gt;"Chancho")),NOT(AND(MOVIMIENTOS!$B147="SALDO INICIAL",MOVIMIENTOS!$C147="Chancho"))),OR(MOVIMIENTOS!$B147="ENVÍO A SUPESA",MOVIMIENTOS!$B147="MALOGRADO",MOVIMIENTOS!$B147="OTRA SALIDA",MOVIMIENTOS!$B147="TRASIEGO",AND(MOVIMIENTOS!$B147="PROCESO",MOVIMIENTOS!$C147="Chancho"),AND(MOVIMIENTOS!$B147="REGALO",MOVIMIENTOS!$C147&lt;&gt;"Chancho"),AND(MOVIMIENTOS!$B147="VENTA",MOVIMIENTOS!$C147&lt;&gt;"Chancho"),AND(MOVIMIENTOS!$B147="AJUSTE",MOVIMIENTOS!$C147&lt;&gt;"Chancho",N(MOVIMIENTOS!$F147)&lt;0))),IF(MOVIMIENTOS!$B147="AJUSTE",-N(MOVIMIENTOS!$F147),N(MOVIMIENTOS!$F147)),"")</f>
        <v/>
      </c>
      <c r="O148" s="48" t="str">
        <f aca="false">IF(AND(MOVIMIENTOS!$B147&lt;&gt;"",NOT(AND(MOVIMIENTOS!$B147="PROCESO",MOVIMIENTOS!$C147&lt;&gt;"Chancho")),NOT(AND(MOVIMIENTOS!$B147="SALDO INICIAL",MOVIMIENTOS!$C147="Chancho"))),IF(MOVIMIENTOS!$B147="RECHAZO",MOVIMIENTOS!$E147&amp;" jabas rechazadas · van a reproceso",IF(MOVIMIENTOS!$B147="REPROCESO",MOVIMIENTOS!$E147&amp;" kg recuperados (merma del día: "&amp;TEXT(SUMPRODUCT((MOVIMIENTOS!$A$5:$A$400=MOVIMIENTOS!$A147)*(MOVIMIENTOS!$B$5:$B$400="RECHAZO")*(MOVIMIENTOS!$D$5:$D$400="jabas")*MOVIMIENTOS!$E$5:$E$400*IFERROR(_xlfn.SWITCH(MOVIMIENTOS!$C$5:$C$400,"A",15,"P",18,"C",17,"M",17,0),0))-SUMPRODUCT((MOVIMIENTOS!$A$5:$A$400=MOVIMIENTOS!$A147)*(MOVIMIENTOS!$B$5:$B$400="REPROCESO")*MOVIMIENTOS!$I$5:$I$400),"+#,##0;-#,##0;0")&amp;" kg)",TRIM(IF(MOVIMIENTOS!$G147&lt;&gt;"",MOVIMIENTOS!$G147&amp;"  ","")&amp;IF(N(MOVIMIENTOS!$D147)&gt;0,MOVIMIENTOS!$D147&amp;" "&amp;MOVIMIENTOS!$D147,"")))),"")</f>
        <v/>
      </c>
      <c r="P148" s="48" t="n">
        <f aca="false">N(P147)+N(M148)-N(N148)</f>
        <v>6529.5</v>
      </c>
      <c r="Q148" s="48"/>
      <c r="R148" s="48"/>
      <c r="S148" s="48"/>
      <c r="T148" s="48"/>
    </row>
    <row r="149" customFormat="false" ht="15" hidden="false" customHeight="true" outlineLevel="0" collapsed="false">
      <c r="A149" s="51" t="str">
        <f aca="false">IFERROR(INDEX(K$6:K$401,MATCH(ROW()-5,J$6:J$401,0)),"")</f>
        <v/>
      </c>
      <c r="B149" s="56" t="str">
        <f aca="false">IFERROR(INDEX(L$6:L$401,MATCH(ROW()-5,J$6:J$401,0)),"")</f>
        <v/>
      </c>
      <c r="C149" s="52" t="str">
        <f aca="false">IFERROR(INDEX(M$6:M$401,MATCH(ROW()-5,J$6:J$401,0)),"")</f>
        <v/>
      </c>
      <c r="D149" s="52" t="str">
        <f aca="false">IFERROR(INDEX(N$6:N$401,MATCH(ROW()-5,J$6:J$401,0)),"")</f>
        <v/>
      </c>
      <c r="E149" s="56" t="str">
        <f aca="false">IFERROR(INDEX(O$6:O$401,MATCH(ROW()-5,J$6:J$401,0)),"")</f>
        <v/>
      </c>
      <c r="F149" s="52" t="str">
        <f aca="false">IFERROR(INDEX(P$6:P$401,MATCH(ROW()-5,J$6:J$401,0)),"")</f>
        <v/>
      </c>
      <c r="G149" s="48"/>
      <c r="H149" s="48"/>
      <c r="I149" s="48"/>
      <c r="J149" s="48" t="n">
        <f aca="false">IF(AND(MOVIMIENTOS!$B148&lt;&gt;"",NOT(AND(MOVIMIENTOS!$B148="PROCESO",MOVIMIENTOS!$C148&lt;&gt;"Chancho")),NOT(AND(MOVIMIENTOS!$B148="SALDO INICIAL",MOVIMIENTOS!$C148="Chancho"))),COUNT(J$6:J148)+1,"")</f>
        <v>91</v>
      </c>
      <c r="K149" s="53" t="n">
        <f aca="false">IF(AND(MOVIMIENTOS!$B148&lt;&gt;"",NOT(AND(MOVIMIENTOS!$B148="PROCESO",MOVIMIENTOS!$C148&lt;&gt;"Chancho")),NOT(AND(MOVIMIENTOS!$B148="SALDO INICIAL",MOVIMIENTOS!$C148="Chancho"))),MOVIMIENTOS!$A148,"")</f>
        <v>46226</v>
      </c>
      <c r="L149" s="48" t="str">
        <f aca="false">IF(AND(MOVIMIENTOS!$B148&lt;&gt;"",NOT(AND(MOVIMIENTOS!$B148="PROCESO",MOVIMIENTOS!$C148&lt;&gt;"Chancho")),NOT(AND(MOVIMIENTOS!$B148="SALDO INICIAL",MOVIMIENTOS!$C148="Chancho"))),IF(MOVIMIENTOS!$B148="SALDO INICIAL","APERTURA ("&amp;MOVIMIENTOS!$C148&amp;")",IF(MOVIMIENTOS!$B148="COMPRA","INGRESO (compra)",IF(MOVIMIENTOS!$B148="PROCESO","CHANCHO (proceso)",IF(MOVIMIENTOS!$B148="ENVÍO A SUPESA","ENVÍO cal. "&amp;MOVIMIENTOS!$C148,IF(MOVIMIENTOS!$B148="VENTA CHANCHO","VENTA CHANCHO",IF(MOVIMIENTOS!$B148="VENTA","VENTA cal. "&amp;MOVIMIENTOS!$C148,IF(MOVIMIENTOS!$B148="REGALO","REGALO "&amp;MOVIMIENTOS!$C148,IF(MOVIMIENTOS!$B148="RECHAZO","RECHAZO cal. "&amp;MOVIMIENTOS!$C148&amp;" (va a reproceso)",IF(MOVIMIENTOS!$B148="DEVOLUCIÓN","DEVOLUCIÓN cal. "&amp;MOVIMIENTOS!$C148&amp;" (regresa intacta)",IF(MOVIMIENTOS!$B148="TRASIEGO","TRASIEGO cal. "&amp;MOVIMIENTOS!$C148,MOVIMIENTOS!$B148)))))))))),"")</f>
        <v>CHANCHO (proceso)</v>
      </c>
      <c r="M149" s="48" t="str">
        <f aca="false">IF(AND(AND(MOVIMIENTOS!$B148&lt;&gt;"",NOT(AND(MOVIMIENTOS!$B148="PROCESO",MOVIMIENTOS!$C148&lt;&gt;"Chancho")),NOT(AND(MOVIMIENTOS!$B148="SALDO INICIAL",MOVIMIENTOS!$C148="Chancho"))),OR(MOVIMIENTOS!$B148="SALDO INICIAL",MOVIMIENTOS!$B148="COMPRA",MOVIMIENTOS!$B148="REPROCESO",MOVIMIENTOS!$B148="DEVOLUCIÓN",AND(MOVIMIENTOS!$B148="AJUSTE",MOVIMIENTOS!$C148&lt;&gt;"Chancho",N(MOVIMIENTOS!$F148)&gt;=0))),N(MOVIMIENTOS!$F148),"")</f>
        <v/>
      </c>
      <c r="N149" s="48" t="n">
        <f aca="false">IF(AND(AND(MOVIMIENTOS!$B148&lt;&gt;"",NOT(AND(MOVIMIENTOS!$B148="PROCESO",MOVIMIENTOS!$C148&lt;&gt;"Chancho")),NOT(AND(MOVIMIENTOS!$B148="SALDO INICIAL",MOVIMIENTOS!$C148="Chancho"))),OR(MOVIMIENTOS!$B148="ENVÍO A SUPESA",MOVIMIENTOS!$B148="MALOGRADO",MOVIMIENTOS!$B148="OTRA SALIDA",MOVIMIENTOS!$B148="TRASIEGO",AND(MOVIMIENTOS!$B148="PROCESO",MOVIMIENTOS!$C148="Chancho"),AND(MOVIMIENTOS!$B148="REGALO",MOVIMIENTOS!$C148&lt;&gt;"Chancho"),AND(MOVIMIENTOS!$B148="VENTA",MOVIMIENTOS!$C148&lt;&gt;"Chancho"),AND(MOVIMIENTOS!$B148="AJUSTE",MOVIMIENTOS!$C148&lt;&gt;"Chancho",N(MOVIMIENTOS!$F148)&lt;0))),IF(MOVIMIENTOS!$B148="AJUSTE",-N(MOVIMIENTOS!$F148),N(MOVIMIENTOS!$F148)),"")</f>
        <v>617.5</v>
      </c>
      <c r="O149" s="48" t="str">
        <f aca="false">IF(AND(MOVIMIENTOS!$B148&lt;&gt;"",NOT(AND(MOVIMIENTOS!$B148="PROCESO",MOVIMIENTOS!$C148&lt;&gt;"Chancho")),NOT(AND(MOVIMIENTOS!$B148="SALDO INICIAL",MOVIMIENTOS!$C148="Chancho"))),IF(MOVIMIENTOS!$B148="RECHAZO",MOVIMIENTOS!$E148&amp;" jabas rechazadas · van a reproceso",IF(MOVIMIENTOS!$B148="REPROCESO",MOVIMIENTOS!$E148&amp;" kg recuperados (merma del día: "&amp;TEXT(SUMPRODUCT((MOVIMIENTOS!$A$5:$A$400=MOVIMIENTOS!$A148)*(MOVIMIENTOS!$B$5:$B$400="RECHAZO")*(MOVIMIENTOS!$D$5:$D$400="jabas")*MOVIMIENTOS!$E$5:$E$400*IFERROR(_xlfn.SWITCH(MOVIMIENTOS!$C$5:$C$400,"A",15,"P",18,"C",17,"M",17,0),0))-SUMPRODUCT((MOVIMIENTOS!$A$5:$A$400=MOVIMIENTOS!$A148)*(MOVIMIENTOS!$B$5:$B$400="REPROCESO")*MOVIMIENTOS!$I$5:$I$400),"+#,##0;-#,##0;0")&amp;" kg)",TRIM(IF(MOVIMIENTOS!$G148&lt;&gt;"",MOVIMIENTOS!$G148&amp;"  ","")&amp;IF(N(MOVIMIENTOS!$D148)&gt;0,MOVIMIENTOS!$D148&amp;" "&amp;MOVIMIENTOS!$D148,"")))),"")</f>
        <v/>
      </c>
      <c r="P149" s="48" t="n">
        <f aca="false">N(P148)+N(M149)-N(N149)</f>
        <v>5912</v>
      </c>
      <c r="Q149" s="48"/>
      <c r="R149" s="48"/>
      <c r="S149" s="48"/>
      <c r="T149" s="48"/>
    </row>
    <row r="150" customFormat="false" ht="15" hidden="false" customHeight="true" outlineLevel="0" collapsed="false">
      <c r="A150" s="51" t="str">
        <f aca="false">IFERROR(INDEX(K$6:K$401,MATCH(ROW()-5,J$6:J$401,0)),"")</f>
        <v/>
      </c>
      <c r="B150" s="56" t="str">
        <f aca="false">IFERROR(INDEX(L$6:L$401,MATCH(ROW()-5,J$6:J$401,0)),"")</f>
        <v/>
      </c>
      <c r="C150" s="52" t="str">
        <f aca="false">IFERROR(INDEX(M$6:M$401,MATCH(ROW()-5,J$6:J$401,0)),"")</f>
        <v/>
      </c>
      <c r="D150" s="52" t="str">
        <f aca="false">IFERROR(INDEX(N$6:N$401,MATCH(ROW()-5,J$6:J$401,0)),"")</f>
        <v/>
      </c>
      <c r="E150" s="56" t="str">
        <f aca="false">IFERROR(INDEX(O$6:O$401,MATCH(ROW()-5,J$6:J$401,0)),"")</f>
        <v/>
      </c>
      <c r="F150" s="52" t="str">
        <f aca="false">IFERROR(INDEX(P$6:P$401,MATCH(ROW()-5,J$6:J$401,0)),"")</f>
        <v/>
      </c>
      <c r="G150" s="48"/>
      <c r="H150" s="48"/>
      <c r="I150" s="48"/>
      <c r="J150" s="48" t="n">
        <f aca="false">IF(AND(MOVIMIENTOS!$B149&lt;&gt;"",NOT(AND(MOVIMIENTOS!$B149="PROCESO",MOVIMIENTOS!$C149&lt;&gt;"Chancho")),NOT(AND(MOVIMIENTOS!$B149="SALDO INICIAL",MOVIMIENTOS!$C149="Chancho"))),COUNT(J$6:J149)+1,"")</f>
        <v>92</v>
      </c>
      <c r="K150" s="53" t="n">
        <f aca="false">IF(AND(MOVIMIENTOS!$B149&lt;&gt;"",NOT(AND(MOVIMIENTOS!$B149="PROCESO",MOVIMIENTOS!$C149&lt;&gt;"Chancho")),NOT(AND(MOVIMIENTOS!$B149="SALDO INICIAL",MOVIMIENTOS!$C149="Chancho"))),MOVIMIENTOS!$A149,"")</f>
        <v>46226</v>
      </c>
      <c r="L150" s="48" t="str">
        <f aca="false">IF(AND(MOVIMIENTOS!$B149&lt;&gt;"",NOT(AND(MOVIMIENTOS!$B149="PROCESO",MOVIMIENTOS!$C149&lt;&gt;"Chancho")),NOT(AND(MOVIMIENTOS!$B149="SALDO INICIAL",MOVIMIENTOS!$C149="Chancho"))),IF(MOVIMIENTOS!$B149="SALDO INICIAL","APERTURA ("&amp;MOVIMIENTOS!$C149&amp;")",IF(MOVIMIENTOS!$B149="COMPRA","INGRESO (compra)",IF(MOVIMIENTOS!$B149="PROCESO","CHANCHO (proceso)",IF(MOVIMIENTOS!$B149="ENVÍO A SUPESA","ENVÍO cal. "&amp;MOVIMIENTOS!$C149,IF(MOVIMIENTOS!$B149="VENTA CHANCHO","VENTA CHANCHO",IF(MOVIMIENTOS!$B149="VENTA","VENTA cal. "&amp;MOVIMIENTOS!$C149,IF(MOVIMIENTOS!$B149="REGALO","REGALO "&amp;MOVIMIENTOS!$C149,IF(MOVIMIENTOS!$B149="RECHAZO","RECHAZO cal. "&amp;MOVIMIENTOS!$C149&amp;" (va a reproceso)",IF(MOVIMIENTOS!$B149="DEVOLUCIÓN","DEVOLUCIÓN cal. "&amp;MOVIMIENTOS!$C149&amp;" (regresa intacta)",IF(MOVIMIENTOS!$B149="TRASIEGO","TRASIEGO cal. "&amp;MOVIMIENTOS!$C149,MOVIMIENTOS!$B149)))))))))),"")</f>
        <v>ENVÍO cal. A</v>
      </c>
      <c r="M150" s="48" t="str">
        <f aca="false">IF(AND(AND(MOVIMIENTOS!$B149&lt;&gt;"",NOT(AND(MOVIMIENTOS!$B149="PROCESO",MOVIMIENTOS!$C149&lt;&gt;"Chancho")),NOT(AND(MOVIMIENTOS!$B149="SALDO INICIAL",MOVIMIENTOS!$C149="Chancho"))),OR(MOVIMIENTOS!$B149="SALDO INICIAL",MOVIMIENTOS!$B149="COMPRA",MOVIMIENTOS!$B149="REPROCESO",MOVIMIENTOS!$B149="DEVOLUCIÓN",AND(MOVIMIENTOS!$B149="AJUSTE",MOVIMIENTOS!$C149&lt;&gt;"Chancho",N(MOVIMIENTOS!$F149)&gt;=0))),N(MOVIMIENTOS!$F149),"")</f>
        <v/>
      </c>
      <c r="N150" s="48" t="n">
        <f aca="false">IF(AND(AND(MOVIMIENTOS!$B149&lt;&gt;"",NOT(AND(MOVIMIENTOS!$B149="PROCESO",MOVIMIENTOS!$C149&lt;&gt;"Chancho")),NOT(AND(MOVIMIENTOS!$B149="SALDO INICIAL",MOVIMIENTOS!$C149="Chancho"))),OR(MOVIMIENTOS!$B149="ENVÍO A SUPESA",MOVIMIENTOS!$B149="MALOGRADO",MOVIMIENTOS!$B149="OTRA SALIDA",MOVIMIENTOS!$B149="TRASIEGO",AND(MOVIMIENTOS!$B149="PROCESO",MOVIMIENTOS!$C149="Chancho"),AND(MOVIMIENTOS!$B149="REGALO",MOVIMIENTOS!$C149&lt;&gt;"Chancho"),AND(MOVIMIENTOS!$B149="VENTA",MOVIMIENTOS!$C149&lt;&gt;"Chancho"),AND(MOVIMIENTOS!$B149="AJUSTE",MOVIMIENTOS!$C149&lt;&gt;"Chancho",N(MOVIMIENTOS!$F149)&lt;0))),IF(MOVIMIENTOS!$B149="AJUSTE",-N(MOVIMIENTOS!$F149),N(MOVIMIENTOS!$F149)),"")</f>
        <v>1005</v>
      </c>
      <c r="O150" s="48" t="str">
        <f aca="false">IF(AND(MOVIMIENTOS!$B149&lt;&gt;"",NOT(AND(MOVIMIENTOS!$B149="PROCESO",MOVIMIENTOS!$C149&lt;&gt;"Chancho")),NOT(AND(MOVIMIENTOS!$B149="SALDO INICIAL",MOVIMIENTOS!$C149="Chancho"))),IF(MOVIMIENTOS!$B149="RECHAZO",MOVIMIENTOS!$E149&amp;" jabas rechazadas · van a reproceso",IF(MOVIMIENTOS!$B149="REPROCESO",MOVIMIENTOS!$E149&amp;" kg recuperados (merma del día: "&amp;TEXT(SUMPRODUCT((MOVIMIENTOS!$A$5:$A$400=MOVIMIENTOS!$A149)*(MOVIMIENTOS!$B$5:$B$400="RECHAZO")*(MOVIMIENTOS!$D$5:$D$400="jabas")*MOVIMIENTOS!$E$5:$E$400*IFERROR(_xlfn.SWITCH(MOVIMIENTOS!$C$5:$C$400,"A",15,"P",18,"C",17,"M",17,0),0))-SUMPRODUCT((MOVIMIENTOS!$A$5:$A$400=MOVIMIENTOS!$A149)*(MOVIMIENTOS!$B$5:$B$400="REPROCESO")*MOVIMIENTOS!$I$5:$I$400),"+#,##0;-#,##0;0")&amp;" kg)",TRIM(IF(MOVIMIENTOS!$G149&lt;&gt;"",MOVIMIENTOS!$G149&amp;"  ","")&amp;IF(N(MOVIMIENTOS!$D149)&gt;0,MOVIMIENTOS!$D149&amp;" "&amp;MOVIMIENTOS!$D149,"")))),"")</f>
        <v>3008</v>
      </c>
      <c r="P150" s="48" t="n">
        <f aca="false">N(P149)+N(M150)-N(N150)</f>
        <v>4907</v>
      </c>
      <c r="Q150" s="48"/>
      <c r="R150" s="48"/>
      <c r="S150" s="48"/>
      <c r="T150" s="48"/>
    </row>
    <row r="151" customFormat="false" ht="15" hidden="false" customHeight="true" outlineLevel="0" collapsed="false">
      <c r="A151" s="51" t="str">
        <f aca="false">IFERROR(INDEX(K$6:K$401,MATCH(ROW()-5,J$6:J$401,0)),"")</f>
        <v/>
      </c>
      <c r="B151" s="56" t="str">
        <f aca="false">IFERROR(INDEX(L$6:L$401,MATCH(ROW()-5,J$6:J$401,0)),"")</f>
        <v/>
      </c>
      <c r="C151" s="52" t="str">
        <f aca="false">IFERROR(INDEX(M$6:M$401,MATCH(ROW()-5,J$6:J$401,0)),"")</f>
        <v/>
      </c>
      <c r="D151" s="52" t="str">
        <f aca="false">IFERROR(INDEX(N$6:N$401,MATCH(ROW()-5,J$6:J$401,0)),"")</f>
        <v/>
      </c>
      <c r="E151" s="56" t="str">
        <f aca="false">IFERROR(INDEX(O$6:O$401,MATCH(ROW()-5,J$6:J$401,0)),"")</f>
        <v/>
      </c>
      <c r="F151" s="52" t="str">
        <f aca="false">IFERROR(INDEX(P$6:P$401,MATCH(ROW()-5,J$6:J$401,0)),"")</f>
        <v/>
      </c>
      <c r="G151" s="48"/>
      <c r="H151" s="48"/>
      <c r="I151" s="48"/>
      <c r="J151" s="48" t="n">
        <f aca="false">IF(AND(MOVIMIENTOS!$B150&lt;&gt;"",NOT(AND(MOVIMIENTOS!$B150="PROCESO",MOVIMIENTOS!$C150&lt;&gt;"Chancho")),NOT(AND(MOVIMIENTOS!$B150="SALDO INICIAL",MOVIMIENTOS!$C150="Chancho"))),COUNT(J$6:J150)+1,"")</f>
        <v>93</v>
      </c>
      <c r="K151" s="53" t="n">
        <f aca="false">IF(AND(MOVIMIENTOS!$B150&lt;&gt;"",NOT(AND(MOVIMIENTOS!$B150="PROCESO",MOVIMIENTOS!$C150&lt;&gt;"Chancho")),NOT(AND(MOVIMIENTOS!$B150="SALDO INICIAL",MOVIMIENTOS!$C150="Chancho"))),MOVIMIENTOS!$A150,"")</f>
        <v>46226</v>
      </c>
      <c r="L151" s="48" t="str">
        <f aca="false">IF(AND(MOVIMIENTOS!$B150&lt;&gt;"",NOT(AND(MOVIMIENTOS!$B150="PROCESO",MOVIMIENTOS!$C150&lt;&gt;"Chancho")),NOT(AND(MOVIMIENTOS!$B150="SALDO INICIAL",MOVIMIENTOS!$C150="Chancho"))),IF(MOVIMIENTOS!$B150="SALDO INICIAL","APERTURA ("&amp;MOVIMIENTOS!$C150&amp;")",IF(MOVIMIENTOS!$B150="COMPRA","INGRESO (compra)",IF(MOVIMIENTOS!$B150="PROCESO","CHANCHO (proceso)",IF(MOVIMIENTOS!$B150="ENVÍO A SUPESA","ENVÍO cal. "&amp;MOVIMIENTOS!$C150,IF(MOVIMIENTOS!$B150="VENTA CHANCHO","VENTA CHANCHO",IF(MOVIMIENTOS!$B150="VENTA","VENTA cal. "&amp;MOVIMIENTOS!$C150,IF(MOVIMIENTOS!$B150="REGALO","REGALO "&amp;MOVIMIENTOS!$C150,IF(MOVIMIENTOS!$B150="RECHAZO","RECHAZO cal. "&amp;MOVIMIENTOS!$C150&amp;" (va a reproceso)",IF(MOVIMIENTOS!$B150="DEVOLUCIÓN","DEVOLUCIÓN cal. "&amp;MOVIMIENTOS!$C150&amp;" (regresa intacta)",IF(MOVIMIENTOS!$B150="TRASIEGO","TRASIEGO cal. "&amp;MOVIMIENTOS!$C150,MOVIMIENTOS!$B150)))))))))),"")</f>
        <v>ENVÍO cal. P</v>
      </c>
      <c r="M151" s="48" t="str">
        <f aca="false">IF(AND(AND(MOVIMIENTOS!$B150&lt;&gt;"",NOT(AND(MOVIMIENTOS!$B150="PROCESO",MOVIMIENTOS!$C150&lt;&gt;"Chancho")),NOT(AND(MOVIMIENTOS!$B150="SALDO INICIAL",MOVIMIENTOS!$C150="Chancho"))),OR(MOVIMIENTOS!$B150="SALDO INICIAL",MOVIMIENTOS!$B150="COMPRA",MOVIMIENTOS!$B150="REPROCESO",MOVIMIENTOS!$B150="DEVOLUCIÓN",AND(MOVIMIENTOS!$B150="AJUSTE",MOVIMIENTOS!$C150&lt;&gt;"Chancho",N(MOVIMIENTOS!$F150)&gt;=0))),N(MOVIMIENTOS!$F150),"")</f>
        <v/>
      </c>
      <c r="N151" s="48" t="n">
        <f aca="false">IF(AND(AND(MOVIMIENTOS!$B150&lt;&gt;"",NOT(AND(MOVIMIENTOS!$B150="PROCESO",MOVIMIENTOS!$C150&lt;&gt;"Chancho")),NOT(AND(MOVIMIENTOS!$B150="SALDO INICIAL",MOVIMIENTOS!$C150="Chancho"))),OR(MOVIMIENTOS!$B150="ENVÍO A SUPESA",MOVIMIENTOS!$B150="MALOGRADO",MOVIMIENTOS!$B150="OTRA SALIDA",MOVIMIENTOS!$B150="TRASIEGO",AND(MOVIMIENTOS!$B150="PROCESO",MOVIMIENTOS!$C150="Chancho"),AND(MOVIMIENTOS!$B150="REGALO",MOVIMIENTOS!$C150&lt;&gt;"Chancho"),AND(MOVIMIENTOS!$B150="VENTA",MOVIMIENTOS!$C150&lt;&gt;"Chancho"),AND(MOVIMIENTOS!$B150="AJUSTE",MOVIMIENTOS!$C150&lt;&gt;"Chancho",N(MOVIMIENTOS!$F150)&lt;0))),IF(MOVIMIENTOS!$B150="AJUSTE",-N(MOVIMIENTOS!$F150),N(MOVIMIENTOS!$F150)),"")</f>
        <v>198</v>
      </c>
      <c r="O151" s="48" t="str">
        <f aca="false">IF(AND(MOVIMIENTOS!$B150&lt;&gt;"",NOT(AND(MOVIMIENTOS!$B150="PROCESO",MOVIMIENTOS!$C150&lt;&gt;"Chancho")),NOT(AND(MOVIMIENTOS!$B150="SALDO INICIAL",MOVIMIENTOS!$C150="Chancho"))),IF(MOVIMIENTOS!$B150="RECHAZO",MOVIMIENTOS!$E150&amp;" jabas rechazadas · van a reproceso",IF(MOVIMIENTOS!$B150="REPROCESO",MOVIMIENTOS!$E150&amp;" kg recuperados (merma del día: "&amp;TEXT(SUMPRODUCT((MOVIMIENTOS!$A$5:$A$400=MOVIMIENTOS!$A150)*(MOVIMIENTOS!$B$5:$B$400="RECHAZO")*(MOVIMIENTOS!$D$5:$D$400="jabas")*MOVIMIENTOS!$E$5:$E$400*IFERROR(_xlfn.SWITCH(MOVIMIENTOS!$C$5:$C$400,"A",15,"P",18,"C",17,"M",17,0),0))-SUMPRODUCT((MOVIMIENTOS!$A$5:$A$400=MOVIMIENTOS!$A150)*(MOVIMIENTOS!$B$5:$B$400="REPROCESO")*MOVIMIENTOS!$I$5:$I$400),"+#,##0;-#,##0;0")&amp;" kg)",TRIM(IF(MOVIMIENTOS!$G150&lt;&gt;"",MOVIMIENTOS!$G150&amp;"  ","")&amp;IF(N(MOVIMIENTOS!$D150)&gt;0,MOVIMIENTOS!$D150&amp;" "&amp;MOVIMIENTOS!$D150,"")))),"")</f>
        <v>3008</v>
      </c>
      <c r="P151" s="48" t="n">
        <f aca="false">N(P150)+N(M151)-N(N151)</f>
        <v>4709</v>
      </c>
      <c r="Q151" s="48"/>
      <c r="R151" s="48"/>
      <c r="S151" s="48"/>
      <c r="T151" s="48"/>
    </row>
    <row r="152" customFormat="false" ht="15" hidden="false" customHeight="true" outlineLevel="0" collapsed="false">
      <c r="A152" s="51" t="str">
        <f aca="false">IFERROR(INDEX(K$6:K$401,MATCH(ROW()-5,J$6:J$401,0)),"")</f>
        <v/>
      </c>
      <c r="B152" s="56" t="str">
        <f aca="false">IFERROR(INDEX(L$6:L$401,MATCH(ROW()-5,J$6:J$401,0)),"")</f>
        <v/>
      </c>
      <c r="C152" s="52" t="str">
        <f aca="false">IFERROR(INDEX(M$6:M$401,MATCH(ROW()-5,J$6:J$401,0)),"")</f>
        <v/>
      </c>
      <c r="D152" s="52" t="str">
        <f aca="false">IFERROR(INDEX(N$6:N$401,MATCH(ROW()-5,J$6:J$401,0)),"")</f>
        <v/>
      </c>
      <c r="E152" s="56" t="str">
        <f aca="false">IFERROR(INDEX(O$6:O$401,MATCH(ROW()-5,J$6:J$401,0)),"")</f>
        <v/>
      </c>
      <c r="F152" s="52" t="str">
        <f aca="false">IFERROR(INDEX(P$6:P$401,MATCH(ROW()-5,J$6:J$401,0)),"")</f>
        <v/>
      </c>
      <c r="G152" s="48"/>
      <c r="H152" s="48"/>
      <c r="I152" s="48"/>
      <c r="J152" s="48" t="n">
        <f aca="false">IF(AND(MOVIMIENTOS!$B151&lt;&gt;"",NOT(AND(MOVIMIENTOS!$B151="PROCESO",MOVIMIENTOS!$C151&lt;&gt;"Chancho")),NOT(AND(MOVIMIENTOS!$B151="SALDO INICIAL",MOVIMIENTOS!$C151="Chancho"))),COUNT(J$6:J151)+1,"")</f>
        <v>94</v>
      </c>
      <c r="K152" s="53" t="n">
        <f aca="false">IF(AND(MOVIMIENTOS!$B151&lt;&gt;"",NOT(AND(MOVIMIENTOS!$B151="PROCESO",MOVIMIENTOS!$C151&lt;&gt;"Chancho")),NOT(AND(MOVIMIENTOS!$B151="SALDO INICIAL",MOVIMIENTOS!$C151="Chancho"))),MOVIMIENTOS!$A151,"")</f>
        <v>46226</v>
      </c>
      <c r="L152" s="48" t="str">
        <f aca="false">IF(AND(MOVIMIENTOS!$B151&lt;&gt;"",NOT(AND(MOVIMIENTOS!$B151="PROCESO",MOVIMIENTOS!$C151&lt;&gt;"Chancho")),NOT(AND(MOVIMIENTOS!$B151="SALDO INICIAL",MOVIMIENTOS!$C151="Chancho"))),IF(MOVIMIENTOS!$B151="SALDO INICIAL","APERTURA ("&amp;MOVIMIENTOS!$C151&amp;")",IF(MOVIMIENTOS!$B151="COMPRA","INGRESO (compra)",IF(MOVIMIENTOS!$B151="PROCESO","CHANCHO (proceso)",IF(MOVIMIENTOS!$B151="ENVÍO A SUPESA","ENVÍO cal. "&amp;MOVIMIENTOS!$C151,IF(MOVIMIENTOS!$B151="VENTA CHANCHO","VENTA CHANCHO",IF(MOVIMIENTOS!$B151="VENTA","VENTA cal. "&amp;MOVIMIENTOS!$C151,IF(MOVIMIENTOS!$B151="REGALO","REGALO "&amp;MOVIMIENTOS!$C151,IF(MOVIMIENTOS!$B151="RECHAZO","RECHAZO cal. "&amp;MOVIMIENTOS!$C151&amp;" (va a reproceso)",IF(MOVIMIENTOS!$B151="DEVOLUCIÓN","DEVOLUCIÓN cal. "&amp;MOVIMIENTOS!$C151&amp;" (regresa intacta)",IF(MOVIMIENTOS!$B151="TRASIEGO","TRASIEGO cal. "&amp;MOVIMIENTOS!$C151,MOVIMIENTOS!$B151)))))))))),"")</f>
        <v>ENVÍO cal. C</v>
      </c>
      <c r="M152" s="48" t="str">
        <f aca="false">IF(AND(AND(MOVIMIENTOS!$B151&lt;&gt;"",NOT(AND(MOVIMIENTOS!$B151="PROCESO",MOVIMIENTOS!$C151&lt;&gt;"Chancho")),NOT(AND(MOVIMIENTOS!$B151="SALDO INICIAL",MOVIMIENTOS!$C151="Chancho"))),OR(MOVIMIENTOS!$B151="SALDO INICIAL",MOVIMIENTOS!$B151="COMPRA",MOVIMIENTOS!$B151="REPROCESO",MOVIMIENTOS!$B151="DEVOLUCIÓN",AND(MOVIMIENTOS!$B151="AJUSTE",MOVIMIENTOS!$C151&lt;&gt;"Chancho",N(MOVIMIENTOS!$F151)&gt;=0))),N(MOVIMIENTOS!$F151),"")</f>
        <v/>
      </c>
      <c r="N152" s="48" t="n">
        <f aca="false">IF(AND(AND(MOVIMIENTOS!$B151&lt;&gt;"",NOT(AND(MOVIMIENTOS!$B151="PROCESO",MOVIMIENTOS!$C151&lt;&gt;"Chancho")),NOT(AND(MOVIMIENTOS!$B151="SALDO INICIAL",MOVIMIENTOS!$C151="Chancho"))),OR(MOVIMIENTOS!$B151="ENVÍO A SUPESA",MOVIMIENTOS!$B151="MALOGRADO",MOVIMIENTOS!$B151="OTRA SALIDA",MOVIMIENTOS!$B151="TRASIEGO",AND(MOVIMIENTOS!$B151="PROCESO",MOVIMIENTOS!$C151="Chancho"),AND(MOVIMIENTOS!$B151="REGALO",MOVIMIENTOS!$C151&lt;&gt;"Chancho"),AND(MOVIMIENTOS!$B151="VENTA",MOVIMIENTOS!$C151&lt;&gt;"Chancho"),AND(MOVIMIENTOS!$B151="AJUSTE",MOVIMIENTOS!$C151&lt;&gt;"Chancho",N(MOVIMIENTOS!$F151)&lt;0))),IF(MOVIMIENTOS!$B151="AJUSTE",-N(MOVIMIENTOS!$F151),N(MOVIMIENTOS!$F151)),"")</f>
        <v>204</v>
      </c>
      <c r="O152" s="48" t="str">
        <f aca="false">IF(AND(MOVIMIENTOS!$B151&lt;&gt;"",NOT(AND(MOVIMIENTOS!$B151="PROCESO",MOVIMIENTOS!$C151&lt;&gt;"Chancho")),NOT(AND(MOVIMIENTOS!$B151="SALDO INICIAL",MOVIMIENTOS!$C151="Chancho"))),IF(MOVIMIENTOS!$B151="RECHAZO",MOVIMIENTOS!$E151&amp;" jabas rechazadas · van a reproceso",IF(MOVIMIENTOS!$B151="REPROCESO",MOVIMIENTOS!$E151&amp;" kg recuperados (merma del día: "&amp;TEXT(SUMPRODUCT((MOVIMIENTOS!$A$5:$A$400=MOVIMIENTOS!$A151)*(MOVIMIENTOS!$B$5:$B$400="RECHAZO")*(MOVIMIENTOS!$D$5:$D$400="jabas")*MOVIMIENTOS!$E$5:$E$400*IFERROR(_xlfn.SWITCH(MOVIMIENTOS!$C$5:$C$400,"A",15,"P",18,"C",17,"M",17,0),0))-SUMPRODUCT((MOVIMIENTOS!$A$5:$A$400=MOVIMIENTOS!$A151)*(MOVIMIENTOS!$B$5:$B$400="REPROCESO")*MOVIMIENTOS!$I$5:$I$400),"+#,##0;-#,##0;0")&amp;" kg)",TRIM(IF(MOVIMIENTOS!$G151&lt;&gt;"",MOVIMIENTOS!$G151&amp;"  ","")&amp;IF(N(MOVIMIENTOS!$D151)&gt;0,MOVIMIENTOS!$D151&amp;" "&amp;MOVIMIENTOS!$D151,"")))),"")</f>
        <v>3008</v>
      </c>
      <c r="P152" s="48" t="n">
        <f aca="false">N(P151)+N(M152)-N(N152)</f>
        <v>4505</v>
      </c>
      <c r="Q152" s="48"/>
      <c r="R152" s="48"/>
      <c r="S152" s="48"/>
      <c r="T152" s="48"/>
    </row>
    <row r="153" customFormat="false" ht="15" hidden="false" customHeight="true" outlineLevel="0" collapsed="false">
      <c r="A153" s="51" t="str">
        <f aca="false">IFERROR(INDEX(K$6:K$401,MATCH(ROW()-5,J$6:J$401,0)),"")</f>
        <v/>
      </c>
      <c r="B153" s="56" t="str">
        <f aca="false">IFERROR(INDEX(L$6:L$401,MATCH(ROW()-5,J$6:J$401,0)),"")</f>
        <v/>
      </c>
      <c r="C153" s="52" t="str">
        <f aca="false">IFERROR(INDEX(M$6:M$401,MATCH(ROW()-5,J$6:J$401,0)),"")</f>
        <v/>
      </c>
      <c r="D153" s="52" t="str">
        <f aca="false">IFERROR(INDEX(N$6:N$401,MATCH(ROW()-5,J$6:J$401,0)),"")</f>
        <v/>
      </c>
      <c r="E153" s="56" t="str">
        <f aca="false">IFERROR(INDEX(O$6:O$401,MATCH(ROW()-5,J$6:J$401,0)),"")</f>
        <v/>
      </c>
      <c r="F153" s="52" t="str">
        <f aca="false">IFERROR(INDEX(P$6:P$401,MATCH(ROW()-5,J$6:J$401,0)),"")</f>
        <v/>
      </c>
      <c r="G153" s="48"/>
      <c r="H153" s="48"/>
      <c r="I153" s="48"/>
      <c r="J153" s="48" t="n">
        <f aca="false">IF(AND(MOVIMIENTOS!$B152&lt;&gt;"",NOT(AND(MOVIMIENTOS!$B152="PROCESO",MOVIMIENTOS!$C152&lt;&gt;"Chancho")),NOT(AND(MOVIMIENTOS!$B152="SALDO INICIAL",MOVIMIENTOS!$C152="Chancho"))),COUNT(J$6:J152)+1,"")</f>
        <v>95</v>
      </c>
      <c r="K153" s="53" t="n">
        <f aca="false">IF(AND(MOVIMIENTOS!$B152&lt;&gt;"",NOT(AND(MOVIMIENTOS!$B152="PROCESO",MOVIMIENTOS!$C152&lt;&gt;"Chancho")),NOT(AND(MOVIMIENTOS!$B152="SALDO INICIAL",MOVIMIENTOS!$C152="Chancho"))),MOVIMIENTOS!$A152,"")</f>
        <v>46226</v>
      </c>
      <c r="L153" s="48" t="str">
        <f aca="false">IF(AND(MOVIMIENTOS!$B152&lt;&gt;"",NOT(AND(MOVIMIENTOS!$B152="PROCESO",MOVIMIENTOS!$C152&lt;&gt;"Chancho")),NOT(AND(MOVIMIENTOS!$B152="SALDO INICIAL",MOVIMIENTOS!$C152="Chancho"))),IF(MOVIMIENTOS!$B152="SALDO INICIAL","APERTURA ("&amp;MOVIMIENTOS!$C152&amp;")",IF(MOVIMIENTOS!$B152="COMPRA","INGRESO (compra)",IF(MOVIMIENTOS!$B152="PROCESO","CHANCHO (proceso)",IF(MOVIMIENTOS!$B152="ENVÍO A SUPESA","ENVÍO cal. "&amp;MOVIMIENTOS!$C152,IF(MOVIMIENTOS!$B152="VENTA CHANCHO","VENTA CHANCHO",IF(MOVIMIENTOS!$B152="VENTA","VENTA cal. "&amp;MOVIMIENTOS!$C152,IF(MOVIMIENTOS!$B152="REGALO","REGALO "&amp;MOVIMIENTOS!$C152,IF(MOVIMIENTOS!$B152="RECHAZO","RECHAZO cal. "&amp;MOVIMIENTOS!$C152&amp;" (va a reproceso)",IF(MOVIMIENTOS!$B152="DEVOLUCIÓN","DEVOLUCIÓN cal. "&amp;MOVIMIENTOS!$C152&amp;" (regresa intacta)",IF(MOVIMIENTOS!$B152="TRASIEGO","TRASIEGO cal. "&amp;MOVIMIENTOS!$C152,MOVIMIENTOS!$B152)))))))))),"")</f>
        <v>ENVÍO cal. M</v>
      </c>
      <c r="M153" s="48" t="str">
        <f aca="false">IF(AND(AND(MOVIMIENTOS!$B152&lt;&gt;"",NOT(AND(MOVIMIENTOS!$B152="PROCESO",MOVIMIENTOS!$C152&lt;&gt;"Chancho")),NOT(AND(MOVIMIENTOS!$B152="SALDO INICIAL",MOVIMIENTOS!$C152="Chancho"))),OR(MOVIMIENTOS!$B152="SALDO INICIAL",MOVIMIENTOS!$B152="COMPRA",MOVIMIENTOS!$B152="REPROCESO",MOVIMIENTOS!$B152="DEVOLUCIÓN",AND(MOVIMIENTOS!$B152="AJUSTE",MOVIMIENTOS!$C152&lt;&gt;"Chancho",N(MOVIMIENTOS!$F152)&gt;=0))),N(MOVIMIENTOS!$F152),"")</f>
        <v/>
      </c>
      <c r="N153" s="48" t="n">
        <f aca="false">IF(AND(AND(MOVIMIENTOS!$B152&lt;&gt;"",NOT(AND(MOVIMIENTOS!$B152="PROCESO",MOVIMIENTOS!$C152&lt;&gt;"Chancho")),NOT(AND(MOVIMIENTOS!$B152="SALDO INICIAL",MOVIMIENTOS!$C152="Chancho"))),OR(MOVIMIENTOS!$B152="ENVÍO A SUPESA",MOVIMIENTOS!$B152="MALOGRADO",MOVIMIENTOS!$B152="OTRA SALIDA",MOVIMIENTOS!$B152="TRASIEGO",AND(MOVIMIENTOS!$B152="PROCESO",MOVIMIENTOS!$C152="Chancho"),AND(MOVIMIENTOS!$B152="REGALO",MOVIMIENTOS!$C152&lt;&gt;"Chancho"),AND(MOVIMIENTOS!$B152="VENTA",MOVIMIENTOS!$C152&lt;&gt;"Chancho"),AND(MOVIMIENTOS!$B152="AJUSTE",MOVIMIENTOS!$C152&lt;&gt;"Chancho",N(MOVIMIENTOS!$F152)&lt;0))),IF(MOVIMIENTOS!$B152="AJUSTE",-N(MOVIMIENTOS!$F152),N(MOVIMIENTOS!$F152)),"")</f>
        <v>2006</v>
      </c>
      <c r="O153" s="48" t="str">
        <f aca="false">IF(AND(MOVIMIENTOS!$B152&lt;&gt;"",NOT(AND(MOVIMIENTOS!$B152="PROCESO",MOVIMIENTOS!$C152&lt;&gt;"Chancho")),NOT(AND(MOVIMIENTOS!$B152="SALDO INICIAL",MOVIMIENTOS!$C152="Chancho"))),IF(MOVIMIENTOS!$B152="RECHAZO",MOVIMIENTOS!$E152&amp;" jabas rechazadas · van a reproceso",IF(MOVIMIENTOS!$B152="REPROCESO",MOVIMIENTOS!$E152&amp;" kg recuperados (merma del día: "&amp;TEXT(SUMPRODUCT((MOVIMIENTOS!$A$5:$A$400=MOVIMIENTOS!$A152)*(MOVIMIENTOS!$B$5:$B$400="RECHAZO")*(MOVIMIENTOS!$D$5:$D$400="jabas")*MOVIMIENTOS!$E$5:$E$400*IFERROR(_xlfn.SWITCH(MOVIMIENTOS!$C$5:$C$400,"A",15,"P",18,"C",17,"M",17,0),0))-SUMPRODUCT((MOVIMIENTOS!$A$5:$A$400=MOVIMIENTOS!$A152)*(MOVIMIENTOS!$B$5:$B$400="REPROCESO")*MOVIMIENTOS!$I$5:$I$400),"+#,##0;-#,##0;0")&amp;" kg)",TRIM(IF(MOVIMIENTOS!$G152&lt;&gt;"",MOVIMIENTOS!$G152&amp;"  ","")&amp;IF(N(MOVIMIENTOS!$D152)&gt;0,MOVIMIENTOS!$D152&amp;" "&amp;MOVIMIENTOS!$D152,"")))),"")</f>
        <v>3008</v>
      </c>
      <c r="P153" s="48" t="n">
        <f aca="false">N(P152)+N(M153)-N(N153)</f>
        <v>2499</v>
      </c>
      <c r="Q153" s="48"/>
      <c r="R153" s="48"/>
      <c r="S153" s="48"/>
      <c r="T153" s="48"/>
    </row>
    <row r="154" customFormat="false" ht="15" hidden="false" customHeight="true" outlineLevel="0" collapsed="false">
      <c r="A154" s="51" t="str">
        <f aca="false">IFERROR(INDEX(K$6:K$401,MATCH(ROW()-5,J$6:J$401,0)),"")</f>
        <v/>
      </c>
      <c r="B154" s="56" t="str">
        <f aca="false">IFERROR(INDEX(L$6:L$401,MATCH(ROW()-5,J$6:J$401,0)),"")</f>
        <v/>
      </c>
      <c r="C154" s="52" t="str">
        <f aca="false">IFERROR(INDEX(M$6:M$401,MATCH(ROW()-5,J$6:J$401,0)),"")</f>
        <v/>
      </c>
      <c r="D154" s="52" t="str">
        <f aca="false">IFERROR(INDEX(N$6:N$401,MATCH(ROW()-5,J$6:J$401,0)),"")</f>
        <v/>
      </c>
      <c r="E154" s="56" t="str">
        <f aca="false">IFERROR(INDEX(O$6:O$401,MATCH(ROW()-5,J$6:J$401,0)),"")</f>
        <v/>
      </c>
      <c r="F154" s="52" t="str">
        <f aca="false">IFERROR(INDEX(P$6:P$401,MATCH(ROW()-5,J$6:J$401,0)),"")</f>
        <v/>
      </c>
      <c r="G154" s="48"/>
      <c r="H154" s="48"/>
      <c r="I154" s="48"/>
      <c r="J154" s="48" t="n">
        <f aca="false">IF(AND(MOVIMIENTOS!$B153&lt;&gt;"",NOT(AND(MOVIMIENTOS!$B153="PROCESO",MOVIMIENTOS!$C153&lt;&gt;"Chancho")),NOT(AND(MOVIMIENTOS!$B153="SALDO INICIAL",MOVIMIENTOS!$C153="Chancho"))),COUNT(J$6:J153)+1,"")</f>
        <v>96</v>
      </c>
      <c r="K154" s="53" t="n">
        <f aca="false">IF(AND(MOVIMIENTOS!$B153&lt;&gt;"",NOT(AND(MOVIMIENTOS!$B153="PROCESO",MOVIMIENTOS!$C153&lt;&gt;"Chancho")),NOT(AND(MOVIMIENTOS!$B153="SALDO INICIAL",MOVIMIENTOS!$C153="Chancho"))),MOVIMIENTOS!$A153,"")</f>
        <v>46226</v>
      </c>
      <c r="L154" s="48" t="str">
        <f aca="false">IF(AND(MOVIMIENTOS!$B153&lt;&gt;"",NOT(AND(MOVIMIENTOS!$B153="PROCESO",MOVIMIENTOS!$C153&lt;&gt;"Chancho")),NOT(AND(MOVIMIENTOS!$B153="SALDO INICIAL",MOVIMIENTOS!$C153="Chancho"))),IF(MOVIMIENTOS!$B153="SALDO INICIAL","APERTURA ("&amp;MOVIMIENTOS!$C153&amp;")",IF(MOVIMIENTOS!$B153="COMPRA","INGRESO (compra)",IF(MOVIMIENTOS!$B153="PROCESO","CHANCHO (proceso)",IF(MOVIMIENTOS!$B153="ENVÍO A SUPESA","ENVÍO cal. "&amp;MOVIMIENTOS!$C153,IF(MOVIMIENTOS!$B153="VENTA CHANCHO","VENTA CHANCHO",IF(MOVIMIENTOS!$B153="VENTA","VENTA cal. "&amp;MOVIMIENTOS!$C153,IF(MOVIMIENTOS!$B153="REGALO","REGALO "&amp;MOVIMIENTOS!$C153,IF(MOVIMIENTOS!$B153="RECHAZO","RECHAZO cal. "&amp;MOVIMIENTOS!$C153&amp;" (va a reproceso)",IF(MOVIMIENTOS!$B153="DEVOLUCIÓN","DEVOLUCIÓN cal. "&amp;MOVIMIENTOS!$C153&amp;" (regresa intacta)",IF(MOVIMIENTOS!$B153="TRASIEGO","TRASIEGO cal. "&amp;MOVIMIENTOS!$C153,MOVIMIENTOS!$B153)))))))))),"")</f>
        <v>VENTA CHANCHO</v>
      </c>
      <c r="M154" s="48" t="str">
        <f aca="false">IF(AND(AND(MOVIMIENTOS!$B153&lt;&gt;"",NOT(AND(MOVIMIENTOS!$B153="PROCESO",MOVIMIENTOS!$C153&lt;&gt;"Chancho")),NOT(AND(MOVIMIENTOS!$B153="SALDO INICIAL",MOVIMIENTOS!$C153="Chancho"))),OR(MOVIMIENTOS!$B153="SALDO INICIAL",MOVIMIENTOS!$B153="COMPRA",MOVIMIENTOS!$B153="REPROCESO",MOVIMIENTOS!$B153="DEVOLUCIÓN",AND(MOVIMIENTOS!$B153="AJUSTE",MOVIMIENTOS!$C153&lt;&gt;"Chancho",N(MOVIMIENTOS!$F153)&gt;=0))),N(MOVIMIENTOS!$F153),"")</f>
        <v/>
      </c>
      <c r="N154" s="48" t="str">
        <f aca="false">IF(AND(AND(MOVIMIENTOS!$B153&lt;&gt;"",NOT(AND(MOVIMIENTOS!$B153="PROCESO",MOVIMIENTOS!$C153&lt;&gt;"Chancho")),NOT(AND(MOVIMIENTOS!$B153="SALDO INICIAL",MOVIMIENTOS!$C153="Chancho"))),OR(MOVIMIENTOS!$B153="ENVÍO A SUPESA",MOVIMIENTOS!$B153="MALOGRADO",MOVIMIENTOS!$B153="OTRA SALIDA",MOVIMIENTOS!$B153="TRASIEGO",AND(MOVIMIENTOS!$B153="PROCESO",MOVIMIENTOS!$C153="Chancho"),AND(MOVIMIENTOS!$B153="REGALO",MOVIMIENTOS!$C153&lt;&gt;"Chancho"),AND(MOVIMIENTOS!$B153="VENTA",MOVIMIENTOS!$C153&lt;&gt;"Chancho"),AND(MOVIMIENTOS!$B153="AJUSTE",MOVIMIENTOS!$C153&lt;&gt;"Chancho",N(MOVIMIENTOS!$F153)&lt;0))),IF(MOVIMIENTOS!$B153="AJUSTE",-N(MOVIMIENTOS!$F153),N(MOVIMIENTOS!$F153)),"")</f>
        <v/>
      </c>
      <c r="O154" s="48" t="str">
        <f aca="false">IF(AND(MOVIMIENTOS!$B153&lt;&gt;"",NOT(AND(MOVIMIENTOS!$B153="PROCESO",MOVIMIENTOS!$C153&lt;&gt;"Chancho")),NOT(AND(MOVIMIENTOS!$B153="SALDO INICIAL",MOVIMIENTOS!$C153="Chancho"))),IF(MOVIMIENTOS!$B153="RECHAZO",MOVIMIENTOS!$E153&amp;" jabas rechazadas · van a reproceso",IF(MOVIMIENTOS!$B153="REPROCESO",MOVIMIENTOS!$E153&amp;" kg recuperados (merma del día: "&amp;TEXT(SUMPRODUCT((MOVIMIENTOS!$A$5:$A$400=MOVIMIENTOS!$A153)*(MOVIMIENTOS!$B$5:$B$400="RECHAZO")*(MOVIMIENTOS!$D$5:$D$400="jabas")*MOVIMIENTOS!$E$5:$E$400*IFERROR(_xlfn.SWITCH(MOVIMIENTOS!$C$5:$C$400,"A",15,"P",18,"C",17,"M",17,0),0))-SUMPRODUCT((MOVIMIENTOS!$A$5:$A$400=MOVIMIENTOS!$A153)*(MOVIMIENTOS!$B$5:$B$400="REPROCESO")*MOVIMIENTOS!$I$5:$I$400),"+#,##0;-#,##0;0")&amp;" kg)",TRIM(IF(MOVIMIENTOS!$G153&lt;&gt;"",MOVIMIENTOS!$G153&amp;"  ","")&amp;IF(N(MOVIMIENTOS!$D153)&gt;0,MOVIMIENTOS!$D153&amp;" "&amp;MOVIMIENTOS!$D153,"")))),"")</f>
        <v>S/T</v>
      </c>
      <c r="P154" s="48" t="n">
        <f aca="false">N(P153)+N(M154)-N(N154)</f>
        <v>2499</v>
      </c>
      <c r="Q154" s="48"/>
      <c r="R154" s="48"/>
      <c r="S154" s="48"/>
      <c r="T154" s="48"/>
    </row>
    <row r="155" customFormat="false" ht="15" hidden="false" customHeight="true" outlineLevel="0" collapsed="false">
      <c r="A155" s="51" t="str">
        <f aca="false">IFERROR(INDEX(K$6:K$401,MATCH(ROW()-5,J$6:J$401,0)),"")</f>
        <v/>
      </c>
      <c r="B155" s="56" t="str">
        <f aca="false">IFERROR(INDEX(L$6:L$401,MATCH(ROW()-5,J$6:J$401,0)),"")</f>
        <v/>
      </c>
      <c r="C155" s="52" t="str">
        <f aca="false">IFERROR(INDEX(M$6:M$401,MATCH(ROW()-5,J$6:J$401,0)),"")</f>
        <v/>
      </c>
      <c r="D155" s="52" t="str">
        <f aca="false">IFERROR(INDEX(N$6:N$401,MATCH(ROW()-5,J$6:J$401,0)),"")</f>
        <v/>
      </c>
      <c r="E155" s="56" t="str">
        <f aca="false">IFERROR(INDEX(O$6:O$401,MATCH(ROW()-5,J$6:J$401,0)),"")</f>
        <v/>
      </c>
      <c r="F155" s="52" t="str">
        <f aca="false">IFERROR(INDEX(P$6:P$401,MATCH(ROW()-5,J$6:J$401,0)),"")</f>
        <v/>
      </c>
      <c r="G155" s="48"/>
      <c r="H155" s="48"/>
      <c r="I155" s="48"/>
      <c r="J155" s="48" t="n">
        <f aca="false">IF(AND(MOVIMIENTOS!$B154&lt;&gt;"",NOT(AND(MOVIMIENTOS!$B154="PROCESO",MOVIMIENTOS!$C154&lt;&gt;"Chancho")),NOT(AND(MOVIMIENTOS!$B154="SALDO INICIAL",MOVIMIENTOS!$C154="Chancho"))),COUNT(J$6:J154)+1,"")</f>
        <v>97</v>
      </c>
      <c r="K155" s="53" t="n">
        <f aca="false">IF(AND(MOVIMIENTOS!$B154&lt;&gt;"",NOT(AND(MOVIMIENTOS!$B154="PROCESO",MOVIMIENTOS!$C154&lt;&gt;"Chancho")),NOT(AND(MOVIMIENTOS!$B154="SALDO INICIAL",MOVIMIENTOS!$C154="Chancho"))),MOVIMIENTOS!$A154,"")</f>
        <v>46226</v>
      </c>
      <c r="L155" s="48" t="str">
        <f aca="false">IF(AND(MOVIMIENTOS!$B154&lt;&gt;"",NOT(AND(MOVIMIENTOS!$B154="PROCESO",MOVIMIENTOS!$C154&lt;&gt;"Chancho")),NOT(AND(MOVIMIENTOS!$B154="SALDO INICIAL",MOVIMIENTOS!$C154="Chancho"))),IF(MOVIMIENTOS!$B154="SALDO INICIAL","APERTURA ("&amp;MOVIMIENTOS!$C154&amp;")",IF(MOVIMIENTOS!$B154="COMPRA","INGRESO (compra)",IF(MOVIMIENTOS!$B154="PROCESO","CHANCHO (proceso)",IF(MOVIMIENTOS!$B154="ENVÍO A SUPESA","ENVÍO cal. "&amp;MOVIMIENTOS!$C154,IF(MOVIMIENTOS!$B154="VENTA CHANCHO","VENTA CHANCHO",IF(MOVIMIENTOS!$B154="VENTA","VENTA cal. "&amp;MOVIMIENTOS!$C154,IF(MOVIMIENTOS!$B154="REGALO","REGALO "&amp;MOVIMIENTOS!$C154,IF(MOVIMIENTOS!$B154="RECHAZO","RECHAZO cal. "&amp;MOVIMIENTOS!$C154&amp;" (va a reproceso)",IF(MOVIMIENTOS!$B154="DEVOLUCIÓN","DEVOLUCIÓN cal. "&amp;MOVIMIENTOS!$C154&amp;" (regresa intacta)",IF(MOVIMIENTOS!$B154="TRASIEGO","TRASIEGO cal. "&amp;MOVIMIENTOS!$C154,MOVIMIENTOS!$B154)))))))))),"")</f>
        <v>INGRESO (compra)</v>
      </c>
      <c r="M155" s="48" t="n">
        <f aca="false">IF(AND(AND(MOVIMIENTOS!$B154&lt;&gt;"",NOT(AND(MOVIMIENTOS!$B154="PROCESO",MOVIMIENTOS!$C154&lt;&gt;"Chancho")),NOT(AND(MOVIMIENTOS!$B154="SALDO INICIAL",MOVIMIENTOS!$C154="Chancho"))),OR(MOVIMIENTOS!$B154="SALDO INICIAL",MOVIMIENTOS!$B154="COMPRA",MOVIMIENTOS!$B154="REPROCESO",MOVIMIENTOS!$B154="DEVOLUCIÓN",AND(MOVIMIENTOS!$B154="AJUSTE",MOVIMIENTOS!$C154&lt;&gt;"Chancho",N(MOVIMIENTOS!$F154)&gt;=0))),N(MOVIMIENTOS!$F154),"")</f>
        <v>4085</v>
      </c>
      <c r="N155" s="48" t="str">
        <f aca="false">IF(AND(AND(MOVIMIENTOS!$B154&lt;&gt;"",NOT(AND(MOVIMIENTOS!$B154="PROCESO",MOVIMIENTOS!$C154&lt;&gt;"Chancho")),NOT(AND(MOVIMIENTOS!$B154="SALDO INICIAL",MOVIMIENTOS!$C154="Chancho"))),OR(MOVIMIENTOS!$B154="ENVÍO A SUPESA",MOVIMIENTOS!$B154="MALOGRADO",MOVIMIENTOS!$B154="OTRA SALIDA",MOVIMIENTOS!$B154="TRASIEGO",AND(MOVIMIENTOS!$B154="PROCESO",MOVIMIENTOS!$C154="Chancho"),AND(MOVIMIENTOS!$B154="REGALO",MOVIMIENTOS!$C154&lt;&gt;"Chancho"),AND(MOVIMIENTOS!$B154="VENTA",MOVIMIENTOS!$C154&lt;&gt;"Chancho"),AND(MOVIMIENTOS!$B154="AJUSTE",MOVIMIENTOS!$C154&lt;&gt;"Chancho",N(MOVIMIENTOS!$F154)&lt;0))),IF(MOVIMIENTOS!$B154="AJUSTE",-N(MOVIMIENTOS!$F154),N(MOVIMIENTOS!$F154)),"")</f>
        <v/>
      </c>
      <c r="O155" s="48" t="str">
        <f aca="false">IF(AND(MOVIMIENTOS!$B154&lt;&gt;"",NOT(AND(MOVIMIENTOS!$B154="PROCESO",MOVIMIENTOS!$C154&lt;&gt;"Chancho")),NOT(AND(MOVIMIENTOS!$B154="SALDO INICIAL",MOVIMIENTOS!$C154="Chancho"))),IF(MOVIMIENTOS!$B154="RECHAZO",MOVIMIENTOS!$E154&amp;" jabas rechazadas · van a reproceso",IF(MOVIMIENTOS!$B154="REPROCESO",MOVIMIENTOS!$E154&amp;" kg recuperados (merma del día: "&amp;TEXT(SUMPRODUCT((MOVIMIENTOS!$A$5:$A$400=MOVIMIENTOS!$A154)*(MOVIMIENTOS!$B$5:$B$400="RECHAZO")*(MOVIMIENTOS!$D$5:$D$400="jabas")*MOVIMIENTOS!$E$5:$E$400*IFERROR(_xlfn.SWITCH(MOVIMIENTOS!$C$5:$C$400,"A",15,"P",18,"C",17,"M",17,0),0))-SUMPRODUCT((MOVIMIENTOS!$A$5:$A$400=MOVIMIENTOS!$A154)*(MOVIMIENTOS!$B$5:$B$400="REPROCESO")*MOVIMIENTOS!$I$5:$I$400),"+#,##0;-#,##0;0")&amp;" kg)",TRIM(IF(MOVIMIENTOS!$G154&lt;&gt;"",MOVIMIENTOS!$G154&amp;"  ","")&amp;IF(N(MOVIMIENTOS!$D154)&gt;0,MOVIMIENTOS!$D154&amp;" "&amp;MOVIMIENTOS!$D154,"")))),"")</f>
        <v/>
      </c>
      <c r="P155" s="48" t="n">
        <f aca="false">N(P154)+N(M155)-N(N155)</f>
        <v>6584</v>
      </c>
      <c r="Q155" s="48"/>
      <c r="R155" s="48"/>
      <c r="S155" s="48"/>
      <c r="T155" s="48"/>
    </row>
    <row r="156" customFormat="false" ht="15" hidden="false" customHeight="true" outlineLevel="0" collapsed="false">
      <c r="A156" s="51" t="str">
        <f aca="false">IFERROR(INDEX(K$6:K$401,MATCH(ROW()-5,J$6:J$401,0)),"")</f>
        <v/>
      </c>
      <c r="B156" s="56" t="str">
        <f aca="false">IFERROR(INDEX(L$6:L$401,MATCH(ROW()-5,J$6:J$401,0)),"")</f>
        <v/>
      </c>
      <c r="C156" s="52" t="str">
        <f aca="false">IFERROR(INDEX(M$6:M$401,MATCH(ROW()-5,J$6:J$401,0)),"")</f>
        <v/>
      </c>
      <c r="D156" s="52" t="str">
        <f aca="false">IFERROR(INDEX(N$6:N$401,MATCH(ROW()-5,J$6:J$401,0)),"")</f>
        <v/>
      </c>
      <c r="E156" s="56" t="str">
        <f aca="false">IFERROR(INDEX(O$6:O$401,MATCH(ROW()-5,J$6:J$401,0)),"")</f>
        <v/>
      </c>
      <c r="F156" s="52" t="str">
        <f aca="false">IFERROR(INDEX(P$6:P$401,MATCH(ROW()-5,J$6:J$401,0)),"")</f>
        <v/>
      </c>
      <c r="G156" s="48"/>
      <c r="H156" s="48"/>
      <c r="I156" s="48"/>
      <c r="J156" s="48" t="n">
        <f aca="false">IF(AND(MOVIMIENTOS!$B155&lt;&gt;"",NOT(AND(MOVIMIENTOS!$B155="PROCESO",MOVIMIENTOS!$C155&lt;&gt;"Chancho")),NOT(AND(MOVIMIENTOS!$B155="SALDO INICIAL",MOVIMIENTOS!$C155="Chancho"))),COUNT(J$6:J155)+1,"")</f>
        <v>98</v>
      </c>
      <c r="K156" s="53" t="n">
        <f aca="false">IF(AND(MOVIMIENTOS!$B155&lt;&gt;"",NOT(AND(MOVIMIENTOS!$B155="PROCESO",MOVIMIENTOS!$C155&lt;&gt;"Chancho")),NOT(AND(MOVIMIENTOS!$B155="SALDO INICIAL",MOVIMIENTOS!$C155="Chancho"))),MOVIMIENTOS!$A155,"")</f>
        <v>46226</v>
      </c>
      <c r="L156" s="48" t="str">
        <f aca="false">IF(AND(MOVIMIENTOS!$B155&lt;&gt;"",NOT(AND(MOVIMIENTOS!$B155="PROCESO",MOVIMIENTOS!$C155&lt;&gt;"Chancho")),NOT(AND(MOVIMIENTOS!$B155="SALDO INICIAL",MOVIMIENTOS!$C155="Chancho"))),IF(MOVIMIENTOS!$B155="SALDO INICIAL","APERTURA ("&amp;MOVIMIENTOS!$C155&amp;")",IF(MOVIMIENTOS!$B155="COMPRA","INGRESO (compra)",IF(MOVIMIENTOS!$B155="PROCESO","CHANCHO (proceso)",IF(MOVIMIENTOS!$B155="ENVÍO A SUPESA","ENVÍO cal. "&amp;MOVIMIENTOS!$C155,IF(MOVIMIENTOS!$B155="VENTA CHANCHO","VENTA CHANCHO",IF(MOVIMIENTOS!$B155="VENTA","VENTA cal. "&amp;MOVIMIENTOS!$C155,IF(MOVIMIENTOS!$B155="REGALO","REGALO "&amp;MOVIMIENTOS!$C155,IF(MOVIMIENTOS!$B155="RECHAZO","RECHAZO cal. "&amp;MOVIMIENTOS!$C155&amp;" (va a reproceso)",IF(MOVIMIENTOS!$B155="DEVOLUCIÓN","DEVOLUCIÓN cal. "&amp;MOVIMIENTOS!$C155&amp;" (regresa intacta)",IF(MOVIMIENTOS!$B155="TRASIEGO","TRASIEGO cal. "&amp;MOVIMIENTOS!$C155,MOVIMIENTOS!$B155)))))))))),"")</f>
        <v>INGRESO (compra)</v>
      </c>
      <c r="M156" s="48" t="n">
        <f aca="false">IF(AND(AND(MOVIMIENTOS!$B155&lt;&gt;"",NOT(AND(MOVIMIENTOS!$B155="PROCESO",MOVIMIENTOS!$C155&lt;&gt;"Chancho")),NOT(AND(MOVIMIENTOS!$B155="SALDO INICIAL",MOVIMIENTOS!$C155="Chancho"))),OR(MOVIMIENTOS!$B155="SALDO INICIAL",MOVIMIENTOS!$B155="COMPRA",MOVIMIENTOS!$B155="REPROCESO",MOVIMIENTOS!$B155="DEVOLUCIÓN",AND(MOVIMIENTOS!$B155="AJUSTE",MOVIMIENTOS!$C155&lt;&gt;"Chancho",N(MOVIMIENTOS!$F155)&gt;=0))),N(MOVIMIENTOS!$F155),"")</f>
        <v>3515</v>
      </c>
      <c r="N156" s="48" t="str">
        <f aca="false">IF(AND(AND(MOVIMIENTOS!$B155&lt;&gt;"",NOT(AND(MOVIMIENTOS!$B155="PROCESO",MOVIMIENTOS!$C155&lt;&gt;"Chancho")),NOT(AND(MOVIMIENTOS!$B155="SALDO INICIAL",MOVIMIENTOS!$C155="Chancho"))),OR(MOVIMIENTOS!$B155="ENVÍO A SUPESA",MOVIMIENTOS!$B155="MALOGRADO",MOVIMIENTOS!$B155="OTRA SALIDA",MOVIMIENTOS!$B155="TRASIEGO",AND(MOVIMIENTOS!$B155="PROCESO",MOVIMIENTOS!$C155="Chancho"),AND(MOVIMIENTOS!$B155="REGALO",MOVIMIENTOS!$C155&lt;&gt;"Chancho"),AND(MOVIMIENTOS!$B155="VENTA",MOVIMIENTOS!$C155&lt;&gt;"Chancho"),AND(MOVIMIENTOS!$B155="AJUSTE",MOVIMIENTOS!$C155&lt;&gt;"Chancho",N(MOVIMIENTOS!$F155)&lt;0))),IF(MOVIMIENTOS!$B155="AJUSTE",-N(MOVIMIENTOS!$F155),N(MOVIMIENTOS!$F155)),"")</f>
        <v/>
      </c>
      <c r="O156" s="48" t="str">
        <f aca="false">IF(AND(MOVIMIENTOS!$B155&lt;&gt;"",NOT(AND(MOVIMIENTOS!$B155="PROCESO",MOVIMIENTOS!$C155&lt;&gt;"Chancho")),NOT(AND(MOVIMIENTOS!$B155="SALDO INICIAL",MOVIMIENTOS!$C155="Chancho"))),IF(MOVIMIENTOS!$B155="RECHAZO",MOVIMIENTOS!$E155&amp;" jabas rechazadas · van a reproceso",IF(MOVIMIENTOS!$B155="REPROCESO",MOVIMIENTOS!$E155&amp;" kg recuperados (merma del día: "&amp;TEXT(SUMPRODUCT((MOVIMIENTOS!$A$5:$A$400=MOVIMIENTOS!$A155)*(MOVIMIENTOS!$B$5:$B$400="RECHAZO")*(MOVIMIENTOS!$D$5:$D$400="jabas")*MOVIMIENTOS!$E$5:$E$400*IFERROR(_xlfn.SWITCH(MOVIMIENTOS!$C$5:$C$400,"A",15,"P",18,"C",17,"M",17,0),0))-SUMPRODUCT((MOVIMIENTOS!$A$5:$A$400=MOVIMIENTOS!$A155)*(MOVIMIENTOS!$B$5:$B$400="REPROCESO")*MOVIMIENTOS!$I$5:$I$400),"+#,##0;-#,##0;0")&amp;" kg)",TRIM(IF(MOVIMIENTOS!$G155&lt;&gt;"",MOVIMIENTOS!$G155&amp;"  ","")&amp;IF(N(MOVIMIENTOS!$D155)&gt;0,MOVIMIENTOS!$D155&amp;" "&amp;MOVIMIENTOS!$D155,"")))),"")</f>
        <v/>
      </c>
      <c r="P156" s="48" t="n">
        <f aca="false">N(P155)+N(M156)-N(N156)</f>
        <v>10099</v>
      </c>
      <c r="Q156" s="48"/>
      <c r="R156" s="48"/>
      <c r="S156" s="48"/>
      <c r="T156" s="48"/>
    </row>
    <row r="157" customFormat="false" ht="15" hidden="false" customHeight="true" outlineLevel="0" collapsed="false">
      <c r="A157" s="51" t="str">
        <f aca="false">IFERROR(INDEX(K$6:K$401,MATCH(ROW()-5,J$6:J$401,0)),"")</f>
        <v/>
      </c>
      <c r="B157" s="56" t="str">
        <f aca="false">IFERROR(INDEX(L$6:L$401,MATCH(ROW()-5,J$6:J$401,0)),"")</f>
        <v/>
      </c>
      <c r="C157" s="52" t="str">
        <f aca="false">IFERROR(INDEX(M$6:M$401,MATCH(ROW()-5,J$6:J$401,0)),"")</f>
        <v/>
      </c>
      <c r="D157" s="52" t="str">
        <f aca="false">IFERROR(INDEX(N$6:N$401,MATCH(ROW()-5,J$6:J$401,0)),"")</f>
        <v/>
      </c>
      <c r="E157" s="56" t="str">
        <f aca="false">IFERROR(INDEX(O$6:O$401,MATCH(ROW()-5,J$6:J$401,0)),"")</f>
        <v/>
      </c>
      <c r="F157" s="52" t="str">
        <f aca="false">IFERROR(INDEX(P$6:P$401,MATCH(ROW()-5,J$6:J$401,0)),"")</f>
        <v/>
      </c>
      <c r="G157" s="48"/>
      <c r="H157" s="48"/>
      <c r="I157" s="48"/>
      <c r="J157" s="48" t="str">
        <f aca="false">IF(AND(MOVIMIENTOS!$B156&lt;&gt;"",NOT(AND(MOVIMIENTOS!$B156="PROCESO",MOVIMIENTOS!$C156&lt;&gt;"Chancho")),NOT(AND(MOVIMIENTOS!$B156="SALDO INICIAL",MOVIMIENTOS!$C156="Chancho"))),COUNT(J$6:J156)+1,"")</f>
        <v/>
      </c>
      <c r="K157" s="48" t="str">
        <f aca="false">IF(AND(MOVIMIENTOS!$B156&lt;&gt;"",NOT(AND(MOVIMIENTOS!$B156="PROCESO",MOVIMIENTOS!$C156&lt;&gt;"Chancho")),NOT(AND(MOVIMIENTOS!$B156="SALDO INICIAL",MOVIMIENTOS!$C156="Chancho"))),MOVIMIENTOS!$A156,"")</f>
        <v/>
      </c>
      <c r="L157" s="48" t="str">
        <f aca="false">IF(AND(MOVIMIENTOS!$B156&lt;&gt;"",NOT(AND(MOVIMIENTOS!$B156="PROCESO",MOVIMIENTOS!$C156&lt;&gt;"Chancho")),NOT(AND(MOVIMIENTOS!$B156="SALDO INICIAL",MOVIMIENTOS!$C156="Chancho"))),IF(MOVIMIENTOS!$B156="SALDO INICIAL","APERTURA ("&amp;MOVIMIENTOS!$C156&amp;")",IF(MOVIMIENTOS!$B156="COMPRA","INGRESO (compra)",IF(MOVIMIENTOS!$B156="PROCESO","CHANCHO (proceso)",IF(MOVIMIENTOS!$B156="ENVÍO A SUPESA","ENVÍO cal. "&amp;MOVIMIENTOS!$C156,IF(MOVIMIENTOS!$B156="VENTA CHANCHO","VENTA CHANCHO",IF(MOVIMIENTOS!$B156="VENTA","VENTA cal. "&amp;MOVIMIENTOS!$C156,IF(MOVIMIENTOS!$B156="REGALO","REGALO "&amp;MOVIMIENTOS!$C156,IF(MOVIMIENTOS!$B156="RECHAZO","RECHAZO cal. "&amp;MOVIMIENTOS!$C156&amp;" (va a reproceso)",IF(MOVIMIENTOS!$B156="DEVOLUCIÓN","DEVOLUCIÓN cal. "&amp;MOVIMIENTOS!$C156&amp;" (regresa intacta)",IF(MOVIMIENTOS!$B156="TRASIEGO","TRASIEGO cal. "&amp;MOVIMIENTOS!$C156,MOVIMIENTOS!$B156)))))))))),"")</f>
        <v/>
      </c>
      <c r="M157" s="48" t="str">
        <f aca="false">IF(AND(AND(MOVIMIENTOS!$B156&lt;&gt;"",NOT(AND(MOVIMIENTOS!$B156="PROCESO",MOVIMIENTOS!$C156&lt;&gt;"Chancho")),NOT(AND(MOVIMIENTOS!$B156="SALDO INICIAL",MOVIMIENTOS!$C156="Chancho"))),OR(MOVIMIENTOS!$B156="SALDO INICIAL",MOVIMIENTOS!$B156="COMPRA",MOVIMIENTOS!$B156="REPROCESO",MOVIMIENTOS!$B156="DEVOLUCIÓN",AND(MOVIMIENTOS!$B156="AJUSTE",MOVIMIENTOS!$C156&lt;&gt;"Chancho",N(MOVIMIENTOS!$F156)&gt;=0))),N(MOVIMIENTOS!$F156),"")</f>
        <v/>
      </c>
      <c r="N157" s="48" t="str">
        <f aca="false">IF(AND(AND(MOVIMIENTOS!$B156&lt;&gt;"",NOT(AND(MOVIMIENTOS!$B156="PROCESO",MOVIMIENTOS!$C156&lt;&gt;"Chancho")),NOT(AND(MOVIMIENTOS!$B156="SALDO INICIAL",MOVIMIENTOS!$C156="Chancho"))),OR(MOVIMIENTOS!$B156="ENVÍO A SUPESA",MOVIMIENTOS!$B156="MALOGRADO",MOVIMIENTOS!$B156="OTRA SALIDA",MOVIMIENTOS!$B156="TRASIEGO",AND(MOVIMIENTOS!$B156="PROCESO",MOVIMIENTOS!$C156="Chancho"),AND(MOVIMIENTOS!$B156="REGALO",MOVIMIENTOS!$C156&lt;&gt;"Chancho"),AND(MOVIMIENTOS!$B156="VENTA",MOVIMIENTOS!$C156&lt;&gt;"Chancho"),AND(MOVIMIENTOS!$B156="AJUSTE",MOVIMIENTOS!$C156&lt;&gt;"Chancho",N(MOVIMIENTOS!$F156)&lt;0))),IF(MOVIMIENTOS!$B156="AJUSTE",-N(MOVIMIENTOS!$F156),N(MOVIMIENTOS!$F156)),"")</f>
        <v/>
      </c>
      <c r="O157" s="48" t="str">
        <f aca="false">IF(AND(MOVIMIENTOS!$B156&lt;&gt;"",NOT(AND(MOVIMIENTOS!$B156="PROCESO",MOVIMIENTOS!$C156&lt;&gt;"Chancho")),NOT(AND(MOVIMIENTOS!$B156="SALDO INICIAL",MOVIMIENTOS!$C156="Chancho"))),IF(MOVIMIENTOS!$B156="RECHAZO",MOVIMIENTOS!$E156&amp;" jabas rechazadas · van a reproceso",IF(MOVIMIENTOS!$B156="REPROCESO",MOVIMIENTOS!$E156&amp;" kg recuperados (merma del día: "&amp;TEXT(SUMPRODUCT((MOVIMIENTOS!$A$5:$A$400=MOVIMIENTOS!$A156)*(MOVIMIENTOS!$B$5:$B$400="RECHAZO")*(MOVIMIENTOS!$D$5:$D$400="jabas")*MOVIMIENTOS!$E$5:$E$400*IFERROR(_xlfn.SWITCH(MOVIMIENTOS!$C$5:$C$400,"A",15,"P",18,"C",17,"M",17,0),0))-SUMPRODUCT((MOVIMIENTOS!$A$5:$A$400=MOVIMIENTOS!$A156)*(MOVIMIENTOS!$B$5:$B$400="REPROCESO")*MOVIMIENTOS!$I$5:$I$400),"+#,##0;-#,##0;0")&amp;" kg)",TRIM(IF(MOVIMIENTOS!$G156&lt;&gt;"",MOVIMIENTOS!$G156&amp;"  ","")&amp;IF(N(MOVIMIENTOS!$D156)&gt;0,MOVIMIENTOS!$D156&amp;" "&amp;MOVIMIENTOS!$D156,"")))),"")</f>
        <v/>
      </c>
      <c r="P157" s="48" t="n">
        <f aca="false">N(P156)+N(M157)-N(N157)</f>
        <v>10099</v>
      </c>
      <c r="Q157" s="48"/>
      <c r="R157" s="48"/>
      <c r="S157" s="48"/>
      <c r="T157" s="48"/>
    </row>
    <row r="158" customFormat="false" ht="15" hidden="false" customHeight="true" outlineLevel="0" collapsed="false">
      <c r="A158" s="51" t="str">
        <f aca="false">IFERROR(INDEX(K$6:K$401,MATCH(ROW()-5,J$6:J$401,0)),"")</f>
        <v/>
      </c>
      <c r="B158" s="56" t="str">
        <f aca="false">IFERROR(INDEX(L$6:L$401,MATCH(ROW()-5,J$6:J$401,0)),"")</f>
        <v/>
      </c>
      <c r="C158" s="52" t="str">
        <f aca="false">IFERROR(INDEX(M$6:M$401,MATCH(ROW()-5,J$6:J$401,0)),"")</f>
        <v/>
      </c>
      <c r="D158" s="52" t="str">
        <f aca="false">IFERROR(INDEX(N$6:N$401,MATCH(ROW()-5,J$6:J$401,0)),"")</f>
        <v/>
      </c>
      <c r="E158" s="56" t="str">
        <f aca="false">IFERROR(INDEX(O$6:O$401,MATCH(ROW()-5,J$6:J$401,0)),"")</f>
        <v/>
      </c>
      <c r="F158" s="52" t="str">
        <f aca="false">IFERROR(INDEX(P$6:P$401,MATCH(ROW()-5,J$6:J$401,0)),"")</f>
        <v/>
      </c>
      <c r="G158" s="48"/>
      <c r="H158" s="48"/>
      <c r="I158" s="48"/>
      <c r="J158" s="48" t="str">
        <f aca="false">IF(AND(MOVIMIENTOS!$B157&lt;&gt;"",NOT(AND(MOVIMIENTOS!$B157="PROCESO",MOVIMIENTOS!$C157&lt;&gt;"Chancho")),NOT(AND(MOVIMIENTOS!$B157="SALDO INICIAL",MOVIMIENTOS!$C157="Chancho"))),COUNT(J$6:J157)+1,"")</f>
        <v/>
      </c>
      <c r="K158" s="48" t="str">
        <f aca="false">IF(AND(MOVIMIENTOS!$B157&lt;&gt;"",NOT(AND(MOVIMIENTOS!$B157="PROCESO",MOVIMIENTOS!$C157&lt;&gt;"Chancho")),NOT(AND(MOVIMIENTOS!$B157="SALDO INICIAL",MOVIMIENTOS!$C157="Chancho"))),MOVIMIENTOS!$A157,"")</f>
        <v/>
      </c>
      <c r="L158" s="48" t="str">
        <f aca="false">IF(AND(MOVIMIENTOS!$B157&lt;&gt;"",NOT(AND(MOVIMIENTOS!$B157="PROCESO",MOVIMIENTOS!$C157&lt;&gt;"Chancho")),NOT(AND(MOVIMIENTOS!$B157="SALDO INICIAL",MOVIMIENTOS!$C157="Chancho"))),IF(MOVIMIENTOS!$B157="SALDO INICIAL","APERTURA ("&amp;MOVIMIENTOS!$C157&amp;")",IF(MOVIMIENTOS!$B157="COMPRA","INGRESO (compra)",IF(MOVIMIENTOS!$B157="PROCESO","CHANCHO (proceso)",IF(MOVIMIENTOS!$B157="ENVÍO A SUPESA","ENVÍO cal. "&amp;MOVIMIENTOS!$C157,IF(MOVIMIENTOS!$B157="VENTA CHANCHO","VENTA CHANCHO",IF(MOVIMIENTOS!$B157="VENTA","VENTA cal. "&amp;MOVIMIENTOS!$C157,IF(MOVIMIENTOS!$B157="REGALO","REGALO "&amp;MOVIMIENTOS!$C157,IF(MOVIMIENTOS!$B157="RECHAZO","RECHAZO cal. "&amp;MOVIMIENTOS!$C157&amp;" (va a reproceso)",IF(MOVIMIENTOS!$B157="DEVOLUCIÓN","DEVOLUCIÓN cal. "&amp;MOVIMIENTOS!$C157&amp;" (regresa intacta)",IF(MOVIMIENTOS!$B157="TRASIEGO","TRASIEGO cal. "&amp;MOVIMIENTOS!$C157,MOVIMIENTOS!$B157)))))))))),"")</f>
        <v/>
      </c>
      <c r="M158" s="48" t="str">
        <f aca="false">IF(AND(AND(MOVIMIENTOS!$B157&lt;&gt;"",NOT(AND(MOVIMIENTOS!$B157="PROCESO",MOVIMIENTOS!$C157&lt;&gt;"Chancho")),NOT(AND(MOVIMIENTOS!$B157="SALDO INICIAL",MOVIMIENTOS!$C157="Chancho"))),OR(MOVIMIENTOS!$B157="SALDO INICIAL",MOVIMIENTOS!$B157="COMPRA",MOVIMIENTOS!$B157="REPROCESO",MOVIMIENTOS!$B157="DEVOLUCIÓN",AND(MOVIMIENTOS!$B157="AJUSTE",MOVIMIENTOS!$C157&lt;&gt;"Chancho",N(MOVIMIENTOS!$F157)&gt;=0))),N(MOVIMIENTOS!$F157),"")</f>
        <v/>
      </c>
      <c r="N158" s="48" t="str">
        <f aca="false">IF(AND(AND(MOVIMIENTOS!$B157&lt;&gt;"",NOT(AND(MOVIMIENTOS!$B157="PROCESO",MOVIMIENTOS!$C157&lt;&gt;"Chancho")),NOT(AND(MOVIMIENTOS!$B157="SALDO INICIAL",MOVIMIENTOS!$C157="Chancho"))),OR(MOVIMIENTOS!$B157="ENVÍO A SUPESA",MOVIMIENTOS!$B157="MALOGRADO",MOVIMIENTOS!$B157="OTRA SALIDA",MOVIMIENTOS!$B157="TRASIEGO",AND(MOVIMIENTOS!$B157="PROCESO",MOVIMIENTOS!$C157="Chancho"),AND(MOVIMIENTOS!$B157="REGALO",MOVIMIENTOS!$C157&lt;&gt;"Chancho"),AND(MOVIMIENTOS!$B157="VENTA",MOVIMIENTOS!$C157&lt;&gt;"Chancho"),AND(MOVIMIENTOS!$B157="AJUSTE",MOVIMIENTOS!$C157&lt;&gt;"Chancho",N(MOVIMIENTOS!$F157)&lt;0))),IF(MOVIMIENTOS!$B157="AJUSTE",-N(MOVIMIENTOS!$F157),N(MOVIMIENTOS!$F157)),"")</f>
        <v/>
      </c>
      <c r="O158" s="48" t="str">
        <f aca="false">IF(AND(MOVIMIENTOS!$B157&lt;&gt;"",NOT(AND(MOVIMIENTOS!$B157="PROCESO",MOVIMIENTOS!$C157&lt;&gt;"Chancho")),NOT(AND(MOVIMIENTOS!$B157="SALDO INICIAL",MOVIMIENTOS!$C157="Chancho"))),IF(MOVIMIENTOS!$B157="RECHAZO",MOVIMIENTOS!$E157&amp;" jabas rechazadas · van a reproceso",IF(MOVIMIENTOS!$B157="REPROCESO",MOVIMIENTOS!$E157&amp;" kg recuperados (merma del día: "&amp;TEXT(SUMPRODUCT((MOVIMIENTOS!$A$5:$A$400=MOVIMIENTOS!$A157)*(MOVIMIENTOS!$B$5:$B$400="RECHAZO")*(MOVIMIENTOS!$D$5:$D$400="jabas")*MOVIMIENTOS!$E$5:$E$400*IFERROR(_xlfn.SWITCH(MOVIMIENTOS!$C$5:$C$400,"A",15,"P",18,"C",17,"M",17,0),0))-SUMPRODUCT((MOVIMIENTOS!$A$5:$A$400=MOVIMIENTOS!$A157)*(MOVIMIENTOS!$B$5:$B$400="REPROCESO")*MOVIMIENTOS!$I$5:$I$400),"+#,##0;-#,##0;0")&amp;" kg)",TRIM(IF(MOVIMIENTOS!$G157&lt;&gt;"",MOVIMIENTOS!$G157&amp;"  ","")&amp;IF(N(MOVIMIENTOS!$D157)&gt;0,MOVIMIENTOS!$D157&amp;" "&amp;MOVIMIENTOS!$D157,"")))),"")</f>
        <v/>
      </c>
      <c r="P158" s="48" t="n">
        <f aca="false">N(P157)+N(M158)-N(N158)</f>
        <v>10099</v>
      </c>
      <c r="Q158" s="48"/>
      <c r="R158" s="48"/>
      <c r="S158" s="48"/>
      <c r="T158" s="48"/>
    </row>
    <row r="159" customFormat="false" ht="15" hidden="false" customHeight="true" outlineLevel="0" collapsed="false">
      <c r="A159" s="51" t="str">
        <f aca="false">IFERROR(INDEX(K$6:K$401,MATCH(ROW()-5,J$6:J$401,0)),"")</f>
        <v/>
      </c>
      <c r="B159" s="56" t="str">
        <f aca="false">IFERROR(INDEX(L$6:L$401,MATCH(ROW()-5,J$6:J$401,0)),"")</f>
        <v/>
      </c>
      <c r="C159" s="52" t="str">
        <f aca="false">IFERROR(INDEX(M$6:M$401,MATCH(ROW()-5,J$6:J$401,0)),"")</f>
        <v/>
      </c>
      <c r="D159" s="52" t="str">
        <f aca="false">IFERROR(INDEX(N$6:N$401,MATCH(ROW()-5,J$6:J$401,0)),"")</f>
        <v/>
      </c>
      <c r="E159" s="56" t="str">
        <f aca="false">IFERROR(INDEX(O$6:O$401,MATCH(ROW()-5,J$6:J$401,0)),"")</f>
        <v/>
      </c>
      <c r="F159" s="52" t="str">
        <f aca="false">IFERROR(INDEX(P$6:P$401,MATCH(ROW()-5,J$6:J$401,0)),"")</f>
        <v/>
      </c>
      <c r="G159" s="48"/>
      <c r="H159" s="48"/>
      <c r="I159" s="48"/>
      <c r="J159" s="48" t="str">
        <f aca="false">IF(AND(MOVIMIENTOS!$B158&lt;&gt;"",NOT(AND(MOVIMIENTOS!$B158="PROCESO",MOVIMIENTOS!$C158&lt;&gt;"Chancho")),NOT(AND(MOVIMIENTOS!$B158="SALDO INICIAL",MOVIMIENTOS!$C158="Chancho"))),COUNT(J$6:J158)+1,"")</f>
        <v/>
      </c>
      <c r="K159" s="48" t="str">
        <f aca="false">IF(AND(MOVIMIENTOS!$B158&lt;&gt;"",NOT(AND(MOVIMIENTOS!$B158="PROCESO",MOVIMIENTOS!$C158&lt;&gt;"Chancho")),NOT(AND(MOVIMIENTOS!$B158="SALDO INICIAL",MOVIMIENTOS!$C158="Chancho"))),MOVIMIENTOS!$A158,"")</f>
        <v/>
      </c>
      <c r="L159" s="48" t="str">
        <f aca="false">IF(AND(MOVIMIENTOS!$B158&lt;&gt;"",NOT(AND(MOVIMIENTOS!$B158="PROCESO",MOVIMIENTOS!$C158&lt;&gt;"Chancho")),NOT(AND(MOVIMIENTOS!$B158="SALDO INICIAL",MOVIMIENTOS!$C158="Chancho"))),IF(MOVIMIENTOS!$B158="SALDO INICIAL","APERTURA ("&amp;MOVIMIENTOS!$C158&amp;")",IF(MOVIMIENTOS!$B158="COMPRA","INGRESO (compra)",IF(MOVIMIENTOS!$B158="PROCESO","CHANCHO (proceso)",IF(MOVIMIENTOS!$B158="ENVÍO A SUPESA","ENVÍO cal. "&amp;MOVIMIENTOS!$C158,IF(MOVIMIENTOS!$B158="VENTA CHANCHO","VENTA CHANCHO",IF(MOVIMIENTOS!$B158="VENTA","VENTA cal. "&amp;MOVIMIENTOS!$C158,IF(MOVIMIENTOS!$B158="REGALO","REGALO "&amp;MOVIMIENTOS!$C158,IF(MOVIMIENTOS!$B158="RECHAZO","RECHAZO cal. "&amp;MOVIMIENTOS!$C158&amp;" (va a reproceso)",IF(MOVIMIENTOS!$B158="DEVOLUCIÓN","DEVOLUCIÓN cal. "&amp;MOVIMIENTOS!$C158&amp;" (regresa intacta)",IF(MOVIMIENTOS!$B158="TRASIEGO","TRASIEGO cal. "&amp;MOVIMIENTOS!$C158,MOVIMIENTOS!$B158)))))))))),"")</f>
        <v/>
      </c>
      <c r="M159" s="48" t="str">
        <f aca="false">IF(AND(AND(MOVIMIENTOS!$B158&lt;&gt;"",NOT(AND(MOVIMIENTOS!$B158="PROCESO",MOVIMIENTOS!$C158&lt;&gt;"Chancho")),NOT(AND(MOVIMIENTOS!$B158="SALDO INICIAL",MOVIMIENTOS!$C158="Chancho"))),OR(MOVIMIENTOS!$B158="SALDO INICIAL",MOVIMIENTOS!$B158="COMPRA",MOVIMIENTOS!$B158="REPROCESO",MOVIMIENTOS!$B158="DEVOLUCIÓN",AND(MOVIMIENTOS!$B158="AJUSTE",MOVIMIENTOS!$C158&lt;&gt;"Chancho",N(MOVIMIENTOS!$F158)&gt;=0))),N(MOVIMIENTOS!$F158),"")</f>
        <v/>
      </c>
      <c r="N159" s="48" t="str">
        <f aca="false">IF(AND(AND(MOVIMIENTOS!$B158&lt;&gt;"",NOT(AND(MOVIMIENTOS!$B158="PROCESO",MOVIMIENTOS!$C158&lt;&gt;"Chancho")),NOT(AND(MOVIMIENTOS!$B158="SALDO INICIAL",MOVIMIENTOS!$C158="Chancho"))),OR(MOVIMIENTOS!$B158="ENVÍO A SUPESA",MOVIMIENTOS!$B158="MALOGRADO",MOVIMIENTOS!$B158="OTRA SALIDA",MOVIMIENTOS!$B158="TRASIEGO",AND(MOVIMIENTOS!$B158="PROCESO",MOVIMIENTOS!$C158="Chancho"),AND(MOVIMIENTOS!$B158="REGALO",MOVIMIENTOS!$C158&lt;&gt;"Chancho"),AND(MOVIMIENTOS!$B158="VENTA",MOVIMIENTOS!$C158&lt;&gt;"Chancho"),AND(MOVIMIENTOS!$B158="AJUSTE",MOVIMIENTOS!$C158&lt;&gt;"Chancho",N(MOVIMIENTOS!$F158)&lt;0))),IF(MOVIMIENTOS!$B158="AJUSTE",-N(MOVIMIENTOS!$F158),N(MOVIMIENTOS!$F158)),"")</f>
        <v/>
      </c>
      <c r="O159" s="48" t="str">
        <f aca="false">IF(AND(MOVIMIENTOS!$B158&lt;&gt;"",NOT(AND(MOVIMIENTOS!$B158="PROCESO",MOVIMIENTOS!$C158&lt;&gt;"Chancho")),NOT(AND(MOVIMIENTOS!$B158="SALDO INICIAL",MOVIMIENTOS!$C158="Chancho"))),IF(MOVIMIENTOS!$B158="RECHAZO",MOVIMIENTOS!$E158&amp;" jabas rechazadas · van a reproceso",IF(MOVIMIENTOS!$B158="REPROCESO",MOVIMIENTOS!$E158&amp;" kg recuperados (merma del día: "&amp;TEXT(SUMPRODUCT((MOVIMIENTOS!$A$5:$A$400=MOVIMIENTOS!$A158)*(MOVIMIENTOS!$B$5:$B$400="RECHAZO")*(MOVIMIENTOS!$D$5:$D$400="jabas")*MOVIMIENTOS!$E$5:$E$400*IFERROR(_xlfn.SWITCH(MOVIMIENTOS!$C$5:$C$400,"A",15,"P",18,"C",17,"M",17,0),0))-SUMPRODUCT((MOVIMIENTOS!$A$5:$A$400=MOVIMIENTOS!$A158)*(MOVIMIENTOS!$B$5:$B$400="REPROCESO")*MOVIMIENTOS!$I$5:$I$400),"+#,##0;-#,##0;0")&amp;" kg)",TRIM(IF(MOVIMIENTOS!$G158&lt;&gt;"",MOVIMIENTOS!$G158&amp;"  ","")&amp;IF(N(MOVIMIENTOS!$D158)&gt;0,MOVIMIENTOS!$D158&amp;" "&amp;MOVIMIENTOS!$D158,"")))),"")</f>
        <v/>
      </c>
      <c r="P159" s="48" t="n">
        <f aca="false">N(P158)+N(M159)-N(N159)</f>
        <v>10099</v>
      </c>
      <c r="Q159" s="48"/>
      <c r="R159" s="48"/>
      <c r="S159" s="48"/>
      <c r="T159" s="48"/>
    </row>
    <row r="160" customFormat="false" ht="15" hidden="false" customHeight="true" outlineLevel="0" collapsed="false">
      <c r="A160" s="51" t="str">
        <f aca="false">IFERROR(INDEX(K$6:K$401,MATCH(ROW()-5,J$6:J$401,0)),"")</f>
        <v/>
      </c>
      <c r="B160" s="56" t="str">
        <f aca="false">IFERROR(INDEX(L$6:L$401,MATCH(ROW()-5,J$6:J$401,0)),"")</f>
        <v/>
      </c>
      <c r="C160" s="52" t="str">
        <f aca="false">IFERROR(INDEX(M$6:M$401,MATCH(ROW()-5,J$6:J$401,0)),"")</f>
        <v/>
      </c>
      <c r="D160" s="52" t="str">
        <f aca="false">IFERROR(INDEX(N$6:N$401,MATCH(ROW()-5,J$6:J$401,0)),"")</f>
        <v/>
      </c>
      <c r="E160" s="56" t="str">
        <f aca="false">IFERROR(INDEX(O$6:O$401,MATCH(ROW()-5,J$6:J$401,0)),"")</f>
        <v/>
      </c>
      <c r="F160" s="52" t="str">
        <f aca="false">IFERROR(INDEX(P$6:P$401,MATCH(ROW()-5,J$6:J$401,0)),"")</f>
        <v/>
      </c>
      <c r="G160" s="48"/>
      <c r="H160" s="48"/>
      <c r="I160" s="48"/>
      <c r="J160" s="48" t="str">
        <f aca="false">IF(AND(MOVIMIENTOS!$B159&lt;&gt;"",NOT(AND(MOVIMIENTOS!$B159="PROCESO",MOVIMIENTOS!$C159&lt;&gt;"Chancho")),NOT(AND(MOVIMIENTOS!$B159="SALDO INICIAL",MOVIMIENTOS!$C159="Chancho"))),COUNT(J$6:J159)+1,"")</f>
        <v/>
      </c>
      <c r="K160" s="48" t="str">
        <f aca="false">IF(AND(MOVIMIENTOS!$B159&lt;&gt;"",NOT(AND(MOVIMIENTOS!$B159="PROCESO",MOVIMIENTOS!$C159&lt;&gt;"Chancho")),NOT(AND(MOVIMIENTOS!$B159="SALDO INICIAL",MOVIMIENTOS!$C159="Chancho"))),MOVIMIENTOS!$A159,"")</f>
        <v/>
      </c>
      <c r="L160" s="48" t="str">
        <f aca="false">IF(AND(MOVIMIENTOS!$B159&lt;&gt;"",NOT(AND(MOVIMIENTOS!$B159="PROCESO",MOVIMIENTOS!$C159&lt;&gt;"Chancho")),NOT(AND(MOVIMIENTOS!$B159="SALDO INICIAL",MOVIMIENTOS!$C159="Chancho"))),IF(MOVIMIENTOS!$B159="SALDO INICIAL","APERTURA ("&amp;MOVIMIENTOS!$C159&amp;")",IF(MOVIMIENTOS!$B159="COMPRA","INGRESO (compra)",IF(MOVIMIENTOS!$B159="PROCESO","CHANCHO (proceso)",IF(MOVIMIENTOS!$B159="ENVÍO A SUPESA","ENVÍO cal. "&amp;MOVIMIENTOS!$C159,IF(MOVIMIENTOS!$B159="VENTA CHANCHO","VENTA CHANCHO",IF(MOVIMIENTOS!$B159="VENTA","VENTA cal. "&amp;MOVIMIENTOS!$C159,IF(MOVIMIENTOS!$B159="REGALO","REGALO "&amp;MOVIMIENTOS!$C159,IF(MOVIMIENTOS!$B159="RECHAZO","RECHAZO cal. "&amp;MOVIMIENTOS!$C159&amp;" (va a reproceso)",IF(MOVIMIENTOS!$B159="DEVOLUCIÓN","DEVOLUCIÓN cal. "&amp;MOVIMIENTOS!$C159&amp;" (regresa intacta)",IF(MOVIMIENTOS!$B159="TRASIEGO","TRASIEGO cal. "&amp;MOVIMIENTOS!$C159,MOVIMIENTOS!$B159)))))))))),"")</f>
        <v/>
      </c>
      <c r="M160" s="48" t="str">
        <f aca="false">IF(AND(AND(MOVIMIENTOS!$B159&lt;&gt;"",NOT(AND(MOVIMIENTOS!$B159="PROCESO",MOVIMIENTOS!$C159&lt;&gt;"Chancho")),NOT(AND(MOVIMIENTOS!$B159="SALDO INICIAL",MOVIMIENTOS!$C159="Chancho"))),OR(MOVIMIENTOS!$B159="SALDO INICIAL",MOVIMIENTOS!$B159="COMPRA",MOVIMIENTOS!$B159="REPROCESO",MOVIMIENTOS!$B159="DEVOLUCIÓN",AND(MOVIMIENTOS!$B159="AJUSTE",MOVIMIENTOS!$C159&lt;&gt;"Chancho",N(MOVIMIENTOS!$F159)&gt;=0))),N(MOVIMIENTOS!$F159),"")</f>
        <v/>
      </c>
      <c r="N160" s="48" t="str">
        <f aca="false">IF(AND(AND(MOVIMIENTOS!$B159&lt;&gt;"",NOT(AND(MOVIMIENTOS!$B159="PROCESO",MOVIMIENTOS!$C159&lt;&gt;"Chancho")),NOT(AND(MOVIMIENTOS!$B159="SALDO INICIAL",MOVIMIENTOS!$C159="Chancho"))),OR(MOVIMIENTOS!$B159="ENVÍO A SUPESA",MOVIMIENTOS!$B159="MALOGRADO",MOVIMIENTOS!$B159="OTRA SALIDA",MOVIMIENTOS!$B159="TRASIEGO",AND(MOVIMIENTOS!$B159="PROCESO",MOVIMIENTOS!$C159="Chancho"),AND(MOVIMIENTOS!$B159="REGALO",MOVIMIENTOS!$C159&lt;&gt;"Chancho"),AND(MOVIMIENTOS!$B159="VENTA",MOVIMIENTOS!$C159&lt;&gt;"Chancho"),AND(MOVIMIENTOS!$B159="AJUSTE",MOVIMIENTOS!$C159&lt;&gt;"Chancho",N(MOVIMIENTOS!$F159)&lt;0))),IF(MOVIMIENTOS!$B159="AJUSTE",-N(MOVIMIENTOS!$F159),N(MOVIMIENTOS!$F159)),"")</f>
        <v/>
      </c>
      <c r="O160" s="48" t="str">
        <f aca="false">IF(AND(MOVIMIENTOS!$B159&lt;&gt;"",NOT(AND(MOVIMIENTOS!$B159="PROCESO",MOVIMIENTOS!$C159&lt;&gt;"Chancho")),NOT(AND(MOVIMIENTOS!$B159="SALDO INICIAL",MOVIMIENTOS!$C159="Chancho"))),IF(MOVIMIENTOS!$B159="RECHAZO",MOVIMIENTOS!$E159&amp;" jabas rechazadas · van a reproceso",IF(MOVIMIENTOS!$B159="REPROCESO",MOVIMIENTOS!$E159&amp;" kg recuperados (merma del día: "&amp;TEXT(SUMPRODUCT((MOVIMIENTOS!$A$5:$A$400=MOVIMIENTOS!$A159)*(MOVIMIENTOS!$B$5:$B$400="RECHAZO")*(MOVIMIENTOS!$D$5:$D$400="jabas")*MOVIMIENTOS!$E$5:$E$400*IFERROR(_xlfn.SWITCH(MOVIMIENTOS!$C$5:$C$400,"A",15,"P",18,"C",17,"M",17,0),0))-SUMPRODUCT((MOVIMIENTOS!$A$5:$A$400=MOVIMIENTOS!$A159)*(MOVIMIENTOS!$B$5:$B$400="REPROCESO")*MOVIMIENTOS!$I$5:$I$400),"+#,##0;-#,##0;0")&amp;" kg)",TRIM(IF(MOVIMIENTOS!$G159&lt;&gt;"",MOVIMIENTOS!$G159&amp;"  ","")&amp;IF(N(MOVIMIENTOS!$D159)&gt;0,MOVIMIENTOS!$D159&amp;" "&amp;MOVIMIENTOS!$D159,"")))),"")</f>
        <v/>
      </c>
      <c r="P160" s="48" t="n">
        <f aca="false">N(P159)+N(M160)-N(N160)</f>
        <v>10099</v>
      </c>
      <c r="Q160" s="48"/>
      <c r="R160" s="48"/>
      <c r="S160" s="48"/>
      <c r="T160" s="48"/>
    </row>
    <row r="161" customFormat="false" ht="15" hidden="false" customHeight="true" outlineLevel="0" collapsed="false">
      <c r="A161" s="51" t="str">
        <f aca="false">IFERROR(INDEX(K$6:K$401,MATCH(ROW()-5,J$6:J$401,0)),"")</f>
        <v/>
      </c>
      <c r="B161" s="56" t="str">
        <f aca="false">IFERROR(INDEX(L$6:L$401,MATCH(ROW()-5,J$6:J$401,0)),"")</f>
        <v/>
      </c>
      <c r="C161" s="52" t="str">
        <f aca="false">IFERROR(INDEX(M$6:M$401,MATCH(ROW()-5,J$6:J$401,0)),"")</f>
        <v/>
      </c>
      <c r="D161" s="52" t="str">
        <f aca="false">IFERROR(INDEX(N$6:N$401,MATCH(ROW()-5,J$6:J$401,0)),"")</f>
        <v/>
      </c>
      <c r="E161" s="56" t="str">
        <f aca="false">IFERROR(INDEX(O$6:O$401,MATCH(ROW()-5,J$6:J$401,0)),"")</f>
        <v/>
      </c>
      <c r="F161" s="52" t="str">
        <f aca="false">IFERROR(INDEX(P$6:P$401,MATCH(ROW()-5,J$6:J$401,0)),"")</f>
        <v/>
      </c>
      <c r="G161" s="48"/>
      <c r="H161" s="48"/>
      <c r="I161" s="48"/>
      <c r="J161" s="48" t="n">
        <f aca="false">IF(AND(MOVIMIENTOS!$B160&lt;&gt;"",NOT(AND(MOVIMIENTOS!$B160="PROCESO",MOVIMIENTOS!$C160&lt;&gt;"Chancho")),NOT(AND(MOVIMIENTOS!$B160="SALDO INICIAL",MOVIMIENTOS!$C160="Chancho"))),COUNT(J$6:J160)+1,"")</f>
        <v>99</v>
      </c>
      <c r="K161" s="53" t="n">
        <f aca="false">IF(AND(MOVIMIENTOS!$B160&lt;&gt;"",NOT(AND(MOVIMIENTOS!$B160="PROCESO",MOVIMIENTOS!$C160&lt;&gt;"Chancho")),NOT(AND(MOVIMIENTOS!$B160="SALDO INICIAL",MOVIMIENTOS!$C160="Chancho"))),MOVIMIENTOS!$A160,"")</f>
        <v>46227</v>
      </c>
      <c r="L161" s="48" t="str">
        <f aca="false">IF(AND(MOVIMIENTOS!$B160&lt;&gt;"",NOT(AND(MOVIMIENTOS!$B160="PROCESO",MOVIMIENTOS!$C160&lt;&gt;"Chancho")),NOT(AND(MOVIMIENTOS!$B160="SALDO INICIAL",MOVIMIENTOS!$C160="Chancho"))),IF(MOVIMIENTOS!$B160="SALDO INICIAL","APERTURA ("&amp;MOVIMIENTOS!$C160&amp;")",IF(MOVIMIENTOS!$B160="COMPRA","INGRESO (compra)",IF(MOVIMIENTOS!$B160="PROCESO","CHANCHO (proceso)",IF(MOVIMIENTOS!$B160="ENVÍO A SUPESA","ENVÍO cal. "&amp;MOVIMIENTOS!$C160,IF(MOVIMIENTOS!$B160="VENTA CHANCHO","VENTA CHANCHO",IF(MOVIMIENTOS!$B160="VENTA","VENTA cal. "&amp;MOVIMIENTOS!$C160,IF(MOVIMIENTOS!$B160="REGALO","REGALO "&amp;MOVIMIENTOS!$C160,IF(MOVIMIENTOS!$B160="RECHAZO","RECHAZO cal. "&amp;MOVIMIENTOS!$C160&amp;" (va a reproceso)",IF(MOVIMIENTOS!$B160="DEVOLUCIÓN","DEVOLUCIÓN cal. "&amp;MOVIMIENTOS!$C160&amp;" (regresa intacta)",IF(MOVIMIENTOS!$B160="TRASIEGO","TRASIEGO cal. "&amp;MOVIMIENTOS!$C160,MOVIMIENTOS!$B160)))))))))),"")</f>
        <v>CHANCHO (proceso)</v>
      </c>
      <c r="M161" s="48" t="str">
        <f aca="false">IF(AND(AND(MOVIMIENTOS!$B160&lt;&gt;"",NOT(AND(MOVIMIENTOS!$B160="PROCESO",MOVIMIENTOS!$C160&lt;&gt;"Chancho")),NOT(AND(MOVIMIENTOS!$B160="SALDO INICIAL",MOVIMIENTOS!$C160="Chancho"))),OR(MOVIMIENTOS!$B160="SALDO INICIAL",MOVIMIENTOS!$B160="COMPRA",MOVIMIENTOS!$B160="REPROCESO",MOVIMIENTOS!$B160="DEVOLUCIÓN",AND(MOVIMIENTOS!$B160="AJUSTE",MOVIMIENTOS!$C160&lt;&gt;"Chancho",N(MOVIMIENTOS!$F160)&gt;=0))),N(MOVIMIENTOS!$F160),"")</f>
        <v/>
      </c>
      <c r="N161" s="48" t="n">
        <f aca="false">IF(AND(AND(MOVIMIENTOS!$B160&lt;&gt;"",NOT(AND(MOVIMIENTOS!$B160="PROCESO",MOVIMIENTOS!$C160&lt;&gt;"Chancho")),NOT(AND(MOVIMIENTOS!$B160="SALDO INICIAL",MOVIMIENTOS!$C160="Chancho"))),OR(MOVIMIENTOS!$B160="ENVÍO A SUPESA",MOVIMIENTOS!$B160="MALOGRADO",MOVIMIENTOS!$B160="OTRA SALIDA",MOVIMIENTOS!$B160="TRASIEGO",AND(MOVIMIENTOS!$B160="PROCESO",MOVIMIENTOS!$C160="Chancho"),AND(MOVIMIENTOS!$B160="REGALO",MOVIMIENTOS!$C160&lt;&gt;"Chancho"),AND(MOVIMIENTOS!$B160="VENTA",MOVIMIENTOS!$C160&lt;&gt;"Chancho"),AND(MOVIMIENTOS!$B160="AJUSTE",MOVIMIENTOS!$C160&lt;&gt;"Chancho",N(MOVIMIENTOS!$F160)&lt;0))),IF(MOVIMIENTOS!$B160="AJUSTE",-N(MOVIMIENTOS!$F160),N(MOVIMIENTOS!$F160)),"")</f>
        <v>570</v>
      </c>
      <c r="O161" s="48" t="str">
        <f aca="false">IF(AND(MOVIMIENTOS!$B160&lt;&gt;"",NOT(AND(MOVIMIENTOS!$B160="PROCESO",MOVIMIENTOS!$C160&lt;&gt;"Chancho")),NOT(AND(MOVIMIENTOS!$B160="SALDO INICIAL",MOVIMIENTOS!$C160="Chancho"))),IF(MOVIMIENTOS!$B160="RECHAZO",MOVIMIENTOS!$E160&amp;" jabas rechazadas · van a reproceso",IF(MOVIMIENTOS!$B160="REPROCESO",MOVIMIENTOS!$E160&amp;" kg recuperados (merma del día: "&amp;TEXT(SUMPRODUCT((MOVIMIENTOS!$A$5:$A$400=MOVIMIENTOS!$A160)*(MOVIMIENTOS!$B$5:$B$400="RECHAZO")*(MOVIMIENTOS!$D$5:$D$400="jabas")*MOVIMIENTOS!$E$5:$E$400*IFERROR(_xlfn.SWITCH(MOVIMIENTOS!$C$5:$C$400,"A",15,"P",18,"C",17,"M",17,0),0))-SUMPRODUCT((MOVIMIENTOS!$A$5:$A$400=MOVIMIENTOS!$A160)*(MOVIMIENTOS!$B$5:$B$400="REPROCESO")*MOVIMIENTOS!$I$5:$I$400),"+#,##0;-#,##0;0")&amp;" kg)",TRIM(IF(MOVIMIENTOS!$G160&lt;&gt;"",MOVIMIENTOS!$G160&amp;"  ","")&amp;IF(N(MOVIMIENTOS!$D160)&gt;0,MOVIMIENTOS!$D160&amp;" "&amp;MOVIMIENTOS!$D160,"")))),"")</f>
        <v/>
      </c>
      <c r="P161" s="48" t="n">
        <f aca="false">N(P160)+N(M161)-N(N161)</f>
        <v>9529</v>
      </c>
      <c r="Q161" s="48"/>
      <c r="R161" s="48"/>
      <c r="S161" s="48"/>
      <c r="T161" s="48"/>
    </row>
    <row r="162" customFormat="false" ht="15" hidden="false" customHeight="true" outlineLevel="0" collapsed="false">
      <c r="A162" s="51" t="str">
        <f aca="false">IFERROR(INDEX(K$6:K$401,MATCH(ROW()-5,J$6:J$401,0)),"")</f>
        <v/>
      </c>
      <c r="B162" s="56" t="str">
        <f aca="false">IFERROR(INDEX(L$6:L$401,MATCH(ROW()-5,J$6:J$401,0)),"")</f>
        <v/>
      </c>
      <c r="C162" s="52" t="str">
        <f aca="false">IFERROR(INDEX(M$6:M$401,MATCH(ROW()-5,J$6:J$401,0)),"")</f>
        <v/>
      </c>
      <c r="D162" s="52" t="str">
        <f aca="false">IFERROR(INDEX(N$6:N$401,MATCH(ROW()-5,J$6:J$401,0)),"")</f>
        <v/>
      </c>
      <c r="E162" s="56" t="str">
        <f aca="false">IFERROR(INDEX(O$6:O$401,MATCH(ROW()-5,J$6:J$401,0)),"")</f>
        <v/>
      </c>
      <c r="F162" s="52" t="str">
        <f aca="false">IFERROR(INDEX(P$6:P$401,MATCH(ROW()-5,J$6:J$401,0)),"")</f>
        <v/>
      </c>
      <c r="G162" s="48"/>
      <c r="H162" s="48"/>
      <c r="I162" s="48"/>
      <c r="J162" s="48" t="n">
        <f aca="false">IF(AND(MOVIMIENTOS!$B161&lt;&gt;"",NOT(AND(MOVIMIENTOS!$B161="PROCESO",MOVIMIENTOS!$C161&lt;&gt;"Chancho")),NOT(AND(MOVIMIENTOS!$B161="SALDO INICIAL",MOVIMIENTOS!$C161="Chancho"))),COUNT(J$6:J161)+1,"")</f>
        <v>100</v>
      </c>
      <c r="K162" s="53" t="n">
        <f aca="false">IF(AND(MOVIMIENTOS!$B161&lt;&gt;"",NOT(AND(MOVIMIENTOS!$B161="PROCESO",MOVIMIENTOS!$C161&lt;&gt;"Chancho")),NOT(AND(MOVIMIENTOS!$B161="SALDO INICIAL",MOVIMIENTOS!$C161="Chancho"))),MOVIMIENTOS!$A161,"")</f>
        <v>46227</v>
      </c>
      <c r="L162" s="48" t="str">
        <f aca="false">IF(AND(MOVIMIENTOS!$B161&lt;&gt;"",NOT(AND(MOVIMIENTOS!$B161="PROCESO",MOVIMIENTOS!$C161&lt;&gt;"Chancho")),NOT(AND(MOVIMIENTOS!$B161="SALDO INICIAL",MOVIMIENTOS!$C161="Chancho"))),IF(MOVIMIENTOS!$B161="SALDO INICIAL","APERTURA ("&amp;MOVIMIENTOS!$C161&amp;")",IF(MOVIMIENTOS!$B161="COMPRA","INGRESO (compra)",IF(MOVIMIENTOS!$B161="PROCESO","CHANCHO (proceso)",IF(MOVIMIENTOS!$B161="ENVÍO A SUPESA","ENVÍO cal. "&amp;MOVIMIENTOS!$C161,IF(MOVIMIENTOS!$B161="VENTA CHANCHO","VENTA CHANCHO",IF(MOVIMIENTOS!$B161="VENTA","VENTA cal. "&amp;MOVIMIENTOS!$C161,IF(MOVIMIENTOS!$B161="REGALO","REGALO "&amp;MOVIMIENTOS!$C161,IF(MOVIMIENTOS!$B161="RECHAZO","RECHAZO cal. "&amp;MOVIMIENTOS!$C161&amp;" (va a reproceso)",IF(MOVIMIENTOS!$B161="DEVOLUCIÓN","DEVOLUCIÓN cal. "&amp;MOVIMIENTOS!$C161&amp;" (regresa intacta)",IF(MOVIMIENTOS!$B161="TRASIEGO","TRASIEGO cal. "&amp;MOVIMIENTOS!$C161,MOVIMIENTOS!$B161)))))))))),"")</f>
        <v>ENVÍO cal. A</v>
      </c>
      <c r="M162" s="48" t="str">
        <f aca="false">IF(AND(AND(MOVIMIENTOS!$B161&lt;&gt;"",NOT(AND(MOVIMIENTOS!$B161="PROCESO",MOVIMIENTOS!$C161&lt;&gt;"Chancho")),NOT(AND(MOVIMIENTOS!$B161="SALDO INICIAL",MOVIMIENTOS!$C161="Chancho"))),OR(MOVIMIENTOS!$B161="SALDO INICIAL",MOVIMIENTOS!$B161="COMPRA",MOVIMIENTOS!$B161="REPROCESO",MOVIMIENTOS!$B161="DEVOLUCIÓN",AND(MOVIMIENTOS!$B161="AJUSTE",MOVIMIENTOS!$C161&lt;&gt;"Chancho",N(MOVIMIENTOS!$F161)&gt;=0))),N(MOVIMIENTOS!$F161),"")</f>
        <v/>
      </c>
      <c r="N162" s="48" t="n">
        <f aca="false">IF(AND(AND(MOVIMIENTOS!$B161&lt;&gt;"",NOT(AND(MOVIMIENTOS!$B161="PROCESO",MOVIMIENTOS!$C161&lt;&gt;"Chancho")),NOT(AND(MOVIMIENTOS!$B161="SALDO INICIAL",MOVIMIENTOS!$C161="Chancho"))),OR(MOVIMIENTOS!$B161="ENVÍO A SUPESA",MOVIMIENTOS!$B161="MALOGRADO",MOVIMIENTOS!$B161="OTRA SALIDA",MOVIMIENTOS!$B161="TRASIEGO",AND(MOVIMIENTOS!$B161="PROCESO",MOVIMIENTOS!$C161="Chancho"),AND(MOVIMIENTOS!$B161="REGALO",MOVIMIENTOS!$C161&lt;&gt;"Chancho"),AND(MOVIMIENTOS!$B161="VENTA",MOVIMIENTOS!$C161&lt;&gt;"Chancho"),AND(MOVIMIENTOS!$B161="AJUSTE",MOVIMIENTOS!$C161&lt;&gt;"Chancho",N(MOVIMIENTOS!$F161)&lt;0))),IF(MOVIMIENTOS!$B161="AJUSTE",-N(MOVIMIENTOS!$F161),N(MOVIMIENTOS!$F161)),"")</f>
        <v>1005</v>
      </c>
      <c r="O162" s="48" t="str">
        <f aca="false">IF(AND(MOVIMIENTOS!$B161&lt;&gt;"",NOT(AND(MOVIMIENTOS!$B161="PROCESO",MOVIMIENTOS!$C161&lt;&gt;"Chancho")),NOT(AND(MOVIMIENTOS!$B161="SALDO INICIAL",MOVIMIENTOS!$C161="Chancho"))),IF(MOVIMIENTOS!$B161="RECHAZO",MOVIMIENTOS!$E161&amp;" jabas rechazadas · van a reproceso",IF(MOVIMIENTOS!$B161="REPROCESO",MOVIMIENTOS!$E161&amp;" kg recuperados (merma del día: "&amp;TEXT(SUMPRODUCT((MOVIMIENTOS!$A$5:$A$400=MOVIMIENTOS!$A161)*(MOVIMIENTOS!$B$5:$B$400="RECHAZO")*(MOVIMIENTOS!$D$5:$D$400="jabas")*MOVIMIENTOS!$E$5:$E$400*IFERROR(_xlfn.SWITCH(MOVIMIENTOS!$C$5:$C$400,"A",15,"P",18,"C",17,"M",17,0),0))-SUMPRODUCT((MOVIMIENTOS!$A$5:$A$400=MOVIMIENTOS!$A161)*(MOVIMIENTOS!$B$5:$B$400="REPROCESO")*MOVIMIENTOS!$I$5:$I$400),"+#,##0;-#,##0;0")&amp;" kg)",TRIM(IF(MOVIMIENTOS!$G161&lt;&gt;"",MOVIMIENTOS!$G161&amp;"  ","")&amp;IF(N(MOVIMIENTOS!$D161)&gt;0,MOVIMIENTOS!$D161&amp;" "&amp;MOVIMIENTOS!$D161,"")))),"")</f>
        <v>3011</v>
      </c>
      <c r="P162" s="48" t="n">
        <f aca="false">N(P161)+N(M162)-N(N162)</f>
        <v>8524</v>
      </c>
      <c r="Q162" s="48"/>
      <c r="R162" s="48"/>
      <c r="S162" s="48"/>
      <c r="T162" s="48"/>
    </row>
    <row r="163" customFormat="false" ht="15" hidden="false" customHeight="true" outlineLevel="0" collapsed="false">
      <c r="A163" s="51" t="str">
        <f aca="false">IFERROR(INDEX(K$6:K$401,MATCH(ROW()-5,J$6:J$401,0)),"")</f>
        <v/>
      </c>
      <c r="B163" s="56" t="str">
        <f aca="false">IFERROR(INDEX(L$6:L$401,MATCH(ROW()-5,J$6:J$401,0)),"")</f>
        <v/>
      </c>
      <c r="C163" s="52" t="str">
        <f aca="false">IFERROR(INDEX(M$6:M$401,MATCH(ROW()-5,J$6:J$401,0)),"")</f>
        <v/>
      </c>
      <c r="D163" s="52" t="str">
        <f aca="false">IFERROR(INDEX(N$6:N$401,MATCH(ROW()-5,J$6:J$401,0)),"")</f>
        <v/>
      </c>
      <c r="E163" s="56" t="str">
        <f aca="false">IFERROR(INDEX(O$6:O$401,MATCH(ROW()-5,J$6:J$401,0)),"")</f>
        <v/>
      </c>
      <c r="F163" s="52" t="str">
        <f aca="false">IFERROR(INDEX(P$6:P$401,MATCH(ROW()-5,J$6:J$401,0)),"")</f>
        <v/>
      </c>
      <c r="G163" s="48"/>
      <c r="H163" s="48"/>
      <c r="I163" s="48"/>
      <c r="J163" s="48" t="n">
        <f aca="false">IF(AND(MOVIMIENTOS!$B162&lt;&gt;"",NOT(AND(MOVIMIENTOS!$B162="PROCESO",MOVIMIENTOS!$C162&lt;&gt;"Chancho")),NOT(AND(MOVIMIENTOS!$B162="SALDO INICIAL",MOVIMIENTOS!$C162="Chancho"))),COUNT(J$6:J162)+1,"")</f>
        <v>101</v>
      </c>
      <c r="K163" s="53" t="n">
        <f aca="false">IF(AND(MOVIMIENTOS!$B162&lt;&gt;"",NOT(AND(MOVIMIENTOS!$B162="PROCESO",MOVIMIENTOS!$C162&lt;&gt;"Chancho")),NOT(AND(MOVIMIENTOS!$B162="SALDO INICIAL",MOVIMIENTOS!$C162="Chancho"))),MOVIMIENTOS!$A162,"")</f>
        <v>46227</v>
      </c>
      <c r="L163" s="48" t="str">
        <f aca="false">IF(AND(MOVIMIENTOS!$B162&lt;&gt;"",NOT(AND(MOVIMIENTOS!$B162="PROCESO",MOVIMIENTOS!$C162&lt;&gt;"Chancho")),NOT(AND(MOVIMIENTOS!$B162="SALDO INICIAL",MOVIMIENTOS!$C162="Chancho"))),IF(MOVIMIENTOS!$B162="SALDO INICIAL","APERTURA ("&amp;MOVIMIENTOS!$C162&amp;")",IF(MOVIMIENTOS!$B162="COMPRA","INGRESO (compra)",IF(MOVIMIENTOS!$B162="PROCESO","CHANCHO (proceso)",IF(MOVIMIENTOS!$B162="ENVÍO A SUPESA","ENVÍO cal. "&amp;MOVIMIENTOS!$C162,IF(MOVIMIENTOS!$B162="VENTA CHANCHO","VENTA CHANCHO",IF(MOVIMIENTOS!$B162="VENTA","VENTA cal. "&amp;MOVIMIENTOS!$C162,IF(MOVIMIENTOS!$B162="REGALO","REGALO "&amp;MOVIMIENTOS!$C162,IF(MOVIMIENTOS!$B162="RECHAZO","RECHAZO cal. "&amp;MOVIMIENTOS!$C162&amp;" (va a reproceso)",IF(MOVIMIENTOS!$B162="DEVOLUCIÓN","DEVOLUCIÓN cal. "&amp;MOVIMIENTOS!$C162&amp;" (regresa intacta)",IF(MOVIMIENTOS!$B162="TRASIEGO","TRASIEGO cal. "&amp;MOVIMIENTOS!$C162,MOVIMIENTOS!$B162)))))))))),"")</f>
        <v>ENVÍO cal. P</v>
      </c>
      <c r="M163" s="48" t="str">
        <f aca="false">IF(AND(AND(MOVIMIENTOS!$B162&lt;&gt;"",NOT(AND(MOVIMIENTOS!$B162="PROCESO",MOVIMIENTOS!$C162&lt;&gt;"Chancho")),NOT(AND(MOVIMIENTOS!$B162="SALDO INICIAL",MOVIMIENTOS!$C162="Chancho"))),OR(MOVIMIENTOS!$B162="SALDO INICIAL",MOVIMIENTOS!$B162="COMPRA",MOVIMIENTOS!$B162="REPROCESO",MOVIMIENTOS!$B162="DEVOLUCIÓN",AND(MOVIMIENTOS!$B162="AJUSTE",MOVIMIENTOS!$C162&lt;&gt;"Chancho",N(MOVIMIENTOS!$F162)&gt;=0))),N(MOVIMIENTOS!$F162),"")</f>
        <v/>
      </c>
      <c r="N163" s="48" t="n">
        <f aca="false">IF(AND(AND(MOVIMIENTOS!$B162&lt;&gt;"",NOT(AND(MOVIMIENTOS!$B162="PROCESO",MOVIMIENTOS!$C162&lt;&gt;"Chancho")),NOT(AND(MOVIMIENTOS!$B162="SALDO INICIAL",MOVIMIENTOS!$C162="Chancho"))),OR(MOVIMIENTOS!$B162="ENVÍO A SUPESA",MOVIMIENTOS!$B162="MALOGRADO",MOVIMIENTOS!$B162="OTRA SALIDA",MOVIMIENTOS!$B162="TRASIEGO",AND(MOVIMIENTOS!$B162="PROCESO",MOVIMIENTOS!$C162="Chancho"),AND(MOVIMIENTOS!$B162="REGALO",MOVIMIENTOS!$C162&lt;&gt;"Chancho"),AND(MOVIMIENTOS!$B162="VENTA",MOVIMIENTOS!$C162&lt;&gt;"Chancho"),AND(MOVIMIENTOS!$B162="AJUSTE",MOVIMIENTOS!$C162&lt;&gt;"Chancho",N(MOVIMIENTOS!$F162)&lt;0))),IF(MOVIMIENTOS!$B162="AJUSTE",-N(MOVIMIENTOS!$F162),N(MOVIMIENTOS!$F162)),"")</f>
        <v>198</v>
      </c>
      <c r="O163" s="48" t="str">
        <f aca="false">IF(AND(MOVIMIENTOS!$B162&lt;&gt;"",NOT(AND(MOVIMIENTOS!$B162="PROCESO",MOVIMIENTOS!$C162&lt;&gt;"Chancho")),NOT(AND(MOVIMIENTOS!$B162="SALDO INICIAL",MOVIMIENTOS!$C162="Chancho"))),IF(MOVIMIENTOS!$B162="RECHAZO",MOVIMIENTOS!$E162&amp;" jabas rechazadas · van a reproceso",IF(MOVIMIENTOS!$B162="REPROCESO",MOVIMIENTOS!$E162&amp;" kg recuperados (merma del día: "&amp;TEXT(SUMPRODUCT((MOVIMIENTOS!$A$5:$A$400=MOVIMIENTOS!$A162)*(MOVIMIENTOS!$B$5:$B$400="RECHAZO")*(MOVIMIENTOS!$D$5:$D$400="jabas")*MOVIMIENTOS!$E$5:$E$400*IFERROR(_xlfn.SWITCH(MOVIMIENTOS!$C$5:$C$400,"A",15,"P",18,"C",17,"M",17,0),0))-SUMPRODUCT((MOVIMIENTOS!$A$5:$A$400=MOVIMIENTOS!$A162)*(MOVIMIENTOS!$B$5:$B$400="REPROCESO")*MOVIMIENTOS!$I$5:$I$400),"+#,##0;-#,##0;0")&amp;" kg)",TRIM(IF(MOVIMIENTOS!$G162&lt;&gt;"",MOVIMIENTOS!$G162&amp;"  ","")&amp;IF(N(MOVIMIENTOS!$D162)&gt;0,MOVIMIENTOS!$D162&amp;" "&amp;MOVIMIENTOS!$D162,"")))),"")</f>
        <v>3011</v>
      </c>
      <c r="P163" s="48" t="n">
        <f aca="false">N(P162)+N(M163)-N(N163)</f>
        <v>8326</v>
      </c>
      <c r="Q163" s="48"/>
      <c r="R163" s="48"/>
      <c r="S163" s="48"/>
      <c r="T163" s="48"/>
    </row>
    <row r="164" customFormat="false" ht="15" hidden="false" customHeight="true" outlineLevel="0" collapsed="false">
      <c r="A164" s="51" t="str">
        <f aca="false">IFERROR(INDEX(K$6:K$401,MATCH(ROW()-5,J$6:J$401,0)),"")</f>
        <v/>
      </c>
      <c r="B164" s="56" t="str">
        <f aca="false">IFERROR(INDEX(L$6:L$401,MATCH(ROW()-5,J$6:J$401,0)),"")</f>
        <v/>
      </c>
      <c r="C164" s="52" t="str">
        <f aca="false">IFERROR(INDEX(M$6:M$401,MATCH(ROW()-5,J$6:J$401,0)),"")</f>
        <v/>
      </c>
      <c r="D164" s="52" t="str">
        <f aca="false">IFERROR(INDEX(N$6:N$401,MATCH(ROW()-5,J$6:J$401,0)),"")</f>
        <v/>
      </c>
      <c r="E164" s="56" t="str">
        <f aca="false">IFERROR(INDEX(O$6:O$401,MATCH(ROW()-5,J$6:J$401,0)),"")</f>
        <v/>
      </c>
      <c r="F164" s="52" t="str">
        <f aca="false">IFERROR(INDEX(P$6:P$401,MATCH(ROW()-5,J$6:J$401,0)),"")</f>
        <v/>
      </c>
      <c r="G164" s="48"/>
      <c r="H164" s="48"/>
      <c r="I164" s="48"/>
      <c r="J164" s="48" t="n">
        <f aca="false">IF(AND(MOVIMIENTOS!$B163&lt;&gt;"",NOT(AND(MOVIMIENTOS!$B163="PROCESO",MOVIMIENTOS!$C163&lt;&gt;"Chancho")),NOT(AND(MOVIMIENTOS!$B163="SALDO INICIAL",MOVIMIENTOS!$C163="Chancho"))),COUNT(J$6:J163)+1,"")</f>
        <v>102</v>
      </c>
      <c r="K164" s="53" t="n">
        <f aca="false">IF(AND(MOVIMIENTOS!$B163&lt;&gt;"",NOT(AND(MOVIMIENTOS!$B163="PROCESO",MOVIMIENTOS!$C163&lt;&gt;"Chancho")),NOT(AND(MOVIMIENTOS!$B163="SALDO INICIAL",MOVIMIENTOS!$C163="Chancho"))),MOVIMIENTOS!$A163,"")</f>
        <v>46227</v>
      </c>
      <c r="L164" s="48" t="str">
        <f aca="false">IF(AND(MOVIMIENTOS!$B163&lt;&gt;"",NOT(AND(MOVIMIENTOS!$B163="PROCESO",MOVIMIENTOS!$C163&lt;&gt;"Chancho")),NOT(AND(MOVIMIENTOS!$B163="SALDO INICIAL",MOVIMIENTOS!$C163="Chancho"))),IF(MOVIMIENTOS!$B163="SALDO INICIAL","APERTURA ("&amp;MOVIMIENTOS!$C163&amp;")",IF(MOVIMIENTOS!$B163="COMPRA","INGRESO (compra)",IF(MOVIMIENTOS!$B163="PROCESO","CHANCHO (proceso)",IF(MOVIMIENTOS!$B163="ENVÍO A SUPESA","ENVÍO cal. "&amp;MOVIMIENTOS!$C163,IF(MOVIMIENTOS!$B163="VENTA CHANCHO","VENTA CHANCHO",IF(MOVIMIENTOS!$B163="VENTA","VENTA cal. "&amp;MOVIMIENTOS!$C163,IF(MOVIMIENTOS!$B163="REGALO","REGALO "&amp;MOVIMIENTOS!$C163,IF(MOVIMIENTOS!$B163="RECHAZO","RECHAZO cal. "&amp;MOVIMIENTOS!$C163&amp;" (va a reproceso)",IF(MOVIMIENTOS!$B163="DEVOLUCIÓN","DEVOLUCIÓN cal. "&amp;MOVIMIENTOS!$C163&amp;" (regresa intacta)",IF(MOVIMIENTOS!$B163="TRASIEGO","TRASIEGO cal. "&amp;MOVIMIENTOS!$C163,MOVIMIENTOS!$B163)))))))))),"")</f>
        <v>ENVÍO cal. C</v>
      </c>
      <c r="M164" s="48" t="str">
        <f aca="false">IF(AND(AND(MOVIMIENTOS!$B163&lt;&gt;"",NOT(AND(MOVIMIENTOS!$B163="PROCESO",MOVIMIENTOS!$C163&lt;&gt;"Chancho")),NOT(AND(MOVIMIENTOS!$B163="SALDO INICIAL",MOVIMIENTOS!$C163="Chancho"))),OR(MOVIMIENTOS!$B163="SALDO INICIAL",MOVIMIENTOS!$B163="COMPRA",MOVIMIENTOS!$B163="REPROCESO",MOVIMIENTOS!$B163="DEVOLUCIÓN",AND(MOVIMIENTOS!$B163="AJUSTE",MOVIMIENTOS!$C163&lt;&gt;"Chancho",N(MOVIMIENTOS!$F163)&gt;=0))),N(MOVIMIENTOS!$F163),"")</f>
        <v/>
      </c>
      <c r="N164" s="48" t="n">
        <f aca="false">IF(AND(AND(MOVIMIENTOS!$B163&lt;&gt;"",NOT(AND(MOVIMIENTOS!$B163="PROCESO",MOVIMIENTOS!$C163&lt;&gt;"Chancho")),NOT(AND(MOVIMIENTOS!$B163="SALDO INICIAL",MOVIMIENTOS!$C163="Chancho"))),OR(MOVIMIENTOS!$B163="ENVÍO A SUPESA",MOVIMIENTOS!$B163="MALOGRADO",MOVIMIENTOS!$B163="OTRA SALIDA",MOVIMIENTOS!$B163="TRASIEGO",AND(MOVIMIENTOS!$B163="PROCESO",MOVIMIENTOS!$C163="Chancho"),AND(MOVIMIENTOS!$B163="REGALO",MOVIMIENTOS!$C163&lt;&gt;"Chancho"),AND(MOVIMIENTOS!$B163="VENTA",MOVIMIENTOS!$C163&lt;&gt;"Chancho"),AND(MOVIMIENTOS!$B163="AJUSTE",MOVIMIENTOS!$C163&lt;&gt;"Chancho",N(MOVIMIENTOS!$F163)&lt;0))),IF(MOVIMIENTOS!$B163="AJUSTE",-N(MOVIMIENTOS!$F163),N(MOVIMIENTOS!$F163)),"")</f>
        <v>204</v>
      </c>
      <c r="O164" s="48" t="str">
        <f aca="false">IF(AND(MOVIMIENTOS!$B163&lt;&gt;"",NOT(AND(MOVIMIENTOS!$B163="PROCESO",MOVIMIENTOS!$C163&lt;&gt;"Chancho")),NOT(AND(MOVIMIENTOS!$B163="SALDO INICIAL",MOVIMIENTOS!$C163="Chancho"))),IF(MOVIMIENTOS!$B163="RECHAZO",MOVIMIENTOS!$E163&amp;" jabas rechazadas · van a reproceso",IF(MOVIMIENTOS!$B163="REPROCESO",MOVIMIENTOS!$E163&amp;" kg recuperados (merma del día: "&amp;TEXT(SUMPRODUCT((MOVIMIENTOS!$A$5:$A$400=MOVIMIENTOS!$A163)*(MOVIMIENTOS!$B$5:$B$400="RECHAZO")*(MOVIMIENTOS!$D$5:$D$400="jabas")*MOVIMIENTOS!$E$5:$E$400*IFERROR(_xlfn.SWITCH(MOVIMIENTOS!$C$5:$C$400,"A",15,"P",18,"C",17,"M",17,0),0))-SUMPRODUCT((MOVIMIENTOS!$A$5:$A$400=MOVIMIENTOS!$A163)*(MOVIMIENTOS!$B$5:$B$400="REPROCESO")*MOVIMIENTOS!$I$5:$I$400),"+#,##0;-#,##0;0")&amp;" kg)",TRIM(IF(MOVIMIENTOS!$G163&lt;&gt;"",MOVIMIENTOS!$G163&amp;"  ","")&amp;IF(N(MOVIMIENTOS!$D163)&gt;0,MOVIMIENTOS!$D163&amp;" "&amp;MOVIMIENTOS!$D163,"")))),"")</f>
        <v>3011</v>
      </c>
      <c r="P164" s="48" t="n">
        <f aca="false">N(P163)+N(M164)-N(N164)</f>
        <v>8122</v>
      </c>
      <c r="Q164" s="48"/>
      <c r="R164" s="48"/>
      <c r="S164" s="48"/>
      <c r="T164" s="48"/>
    </row>
    <row r="165" customFormat="false" ht="15" hidden="false" customHeight="true" outlineLevel="0" collapsed="false">
      <c r="A165" s="51" t="str">
        <f aca="false">IFERROR(INDEX(K$6:K$401,MATCH(ROW()-5,J$6:J$401,0)),"")</f>
        <v/>
      </c>
      <c r="B165" s="56" t="str">
        <f aca="false">IFERROR(INDEX(L$6:L$401,MATCH(ROW()-5,J$6:J$401,0)),"")</f>
        <v/>
      </c>
      <c r="C165" s="52" t="str">
        <f aca="false">IFERROR(INDEX(M$6:M$401,MATCH(ROW()-5,J$6:J$401,0)),"")</f>
        <v/>
      </c>
      <c r="D165" s="52" t="str">
        <f aca="false">IFERROR(INDEX(N$6:N$401,MATCH(ROW()-5,J$6:J$401,0)),"")</f>
        <v/>
      </c>
      <c r="E165" s="56" t="str">
        <f aca="false">IFERROR(INDEX(O$6:O$401,MATCH(ROW()-5,J$6:J$401,0)),"")</f>
        <v/>
      </c>
      <c r="F165" s="52" t="str">
        <f aca="false">IFERROR(INDEX(P$6:P$401,MATCH(ROW()-5,J$6:J$401,0)),"")</f>
        <v/>
      </c>
      <c r="G165" s="48"/>
      <c r="H165" s="48"/>
      <c r="I165" s="48"/>
      <c r="J165" s="48" t="n">
        <f aca="false">IF(AND(MOVIMIENTOS!$B164&lt;&gt;"",NOT(AND(MOVIMIENTOS!$B164="PROCESO",MOVIMIENTOS!$C164&lt;&gt;"Chancho")),NOT(AND(MOVIMIENTOS!$B164="SALDO INICIAL",MOVIMIENTOS!$C164="Chancho"))),COUNT(J$6:J164)+1,"")</f>
        <v>103</v>
      </c>
      <c r="K165" s="53" t="n">
        <f aca="false">IF(AND(MOVIMIENTOS!$B164&lt;&gt;"",NOT(AND(MOVIMIENTOS!$B164="PROCESO",MOVIMIENTOS!$C164&lt;&gt;"Chancho")),NOT(AND(MOVIMIENTOS!$B164="SALDO INICIAL",MOVIMIENTOS!$C164="Chancho"))),MOVIMIENTOS!$A164,"")</f>
        <v>46227</v>
      </c>
      <c r="L165" s="48" t="str">
        <f aca="false">IF(AND(MOVIMIENTOS!$B164&lt;&gt;"",NOT(AND(MOVIMIENTOS!$B164="PROCESO",MOVIMIENTOS!$C164&lt;&gt;"Chancho")),NOT(AND(MOVIMIENTOS!$B164="SALDO INICIAL",MOVIMIENTOS!$C164="Chancho"))),IF(MOVIMIENTOS!$B164="SALDO INICIAL","APERTURA ("&amp;MOVIMIENTOS!$C164&amp;")",IF(MOVIMIENTOS!$B164="COMPRA","INGRESO (compra)",IF(MOVIMIENTOS!$B164="PROCESO","CHANCHO (proceso)",IF(MOVIMIENTOS!$B164="ENVÍO A SUPESA","ENVÍO cal. "&amp;MOVIMIENTOS!$C164,IF(MOVIMIENTOS!$B164="VENTA CHANCHO","VENTA CHANCHO",IF(MOVIMIENTOS!$B164="VENTA","VENTA cal. "&amp;MOVIMIENTOS!$C164,IF(MOVIMIENTOS!$B164="REGALO","REGALO "&amp;MOVIMIENTOS!$C164,IF(MOVIMIENTOS!$B164="RECHAZO","RECHAZO cal. "&amp;MOVIMIENTOS!$C164&amp;" (va a reproceso)",IF(MOVIMIENTOS!$B164="DEVOLUCIÓN","DEVOLUCIÓN cal. "&amp;MOVIMIENTOS!$C164&amp;" (regresa intacta)",IF(MOVIMIENTOS!$B164="TRASIEGO","TRASIEGO cal. "&amp;MOVIMIENTOS!$C164,MOVIMIENTOS!$B164)))))))))),"")</f>
        <v>ENVÍO cal. M</v>
      </c>
      <c r="M165" s="48" t="str">
        <f aca="false">IF(AND(AND(MOVIMIENTOS!$B164&lt;&gt;"",NOT(AND(MOVIMIENTOS!$B164="PROCESO",MOVIMIENTOS!$C164&lt;&gt;"Chancho")),NOT(AND(MOVIMIENTOS!$B164="SALDO INICIAL",MOVIMIENTOS!$C164="Chancho"))),OR(MOVIMIENTOS!$B164="SALDO INICIAL",MOVIMIENTOS!$B164="COMPRA",MOVIMIENTOS!$B164="REPROCESO",MOVIMIENTOS!$B164="DEVOLUCIÓN",AND(MOVIMIENTOS!$B164="AJUSTE",MOVIMIENTOS!$C164&lt;&gt;"Chancho",N(MOVIMIENTOS!$F164)&gt;=0))),N(MOVIMIENTOS!$F164),"")</f>
        <v/>
      </c>
      <c r="N165" s="48" t="n">
        <f aca="false">IF(AND(AND(MOVIMIENTOS!$B164&lt;&gt;"",NOT(AND(MOVIMIENTOS!$B164="PROCESO",MOVIMIENTOS!$C164&lt;&gt;"Chancho")),NOT(AND(MOVIMIENTOS!$B164="SALDO INICIAL",MOVIMIENTOS!$C164="Chancho"))),OR(MOVIMIENTOS!$B164="ENVÍO A SUPESA",MOVIMIENTOS!$B164="MALOGRADO",MOVIMIENTOS!$B164="OTRA SALIDA",MOVIMIENTOS!$B164="TRASIEGO",AND(MOVIMIENTOS!$B164="PROCESO",MOVIMIENTOS!$C164="Chancho"),AND(MOVIMIENTOS!$B164="REGALO",MOVIMIENTOS!$C164&lt;&gt;"Chancho"),AND(MOVIMIENTOS!$B164="VENTA",MOVIMIENTOS!$C164&lt;&gt;"Chancho"),AND(MOVIMIENTOS!$B164="AJUSTE",MOVIMIENTOS!$C164&lt;&gt;"Chancho",N(MOVIMIENTOS!$F164)&lt;0))),IF(MOVIMIENTOS!$B164="AJUSTE",-N(MOVIMIENTOS!$F164),N(MOVIMIENTOS!$F164)),"")</f>
        <v>2006</v>
      </c>
      <c r="O165" s="48" t="str">
        <f aca="false">IF(AND(MOVIMIENTOS!$B164&lt;&gt;"",NOT(AND(MOVIMIENTOS!$B164="PROCESO",MOVIMIENTOS!$C164&lt;&gt;"Chancho")),NOT(AND(MOVIMIENTOS!$B164="SALDO INICIAL",MOVIMIENTOS!$C164="Chancho"))),IF(MOVIMIENTOS!$B164="RECHAZO",MOVIMIENTOS!$E164&amp;" jabas rechazadas · van a reproceso",IF(MOVIMIENTOS!$B164="REPROCESO",MOVIMIENTOS!$E164&amp;" kg recuperados (merma del día: "&amp;TEXT(SUMPRODUCT((MOVIMIENTOS!$A$5:$A$400=MOVIMIENTOS!$A164)*(MOVIMIENTOS!$B$5:$B$400="RECHAZO")*(MOVIMIENTOS!$D$5:$D$400="jabas")*MOVIMIENTOS!$E$5:$E$400*IFERROR(_xlfn.SWITCH(MOVIMIENTOS!$C$5:$C$400,"A",15,"P",18,"C",17,"M",17,0),0))-SUMPRODUCT((MOVIMIENTOS!$A$5:$A$400=MOVIMIENTOS!$A164)*(MOVIMIENTOS!$B$5:$B$400="REPROCESO")*MOVIMIENTOS!$I$5:$I$400),"+#,##0;-#,##0;0")&amp;" kg)",TRIM(IF(MOVIMIENTOS!$G164&lt;&gt;"",MOVIMIENTOS!$G164&amp;"  ","")&amp;IF(N(MOVIMIENTOS!$D164)&gt;0,MOVIMIENTOS!$D164&amp;" "&amp;MOVIMIENTOS!$D164,"")))),"")</f>
        <v>3011</v>
      </c>
      <c r="P165" s="48" t="n">
        <f aca="false">N(P164)+N(M165)-N(N165)</f>
        <v>6116</v>
      </c>
      <c r="Q165" s="48"/>
      <c r="R165" s="48"/>
      <c r="S165" s="48"/>
      <c r="T165" s="48"/>
    </row>
    <row r="166" customFormat="false" ht="15" hidden="false" customHeight="true" outlineLevel="0" collapsed="false">
      <c r="A166" s="51" t="str">
        <f aca="false">IFERROR(INDEX(K$6:K$401,MATCH(ROW()-5,J$6:J$401,0)),"")</f>
        <v/>
      </c>
      <c r="B166" s="56" t="str">
        <f aca="false">IFERROR(INDEX(L$6:L$401,MATCH(ROW()-5,J$6:J$401,0)),"")</f>
        <v/>
      </c>
      <c r="C166" s="52" t="str">
        <f aca="false">IFERROR(INDEX(M$6:M$401,MATCH(ROW()-5,J$6:J$401,0)),"")</f>
        <v/>
      </c>
      <c r="D166" s="52" t="str">
        <f aca="false">IFERROR(INDEX(N$6:N$401,MATCH(ROW()-5,J$6:J$401,0)),"")</f>
        <v/>
      </c>
      <c r="E166" s="56" t="str">
        <f aca="false">IFERROR(INDEX(O$6:O$401,MATCH(ROW()-5,J$6:J$401,0)),"")</f>
        <v/>
      </c>
      <c r="F166" s="52" t="str">
        <f aca="false">IFERROR(INDEX(P$6:P$401,MATCH(ROW()-5,J$6:J$401,0)),"")</f>
        <v/>
      </c>
      <c r="G166" s="48"/>
      <c r="H166" s="48"/>
      <c r="I166" s="48"/>
      <c r="J166" s="48" t="n">
        <f aca="false">IF(AND(MOVIMIENTOS!$B165&lt;&gt;"",NOT(AND(MOVIMIENTOS!$B165="PROCESO",MOVIMIENTOS!$C165&lt;&gt;"Chancho")),NOT(AND(MOVIMIENTOS!$B165="SALDO INICIAL",MOVIMIENTOS!$C165="Chancho"))),COUNT(J$6:J165)+1,"")</f>
        <v>104</v>
      </c>
      <c r="K166" s="53" t="n">
        <f aca="false">IF(AND(MOVIMIENTOS!$B165&lt;&gt;"",NOT(AND(MOVIMIENTOS!$B165="PROCESO",MOVIMIENTOS!$C165&lt;&gt;"Chancho")),NOT(AND(MOVIMIENTOS!$B165="SALDO INICIAL",MOVIMIENTOS!$C165="Chancho"))),MOVIMIENTOS!$A165,"")</f>
        <v>46227</v>
      </c>
      <c r="L166" s="48" t="str">
        <f aca="false">IF(AND(MOVIMIENTOS!$B165&lt;&gt;"",NOT(AND(MOVIMIENTOS!$B165="PROCESO",MOVIMIENTOS!$C165&lt;&gt;"Chancho")),NOT(AND(MOVIMIENTOS!$B165="SALDO INICIAL",MOVIMIENTOS!$C165="Chancho"))),IF(MOVIMIENTOS!$B165="SALDO INICIAL","APERTURA ("&amp;MOVIMIENTOS!$C165&amp;")",IF(MOVIMIENTOS!$B165="COMPRA","INGRESO (compra)",IF(MOVIMIENTOS!$B165="PROCESO","CHANCHO (proceso)",IF(MOVIMIENTOS!$B165="ENVÍO A SUPESA","ENVÍO cal. "&amp;MOVIMIENTOS!$C165,IF(MOVIMIENTOS!$B165="VENTA CHANCHO","VENTA CHANCHO",IF(MOVIMIENTOS!$B165="VENTA","VENTA cal. "&amp;MOVIMIENTOS!$C165,IF(MOVIMIENTOS!$B165="REGALO","REGALO "&amp;MOVIMIENTOS!$C165,IF(MOVIMIENTOS!$B165="RECHAZO","RECHAZO cal. "&amp;MOVIMIENTOS!$C165&amp;" (va a reproceso)",IF(MOVIMIENTOS!$B165="DEVOLUCIÓN","DEVOLUCIÓN cal. "&amp;MOVIMIENTOS!$C165&amp;" (regresa intacta)",IF(MOVIMIENTOS!$B165="TRASIEGO","TRASIEGO cal. "&amp;MOVIMIENTOS!$C165,MOVIMIENTOS!$B165)))))))))),"")</f>
        <v>RECHAZO cal. A (va a reproceso)</v>
      </c>
      <c r="M166" s="48" t="str">
        <f aca="false">IF(AND(AND(MOVIMIENTOS!$B165&lt;&gt;"",NOT(AND(MOVIMIENTOS!$B165="PROCESO",MOVIMIENTOS!$C165&lt;&gt;"Chancho")),NOT(AND(MOVIMIENTOS!$B165="SALDO INICIAL",MOVIMIENTOS!$C165="Chancho"))),OR(MOVIMIENTOS!$B165="SALDO INICIAL",MOVIMIENTOS!$B165="COMPRA",MOVIMIENTOS!$B165="REPROCESO",MOVIMIENTOS!$B165="DEVOLUCIÓN",AND(MOVIMIENTOS!$B165="AJUSTE",MOVIMIENTOS!$C165&lt;&gt;"Chancho",N(MOVIMIENTOS!$F165)&gt;=0))),N(MOVIMIENTOS!$F165),"")</f>
        <v/>
      </c>
      <c r="N166" s="48" t="str">
        <f aca="false">IF(AND(AND(MOVIMIENTOS!$B165&lt;&gt;"",NOT(AND(MOVIMIENTOS!$B165="PROCESO",MOVIMIENTOS!$C165&lt;&gt;"Chancho")),NOT(AND(MOVIMIENTOS!$B165="SALDO INICIAL",MOVIMIENTOS!$C165="Chancho"))),OR(MOVIMIENTOS!$B165="ENVÍO A SUPESA",MOVIMIENTOS!$B165="MALOGRADO",MOVIMIENTOS!$B165="OTRA SALIDA",MOVIMIENTOS!$B165="TRASIEGO",AND(MOVIMIENTOS!$B165="PROCESO",MOVIMIENTOS!$C165="Chancho"),AND(MOVIMIENTOS!$B165="REGALO",MOVIMIENTOS!$C165&lt;&gt;"Chancho"),AND(MOVIMIENTOS!$B165="VENTA",MOVIMIENTOS!$C165&lt;&gt;"Chancho"),AND(MOVIMIENTOS!$B165="AJUSTE",MOVIMIENTOS!$C165&lt;&gt;"Chancho",N(MOVIMIENTOS!$F165)&lt;0))),IF(MOVIMIENTOS!$B165="AJUSTE",-N(MOVIMIENTOS!$F165),N(MOVIMIENTOS!$F165)),"")</f>
        <v/>
      </c>
      <c r="O166" s="48" t="str">
        <f aca="false">IF(AND(MOVIMIENTOS!$B165&lt;&gt;"",NOT(AND(MOVIMIENTOS!$B165="PROCESO",MOVIMIENTOS!$C165&lt;&gt;"Chancho")),NOT(AND(MOVIMIENTOS!$B165="SALDO INICIAL",MOVIMIENTOS!$C165="Chancho"))),IF(MOVIMIENTOS!$B165="RECHAZO",MOVIMIENTOS!$E165&amp;" jabas rechazadas · van a reproceso",IF(MOVIMIENTOS!$B165="REPROCESO",MOVIMIENTOS!$E165&amp;" kg recuperados (merma del día: "&amp;TEXT(SUMPRODUCT((MOVIMIENTOS!$A$5:$A$400=MOVIMIENTOS!$A165)*(MOVIMIENTOS!$B$5:$B$400="RECHAZO")*(MOVIMIENTOS!$D$5:$D$400="jabas")*MOVIMIENTOS!$E$5:$E$400*IFERROR(_xlfn.SWITCH(MOVIMIENTOS!$C$5:$C$400,"A",15,"P",18,"C",17,"M",17,0),0))-SUMPRODUCT((MOVIMIENTOS!$A$5:$A$400=MOVIMIENTOS!$A165)*(MOVIMIENTOS!$B$5:$B$400="REPROCESO")*MOVIMIENTOS!$I$5:$I$400),"+#,##0;-#,##0;0")&amp;" kg)",TRIM(IF(MOVIMIENTOS!$G165&lt;&gt;"",MOVIMIENTOS!$G165&amp;"  ","")&amp;IF(N(MOVIMIENTOS!$D165)&gt;0,MOVIMIENTOS!$D165&amp;" "&amp;MOVIMIENTOS!$D165,"")))),"")</f>
        <v>1 jabas rechazadas · van a reproceso</v>
      </c>
      <c r="P166" s="48" t="n">
        <f aca="false">N(P165)+N(M166)-N(N166)</f>
        <v>6116</v>
      </c>
      <c r="Q166" s="48"/>
      <c r="R166" s="48"/>
      <c r="S166" s="48"/>
      <c r="T166" s="48"/>
    </row>
    <row r="167" customFormat="false" ht="15" hidden="false" customHeight="true" outlineLevel="0" collapsed="false">
      <c r="A167" s="51" t="str">
        <f aca="false">IFERROR(INDEX(K$6:K$401,MATCH(ROW()-5,J$6:J$401,0)),"")</f>
        <v/>
      </c>
      <c r="B167" s="56" t="str">
        <f aca="false">IFERROR(INDEX(L$6:L$401,MATCH(ROW()-5,J$6:J$401,0)),"")</f>
        <v/>
      </c>
      <c r="C167" s="52" t="str">
        <f aca="false">IFERROR(INDEX(M$6:M$401,MATCH(ROW()-5,J$6:J$401,0)),"")</f>
        <v/>
      </c>
      <c r="D167" s="52" t="str">
        <f aca="false">IFERROR(INDEX(N$6:N$401,MATCH(ROW()-5,J$6:J$401,0)),"")</f>
        <v/>
      </c>
      <c r="E167" s="56" t="str">
        <f aca="false">IFERROR(INDEX(O$6:O$401,MATCH(ROW()-5,J$6:J$401,0)),"")</f>
        <v/>
      </c>
      <c r="F167" s="52" t="str">
        <f aca="false">IFERROR(INDEX(P$6:P$401,MATCH(ROW()-5,J$6:J$401,0)),"")</f>
        <v/>
      </c>
      <c r="G167" s="48"/>
      <c r="H167" s="48"/>
      <c r="I167" s="48"/>
      <c r="J167" s="48" t="n">
        <f aca="false">IF(AND(MOVIMIENTOS!$B166&lt;&gt;"",NOT(AND(MOVIMIENTOS!$B166="PROCESO",MOVIMIENTOS!$C166&lt;&gt;"Chancho")),NOT(AND(MOVIMIENTOS!$B166="SALDO INICIAL",MOVIMIENTOS!$C166="Chancho"))),COUNT(J$6:J166)+1,"")</f>
        <v>105</v>
      </c>
      <c r="K167" s="53" t="n">
        <f aca="false">IF(AND(MOVIMIENTOS!$B166&lt;&gt;"",NOT(AND(MOVIMIENTOS!$B166="PROCESO",MOVIMIENTOS!$C166&lt;&gt;"Chancho")),NOT(AND(MOVIMIENTOS!$B166="SALDO INICIAL",MOVIMIENTOS!$C166="Chancho"))),MOVIMIENTOS!$A166,"")</f>
        <v>46227</v>
      </c>
      <c r="L167" s="48" t="str">
        <f aca="false">IF(AND(MOVIMIENTOS!$B166&lt;&gt;"",NOT(AND(MOVIMIENTOS!$B166="PROCESO",MOVIMIENTOS!$C166&lt;&gt;"Chancho")),NOT(AND(MOVIMIENTOS!$B166="SALDO INICIAL",MOVIMIENTOS!$C166="Chancho"))),IF(MOVIMIENTOS!$B166="SALDO INICIAL","APERTURA ("&amp;MOVIMIENTOS!$C166&amp;")",IF(MOVIMIENTOS!$B166="COMPRA","INGRESO (compra)",IF(MOVIMIENTOS!$B166="PROCESO","CHANCHO (proceso)",IF(MOVIMIENTOS!$B166="ENVÍO A SUPESA","ENVÍO cal. "&amp;MOVIMIENTOS!$C166,IF(MOVIMIENTOS!$B166="VENTA CHANCHO","VENTA CHANCHO",IF(MOVIMIENTOS!$B166="VENTA","VENTA cal. "&amp;MOVIMIENTOS!$C166,IF(MOVIMIENTOS!$B166="REGALO","REGALO "&amp;MOVIMIENTOS!$C166,IF(MOVIMIENTOS!$B166="RECHAZO","RECHAZO cal. "&amp;MOVIMIENTOS!$C166&amp;" (va a reproceso)",IF(MOVIMIENTOS!$B166="DEVOLUCIÓN","DEVOLUCIÓN cal. "&amp;MOVIMIENTOS!$C166&amp;" (regresa intacta)",IF(MOVIMIENTOS!$B166="TRASIEGO","TRASIEGO cal. "&amp;MOVIMIENTOS!$C166,MOVIMIENTOS!$B166)))))))))),"")</f>
        <v>REPROCESO</v>
      </c>
      <c r="M167" s="48" t="n">
        <f aca="false">IF(AND(AND(MOVIMIENTOS!$B166&lt;&gt;"",NOT(AND(MOVIMIENTOS!$B166="PROCESO",MOVIMIENTOS!$C166&lt;&gt;"Chancho")),NOT(AND(MOVIMIENTOS!$B166="SALDO INICIAL",MOVIMIENTOS!$C166="Chancho"))),OR(MOVIMIENTOS!$B166="SALDO INICIAL",MOVIMIENTOS!$B166="COMPRA",MOVIMIENTOS!$B166="REPROCESO",MOVIMIENTOS!$B166="DEVOLUCIÓN",AND(MOVIMIENTOS!$B166="AJUSTE",MOVIMIENTOS!$C166&lt;&gt;"Chancho",N(MOVIMIENTOS!$F166)&gt;=0))),N(MOVIMIENTOS!$F166),"")</f>
        <v>11</v>
      </c>
      <c r="N167" s="48" t="str">
        <f aca="false">IF(AND(AND(MOVIMIENTOS!$B166&lt;&gt;"",NOT(AND(MOVIMIENTOS!$B166="PROCESO",MOVIMIENTOS!$C166&lt;&gt;"Chancho")),NOT(AND(MOVIMIENTOS!$B166="SALDO INICIAL",MOVIMIENTOS!$C166="Chancho"))),OR(MOVIMIENTOS!$B166="ENVÍO A SUPESA",MOVIMIENTOS!$B166="MALOGRADO",MOVIMIENTOS!$B166="OTRA SALIDA",MOVIMIENTOS!$B166="TRASIEGO",AND(MOVIMIENTOS!$B166="PROCESO",MOVIMIENTOS!$C166="Chancho"),AND(MOVIMIENTOS!$B166="REGALO",MOVIMIENTOS!$C166&lt;&gt;"Chancho"),AND(MOVIMIENTOS!$B166="VENTA",MOVIMIENTOS!$C166&lt;&gt;"Chancho"),AND(MOVIMIENTOS!$B166="AJUSTE",MOVIMIENTOS!$C166&lt;&gt;"Chancho",N(MOVIMIENTOS!$F166)&lt;0))),IF(MOVIMIENTOS!$B166="AJUSTE",-N(MOVIMIENTOS!$F166),N(MOVIMIENTOS!$F166)),"")</f>
        <v/>
      </c>
      <c r="O167" s="48" t="str">
        <f aca="false">IF(AND(MOVIMIENTOS!$B166&lt;&gt;"",NOT(AND(MOVIMIENTOS!$B166="PROCESO",MOVIMIENTOS!$C166&lt;&gt;"Chancho")),NOT(AND(MOVIMIENTOS!$B166="SALDO INICIAL",MOVIMIENTOS!$C166="Chancho"))),IF(MOVIMIENTOS!$B166="RECHAZO",MOVIMIENTOS!$E166&amp;" jabas rechazadas · van a reproceso",IF(MOVIMIENTOS!$B166="REPROCESO",MOVIMIENTOS!$E166&amp;" kg recuperados (merma del día: "&amp;TEXT(SUMPRODUCT((MOVIMIENTOS!$A$5:$A$400=MOVIMIENTOS!$A166)*(MOVIMIENTOS!$B$5:$B$400="RECHAZO")*(MOVIMIENTOS!$D$5:$D$400="jabas")*MOVIMIENTOS!$E$5:$E$400*IFERROR(_xlfn.SWITCH(MOVIMIENTOS!$C$5:$C$400,"A",15,"P",18,"C",17,"M",17,0),0))-SUMPRODUCT((MOVIMIENTOS!$A$5:$A$400=MOVIMIENTOS!$A166)*(MOVIMIENTOS!$B$5:$B$400="REPROCESO")*MOVIMIENTOS!$I$5:$I$400),"+#,##0;-#,##0;0")&amp;" kg)",TRIM(IF(MOVIMIENTOS!$G166&lt;&gt;"",MOVIMIENTOS!$G166&amp;"  ","")&amp;IF(N(MOVIMIENTOS!$D166)&gt;0,MOVIMIENTOS!$D166&amp;" "&amp;MOVIMIENTOS!$D166,"")))),"")</f>
        <v>11 kg recuperados (merma del día: +11 kg)</v>
      </c>
      <c r="P167" s="48" t="n">
        <f aca="false">N(P166)+N(M167)-N(N167)</f>
        <v>6127</v>
      </c>
      <c r="Q167" s="48"/>
      <c r="R167" s="48"/>
      <c r="S167" s="48"/>
      <c r="T167" s="48"/>
    </row>
    <row r="168" customFormat="false" ht="15" hidden="false" customHeight="true" outlineLevel="0" collapsed="false">
      <c r="A168" s="51" t="str">
        <f aca="false">IFERROR(INDEX(K$6:K$401,MATCH(ROW()-5,J$6:J$401,0)),"")</f>
        <v/>
      </c>
      <c r="B168" s="56" t="str">
        <f aca="false">IFERROR(INDEX(L$6:L$401,MATCH(ROW()-5,J$6:J$401,0)),"")</f>
        <v/>
      </c>
      <c r="C168" s="52" t="str">
        <f aca="false">IFERROR(INDEX(M$6:M$401,MATCH(ROW()-5,J$6:J$401,0)),"")</f>
        <v/>
      </c>
      <c r="D168" s="52" t="str">
        <f aca="false">IFERROR(INDEX(N$6:N$401,MATCH(ROW()-5,J$6:J$401,0)),"")</f>
        <v/>
      </c>
      <c r="E168" s="56" t="str">
        <f aca="false">IFERROR(INDEX(O$6:O$401,MATCH(ROW()-5,J$6:J$401,0)),"")</f>
        <v/>
      </c>
      <c r="F168" s="52" t="str">
        <f aca="false">IFERROR(INDEX(P$6:P$401,MATCH(ROW()-5,J$6:J$401,0)),"")</f>
        <v/>
      </c>
      <c r="G168" s="48"/>
      <c r="H168" s="48"/>
      <c r="I168" s="48"/>
      <c r="J168" s="48" t="n">
        <f aca="false">IF(AND(MOVIMIENTOS!$B167&lt;&gt;"",NOT(AND(MOVIMIENTOS!$B167="PROCESO",MOVIMIENTOS!$C167&lt;&gt;"Chancho")),NOT(AND(MOVIMIENTOS!$B167="SALDO INICIAL",MOVIMIENTOS!$C167="Chancho"))),COUNT(J$6:J167)+1,"")</f>
        <v>106</v>
      </c>
      <c r="K168" s="53" t="n">
        <f aca="false">IF(AND(MOVIMIENTOS!$B167&lt;&gt;"",NOT(AND(MOVIMIENTOS!$B167="PROCESO",MOVIMIENTOS!$C167&lt;&gt;"Chancho")),NOT(AND(MOVIMIENTOS!$B167="SALDO INICIAL",MOVIMIENTOS!$C167="Chancho"))),MOVIMIENTOS!$A167,"")</f>
        <v>46227</v>
      </c>
      <c r="L168" s="48" t="str">
        <f aca="false">IF(AND(MOVIMIENTOS!$B167&lt;&gt;"",NOT(AND(MOVIMIENTOS!$B167="PROCESO",MOVIMIENTOS!$C167&lt;&gt;"Chancho")),NOT(AND(MOVIMIENTOS!$B167="SALDO INICIAL",MOVIMIENTOS!$C167="Chancho"))),IF(MOVIMIENTOS!$B167="SALDO INICIAL","APERTURA ("&amp;MOVIMIENTOS!$C167&amp;")",IF(MOVIMIENTOS!$B167="COMPRA","INGRESO (compra)",IF(MOVIMIENTOS!$B167="PROCESO","CHANCHO (proceso)",IF(MOVIMIENTOS!$B167="ENVÍO A SUPESA","ENVÍO cal. "&amp;MOVIMIENTOS!$C167,IF(MOVIMIENTOS!$B167="VENTA CHANCHO","VENTA CHANCHO",IF(MOVIMIENTOS!$B167="VENTA","VENTA cal. "&amp;MOVIMIENTOS!$C167,IF(MOVIMIENTOS!$B167="REGALO","REGALO "&amp;MOVIMIENTOS!$C167,IF(MOVIMIENTOS!$B167="RECHAZO","RECHAZO cal. "&amp;MOVIMIENTOS!$C167&amp;" (va a reproceso)",IF(MOVIMIENTOS!$B167="DEVOLUCIÓN","DEVOLUCIÓN cal. "&amp;MOVIMIENTOS!$C167&amp;" (regresa intacta)",IF(MOVIMIENTOS!$B167="TRASIEGO","TRASIEGO cal. "&amp;MOVIMIENTOS!$C167,MOVIMIENTOS!$B167)))))))))),"")</f>
        <v>RECHAZO cal. M (va a reproceso)</v>
      </c>
      <c r="M168" s="48" t="str">
        <f aca="false">IF(AND(AND(MOVIMIENTOS!$B167&lt;&gt;"",NOT(AND(MOVIMIENTOS!$B167="PROCESO",MOVIMIENTOS!$C167&lt;&gt;"Chancho")),NOT(AND(MOVIMIENTOS!$B167="SALDO INICIAL",MOVIMIENTOS!$C167="Chancho"))),OR(MOVIMIENTOS!$B167="SALDO INICIAL",MOVIMIENTOS!$B167="COMPRA",MOVIMIENTOS!$B167="REPROCESO",MOVIMIENTOS!$B167="DEVOLUCIÓN",AND(MOVIMIENTOS!$B167="AJUSTE",MOVIMIENTOS!$C167&lt;&gt;"Chancho",N(MOVIMIENTOS!$F167)&gt;=0))),N(MOVIMIENTOS!$F167),"")</f>
        <v/>
      </c>
      <c r="N168" s="48" t="str">
        <f aca="false">IF(AND(AND(MOVIMIENTOS!$B167&lt;&gt;"",NOT(AND(MOVIMIENTOS!$B167="PROCESO",MOVIMIENTOS!$C167&lt;&gt;"Chancho")),NOT(AND(MOVIMIENTOS!$B167="SALDO INICIAL",MOVIMIENTOS!$C167="Chancho"))),OR(MOVIMIENTOS!$B167="ENVÍO A SUPESA",MOVIMIENTOS!$B167="MALOGRADO",MOVIMIENTOS!$B167="OTRA SALIDA",MOVIMIENTOS!$B167="TRASIEGO",AND(MOVIMIENTOS!$B167="PROCESO",MOVIMIENTOS!$C167="Chancho"),AND(MOVIMIENTOS!$B167="REGALO",MOVIMIENTOS!$C167&lt;&gt;"Chancho"),AND(MOVIMIENTOS!$B167="VENTA",MOVIMIENTOS!$C167&lt;&gt;"Chancho"),AND(MOVIMIENTOS!$B167="AJUSTE",MOVIMIENTOS!$C167&lt;&gt;"Chancho",N(MOVIMIENTOS!$F167)&lt;0))),IF(MOVIMIENTOS!$B167="AJUSTE",-N(MOVIMIENTOS!$F167),N(MOVIMIENTOS!$F167)),"")</f>
        <v/>
      </c>
      <c r="O168" s="48" t="str">
        <f aca="false">IF(AND(MOVIMIENTOS!$B167&lt;&gt;"",NOT(AND(MOVIMIENTOS!$B167="PROCESO",MOVIMIENTOS!$C167&lt;&gt;"Chancho")),NOT(AND(MOVIMIENTOS!$B167="SALDO INICIAL",MOVIMIENTOS!$C167="Chancho"))),IF(MOVIMIENTOS!$B167="RECHAZO",MOVIMIENTOS!$E167&amp;" jabas rechazadas · van a reproceso",IF(MOVIMIENTOS!$B167="REPROCESO",MOVIMIENTOS!$E167&amp;" kg recuperados (merma del día: "&amp;TEXT(SUMPRODUCT((MOVIMIENTOS!$A$5:$A$400=MOVIMIENTOS!$A167)*(MOVIMIENTOS!$B$5:$B$400="RECHAZO")*(MOVIMIENTOS!$D$5:$D$400="jabas")*MOVIMIENTOS!$E$5:$E$400*IFERROR(_xlfn.SWITCH(MOVIMIENTOS!$C$5:$C$400,"A",15,"P",18,"C",17,"M",17,0),0))-SUMPRODUCT((MOVIMIENTOS!$A$5:$A$400=MOVIMIENTOS!$A167)*(MOVIMIENTOS!$B$5:$B$400="REPROCESO")*MOVIMIENTOS!$I$5:$I$400),"+#,##0;-#,##0;0")&amp;" kg)",TRIM(IF(MOVIMIENTOS!$G167&lt;&gt;"",MOVIMIENTOS!$G167&amp;"  ","")&amp;IF(N(MOVIMIENTOS!$D167)&gt;0,MOVIMIENTOS!$D167&amp;" "&amp;MOVIMIENTOS!$D167,"")))),"")</f>
        <v>1 jabas rechazadas · van a reproceso</v>
      </c>
      <c r="P168" s="48" t="n">
        <f aca="false">N(P167)+N(M168)-N(N168)</f>
        <v>6127</v>
      </c>
      <c r="Q168" s="48"/>
      <c r="R168" s="48"/>
      <c r="S168" s="48"/>
      <c r="T168" s="48"/>
    </row>
    <row r="169" customFormat="false" ht="15" hidden="false" customHeight="true" outlineLevel="0" collapsed="false">
      <c r="A169" s="51" t="str">
        <f aca="false">IFERROR(INDEX(K$6:K$401,MATCH(ROW()-5,J$6:J$401,0)),"")</f>
        <v/>
      </c>
      <c r="B169" s="56" t="str">
        <f aca="false">IFERROR(INDEX(L$6:L$401,MATCH(ROW()-5,J$6:J$401,0)),"")</f>
        <v/>
      </c>
      <c r="C169" s="52" t="str">
        <f aca="false">IFERROR(INDEX(M$6:M$401,MATCH(ROW()-5,J$6:J$401,0)),"")</f>
        <v/>
      </c>
      <c r="D169" s="52" t="str">
        <f aca="false">IFERROR(INDEX(N$6:N$401,MATCH(ROW()-5,J$6:J$401,0)),"")</f>
        <v/>
      </c>
      <c r="E169" s="56" t="str">
        <f aca="false">IFERROR(INDEX(O$6:O$401,MATCH(ROW()-5,J$6:J$401,0)),"")</f>
        <v/>
      </c>
      <c r="F169" s="52" t="str">
        <f aca="false">IFERROR(INDEX(P$6:P$401,MATCH(ROW()-5,J$6:J$401,0)),"")</f>
        <v/>
      </c>
      <c r="G169" s="48"/>
      <c r="H169" s="48"/>
      <c r="I169" s="48"/>
      <c r="J169" s="48" t="n">
        <f aca="false">IF(AND(MOVIMIENTOS!$B168&lt;&gt;"",NOT(AND(MOVIMIENTOS!$B168="PROCESO",MOVIMIENTOS!$C168&lt;&gt;"Chancho")),NOT(AND(MOVIMIENTOS!$B168="SALDO INICIAL",MOVIMIENTOS!$C168="Chancho"))),COUNT(J$6:J168)+1,"")</f>
        <v>107</v>
      </c>
      <c r="K169" s="53" t="n">
        <f aca="false">IF(AND(MOVIMIENTOS!$B168&lt;&gt;"",NOT(AND(MOVIMIENTOS!$B168="PROCESO",MOVIMIENTOS!$C168&lt;&gt;"Chancho")),NOT(AND(MOVIMIENTOS!$B168="SALDO INICIAL",MOVIMIENTOS!$C168="Chancho"))),MOVIMIENTOS!$A168,"")</f>
        <v>46227</v>
      </c>
      <c r="L169" s="48" t="str">
        <f aca="false">IF(AND(MOVIMIENTOS!$B168&lt;&gt;"",NOT(AND(MOVIMIENTOS!$B168="PROCESO",MOVIMIENTOS!$C168&lt;&gt;"Chancho")),NOT(AND(MOVIMIENTOS!$B168="SALDO INICIAL",MOVIMIENTOS!$C168="Chancho"))),IF(MOVIMIENTOS!$B168="SALDO INICIAL","APERTURA ("&amp;MOVIMIENTOS!$C168&amp;")",IF(MOVIMIENTOS!$B168="COMPRA","INGRESO (compra)",IF(MOVIMIENTOS!$B168="PROCESO","CHANCHO (proceso)",IF(MOVIMIENTOS!$B168="ENVÍO A SUPESA","ENVÍO cal. "&amp;MOVIMIENTOS!$C168,IF(MOVIMIENTOS!$B168="VENTA CHANCHO","VENTA CHANCHO",IF(MOVIMIENTOS!$B168="VENTA","VENTA cal. "&amp;MOVIMIENTOS!$C168,IF(MOVIMIENTOS!$B168="REGALO","REGALO "&amp;MOVIMIENTOS!$C168,IF(MOVIMIENTOS!$B168="RECHAZO","RECHAZO cal. "&amp;MOVIMIENTOS!$C168&amp;" (va a reproceso)",IF(MOVIMIENTOS!$B168="DEVOLUCIÓN","DEVOLUCIÓN cal. "&amp;MOVIMIENTOS!$C168&amp;" (regresa intacta)",IF(MOVIMIENTOS!$B168="TRASIEGO","TRASIEGO cal. "&amp;MOVIMIENTOS!$C168,MOVIMIENTOS!$B168)))))))))),"")</f>
        <v>REPROCESO</v>
      </c>
      <c r="M169" s="48" t="n">
        <f aca="false">IF(AND(AND(MOVIMIENTOS!$B168&lt;&gt;"",NOT(AND(MOVIMIENTOS!$B168="PROCESO",MOVIMIENTOS!$C168&lt;&gt;"Chancho")),NOT(AND(MOVIMIENTOS!$B168="SALDO INICIAL",MOVIMIENTOS!$C168="Chancho"))),OR(MOVIMIENTOS!$B168="SALDO INICIAL",MOVIMIENTOS!$B168="COMPRA",MOVIMIENTOS!$B168="REPROCESO",MOVIMIENTOS!$B168="DEVOLUCIÓN",AND(MOVIMIENTOS!$B168="AJUSTE",MOVIMIENTOS!$C168&lt;&gt;"Chancho",N(MOVIMIENTOS!$F168)&gt;=0))),N(MOVIMIENTOS!$F168),"")</f>
        <v>10</v>
      </c>
      <c r="N169" s="48" t="str">
        <f aca="false">IF(AND(AND(MOVIMIENTOS!$B168&lt;&gt;"",NOT(AND(MOVIMIENTOS!$B168="PROCESO",MOVIMIENTOS!$C168&lt;&gt;"Chancho")),NOT(AND(MOVIMIENTOS!$B168="SALDO INICIAL",MOVIMIENTOS!$C168="Chancho"))),OR(MOVIMIENTOS!$B168="ENVÍO A SUPESA",MOVIMIENTOS!$B168="MALOGRADO",MOVIMIENTOS!$B168="OTRA SALIDA",MOVIMIENTOS!$B168="TRASIEGO",AND(MOVIMIENTOS!$B168="PROCESO",MOVIMIENTOS!$C168="Chancho"),AND(MOVIMIENTOS!$B168="REGALO",MOVIMIENTOS!$C168&lt;&gt;"Chancho"),AND(MOVIMIENTOS!$B168="VENTA",MOVIMIENTOS!$C168&lt;&gt;"Chancho"),AND(MOVIMIENTOS!$B168="AJUSTE",MOVIMIENTOS!$C168&lt;&gt;"Chancho",N(MOVIMIENTOS!$F168)&lt;0))),IF(MOVIMIENTOS!$B168="AJUSTE",-N(MOVIMIENTOS!$F168),N(MOVIMIENTOS!$F168)),"")</f>
        <v/>
      </c>
      <c r="O169" s="48" t="str">
        <f aca="false">IF(AND(MOVIMIENTOS!$B168&lt;&gt;"",NOT(AND(MOVIMIENTOS!$B168="PROCESO",MOVIMIENTOS!$C168&lt;&gt;"Chancho")),NOT(AND(MOVIMIENTOS!$B168="SALDO INICIAL",MOVIMIENTOS!$C168="Chancho"))),IF(MOVIMIENTOS!$B168="RECHAZO",MOVIMIENTOS!$E168&amp;" jabas rechazadas · van a reproceso",IF(MOVIMIENTOS!$B168="REPROCESO",MOVIMIENTOS!$E168&amp;" kg recuperados (merma del día: "&amp;TEXT(SUMPRODUCT((MOVIMIENTOS!$A$5:$A$400=MOVIMIENTOS!$A168)*(MOVIMIENTOS!$B$5:$B$400="RECHAZO")*(MOVIMIENTOS!$D$5:$D$400="jabas")*MOVIMIENTOS!$E$5:$E$400*IFERROR(_xlfn.SWITCH(MOVIMIENTOS!$C$5:$C$400,"A",15,"P",18,"C",17,"M",17,0),0))-SUMPRODUCT((MOVIMIENTOS!$A$5:$A$400=MOVIMIENTOS!$A168)*(MOVIMIENTOS!$B$5:$B$400="REPROCESO")*MOVIMIENTOS!$I$5:$I$400),"+#,##0;-#,##0;0")&amp;" kg)",TRIM(IF(MOVIMIENTOS!$G168&lt;&gt;"",MOVIMIENTOS!$G168&amp;"  ","")&amp;IF(N(MOVIMIENTOS!$D168)&gt;0,MOVIMIENTOS!$D168&amp;" "&amp;MOVIMIENTOS!$D168,"")))),"")</f>
        <v>10 kg recuperados (merma del día: +11 kg)</v>
      </c>
      <c r="P169" s="48" t="n">
        <f aca="false">N(P168)+N(M169)-N(N169)</f>
        <v>6137</v>
      </c>
      <c r="Q169" s="48"/>
      <c r="R169" s="48"/>
      <c r="S169" s="48"/>
      <c r="T169" s="48"/>
    </row>
    <row r="170" customFormat="false" ht="15" hidden="false" customHeight="true" outlineLevel="0" collapsed="false">
      <c r="A170" s="51" t="str">
        <f aca="false">IFERROR(INDEX(K$6:K$401,MATCH(ROW()-5,J$6:J$401,0)),"")</f>
        <v/>
      </c>
      <c r="B170" s="56" t="str">
        <f aca="false">IFERROR(INDEX(L$6:L$401,MATCH(ROW()-5,J$6:J$401,0)),"")</f>
        <v/>
      </c>
      <c r="C170" s="52" t="str">
        <f aca="false">IFERROR(INDEX(M$6:M$401,MATCH(ROW()-5,J$6:J$401,0)),"")</f>
        <v/>
      </c>
      <c r="D170" s="52" t="str">
        <f aca="false">IFERROR(INDEX(N$6:N$401,MATCH(ROW()-5,J$6:J$401,0)),"")</f>
        <v/>
      </c>
      <c r="E170" s="56" t="str">
        <f aca="false">IFERROR(INDEX(O$6:O$401,MATCH(ROW()-5,J$6:J$401,0)),"")</f>
        <v/>
      </c>
      <c r="F170" s="52" t="str">
        <f aca="false">IFERROR(INDEX(P$6:P$401,MATCH(ROW()-5,J$6:J$401,0)),"")</f>
        <v/>
      </c>
      <c r="G170" s="48"/>
      <c r="H170" s="48"/>
      <c r="I170" s="48"/>
      <c r="J170" s="48" t="n">
        <f aca="false">IF(AND(MOVIMIENTOS!$B169&lt;&gt;"",NOT(AND(MOVIMIENTOS!$B169="PROCESO",MOVIMIENTOS!$C169&lt;&gt;"Chancho")),NOT(AND(MOVIMIENTOS!$B169="SALDO INICIAL",MOVIMIENTOS!$C169="Chancho"))),COUNT(J$6:J169)+1,"")</f>
        <v>108</v>
      </c>
      <c r="K170" s="53" t="n">
        <f aca="false">IF(AND(MOVIMIENTOS!$B169&lt;&gt;"",NOT(AND(MOVIMIENTOS!$B169="PROCESO",MOVIMIENTOS!$C169&lt;&gt;"Chancho")),NOT(AND(MOVIMIENTOS!$B169="SALDO INICIAL",MOVIMIENTOS!$C169="Chancho"))),MOVIMIENTOS!$A169,"")</f>
        <v>46227</v>
      </c>
      <c r="L170" s="48" t="str">
        <f aca="false">IF(AND(MOVIMIENTOS!$B169&lt;&gt;"",NOT(AND(MOVIMIENTOS!$B169="PROCESO",MOVIMIENTOS!$C169&lt;&gt;"Chancho")),NOT(AND(MOVIMIENTOS!$B169="SALDO INICIAL",MOVIMIENTOS!$C169="Chancho"))),IF(MOVIMIENTOS!$B169="SALDO INICIAL","APERTURA ("&amp;MOVIMIENTOS!$C169&amp;")",IF(MOVIMIENTOS!$B169="COMPRA","INGRESO (compra)",IF(MOVIMIENTOS!$B169="PROCESO","CHANCHO (proceso)",IF(MOVIMIENTOS!$B169="ENVÍO A SUPESA","ENVÍO cal. "&amp;MOVIMIENTOS!$C169,IF(MOVIMIENTOS!$B169="VENTA CHANCHO","VENTA CHANCHO",IF(MOVIMIENTOS!$B169="VENTA","VENTA cal. "&amp;MOVIMIENTOS!$C169,IF(MOVIMIENTOS!$B169="REGALO","REGALO "&amp;MOVIMIENTOS!$C169,IF(MOVIMIENTOS!$B169="RECHAZO","RECHAZO cal. "&amp;MOVIMIENTOS!$C169&amp;" (va a reproceso)",IF(MOVIMIENTOS!$B169="DEVOLUCIÓN","DEVOLUCIÓN cal. "&amp;MOVIMIENTOS!$C169&amp;" (regresa intacta)",IF(MOVIMIENTOS!$B169="TRASIEGO","TRASIEGO cal. "&amp;MOVIMIENTOS!$C169,MOVIMIENTOS!$B169)))))))))),"")</f>
        <v>VENTA CHANCHO</v>
      </c>
      <c r="M170" s="48" t="str">
        <f aca="false">IF(AND(AND(MOVIMIENTOS!$B169&lt;&gt;"",NOT(AND(MOVIMIENTOS!$B169="PROCESO",MOVIMIENTOS!$C169&lt;&gt;"Chancho")),NOT(AND(MOVIMIENTOS!$B169="SALDO INICIAL",MOVIMIENTOS!$C169="Chancho"))),OR(MOVIMIENTOS!$B169="SALDO INICIAL",MOVIMIENTOS!$B169="COMPRA",MOVIMIENTOS!$B169="REPROCESO",MOVIMIENTOS!$B169="DEVOLUCIÓN",AND(MOVIMIENTOS!$B169="AJUSTE",MOVIMIENTOS!$C169&lt;&gt;"Chancho",N(MOVIMIENTOS!$F169)&gt;=0))),N(MOVIMIENTOS!$F169),"")</f>
        <v/>
      </c>
      <c r="N170" s="48" t="str">
        <f aca="false">IF(AND(AND(MOVIMIENTOS!$B169&lt;&gt;"",NOT(AND(MOVIMIENTOS!$B169="PROCESO",MOVIMIENTOS!$C169&lt;&gt;"Chancho")),NOT(AND(MOVIMIENTOS!$B169="SALDO INICIAL",MOVIMIENTOS!$C169="Chancho"))),OR(MOVIMIENTOS!$B169="ENVÍO A SUPESA",MOVIMIENTOS!$B169="MALOGRADO",MOVIMIENTOS!$B169="OTRA SALIDA",MOVIMIENTOS!$B169="TRASIEGO",AND(MOVIMIENTOS!$B169="PROCESO",MOVIMIENTOS!$C169="Chancho"),AND(MOVIMIENTOS!$B169="REGALO",MOVIMIENTOS!$C169&lt;&gt;"Chancho"),AND(MOVIMIENTOS!$B169="VENTA",MOVIMIENTOS!$C169&lt;&gt;"Chancho"),AND(MOVIMIENTOS!$B169="AJUSTE",MOVIMIENTOS!$C169&lt;&gt;"Chancho",N(MOVIMIENTOS!$F169)&lt;0))),IF(MOVIMIENTOS!$B169="AJUSTE",-N(MOVIMIENTOS!$F169),N(MOVIMIENTOS!$F169)),"")</f>
        <v/>
      </c>
      <c r="O170" s="48" t="str">
        <f aca="false">IF(AND(MOVIMIENTOS!$B169&lt;&gt;"",NOT(AND(MOVIMIENTOS!$B169="PROCESO",MOVIMIENTOS!$C169&lt;&gt;"Chancho")),NOT(AND(MOVIMIENTOS!$B169="SALDO INICIAL",MOVIMIENTOS!$C169="Chancho"))),IF(MOVIMIENTOS!$B169="RECHAZO",MOVIMIENTOS!$E169&amp;" jabas rechazadas · van a reproceso",IF(MOVIMIENTOS!$B169="REPROCESO",MOVIMIENTOS!$E169&amp;" kg recuperados (merma del día: "&amp;TEXT(SUMPRODUCT((MOVIMIENTOS!$A$5:$A$400=MOVIMIENTOS!$A169)*(MOVIMIENTOS!$B$5:$B$400="RECHAZO")*(MOVIMIENTOS!$D$5:$D$400="jabas")*MOVIMIENTOS!$E$5:$E$400*IFERROR(_xlfn.SWITCH(MOVIMIENTOS!$C$5:$C$400,"A",15,"P",18,"C",17,"M",17,0),0))-SUMPRODUCT((MOVIMIENTOS!$A$5:$A$400=MOVIMIENTOS!$A169)*(MOVIMIENTOS!$B$5:$B$400="REPROCESO")*MOVIMIENTOS!$I$5:$I$400),"+#,##0;-#,##0;0")&amp;" kg)",TRIM(IF(MOVIMIENTOS!$G169&lt;&gt;"",MOVIMIENTOS!$G169&amp;"  ","")&amp;IF(N(MOVIMIENTOS!$D169)&gt;0,MOVIMIENTOS!$D169&amp;" "&amp;MOVIMIENTOS!$D169,"")))),"")</f>
        <v>TCK002-729</v>
      </c>
      <c r="P170" s="48" t="n">
        <f aca="false">N(P169)+N(M170)-N(N170)</f>
        <v>6137</v>
      </c>
      <c r="Q170" s="48"/>
      <c r="R170" s="48"/>
      <c r="S170" s="48"/>
      <c r="T170" s="48"/>
    </row>
    <row r="171" customFormat="false" ht="15" hidden="false" customHeight="true" outlineLevel="0" collapsed="false">
      <c r="A171" s="51" t="str">
        <f aca="false">IFERROR(INDEX(K$6:K$401,MATCH(ROW()-5,J$6:J$401,0)),"")</f>
        <v/>
      </c>
      <c r="B171" s="56" t="str">
        <f aca="false">IFERROR(INDEX(L$6:L$401,MATCH(ROW()-5,J$6:J$401,0)),"")</f>
        <v/>
      </c>
      <c r="C171" s="52" t="str">
        <f aca="false">IFERROR(INDEX(M$6:M$401,MATCH(ROW()-5,J$6:J$401,0)),"")</f>
        <v/>
      </c>
      <c r="D171" s="52" t="str">
        <f aca="false">IFERROR(INDEX(N$6:N$401,MATCH(ROW()-5,J$6:J$401,0)),"")</f>
        <v/>
      </c>
      <c r="E171" s="56" t="str">
        <f aca="false">IFERROR(INDEX(O$6:O$401,MATCH(ROW()-5,J$6:J$401,0)),"")</f>
        <v/>
      </c>
      <c r="F171" s="52" t="str">
        <f aca="false">IFERROR(INDEX(P$6:P$401,MATCH(ROW()-5,J$6:J$401,0)),"")</f>
        <v/>
      </c>
      <c r="G171" s="48"/>
      <c r="H171" s="48"/>
      <c r="I171" s="48"/>
      <c r="J171" s="48" t="n">
        <f aca="false">IF(AND(MOVIMIENTOS!$B170&lt;&gt;"",NOT(AND(MOVIMIENTOS!$B170="PROCESO",MOVIMIENTOS!$C170&lt;&gt;"Chancho")),NOT(AND(MOVIMIENTOS!$B170="SALDO INICIAL",MOVIMIENTOS!$C170="Chancho"))),COUNT(J$6:J170)+1,"")</f>
        <v>109</v>
      </c>
      <c r="K171" s="53" t="n">
        <f aca="false">IF(AND(MOVIMIENTOS!$B170&lt;&gt;"",NOT(AND(MOVIMIENTOS!$B170="PROCESO",MOVIMIENTOS!$C170&lt;&gt;"Chancho")),NOT(AND(MOVIMIENTOS!$B170="SALDO INICIAL",MOVIMIENTOS!$C170="Chancho"))),MOVIMIENTOS!$A170,"")</f>
        <v>46227</v>
      </c>
      <c r="L171" s="48" t="str">
        <f aca="false">IF(AND(MOVIMIENTOS!$B170&lt;&gt;"",NOT(AND(MOVIMIENTOS!$B170="PROCESO",MOVIMIENTOS!$C170&lt;&gt;"Chancho")),NOT(AND(MOVIMIENTOS!$B170="SALDO INICIAL",MOVIMIENTOS!$C170="Chancho"))),IF(MOVIMIENTOS!$B170="SALDO INICIAL","APERTURA ("&amp;MOVIMIENTOS!$C170&amp;")",IF(MOVIMIENTOS!$B170="COMPRA","INGRESO (compra)",IF(MOVIMIENTOS!$B170="PROCESO","CHANCHO (proceso)",IF(MOVIMIENTOS!$B170="ENVÍO A SUPESA","ENVÍO cal. "&amp;MOVIMIENTOS!$C170,IF(MOVIMIENTOS!$B170="VENTA CHANCHO","VENTA CHANCHO",IF(MOVIMIENTOS!$B170="VENTA","VENTA cal. "&amp;MOVIMIENTOS!$C170,IF(MOVIMIENTOS!$B170="REGALO","REGALO "&amp;MOVIMIENTOS!$C170,IF(MOVIMIENTOS!$B170="RECHAZO","RECHAZO cal. "&amp;MOVIMIENTOS!$C170&amp;" (va a reproceso)",IF(MOVIMIENTOS!$B170="DEVOLUCIÓN","DEVOLUCIÓN cal. "&amp;MOVIMIENTOS!$C170&amp;" (regresa intacta)",IF(MOVIMIENTOS!$B170="TRASIEGO","TRASIEGO cal. "&amp;MOVIMIENTOS!$C170,MOVIMIENTOS!$B170)))))))))),"")</f>
        <v>VENTA CHANCHO</v>
      </c>
      <c r="M171" s="48" t="str">
        <f aca="false">IF(AND(AND(MOVIMIENTOS!$B170&lt;&gt;"",NOT(AND(MOVIMIENTOS!$B170="PROCESO",MOVIMIENTOS!$C170&lt;&gt;"Chancho")),NOT(AND(MOVIMIENTOS!$B170="SALDO INICIAL",MOVIMIENTOS!$C170="Chancho"))),OR(MOVIMIENTOS!$B170="SALDO INICIAL",MOVIMIENTOS!$B170="COMPRA",MOVIMIENTOS!$B170="REPROCESO",MOVIMIENTOS!$B170="DEVOLUCIÓN",AND(MOVIMIENTOS!$B170="AJUSTE",MOVIMIENTOS!$C170&lt;&gt;"Chancho",N(MOVIMIENTOS!$F170)&gt;=0))),N(MOVIMIENTOS!$F170),"")</f>
        <v/>
      </c>
      <c r="N171" s="48" t="str">
        <f aca="false">IF(AND(AND(MOVIMIENTOS!$B170&lt;&gt;"",NOT(AND(MOVIMIENTOS!$B170="PROCESO",MOVIMIENTOS!$C170&lt;&gt;"Chancho")),NOT(AND(MOVIMIENTOS!$B170="SALDO INICIAL",MOVIMIENTOS!$C170="Chancho"))),OR(MOVIMIENTOS!$B170="ENVÍO A SUPESA",MOVIMIENTOS!$B170="MALOGRADO",MOVIMIENTOS!$B170="OTRA SALIDA",MOVIMIENTOS!$B170="TRASIEGO",AND(MOVIMIENTOS!$B170="PROCESO",MOVIMIENTOS!$C170="Chancho"),AND(MOVIMIENTOS!$B170="REGALO",MOVIMIENTOS!$C170&lt;&gt;"Chancho"),AND(MOVIMIENTOS!$B170="VENTA",MOVIMIENTOS!$C170&lt;&gt;"Chancho"),AND(MOVIMIENTOS!$B170="AJUSTE",MOVIMIENTOS!$C170&lt;&gt;"Chancho",N(MOVIMIENTOS!$F170)&lt;0))),IF(MOVIMIENTOS!$B170="AJUSTE",-N(MOVIMIENTOS!$F170),N(MOVIMIENTOS!$F170)),"")</f>
        <v/>
      </c>
      <c r="O171" s="48" t="str">
        <f aca="false">IF(AND(MOVIMIENTOS!$B170&lt;&gt;"",NOT(AND(MOVIMIENTOS!$B170="PROCESO",MOVIMIENTOS!$C170&lt;&gt;"Chancho")),NOT(AND(MOVIMIENTOS!$B170="SALDO INICIAL",MOVIMIENTOS!$C170="Chancho"))),IF(MOVIMIENTOS!$B170="RECHAZO",MOVIMIENTOS!$E170&amp;" jabas rechazadas · van a reproceso",IF(MOVIMIENTOS!$B170="REPROCESO",MOVIMIENTOS!$E170&amp;" kg recuperados (merma del día: "&amp;TEXT(SUMPRODUCT((MOVIMIENTOS!$A$5:$A$400=MOVIMIENTOS!$A170)*(MOVIMIENTOS!$B$5:$B$400="RECHAZO")*(MOVIMIENTOS!$D$5:$D$400="jabas")*MOVIMIENTOS!$E$5:$E$400*IFERROR(_xlfn.SWITCH(MOVIMIENTOS!$C$5:$C$400,"A",15,"P",18,"C",17,"M",17,0),0))-SUMPRODUCT((MOVIMIENTOS!$A$5:$A$400=MOVIMIENTOS!$A170)*(MOVIMIENTOS!$B$5:$B$400="REPROCESO")*MOVIMIENTOS!$I$5:$I$400),"+#,##0;-#,##0;0")&amp;" kg)",TRIM(IF(MOVIMIENTOS!$G170&lt;&gt;"",MOVIMIENTOS!$G170&amp;"  ","")&amp;IF(N(MOVIMIENTOS!$D170)&gt;0,MOVIMIENTOS!$D170&amp;" "&amp;MOVIMIENTOS!$D170,"")))),"")</f>
        <v/>
      </c>
      <c r="P171" s="48" t="n">
        <f aca="false">N(P170)+N(M171)-N(N171)</f>
        <v>6137</v>
      </c>
      <c r="Q171" s="48"/>
      <c r="R171" s="48"/>
      <c r="S171" s="48"/>
      <c r="T171" s="48"/>
    </row>
    <row r="172" customFormat="false" ht="15" hidden="false" customHeight="true" outlineLevel="0" collapsed="false">
      <c r="A172" s="51" t="str">
        <f aca="false">IFERROR(INDEX(K$6:K$401,MATCH(ROW()-5,J$6:J$401,0)),"")</f>
        <v/>
      </c>
      <c r="B172" s="56" t="str">
        <f aca="false">IFERROR(INDEX(L$6:L$401,MATCH(ROW()-5,J$6:J$401,0)),"")</f>
        <v/>
      </c>
      <c r="C172" s="52" t="str">
        <f aca="false">IFERROR(INDEX(M$6:M$401,MATCH(ROW()-5,J$6:J$401,0)),"")</f>
        <v/>
      </c>
      <c r="D172" s="52" t="str">
        <f aca="false">IFERROR(INDEX(N$6:N$401,MATCH(ROW()-5,J$6:J$401,0)),"")</f>
        <v/>
      </c>
      <c r="E172" s="56" t="str">
        <f aca="false">IFERROR(INDEX(O$6:O$401,MATCH(ROW()-5,J$6:J$401,0)),"")</f>
        <v/>
      </c>
      <c r="F172" s="52" t="str">
        <f aca="false">IFERROR(INDEX(P$6:P$401,MATCH(ROW()-5,J$6:J$401,0)),"")</f>
        <v/>
      </c>
      <c r="G172" s="48"/>
      <c r="H172" s="48"/>
      <c r="I172" s="48"/>
      <c r="J172" s="48" t="n">
        <f aca="false">IF(AND(MOVIMIENTOS!$B171&lt;&gt;"",NOT(AND(MOVIMIENTOS!$B171="PROCESO",MOVIMIENTOS!$C171&lt;&gt;"Chancho")),NOT(AND(MOVIMIENTOS!$B171="SALDO INICIAL",MOVIMIENTOS!$C171="Chancho"))),COUNT(J$6:J171)+1,"")</f>
        <v>110</v>
      </c>
      <c r="K172" s="53" t="n">
        <f aca="false">IF(AND(MOVIMIENTOS!$B171&lt;&gt;"",NOT(AND(MOVIMIENTOS!$B171="PROCESO",MOVIMIENTOS!$C171&lt;&gt;"Chancho")),NOT(AND(MOVIMIENTOS!$B171="SALDO INICIAL",MOVIMIENTOS!$C171="Chancho"))),MOVIMIENTOS!$A171,"")</f>
        <v>46227</v>
      </c>
      <c r="L172" s="48" t="str">
        <f aca="false">IF(AND(MOVIMIENTOS!$B171&lt;&gt;"",NOT(AND(MOVIMIENTOS!$B171="PROCESO",MOVIMIENTOS!$C171&lt;&gt;"Chancho")),NOT(AND(MOVIMIENTOS!$B171="SALDO INICIAL",MOVIMIENTOS!$C171="Chancho"))),IF(MOVIMIENTOS!$B171="SALDO INICIAL","APERTURA ("&amp;MOVIMIENTOS!$C171&amp;")",IF(MOVIMIENTOS!$B171="COMPRA","INGRESO (compra)",IF(MOVIMIENTOS!$B171="PROCESO","CHANCHO (proceso)",IF(MOVIMIENTOS!$B171="ENVÍO A SUPESA","ENVÍO cal. "&amp;MOVIMIENTOS!$C171,IF(MOVIMIENTOS!$B171="VENTA CHANCHO","VENTA CHANCHO",IF(MOVIMIENTOS!$B171="VENTA","VENTA cal. "&amp;MOVIMIENTOS!$C171,IF(MOVIMIENTOS!$B171="REGALO","REGALO "&amp;MOVIMIENTOS!$C171,IF(MOVIMIENTOS!$B171="RECHAZO","RECHAZO cal. "&amp;MOVIMIENTOS!$C171&amp;" (va a reproceso)",IF(MOVIMIENTOS!$B171="DEVOLUCIÓN","DEVOLUCIÓN cal. "&amp;MOVIMIENTOS!$C171&amp;" (regresa intacta)",IF(MOVIMIENTOS!$B171="TRASIEGO","TRASIEGO cal. "&amp;MOVIMIENTOS!$C171,MOVIMIENTOS!$B171)))))))))),"")</f>
        <v>ENVIO A TOTTUS</v>
      </c>
      <c r="M172" s="48" t="str">
        <f aca="false">IF(AND(AND(MOVIMIENTOS!$B171&lt;&gt;"",NOT(AND(MOVIMIENTOS!$B171="PROCESO",MOVIMIENTOS!$C171&lt;&gt;"Chancho")),NOT(AND(MOVIMIENTOS!$B171="SALDO INICIAL",MOVIMIENTOS!$C171="Chancho"))),OR(MOVIMIENTOS!$B171="SALDO INICIAL",MOVIMIENTOS!$B171="COMPRA",MOVIMIENTOS!$B171="REPROCESO",MOVIMIENTOS!$B171="DEVOLUCIÓN",AND(MOVIMIENTOS!$B171="AJUSTE",MOVIMIENTOS!$C171&lt;&gt;"Chancho",N(MOVIMIENTOS!$F171)&gt;=0))),N(MOVIMIENTOS!$F171),"")</f>
        <v/>
      </c>
      <c r="N172" s="48" t="str">
        <f aca="false">IF(AND(AND(MOVIMIENTOS!$B171&lt;&gt;"",NOT(AND(MOVIMIENTOS!$B171="PROCESO",MOVIMIENTOS!$C171&lt;&gt;"Chancho")),NOT(AND(MOVIMIENTOS!$B171="SALDO INICIAL",MOVIMIENTOS!$C171="Chancho"))),OR(MOVIMIENTOS!$B171="ENVÍO A SUPESA",MOVIMIENTOS!$B171="MALOGRADO",MOVIMIENTOS!$B171="OTRA SALIDA",MOVIMIENTOS!$B171="TRASIEGO",AND(MOVIMIENTOS!$B171="PROCESO",MOVIMIENTOS!$C171="Chancho"),AND(MOVIMIENTOS!$B171="REGALO",MOVIMIENTOS!$C171&lt;&gt;"Chancho"),AND(MOVIMIENTOS!$B171="VENTA",MOVIMIENTOS!$C171&lt;&gt;"Chancho"),AND(MOVIMIENTOS!$B171="AJUSTE",MOVIMIENTOS!$C171&lt;&gt;"Chancho",N(MOVIMIENTOS!$F171)&lt;0))),IF(MOVIMIENTOS!$B171="AJUSTE",-N(MOVIMIENTOS!$F171),N(MOVIMIENTOS!$F171)),"")</f>
        <v/>
      </c>
      <c r="O172" s="48" t="str">
        <f aca="false">IF(AND(MOVIMIENTOS!$B171&lt;&gt;"",NOT(AND(MOVIMIENTOS!$B171="PROCESO",MOVIMIENTOS!$C171&lt;&gt;"Chancho")),NOT(AND(MOVIMIENTOS!$B171="SALDO INICIAL",MOVIMIENTOS!$C171="Chancho"))),IF(MOVIMIENTOS!$B171="RECHAZO",MOVIMIENTOS!$E171&amp;" jabas rechazadas · van a reproceso",IF(MOVIMIENTOS!$B171="REPROCESO",MOVIMIENTOS!$E171&amp;" kg recuperados (merma del día: "&amp;TEXT(SUMPRODUCT((MOVIMIENTOS!$A$5:$A$400=MOVIMIENTOS!$A171)*(MOVIMIENTOS!$B$5:$B$400="RECHAZO")*(MOVIMIENTOS!$D$5:$D$400="jabas")*MOVIMIENTOS!$E$5:$E$400*IFERROR(_xlfn.SWITCH(MOVIMIENTOS!$C$5:$C$400,"A",15,"P",18,"C",17,"M",17,0),0))-SUMPRODUCT((MOVIMIENTOS!$A$5:$A$400=MOVIMIENTOS!$A171)*(MOVIMIENTOS!$B$5:$B$400="REPROCESO")*MOVIMIENTOS!$I$5:$I$400),"+#,##0;-#,##0;0")&amp;" kg)",TRIM(IF(MOVIMIENTOS!$G171&lt;&gt;"",MOVIMIENTOS!$G171&amp;"  ","")&amp;IF(N(MOVIMIENTOS!$D171)&gt;0,MOVIMIENTOS!$D171&amp;" "&amp;MOVIMIENTOS!$D171,"")))),"")</f>
        <v/>
      </c>
      <c r="P172" s="48" t="n">
        <f aca="false">N(P171)+N(M172)-N(N172)</f>
        <v>6137</v>
      </c>
      <c r="Q172" s="48"/>
      <c r="R172" s="48"/>
      <c r="S172" s="48"/>
      <c r="T172" s="48"/>
    </row>
    <row r="173" customFormat="false" ht="15" hidden="false" customHeight="true" outlineLevel="0" collapsed="false">
      <c r="A173" s="51" t="str">
        <f aca="false">IFERROR(INDEX(K$6:K$401,MATCH(ROW()-5,J$6:J$401,0)),"")</f>
        <v/>
      </c>
      <c r="B173" s="56" t="str">
        <f aca="false">IFERROR(INDEX(L$6:L$401,MATCH(ROW()-5,J$6:J$401,0)),"")</f>
        <v/>
      </c>
      <c r="C173" s="52" t="str">
        <f aca="false">IFERROR(INDEX(M$6:M$401,MATCH(ROW()-5,J$6:J$401,0)),"")</f>
        <v/>
      </c>
      <c r="D173" s="52" t="str">
        <f aca="false">IFERROR(INDEX(N$6:N$401,MATCH(ROW()-5,J$6:J$401,0)),"")</f>
        <v/>
      </c>
      <c r="E173" s="56" t="str">
        <f aca="false">IFERROR(INDEX(O$6:O$401,MATCH(ROW()-5,J$6:J$401,0)),"")</f>
        <v/>
      </c>
      <c r="F173" s="52" t="str">
        <f aca="false">IFERROR(INDEX(P$6:P$401,MATCH(ROW()-5,J$6:J$401,0)),"")</f>
        <v/>
      </c>
      <c r="G173" s="48"/>
      <c r="H173" s="48"/>
      <c r="I173" s="48"/>
      <c r="J173" s="48" t="n">
        <f aca="false">IF(AND(MOVIMIENTOS!$B172&lt;&gt;"",NOT(AND(MOVIMIENTOS!$B172="PROCESO",MOVIMIENTOS!$C172&lt;&gt;"Chancho")),NOT(AND(MOVIMIENTOS!$B172="SALDO INICIAL",MOVIMIENTOS!$C172="Chancho"))),COUNT(J$6:J172)+1,"")</f>
        <v>111</v>
      </c>
      <c r="K173" s="53" t="n">
        <f aca="false">IF(AND(MOVIMIENTOS!$B172&lt;&gt;"",NOT(AND(MOVIMIENTOS!$B172="PROCESO",MOVIMIENTOS!$C172&lt;&gt;"Chancho")),NOT(AND(MOVIMIENTOS!$B172="SALDO INICIAL",MOVIMIENTOS!$C172="Chancho"))),MOVIMIENTOS!$A172,"")</f>
        <v>46228</v>
      </c>
      <c r="L173" s="48" t="str">
        <f aca="false">IF(AND(MOVIMIENTOS!$B172&lt;&gt;"",NOT(AND(MOVIMIENTOS!$B172="PROCESO",MOVIMIENTOS!$C172&lt;&gt;"Chancho")),NOT(AND(MOVIMIENTOS!$B172="SALDO INICIAL",MOVIMIENTOS!$C172="Chancho"))),IF(MOVIMIENTOS!$B172="SALDO INICIAL","APERTURA ("&amp;MOVIMIENTOS!$C172&amp;")",IF(MOVIMIENTOS!$B172="COMPRA","INGRESO (compra)",IF(MOVIMIENTOS!$B172="PROCESO","CHANCHO (proceso)",IF(MOVIMIENTOS!$B172="ENVÍO A SUPESA","ENVÍO cal. "&amp;MOVIMIENTOS!$C172,IF(MOVIMIENTOS!$B172="VENTA CHANCHO","VENTA CHANCHO",IF(MOVIMIENTOS!$B172="VENTA","VENTA cal. "&amp;MOVIMIENTOS!$C172,IF(MOVIMIENTOS!$B172="REGALO","REGALO "&amp;MOVIMIENTOS!$C172,IF(MOVIMIENTOS!$B172="RECHAZO","RECHAZO cal. "&amp;MOVIMIENTOS!$C172&amp;" (va a reproceso)",IF(MOVIMIENTOS!$B172="DEVOLUCIÓN","DEVOLUCIÓN cal. "&amp;MOVIMIENTOS!$C172&amp;" (regresa intacta)",IF(MOVIMIENTOS!$B172="TRASIEGO","TRASIEGO cal. "&amp;MOVIMIENTOS!$C172,MOVIMIENTOS!$B172)))))))))),"")</f>
        <v>ENVÍO cal. A</v>
      </c>
      <c r="M173" s="48" t="str">
        <f aca="false">IF(AND(AND(MOVIMIENTOS!$B172&lt;&gt;"",NOT(AND(MOVIMIENTOS!$B172="PROCESO",MOVIMIENTOS!$C172&lt;&gt;"Chancho")),NOT(AND(MOVIMIENTOS!$B172="SALDO INICIAL",MOVIMIENTOS!$C172="Chancho"))),OR(MOVIMIENTOS!$B172="SALDO INICIAL",MOVIMIENTOS!$B172="COMPRA",MOVIMIENTOS!$B172="REPROCESO",MOVIMIENTOS!$B172="DEVOLUCIÓN",AND(MOVIMIENTOS!$B172="AJUSTE",MOVIMIENTOS!$C172&lt;&gt;"Chancho",N(MOVIMIENTOS!$F172)&gt;=0))),N(MOVIMIENTOS!$F172),"")</f>
        <v/>
      </c>
      <c r="N173" s="48" t="n">
        <f aca="false">IF(AND(AND(MOVIMIENTOS!$B172&lt;&gt;"",NOT(AND(MOVIMIENTOS!$B172="PROCESO",MOVIMIENTOS!$C172&lt;&gt;"Chancho")),NOT(AND(MOVIMIENTOS!$B172="SALDO INICIAL",MOVIMIENTOS!$C172="Chancho"))),OR(MOVIMIENTOS!$B172="ENVÍO A SUPESA",MOVIMIENTOS!$B172="MALOGRADO",MOVIMIENTOS!$B172="OTRA SALIDA",MOVIMIENTOS!$B172="TRASIEGO",AND(MOVIMIENTOS!$B172="PROCESO",MOVIMIENTOS!$C172="Chancho"),AND(MOVIMIENTOS!$B172="REGALO",MOVIMIENTOS!$C172&lt;&gt;"Chancho"),AND(MOVIMIENTOS!$B172="VENTA",MOVIMIENTOS!$C172&lt;&gt;"Chancho"),AND(MOVIMIENTOS!$B172="AJUSTE",MOVIMIENTOS!$C172&lt;&gt;"Chancho",N(MOVIMIENTOS!$F172)&lt;0))),IF(MOVIMIENTOS!$B172="AJUSTE",-N(MOVIMIENTOS!$F172),N(MOVIMIENTOS!$F172)),"")</f>
        <v>1005</v>
      </c>
      <c r="O173" s="48" t="str">
        <f aca="false">IF(AND(MOVIMIENTOS!$B172&lt;&gt;"",NOT(AND(MOVIMIENTOS!$B172="PROCESO",MOVIMIENTOS!$C172&lt;&gt;"Chancho")),NOT(AND(MOVIMIENTOS!$B172="SALDO INICIAL",MOVIMIENTOS!$C172="Chancho"))),IF(MOVIMIENTOS!$B172="RECHAZO",MOVIMIENTOS!$E172&amp;" jabas rechazadas · van a reproceso",IF(MOVIMIENTOS!$B172="REPROCESO",MOVIMIENTOS!$E172&amp;" kg recuperados (merma del día: "&amp;TEXT(SUMPRODUCT((MOVIMIENTOS!$A$5:$A$400=MOVIMIENTOS!$A172)*(MOVIMIENTOS!$B$5:$B$400="RECHAZO")*(MOVIMIENTOS!$D$5:$D$400="jabas")*MOVIMIENTOS!$E$5:$E$400*IFERROR(_xlfn.SWITCH(MOVIMIENTOS!$C$5:$C$400,"A",15,"P",18,"C",17,"M",17,0),0))-SUMPRODUCT((MOVIMIENTOS!$A$5:$A$400=MOVIMIENTOS!$A172)*(MOVIMIENTOS!$B$5:$B$400="REPROCESO")*MOVIMIENTOS!$I$5:$I$400),"+#,##0;-#,##0;0")&amp;" kg)",TRIM(IF(MOVIMIENTOS!$G172&lt;&gt;"",MOVIMIENTOS!$G172&amp;"  ","")&amp;IF(N(MOVIMIENTOS!$D172)&gt;0,MOVIMIENTOS!$D172&amp;" "&amp;MOVIMIENTOS!$D172,"")))),"")</f>
        <v>3014</v>
      </c>
      <c r="P173" s="48" t="n">
        <f aca="false">N(P172)+N(M173)-N(N173)</f>
        <v>5132</v>
      </c>
      <c r="Q173" s="48"/>
      <c r="R173" s="48"/>
      <c r="S173" s="48"/>
      <c r="T173" s="48"/>
    </row>
    <row r="174" customFormat="false" ht="15" hidden="false" customHeight="true" outlineLevel="0" collapsed="false">
      <c r="A174" s="51" t="str">
        <f aca="false">IFERROR(INDEX(K$6:K$401,MATCH(ROW()-5,J$6:J$401,0)),"")</f>
        <v/>
      </c>
      <c r="B174" s="56" t="str">
        <f aca="false">IFERROR(INDEX(L$6:L$401,MATCH(ROW()-5,J$6:J$401,0)),"")</f>
        <v/>
      </c>
      <c r="C174" s="52" t="str">
        <f aca="false">IFERROR(INDEX(M$6:M$401,MATCH(ROW()-5,J$6:J$401,0)),"")</f>
        <v/>
      </c>
      <c r="D174" s="52" t="str">
        <f aca="false">IFERROR(INDEX(N$6:N$401,MATCH(ROW()-5,J$6:J$401,0)),"")</f>
        <v/>
      </c>
      <c r="E174" s="56" t="str">
        <f aca="false">IFERROR(INDEX(O$6:O$401,MATCH(ROW()-5,J$6:J$401,0)),"")</f>
        <v/>
      </c>
      <c r="F174" s="52" t="str">
        <f aca="false">IFERROR(INDEX(P$6:P$401,MATCH(ROW()-5,J$6:J$401,0)),"")</f>
        <v/>
      </c>
      <c r="G174" s="48"/>
      <c r="H174" s="48"/>
      <c r="I174" s="48"/>
      <c r="J174" s="48" t="n">
        <f aca="false">IF(AND(MOVIMIENTOS!$B173&lt;&gt;"",NOT(AND(MOVIMIENTOS!$B173="PROCESO",MOVIMIENTOS!$C173&lt;&gt;"Chancho")),NOT(AND(MOVIMIENTOS!$B173="SALDO INICIAL",MOVIMIENTOS!$C173="Chancho"))),COUNT(J$6:J173)+1,"")</f>
        <v>112</v>
      </c>
      <c r="K174" s="53" t="n">
        <f aca="false">IF(AND(MOVIMIENTOS!$B173&lt;&gt;"",NOT(AND(MOVIMIENTOS!$B173="PROCESO",MOVIMIENTOS!$C173&lt;&gt;"Chancho")),NOT(AND(MOVIMIENTOS!$B173="SALDO INICIAL",MOVIMIENTOS!$C173="Chancho"))),MOVIMIENTOS!$A173,"")</f>
        <v>46228</v>
      </c>
      <c r="L174" s="48" t="str">
        <f aca="false">IF(AND(MOVIMIENTOS!$B173&lt;&gt;"",NOT(AND(MOVIMIENTOS!$B173="PROCESO",MOVIMIENTOS!$C173&lt;&gt;"Chancho")),NOT(AND(MOVIMIENTOS!$B173="SALDO INICIAL",MOVIMIENTOS!$C173="Chancho"))),IF(MOVIMIENTOS!$B173="SALDO INICIAL","APERTURA ("&amp;MOVIMIENTOS!$C173&amp;")",IF(MOVIMIENTOS!$B173="COMPRA","INGRESO (compra)",IF(MOVIMIENTOS!$B173="PROCESO","CHANCHO (proceso)",IF(MOVIMIENTOS!$B173="ENVÍO A SUPESA","ENVÍO cal. "&amp;MOVIMIENTOS!$C173,IF(MOVIMIENTOS!$B173="VENTA CHANCHO","VENTA CHANCHO",IF(MOVIMIENTOS!$B173="VENTA","VENTA cal. "&amp;MOVIMIENTOS!$C173,IF(MOVIMIENTOS!$B173="REGALO","REGALO "&amp;MOVIMIENTOS!$C173,IF(MOVIMIENTOS!$B173="RECHAZO","RECHAZO cal. "&amp;MOVIMIENTOS!$C173&amp;" (va a reproceso)",IF(MOVIMIENTOS!$B173="DEVOLUCIÓN","DEVOLUCIÓN cal. "&amp;MOVIMIENTOS!$C173&amp;" (regresa intacta)",IF(MOVIMIENTOS!$B173="TRASIEGO","TRASIEGO cal. "&amp;MOVIMIENTOS!$C173,MOVIMIENTOS!$B173)))))))))),"")</f>
        <v>ENVÍO cal. P</v>
      </c>
      <c r="M174" s="48" t="str">
        <f aca="false">IF(AND(AND(MOVIMIENTOS!$B173&lt;&gt;"",NOT(AND(MOVIMIENTOS!$B173="PROCESO",MOVIMIENTOS!$C173&lt;&gt;"Chancho")),NOT(AND(MOVIMIENTOS!$B173="SALDO INICIAL",MOVIMIENTOS!$C173="Chancho"))),OR(MOVIMIENTOS!$B173="SALDO INICIAL",MOVIMIENTOS!$B173="COMPRA",MOVIMIENTOS!$B173="REPROCESO",MOVIMIENTOS!$B173="DEVOLUCIÓN",AND(MOVIMIENTOS!$B173="AJUSTE",MOVIMIENTOS!$C173&lt;&gt;"Chancho",N(MOVIMIENTOS!$F173)&gt;=0))),N(MOVIMIENTOS!$F173),"")</f>
        <v/>
      </c>
      <c r="N174" s="48" t="n">
        <f aca="false">IF(AND(AND(MOVIMIENTOS!$B173&lt;&gt;"",NOT(AND(MOVIMIENTOS!$B173="PROCESO",MOVIMIENTOS!$C173&lt;&gt;"Chancho")),NOT(AND(MOVIMIENTOS!$B173="SALDO INICIAL",MOVIMIENTOS!$C173="Chancho"))),OR(MOVIMIENTOS!$B173="ENVÍO A SUPESA",MOVIMIENTOS!$B173="MALOGRADO",MOVIMIENTOS!$B173="OTRA SALIDA",MOVIMIENTOS!$B173="TRASIEGO",AND(MOVIMIENTOS!$B173="PROCESO",MOVIMIENTOS!$C173="Chancho"),AND(MOVIMIENTOS!$B173="REGALO",MOVIMIENTOS!$C173&lt;&gt;"Chancho"),AND(MOVIMIENTOS!$B173="VENTA",MOVIMIENTOS!$C173&lt;&gt;"Chancho"),AND(MOVIMIENTOS!$B173="AJUSTE",MOVIMIENTOS!$C173&lt;&gt;"Chancho",N(MOVIMIENTOS!$F173)&lt;0))),IF(MOVIMIENTOS!$B173="AJUSTE",-N(MOVIMIENTOS!$F173),N(MOVIMIENTOS!$F173)),"")</f>
        <v>72</v>
      </c>
      <c r="O174" s="48" t="str">
        <f aca="false">IF(AND(MOVIMIENTOS!$B173&lt;&gt;"",NOT(AND(MOVIMIENTOS!$B173="PROCESO",MOVIMIENTOS!$C173&lt;&gt;"Chancho")),NOT(AND(MOVIMIENTOS!$B173="SALDO INICIAL",MOVIMIENTOS!$C173="Chancho"))),IF(MOVIMIENTOS!$B173="RECHAZO",MOVIMIENTOS!$E173&amp;" jabas rechazadas · van a reproceso",IF(MOVIMIENTOS!$B173="REPROCESO",MOVIMIENTOS!$E173&amp;" kg recuperados (merma del día: "&amp;TEXT(SUMPRODUCT((MOVIMIENTOS!$A$5:$A$400=MOVIMIENTOS!$A173)*(MOVIMIENTOS!$B$5:$B$400="RECHAZO")*(MOVIMIENTOS!$D$5:$D$400="jabas")*MOVIMIENTOS!$E$5:$E$400*IFERROR(_xlfn.SWITCH(MOVIMIENTOS!$C$5:$C$400,"A",15,"P",18,"C",17,"M",17,0),0))-SUMPRODUCT((MOVIMIENTOS!$A$5:$A$400=MOVIMIENTOS!$A173)*(MOVIMIENTOS!$B$5:$B$400="REPROCESO")*MOVIMIENTOS!$I$5:$I$400),"+#,##0;-#,##0;0")&amp;" kg)",TRIM(IF(MOVIMIENTOS!$G173&lt;&gt;"",MOVIMIENTOS!$G173&amp;"  ","")&amp;IF(N(MOVIMIENTOS!$D173)&gt;0,MOVIMIENTOS!$D173&amp;" "&amp;MOVIMIENTOS!$D173,"")))),"")</f>
        <v>3014</v>
      </c>
      <c r="P174" s="48" t="n">
        <f aca="false">N(P173)+N(M174)-N(N174)</f>
        <v>5060</v>
      </c>
      <c r="Q174" s="48"/>
      <c r="R174" s="48"/>
      <c r="S174" s="48"/>
      <c r="T174" s="48"/>
    </row>
    <row r="175" customFormat="false" ht="15" hidden="false" customHeight="true" outlineLevel="0" collapsed="false">
      <c r="A175" s="51" t="str">
        <f aca="false">IFERROR(INDEX(K$6:K$401,MATCH(ROW()-5,J$6:J$401,0)),"")</f>
        <v/>
      </c>
      <c r="B175" s="56" t="str">
        <f aca="false">IFERROR(INDEX(L$6:L$401,MATCH(ROW()-5,J$6:J$401,0)),"")</f>
        <v/>
      </c>
      <c r="C175" s="52" t="str">
        <f aca="false">IFERROR(INDEX(M$6:M$401,MATCH(ROW()-5,J$6:J$401,0)),"")</f>
        <v/>
      </c>
      <c r="D175" s="52" t="str">
        <f aca="false">IFERROR(INDEX(N$6:N$401,MATCH(ROW()-5,J$6:J$401,0)),"")</f>
        <v/>
      </c>
      <c r="E175" s="56" t="str">
        <f aca="false">IFERROR(INDEX(O$6:O$401,MATCH(ROW()-5,J$6:J$401,0)),"")</f>
        <v/>
      </c>
      <c r="F175" s="52" t="str">
        <f aca="false">IFERROR(INDEX(P$6:P$401,MATCH(ROW()-5,J$6:J$401,0)),"")</f>
        <v/>
      </c>
      <c r="G175" s="48"/>
      <c r="H175" s="48"/>
      <c r="I175" s="48"/>
      <c r="J175" s="48" t="n">
        <f aca="false">IF(AND(MOVIMIENTOS!$B174&lt;&gt;"",NOT(AND(MOVIMIENTOS!$B174="PROCESO",MOVIMIENTOS!$C174&lt;&gt;"Chancho")),NOT(AND(MOVIMIENTOS!$B174="SALDO INICIAL",MOVIMIENTOS!$C174="Chancho"))),COUNT(J$6:J174)+1,"")</f>
        <v>113</v>
      </c>
      <c r="K175" s="53" t="n">
        <f aca="false">IF(AND(MOVIMIENTOS!$B174&lt;&gt;"",NOT(AND(MOVIMIENTOS!$B174="PROCESO",MOVIMIENTOS!$C174&lt;&gt;"Chancho")),NOT(AND(MOVIMIENTOS!$B174="SALDO INICIAL",MOVIMIENTOS!$C174="Chancho"))),MOVIMIENTOS!$A174,"")</f>
        <v>46228</v>
      </c>
      <c r="L175" s="48" t="str">
        <f aca="false">IF(AND(MOVIMIENTOS!$B174&lt;&gt;"",NOT(AND(MOVIMIENTOS!$B174="PROCESO",MOVIMIENTOS!$C174&lt;&gt;"Chancho")),NOT(AND(MOVIMIENTOS!$B174="SALDO INICIAL",MOVIMIENTOS!$C174="Chancho"))),IF(MOVIMIENTOS!$B174="SALDO INICIAL","APERTURA ("&amp;MOVIMIENTOS!$C174&amp;")",IF(MOVIMIENTOS!$B174="COMPRA","INGRESO (compra)",IF(MOVIMIENTOS!$B174="PROCESO","CHANCHO (proceso)",IF(MOVIMIENTOS!$B174="ENVÍO A SUPESA","ENVÍO cal. "&amp;MOVIMIENTOS!$C174,IF(MOVIMIENTOS!$B174="VENTA CHANCHO","VENTA CHANCHO",IF(MOVIMIENTOS!$B174="VENTA","VENTA cal. "&amp;MOVIMIENTOS!$C174,IF(MOVIMIENTOS!$B174="REGALO","REGALO "&amp;MOVIMIENTOS!$C174,IF(MOVIMIENTOS!$B174="RECHAZO","RECHAZO cal. "&amp;MOVIMIENTOS!$C174&amp;" (va a reproceso)",IF(MOVIMIENTOS!$B174="DEVOLUCIÓN","DEVOLUCIÓN cal. "&amp;MOVIMIENTOS!$C174&amp;" (regresa intacta)",IF(MOVIMIENTOS!$B174="TRASIEGO","TRASIEGO cal. "&amp;MOVIMIENTOS!$C174,MOVIMIENTOS!$B174)))))))))),"")</f>
        <v>ENVÍO cal. C</v>
      </c>
      <c r="M175" s="48" t="str">
        <f aca="false">IF(AND(AND(MOVIMIENTOS!$B174&lt;&gt;"",NOT(AND(MOVIMIENTOS!$B174="PROCESO",MOVIMIENTOS!$C174&lt;&gt;"Chancho")),NOT(AND(MOVIMIENTOS!$B174="SALDO INICIAL",MOVIMIENTOS!$C174="Chancho"))),OR(MOVIMIENTOS!$B174="SALDO INICIAL",MOVIMIENTOS!$B174="COMPRA",MOVIMIENTOS!$B174="REPROCESO",MOVIMIENTOS!$B174="DEVOLUCIÓN",AND(MOVIMIENTOS!$B174="AJUSTE",MOVIMIENTOS!$C174&lt;&gt;"Chancho",N(MOVIMIENTOS!$F174)&gt;=0))),N(MOVIMIENTOS!$F174),"")</f>
        <v/>
      </c>
      <c r="N175" s="48" t="n">
        <f aca="false">IF(AND(AND(MOVIMIENTOS!$B174&lt;&gt;"",NOT(AND(MOVIMIENTOS!$B174="PROCESO",MOVIMIENTOS!$C174&lt;&gt;"Chancho")),NOT(AND(MOVIMIENTOS!$B174="SALDO INICIAL",MOVIMIENTOS!$C174="Chancho"))),OR(MOVIMIENTOS!$B174="ENVÍO A SUPESA",MOVIMIENTOS!$B174="MALOGRADO",MOVIMIENTOS!$B174="OTRA SALIDA",MOVIMIENTOS!$B174="TRASIEGO",AND(MOVIMIENTOS!$B174="PROCESO",MOVIMIENTOS!$C174="Chancho"),AND(MOVIMIENTOS!$B174="REGALO",MOVIMIENTOS!$C174&lt;&gt;"Chancho"),AND(MOVIMIENTOS!$B174="VENTA",MOVIMIENTOS!$C174&lt;&gt;"Chancho"),AND(MOVIMIENTOS!$B174="AJUSTE",MOVIMIENTOS!$C174&lt;&gt;"Chancho",N(MOVIMIENTOS!$F174)&lt;0))),IF(MOVIMIENTOS!$B174="AJUSTE",-N(MOVIMIENTOS!$F174),N(MOVIMIENTOS!$F174)),"")</f>
        <v>85</v>
      </c>
      <c r="O175" s="48" t="str">
        <f aca="false">IF(AND(MOVIMIENTOS!$B174&lt;&gt;"",NOT(AND(MOVIMIENTOS!$B174="PROCESO",MOVIMIENTOS!$C174&lt;&gt;"Chancho")),NOT(AND(MOVIMIENTOS!$B174="SALDO INICIAL",MOVIMIENTOS!$C174="Chancho"))),IF(MOVIMIENTOS!$B174="RECHAZO",MOVIMIENTOS!$E174&amp;" jabas rechazadas · van a reproceso",IF(MOVIMIENTOS!$B174="REPROCESO",MOVIMIENTOS!$E174&amp;" kg recuperados (merma del día: "&amp;TEXT(SUMPRODUCT((MOVIMIENTOS!$A$5:$A$400=MOVIMIENTOS!$A174)*(MOVIMIENTOS!$B$5:$B$400="RECHAZO")*(MOVIMIENTOS!$D$5:$D$400="jabas")*MOVIMIENTOS!$E$5:$E$400*IFERROR(_xlfn.SWITCH(MOVIMIENTOS!$C$5:$C$400,"A",15,"P",18,"C",17,"M",17,0),0))-SUMPRODUCT((MOVIMIENTOS!$A$5:$A$400=MOVIMIENTOS!$A174)*(MOVIMIENTOS!$B$5:$B$400="REPROCESO")*MOVIMIENTOS!$I$5:$I$400),"+#,##0;-#,##0;0")&amp;" kg)",TRIM(IF(MOVIMIENTOS!$G174&lt;&gt;"",MOVIMIENTOS!$G174&amp;"  ","")&amp;IF(N(MOVIMIENTOS!$D174)&gt;0,MOVIMIENTOS!$D174&amp;" "&amp;MOVIMIENTOS!$D174,"")))),"")</f>
        <v>3014</v>
      </c>
      <c r="P175" s="48" t="n">
        <f aca="false">N(P174)+N(M175)-N(N175)</f>
        <v>4975</v>
      </c>
      <c r="Q175" s="48"/>
      <c r="R175" s="48"/>
      <c r="S175" s="48"/>
      <c r="T175" s="48"/>
    </row>
    <row r="176" customFormat="false" ht="15" hidden="false" customHeight="true" outlineLevel="0" collapsed="false">
      <c r="A176" s="51" t="str">
        <f aca="false">IFERROR(INDEX(K$6:K$401,MATCH(ROW()-5,J$6:J$401,0)),"")</f>
        <v/>
      </c>
      <c r="B176" s="56" t="str">
        <f aca="false">IFERROR(INDEX(L$6:L$401,MATCH(ROW()-5,J$6:J$401,0)),"")</f>
        <v/>
      </c>
      <c r="C176" s="52" t="str">
        <f aca="false">IFERROR(INDEX(M$6:M$401,MATCH(ROW()-5,J$6:J$401,0)),"")</f>
        <v/>
      </c>
      <c r="D176" s="52" t="str">
        <f aca="false">IFERROR(INDEX(N$6:N$401,MATCH(ROW()-5,J$6:J$401,0)),"")</f>
        <v/>
      </c>
      <c r="E176" s="56" t="str">
        <f aca="false">IFERROR(INDEX(O$6:O$401,MATCH(ROW()-5,J$6:J$401,0)),"")</f>
        <v/>
      </c>
      <c r="F176" s="52" t="str">
        <f aca="false">IFERROR(INDEX(P$6:P$401,MATCH(ROW()-5,J$6:J$401,0)),"")</f>
        <v/>
      </c>
      <c r="G176" s="48"/>
      <c r="H176" s="48"/>
      <c r="I176" s="48"/>
      <c r="J176" s="48" t="n">
        <f aca="false">IF(AND(MOVIMIENTOS!$B175&lt;&gt;"",NOT(AND(MOVIMIENTOS!$B175="PROCESO",MOVIMIENTOS!$C175&lt;&gt;"Chancho")),NOT(AND(MOVIMIENTOS!$B175="SALDO INICIAL",MOVIMIENTOS!$C175="Chancho"))),COUNT(J$6:J175)+1,"")</f>
        <v>114</v>
      </c>
      <c r="K176" s="53" t="n">
        <f aca="false">IF(AND(MOVIMIENTOS!$B175&lt;&gt;"",NOT(AND(MOVIMIENTOS!$B175="PROCESO",MOVIMIENTOS!$C175&lt;&gt;"Chancho")),NOT(AND(MOVIMIENTOS!$B175="SALDO INICIAL",MOVIMIENTOS!$C175="Chancho"))),MOVIMIENTOS!$A175,"")</f>
        <v>46228</v>
      </c>
      <c r="L176" s="48" t="str">
        <f aca="false">IF(AND(MOVIMIENTOS!$B175&lt;&gt;"",NOT(AND(MOVIMIENTOS!$B175="PROCESO",MOVIMIENTOS!$C175&lt;&gt;"Chancho")),NOT(AND(MOVIMIENTOS!$B175="SALDO INICIAL",MOVIMIENTOS!$C175="Chancho"))),IF(MOVIMIENTOS!$B175="SALDO INICIAL","APERTURA ("&amp;MOVIMIENTOS!$C175&amp;")",IF(MOVIMIENTOS!$B175="COMPRA","INGRESO (compra)",IF(MOVIMIENTOS!$B175="PROCESO","CHANCHO (proceso)",IF(MOVIMIENTOS!$B175="ENVÍO A SUPESA","ENVÍO cal. "&amp;MOVIMIENTOS!$C175,IF(MOVIMIENTOS!$B175="VENTA CHANCHO","VENTA CHANCHO",IF(MOVIMIENTOS!$B175="VENTA","VENTA cal. "&amp;MOVIMIENTOS!$C175,IF(MOVIMIENTOS!$B175="REGALO","REGALO "&amp;MOVIMIENTOS!$C175,IF(MOVIMIENTOS!$B175="RECHAZO","RECHAZO cal. "&amp;MOVIMIENTOS!$C175&amp;" (va a reproceso)",IF(MOVIMIENTOS!$B175="DEVOLUCIÓN","DEVOLUCIÓN cal. "&amp;MOVIMIENTOS!$C175&amp;" (regresa intacta)",IF(MOVIMIENTOS!$B175="TRASIEGO","TRASIEGO cal. "&amp;MOVIMIENTOS!$C175,MOVIMIENTOS!$B175)))))))))),"")</f>
        <v>ENVÍO cal. M</v>
      </c>
      <c r="M176" s="48" t="str">
        <f aca="false">IF(AND(AND(MOVIMIENTOS!$B175&lt;&gt;"",NOT(AND(MOVIMIENTOS!$B175="PROCESO",MOVIMIENTOS!$C175&lt;&gt;"Chancho")),NOT(AND(MOVIMIENTOS!$B175="SALDO INICIAL",MOVIMIENTOS!$C175="Chancho"))),OR(MOVIMIENTOS!$B175="SALDO INICIAL",MOVIMIENTOS!$B175="COMPRA",MOVIMIENTOS!$B175="REPROCESO",MOVIMIENTOS!$B175="DEVOLUCIÓN",AND(MOVIMIENTOS!$B175="AJUSTE",MOVIMIENTOS!$C175&lt;&gt;"Chancho",N(MOVIMIENTOS!$F175)&gt;=0))),N(MOVIMIENTOS!$F175),"")</f>
        <v/>
      </c>
      <c r="N176" s="48" t="n">
        <f aca="false">IF(AND(AND(MOVIMIENTOS!$B175&lt;&gt;"",NOT(AND(MOVIMIENTOS!$B175="PROCESO",MOVIMIENTOS!$C175&lt;&gt;"Chancho")),NOT(AND(MOVIMIENTOS!$B175="SALDO INICIAL",MOVIMIENTOS!$C175="Chancho"))),OR(MOVIMIENTOS!$B175="ENVÍO A SUPESA",MOVIMIENTOS!$B175="MALOGRADO",MOVIMIENTOS!$B175="OTRA SALIDA",MOVIMIENTOS!$B175="TRASIEGO",AND(MOVIMIENTOS!$B175="PROCESO",MOVIMIENTOS!$C175="Chancho"),AND(MOVIMIENTOS!$B175="REGALO",MOVIMIENTOS!$C175&lt;&gt;"Chancho"),AND(MOVIMIENTOS!$B175="VENTA",MOVIMIENTOS!$C175&lt;&gt;"Chancho"),AND(MOVIMIENTOS!$B175="AJUSTE",MOVIMIENTOS!$C175&lt;&gt;"Chancho",N(MOVIMIENTOS!$F175)&lt;0))),IF(MOVIMIENTOS!$B175="AJUSTE",-N(MOVIMIENTOS!$F175),N(MOVIMIENTOS!$F175)),"")</f>
        <v>2006</v>
      </c>
      <c r="O176" s="48" t="str">
        <f aca="false">IF(AND(MOVIMIENTOS!$B175&lt;&gt;"",NOT(AND(MOVIMIENTOS!$B175="PROCESO",MOVIMIENTOS!$C175&lt;&gt;"Chancho")),NOT(AND(MOVIMIENTOS!$B175="SALDO INICIAL",MOVIMIENTOS!$C175="Chancho"))),IF(MOVIMIENTOS!$B175="RECHAZO",MOVIMIENTOS!$E175&amp;" jabas rechazadas · van a reproceso",IF(MOVIMIENTOS!$B175="REPROCESO",MOVIMIENTOS!$E175&amp;" kg recuperados (merma del día: "&amp;TEXT(SUMPRODUCT((MOVIMIENTOS!$A$5:$A$400=MOVIMIENTOS!$A175)*(MOVIMIENTOS!$B$5:$B$400="RECHAZO")*(MOVIMIENTOS!$D$5:$D$400="jabas")*MOVIMIENTOS!$E$5:$E$400*IFERROR(_xlfn.SWITCH(MOVIMIENTOS!$C$5:$C$400,"A",15,"P",18,"C",17,"M",17,0),0))-SUMPRODUCT((MOVIMIENTOS!$A$5:$A$400=MOVIMIENTOS!$A175)*(MOVIMIENTOS!$B$5:$B$400="REPROCESO")*MOVIMIENTOS!$I$5:$I$400),"+#,##0;-#,##0;0")&amp;" kg)",TRIM(IF(MOVIMIENTOS!$G175&lt;&gt;"",MOVIMIENTOS!$G175&amp;"  ","")&amp;IF(N(MOVIMIENTOS!$D175)&gt;0,MOVIMIENTOS!$D175&amp;" "&amp;MOVIMIENTOS!$D175,"")))),"")</f>
        <v>3014</v>
      </c>
      <c r="P176" s="48" t="n">
        <f aca="false">N(P175)+N(M176)-N(N176)</f>
        <v>2969</v>
      </c>
      <c r="Q176" s="48"/>
      <c r="R176" s="48"/>
      <c r="S176" s="48"/>
      <c r="T176" s="48"/>
    </row>
    <row r="177" customFormat="false" ht="15" hidden="false" customHeight="true" outlineLevel="0" collapsed="false">
      <c r="A177" s="51" t="str">
        <f aca="false">IFERROR(INDEX(K$6:K$401,MATCH(ROW()-5,J$6:J$401,0)),"")</f>
        <v/>
      </c>
      <c r="B177" s="56" t="str">
        <f aca="false">IFERROR(INDEX(L$6:L$401,MATCH(ROW()-5,J$6:J$401,0)),"")</f>
        <v/>
      </c>
      <c r="C177" s="52" t="str">
        <f aca="false">IFERROR(INDEX(M$6:M$401,MATCH(ROW()-5,J$6:J$401,0)),"")</f>
        <v/>
      </c>
      <c r="D177" s="52" t="str">
        <f aca="false">IFERROR(INDEX(N$6:N$401,MATCH(ROW()-5,J$6:J$401,0)),"")</f>
        <v/>
      </c>
      <c r="E177" s="56" t="str">
        <f aca="false">IFERROR(INDEX(O$6:O$401,MATCH(ROW()-5,J$6:J$401,0)),"")</f>
        <v/>
      </c>
      <c r="F177" s="52" t="str">
        <f aca="false">IFERROR(INDEX(P$6:P$401,MATCH(ROW()-5,J$6:J$401,0)),"")</f>
        <v/>
      </c>
      <c r="G177" s="48"/>
      <c r="H177" s="48"/>
      <c r="I177" s="48"/>
      <c r="J177" s="48" t="str">
        <f aca="false">IF(AND(MOVIMIENTOS!$B176&lt;&gt;"",NOT(AND(MOVIMIENTOS!$B176="PROCESO",MOVIMIENTOS!$C176&lt;&gt;"Chancho")),NOT(AND(MOVIMIENTOS!$B176="SALDO INICIAL",MOVIMIENTOS!$C176="Chancho"))),COUNT(J$6:J176)+1,"")</f>
        <v/>
      </c>
      <c r="K177" s="48" t="str">
        <f aca="false">IF(AND(MOVIMIENTOS!$B176&lt;&gt;"",NOT(AND(MOVIMIENTOS!$B176="PROCESO",MOVIMIENTOS!$C176&lt;&gt;"Chancho")),NOT(AND(MOVIMIENTOS!$B176="SALDO INICIAL",MOVIMIENTOS!$C176="Chancho"))),MOVIMIENTOS!$A176,"")</f>
        <v/>
      </c>
      <c r="L177" s="48" t="str">
        <f aca="false">IF(AND(MOVIMIENTOS!$B176&lt;&gt;"",NOT(AND(MOVIMIENTOS!$B176="PROCESO",MOVIMIENTOS!$C176&lt;&gt;"Chancho")),NOT(AND(MOVIMIENTOS!$B176="SALDO INICIAL",MOVIMIENTOS!$C176="Chancho"))),IF(MOVIMIENTOS!$B176="SALDO INICIAL","APERTURA ("&amp;MOVIMIENTOS!$C176&amp;")",IF(MOVIMIENTOS!$B176="COMPRA","INGRESO (compra)",IF(MOVIMIENTOS!$B176="PROCESO","CHANCHO (proceso)",IF(MOVIMIENTOS!$B176="ENVÍO A SUPESA","ENVÍO cal. "&amp;MOVIMIENTOS!$C176,IF(MOVIMIENTOS!$B176="VENTA CHANCHO","VENTA CHANCHO",IF(MOVIMIENTOS!$B176="VENTA","VENTA cal. "&amp;MOVIMIENTOS!$C176,IF(MOVIMIENTOS!$B176="REGALO","REGALO "&amp;MOVIMIENTOS!$C176,IF(MOVIMIENTOS!$B176="RECHAZO","RECHAZO cal. "&amp;MOVIMIENTOS!$C176&amp;" (va a reproceso)",IF(MOVIMIENTOS!$B176="DEVOLUCIÓN","DEVOLUCIÓN cal. "&amp;MOVIMIENTOS!$C176&amp;" (regresa intacta)",IF(MOVIMIENTOS!$B176="TRASIEGO","TRASIEGO cal. "&amp;MOVIMIENTOS!$C176,MOVIMIENTOS!$B176)))))))))),"")</f>
        <v/>
      </c>
      <c r="M177" s="48" t="str">
        <f aca="false">IF(AND(AND(MOVIMIENTOS!$B176&lt;&gt;"",NOT(AND(MOVIMIENTOS!$B176="PROCESO",MOVIMIENTOS!$C176&lt;&gt;"Chancho")),NOT(AND(MOVIMIENTOS!$B176="SALDO INICIAL",MOVIMIENTOS!$C176="Chancho"))),OR(MOVIMIENTOS!$B176="SALDO INICIAL",MOVIMIENTOS!$B176="COMPRA",MOVIMIENTOS!$B176="REPROCESO",MOVIMIENTOS!$B176="DEVOLUCIÓN",AND(MOVIMIENTOS!$B176="AJUSTE",MOVIMIENTOS!$C176&lt;&gt;"Chancho",N(MOVIMIENTOS!$F176)&gt;=0))),N(MOVIMIENTOS!$F176),"")</f>
        <v/>
      </c>
      <c r="N177" s="48" t="str">
        <f aca="false">IF(AND(AND(MOVIMIENTOS!$B176&lt;&gt;"",NOT(AND(MOVIMIENTOS!$B176="PROCESO",MOVIMIENTOS!$C176&lt;&gt;"Chancho")),NOT(AND(MOVIMIENTOS!$B176="SALDO INICIAL",MOVIMIENTOS!$C176="Chancho"))),OR(MOVIMIENTOS!$B176="ENVÍO A SUPESA",MOVIMIENTOS!$B176="MALOGRADO",MOVIMIENTOS!$B176="OTRA SALIDA",MOVIMIENTOS!$B176="TRASIEGO",AND(MOVIMIENTOS!$B176="PROCESO",MOVIMIENTOS!$C176="Chancho"),AND(MOVIMIENTOS!$B176="REGALO",MOVIMIENTOS!$C176&lt;&gt;"Chancho"),AND(MOVIMIENTOS!$B176="VENTA",MOVIMIENTOS!$C176&lt;&gt;"Chancho"),AND(MOVIMIENTOS!$B176="AJUSTE",MOVIMIENTOS!$C176&lt;&gt;"Chancho",N(MOVIMIENTOS!$F176)&lt;0))),IF(MOVIMIENTOS!$B176="AJUSTE",-N(MOVIMIENTOS!$F176),N(MOVIMIENTOS!$F176)),"")</f>
        <v/>
      </c>
      <c r="O177" s="48" t="str">
        <f aca="false">IF(AND(MOVIMIENTOS!$B176&lt;&gt;"",NOT(AND(MOVIMIENTOS!$B176="PROCESO",MOVIMIENTOS!$C176&lt;&gt;"Chancho")),NOT(AND(MOVIMIENTOS!$B176="SALDO INICIAL",MOVIMIENTOS!$C176="Chancho"))),IF(MOVIMIENTOS!$B176="RECHAZO",MOVIMIENTOS!$E176&amp;" jabas rechazadas · van a reproceso",IF(MOVIMIENTOS!$B176="REPROCESO",MOVIMIENTOS!$E176&amp;" kg recuperados (merma del día: "&amp;TEXT(SUMPRODUCT((MOVIMIENTOS!$A$5:$A$400=MOVIMIENTOS!$A176)*(MOVIMIENTOS!$B$5:$B$400="RECHAZO")*(MOVIMIENTOS!$D$5:$D$400="jabas")*MOVIMIENTOS!$E$5:$E$400*IFERROR(_xlfn.SWITCH(MOVIMIENTOS!$C$5:$C$400,"A",15,"P",18,"C",17,"M",17,0),0))-SUMPRODUCT((MOVIMIENTOS!$A$5:$A$400=MOVIMIENTOS!$A176)*(MOVIMIENTOS!$B$5:$B$400="REPROCESO")*MOVIMIENTOS!$I$5:$I$400),"+#,##0;-#,##0;0")&amp;" kg)",TRIM(IF(MOVIMIENTOS!$G176&lt;&gt;"",MOVIMIENTOS!$G176&amp;"  ","")&amp;IF(N(MOVIMIENTOS!$D176)&gt;0,MOVIMIENTOS!$D176&amp;" "&amp;MOVIMIENTOS!$D176,"")))),"")</f>
        <v/>
      </c>
      <c r="P177" s="48" t="n">
        <f aca="false">N(P176)+N(M177)-N(N177)</f>
        <v>2969</v>
      </c>
      <c r="Q177" s="48"/>
      <c r="R177" s="48"/>
      <c r="S177" s="48"/>
      <c r="T177" s="48"/>
    </row>
    <row r="178" customFormat="false" ht="15" hidden="false" customHeight="true" outlineLevel="0" collapsed="false">
      <c r="A178" s="51" t="str">
        <f aca="false">IFERROR(INDEX(K$6:K$401,MATCH(ROW()-5,J$6:J$401,0)),"")</f>
        <v/>
      </c>
      <c r="B178" s="56" t="str">
        <f aca="false">IFERROR(INDEX(L$6:L$401,MATCH(ROW()-5,J$6:J$401,0)),"")</f>
        <v/>
      </c>
      <c r="C178" s="52" t="str">
        <f aca="false">IFERROR(INDEX(M$6:M$401,MATCH(ROW()-5,J$6:J$401,0)),"")</f>
        <v/>
      </c>
      <c r="D178" s="52" t="str">
        <f aca="false">IFERROR(INDEX(N$6:N$401,MATCH(ROW()-5,J$6:J$401,0)),"")</f>
        <v/>
      </c>
      <c r="E178" s="56" t="str">
        <f aca="false">IFERROR(INDEX(O$6:O$401,MATCH(ROW()-5,J$6:J$401,0)),"")</f>
        <v/>
      </c>
      <c r="F178" s="52" t="str">
        <f aca="false">IFERROR(INDEX(P$6:P$401,MATCH(ROW()-5,J$6:J$401,0)),"")</f>
        <v/>
      </c>
      <c r="G178" s="48"/>
      <c r="H178" s="48"/>
      <c r="I178" s="48"/>
      <c r="J178" s="48" t="str">
        <f aca="false">IF(AND(MOVIMIENTOS!$B177&lt;&gt;"",NOT(AND(MOVIMIENTOS!$B177="PROCESO",MOVIMIENTOS!$C177&lt;&gt;"Chancho")),NOT(AND(MOVIMIENTOS!$B177="SALDO INICIAL",MOVIMIENTOS!$C177="Chancho"))),COUNT(J$6:J177)+1,"")</f>
        <v/>
      </c>
      <c r="K178" s="48" t="str">
        <f aca="false">IF(AND(MOVIMIENTOS!$B177&lt;&gt;"",NOT(AND(MOVIMIENTOS!$B177="PROCESO",MOVIMIENTOS!$C177&lt;&gt;"Chancho")),NOT(AND(MOVIMIENTOS!$B177="SALDO INICIAL",MOVIMIENTOS!$C177="Chancho"))),MOVIMIENTOS!$A177,"")</f>
        <v/>
      </c>
      <c r="L178" s="48" t="str">
        <f aca="false">IF(AND(MOVIMIENTOS!$B177&lt;&gt;"",NOT(AND(MOVIMIENTOS!$B177="PROCESO",MOVIMIENTOS!$C177&lt;&gt;"Chancho")),NOT(AND(MOVIMIENTOS!$B177="SALDO INICIAL",MOVIMIENTOS!$C177="Chancho"))),IF(MOVIMIENTOS!$B177="SALDO INICIAL","APERTURA ("&amp;MOVIMIENTOS!$C177&amp;")",IF(MOVIMIENTOS!$B177="COMPRA","INGRESO (compra)",IF(MOVIMIENTOS!$B177="PROCESO","CHANCHO (proceso)",IF(MOVIMIENTOS!$B177="ENVÍO A SUPESA","ENVÍO cal. "&amp;MOVIMIENTOS!$C177,IF(MOVIMIENTOS!$B177="VENTA CHANCHO","VENTA CHANCHO",IF(MOVIMIENTOS!$B177="VENTA","VENTA cal. "&amp;MOVIMIENTOS!$C177,IF(MOVIMIENTOS!$B177="REGALO","REGALO "&amp;MOVIMIENTOS!$C177,IF(MOVIMIENTOS!$B177="RECHAZO","RECHAZO cal. "&amp;MOVIMIENTOS!$C177&amp;" (va a reproceso)",IF(MOVIMIENTOS!$B177="DEVOLUCIÓN","DEVOLUCIÓN cal. "&amp;MOVIMIENTOS!$C177&amp;" (regresa intacta)",IF(MOVIMIENTOS!$B177="TRASIEGO","TRASIEGO cal. "&amp;MOVIMIENTOS!$C177,MOVIMIENTOS!$B177)))))))))),"")</f>
        <v/>
      </c>
      <c r="M178" s="48" t="str">
        <f aca="false">IF(AND(AND(MOVIMIENTOS!$B177&lt;&gt;"",NOT(AND(MOVIMIENTOS!$B177="PROCESO",MOVIMIENTOS!$C177&lt;&gt;"Chancho")),NOT(AND(MOVIMIENTOS!$B177="SALDO INICIAL",MOVIMIENTOS!$C177="Chancho"))),OR(MOVIMIENTOS!$B177="SALDO INICIAL",MOVIMIENTOS!$B177="COMPRA",MOVIMIENTOS!$B177="REPROCESO",MOVIMIENTOS!$B177="DEVOLUCIÓN",AND(MOVIMIENTOS!$B177="AJUSTE",MOVIMIENTOS!$C177&lt;&gt;"Chancho",N(MOVIMIENTOS!$F177)&gt;=0))),N(MOVIMIENTOS!$F177),"")</f>
        <v/>
      </c>
      <c r="N178" s="48" t="str">
        <f aca="false">IF(AND(AND(MOVIMIENTOS!$B177&lt;&gt;"",NOT(AND(MOVIMIENTOS!$B177="PROCESO",MOVIMIENTOS!$C177&lt;&gt;"Chancho")),NOT(AND(MOVIMIENTOS!$B177="SALDO INICIAL",MOVIMIENTOS!$C177="Chancho"))),OR(MOVIMIENTOS!$B177="ENVÍO A SUPESA",MOVIMIENTOS!$B177="MALOGRADO",MOVIMIENTOS!$B177="OTRA SALIDA",MOVIMIENTOS!$B177="TRASIEGO",AND(MOVIMIENTOS!$B177="PROCESO",MOVIMIENTOS!$C177="Chancho"),AND(MOVIMIENTOS!$B177="REGALO",MOVIMIENTOS!$C177&lt;&gt;"Chancho"),AND(MOVIMIENTOS!$B177="VENTA",MOVIMIENTOS!$C177&lt;&gt;"Chancho"),AND(MOVIMIENTOS!$B177="AJUSTE",MOVIMIENTOS!$C177&lt;&gt;"Chancho",N(MOVIMIENTOS!$F177)&lt;0))),IF(MOVIMIENTOS!$B177="AJUSTE",-N(MOVIMIENTOS!$F177),N(MOVIMIENTOS!$F177)),"")</f>
        <v/>
      </c>
      <c r="O178" s="48" t="str">
        <f aca="false">IF(AND(MOVIMIENTOS!$B177&lt;&gt;"",NOT(AND(MOVIMIENTOS!$B177="PROCESO",MOVIMIENTOS!$C177&lt;&gt;"Chancho")),NOT(AND(MOVIMIENTOS!$B177="SALDO INICIAL",MOVIMIENTOS!$C177="Chancho"))),IF(MOVIMIENTOS!$B177="RECHAZO",MOVIMIENTOS!$E177&amp;" jabas rechazadas · van a reproceso",IF(MOVIMIENTOS!$B177="REPROCESO",MOVIMIENTOS!$E177&amp;" kg recuperados (merma del día: "&amp;TEXT(SUMPRODUCT((MOVIMIENTOS!$A$5:$A$400=MOVIMIENTOS!$A177)*(MOVIMIENTOS!$B$5:$B$400="RECHAZO")*(MOVIMIENTOS!$D$5:$D$400="jabas")*MOVIMIENTOS!$E$5:$E$400*IFERROR(_xlfn.SWITCH(MOVIMIENTOS!$C$5:$C$400,"A",15,"P",18,"C",17,"M",17,0),0))-SUMPRODUCT((MOVIMIENTOS!$A$5:$A$400=MOVIMIENTOS!$A177)*(MOVIMIENTOS!$B$5:$B$400="REPROCESO")*MOVIMIENTOS!$I$5:$I$400),"+#,##0;-#,##0;0")&amp;" kg)",TRIM(IF(MOVIMIENTOS!$G177&lt;&gt;"",MOVIMIENTOS!$G177&amp;"  ","")&amp;IF(N(MOVIMIENTOS!$D177)&gt;0,MOVIMIENTOS!$D177&amp;" "&amp;MOVIMIENTOS!$D177,"")))),"")</f>
        <v/>
      </c>
      <c r="P178" s="48" t="n">
        <f aca="false">N(P177)+N(M178)-N(N178)</f>
        <v>2969</v>
      </c>
      <c r="Q178" s="48"/>
      <c r="R178" s="48"/>
      <c r="S178" s="48"/>
      <c r="T178" s="48"/>
    </row>
    <row r="179" customFormat="false" ht="15" hidden="false" customHeight="true" outlineLevel="0" collapsed="false">
      <c r="A179" s="51" t="str">
        <f aca="false">IFERROR(INDEX(K$6:K$401,MATCH(ROW()-5,J$6:J$401,0)),"")</f>
        <v/>
      </c>
      <c r="B179" s="56" t="str">
        <f aca="false">IFERROR(INDEX(L$6:L$401,MATCH(ROW()-5,J$6:J$401,0)),"")</f>
        <v/>
      </c>
      <c r="C179" s="52" t="str">
        <f aca="false">IFERROR(INDEX(M$6:M$401,MATCH(ROW()-5,J$6:J$401,0)),"")</f>
        <v/>
      </c>
      <c r="D179" s="52" t="str">
        <f aca="false">IFERROR(INDEX(N$6:N$401,MATCH(ROW()-5,J$6:J$401,0)),"")</f>
        <v/>
      </c>
      <c r="E179" s="56" t="str">
        <f aca="false">IFERROR(INDEX(O$6:O$401,MATCH(ROW()-5,J$6:J$401,0)),"")</f>
        <v/>
      </c>
      <c r="F179" s="52" t="str">
        <f aca="false">IFERROR(INDEX(P$6:P$401,MATCH(ROW()-5,J$6:J$401,0)),"")</f>
        <v/>
      </c>
      <c r="G179" s="48"/>
      <c r="H179" s="48"/>
      <c r="I179" s="48"/>
      <c r="J179" s="48" t="str">
        <f aca="false">IF(AND(MOVIMIENTOS!$B178&lt;&gt;"",NOT(AND(MOVIMIENTOS!$B178="PROCESO",MOVIMIENTOS!$C178&lt;&gt;"Chancho")),NOT(AND(MOVIMIENTOS!$B178="SALDO INICIAL",MOVIMIENTOS!$C178="Chancho"))),COUNT(J$6:J178)+1,"")</f>
        <v/>
      </c>
      <c r="K179" s="48" t="str">
        <f aca="false">IF(AND(MOVIMIENTOS!$B178&lt;&gt;"",NOT(AND(MOVIMIENTOS!$B178="PROCESO",MOVIMIENTOS!$C178&lt;&gt;"Chancho")),NOT(AND(MOVIMIENTOS!$B178="SALDO INICIAL",MOVIMIENTOS!$C178="Chancho"))),MOVIMIENTOS!$A178,"")</f>
        <v/>
      </c>
      <c r="L179" s="48" t="str">
        <f aca="false">IF(AND(MOVIMIENTOS!$B178&lt;&gt;"",NOT(AND(MOVIMIENTOS!$B178="PROCESO",MOVIMIENTOS!$C178&lt;&gt;"Chancho")),NOT(AND(MOVIMIENTOS!$B178="SALDO INICIAL",MOVIMIENTOS!$C178="Chancho"))),IF(MOVIMIENTOS!$B178="SALDO INICIAL","APERTURA ("&amp;MOVIMIENTOS!$C178&amp;")",IF(MOVIMIENTOS!$B178="COMPRA","INGRESO (compra)",IF(MOVIMIENTOS!$B178="PROCESO","CHANCHO (proceso)",IF(MOVIMIENTOS!$B178="ENVÍO A SUPESA","ENVÍO cal. "&amp;MOVIMIENTOS!$C178,IF(MOVIMIENTOS!$B178="VENTA CHANCHO","VENTA CHANCHO",IF(MOVIMIENTOS!$B178="VENTA","VENTA cal. "&amp;MOVIMIENTOS!$C178,IF(MOVIMIENTOS!$B178="REGALO","REGALO "&amp;MOVIMIENTOS!$C178,IF(MOVIMIENTOS!$B178="RECHAZO","RECHAZO cal. "&amp;MOVIMIENTOS!$C178&amp;" (va a reproceso)",IF(MOVIMIENTOS!$B178="DEVOLUCIÓN","DEVOLUCIÓN cal. "&amp;MOVIMIENTOS!$C178&amp;" (regresa intacta)",IF(MOVIMIENTOS!$B178="TRASIEGO","TRASIEGO cal. "&amp;MOVIMIENTOS!$C178,MOVIMIENTOS!$B178)))))))))),"")</f>
        <v/>
      </c>
      <c r="M179" s="48" t="str">
        <f aca="false">IF(AND(AND(MOVIMIENTOS!$B178&lt;&gt;"",NOT(AND(MOVIMIENTOS!$B178="PROCESO",MOVIMIENTOS!$C178&lt;&gt;"Chancho")),NOT(AND(MOVIMIENTOS!$B178="SALDO INICIAL",MOVIMIENTOS!$C178="Chancho"))),OR(MOVIMIENTOS!$B178="SALDO INICIAL",MOVIMIENTOS!$B178="COMPRA",MOVIMIENTOS!$B178="REPROCESO",MOVIMIENTOS!$B178="DEVOLUCIÓN",AND(MOVIMIENTOS!$B178="AJUSTE",MOVIMIENTOS!$C178&lt;&gt;"Chancho",N(MOVIMIENTOS!$F178)&gt;=0))),N(MOVIMIENTOS!$F178),"")</f>
        <v/>
      </c>
      <c r="N179" s="48" t="str">
        <f aca="false">IF(AND(AND(MOVIMIENTOS!$B178&lt;&gt;"",NOT(AND(MOVIMIENTOS!$B178="PROCESO",MOVIMIENTOS!$C178&lt;&gt;"Chancho")),NOT(AND(MOVIMIENTOS!$B178="SALDO INICIAL",MOVIMIENTOS!$C178="Chancho"))),OR(MOVIMIENTOS!$B178="ENVÍO A SUPESA",MOVIMIENTOS!$B178="MALOGRADO",MOVIMIENTOS!$B178="OTRA SALIDA",MOVIMIENTOS!$B178="TRASIEGO",AND(MOVIMIENTOS!$B178="PROCESO",MOVIMIENTOS!$C178="Chancho"),AND(MOVIMIENTOS!$B178="REGALO",MOVIMIENTOS!$C178&lt;&gt;"Chancho"),AND(MOVIMIENTOS!$B178="VENTA",MOVIMIENTOS!$C178&lt;&gt;"Chancho"),AND(MOVIMIENTOS!$B178="AJUSTE",MOVIMIENTOS!$C178&lt;&gt;"Chancho",N(MOVIMIENTOS!$F178)&lt;0))),IF(MOVIMIENTOS!$B178="AJUSTE",-N(MOVIMIENTOS!$F178),N(MOVIMIENTOS!$F178)),"")</f>
        <v/>
      </c>
      <c r="O179" s="48" t="str">
        <f aca="false">IF(AND(MOVIMIENTOS!$B178&lt;&gt;"",NOT(AND(MOVIMIENTOS!$B178="PROCESO",MOVIMIENTOS!$C178&lt;&gt;"Chancho")),NOT(AND(MOVIMIENTOS!$B178="SALDO INICIAL",MOVIMIENTOS!$C178="Chancho"))),IF(MOVIMIENTOS!$B178="RECHAZO",MOVIMIENTOS!$E178&amp;" jabas rechazadas · van a reproceso",IF(MOVIMIENTOS!$B178="REPROCESO",MOVIMIENTOS!$E178&amp;" kg recuperados (merma del día: "&amp;TEXT(SUMPRODUCT((MOVIMIENTOS!$A$5:$A$400=MOVIMIENTOS!$A178)*(MOVIMIENTOS!$B$5:$B$400="RECHAZO")*(MOVIMIENTOS!$D$5:$D$400="jabas")*MOVIMIENTOS!$E$5:$E$400*IFERROR(_xlfn.SWITCH(MOVIMIENTOS!$C$5:$C$400,"A",15,"P",18,"C",17,"M",17,0),0))-SUMPRODUCT((MOVIMIENTOS!$A$5:$A$400=MOVIMIENTOS!$A178)*(MOVIMIENTOS!$B$5:$B$400="REPROCESO")*MOVIMIENTOS!$I$5:$I$400),"+#,##0;-#,##0;0")&amp;" kg)",TRIM(IF(MOVIMIENTOS!$G178&lt;&gt;"",MOVIMIENTOS!$G178&amp;"  ","")&amp;IF(N(MOVIMIENTOS!$D178)&gt;0,MOVIMIENTOS!$D178&amp;" "&amp;MOVIMIENTOS!$D178,"")))),"")</f>
        <v/>
      </c>
      <c r="P179" s="48" t="n">
        <f aca="false">N(P178)+N(M179)-N(N179)</f>
        <v>2969</v>
      </c>
      <c r="Q179" s="48"/>
      <c r="R179" s="48"/>
      <c r="S179" s="48"/>
      <c r="T179" s="48"/>
    </row>
    <row r="180" customFormat="false" ht="15" hidden="false" customHeight="true" outlineLevel="0" collapsed="false">
      <c r="A180" s="51" t="str">
        <f aca="false">IFERROR(INDEX(K$6:K$401,MATCH(ROW()-5,J$6:J$401,0)),"")</f>
        <v/>
      </c>
      <c r="B180" s="56" t="str">
        <f aca="false">IFERROR(INDEX(L$6:L$401,MATCH(ROW()-5,J$6:J$401,0)),"")</f>
        <v/>
      </c>
      <c r="C180" s="52" t="str">
        <f aca="false">IFERROR(INDEX(M$6:M$401,MATCH(ROW()-5,J$6:J$401,0)),"")</f>
        <v/>
      </c>
      <c r="D180" s="52" t="str">
        <f aca="false">IFERROR(INDEX(N$6:N$401,MATCH(ROW()-5,J$6:J$401,0)),"")</f>
        <v/>
      </c>
      <c r="E180" s="56" t="str">
        <f aca="false">IFERROR(INDEX(O$6:O$401,MATCH(ROW()-5,J$6:J$401,0)),"")</f>
        <v/>
      </c>
      <c r="F180" s="52" t="str">
        <f aca="false">IFERROR(INDEX(P$6:P$401,MATCH(ROW()-5,J$6:J$401,0)),"")</f>
        <v/>
      </c>
      <c r="G180" s="48"/>
      <c r="H180" s="48"/>
      <c r="I180" s="48"/>
      <c r="J180" s="48" t="str">
        <f aca="false">IF(AND(MOVIMIENTOS!$B179&lt;&gt;"",NOT(AND(MOVIMIENTOS!$B179="PROCESO",MOVIMIENTOS!$C179&lt;&gt;"Chancho")),NOT(AND(MOVIMIENTOS!$B179="SALDO INICIAL",MOVIMIENTOS!$C179="Chancho"))),COUNT(J$6:J179)+1,"")</f>
        <v/>
      </c>
      <c r="K180" s="48" t="str">
        <f aca="false">IF(AND(MOVIMIENTOS!$B179&lt;&gt;"",NOT(AND(MOVIMIENTOS!$B179="PROCESO",MOVIMIENTOS!$C179&lt;&gt;"Chancho")),NOT(AND(MOVIMIENTOS!$B179="SALDO INICIAL",MOVIMIENTOS!$C179="Chancho"))),MOVIMIENTOS!$A179,"")</f>
        <v/>
      </c>
      <c r="L180" s="48" t="str">
        <f aca="false">IF(AND(MOVIMIENTOS!$B179&lt;&gt;"",NOT(AND(MOVIMIENTOS!$B179="PROCESO",MOVIMIENTOS!$C179&lt;&gt;"Chancho")),NOT(AND(MOVIMIENTOS!$B179="SALDO INICIAL",MOVIMIENTOS!$C179="Chancho"))),IF(MOVIMIENTOS!$B179="SALDO INICIAL","APERTURA ("&amp;MOVIMIENTOS!$C179&amp;")",IF(MOVIMIENTOS!$B179="COMPRA","INGRESO (compra)",IF(MOVIMIENTOS!$B179="PROCESO","CHANCHO (proceso)",IF(MOVIMIENTOS!$B179="ENVÍO A SUPESA","ENVÍO cal. "&amp;MOVIMIENTOS!$C179,IF(MOVIMIENTOS!$B179="VENTA CHANCHO","VENTA CHANCHO",IF(MOVIMIENTOS!$B179="VENTA","VENTA cal. "&amp;MOVIMIENTOS!$C179,IF(MOVIMIENTOS!$B179="REGALO","REGALO "&amp;MOVIMIENTOS!$C179,IF(MOVIMIENTOS!$B179="RECHAZO","RECHAZO cal. "&amp;MOVIMIENTOS!$C179&amp;" (va a reproceso)",IF(MOVIMIENTOS!$B179="DEVOLUCIÓN","DEVOLUCIÓN cal. "&amp;MOVIMIENTOS!$C179&amp;" (regresa intacta)",IF(MOVIMIENTOS!$B179="TRASIEGO","TRASIEGO cal. "&amp;MOVIMIENTOS!$C179,MOVIMIENTOS!$B179)))))))))),"")</f>
        <v/>
      </c>
      <c r="M180" s="48" t="str">
        <f aca="false">IF(AND(AND(MOVIMIENTOS!$B179&lt;&gt;"",NOT(AND(MOVIMIENTOS!$B179="PROCESO",MOVIMIENTOS!$C179&lt;&gt;"Chancho")),NOT(AND(MOVIMIENTOS!$B179="SALDO INICIAL",MOVIMIENTOS!$C179="Chancho"))),OR(MOVIMIENTOS!$B179="SALDO INICIAL",MOVIMIENTOS!$B179="COMPRA",MOVIMIENTOS!$B179="REPROCESO",MOVIMIENTOS!$B179="DEVOLUCIÓN",AND(MOVIMIENTOS!$B179="AJUSTE",MOVIMIENTOS!$C179&lt;&gt;"Chancho",N(MOVIMIENTOS!$F179)&gt;=0))),N(MOVIMIENTOS!$F179),"")</f>
        <v/>
      </c>
      <c r="N180" s="48" t="str">
        <f aca="false">IF(AND(AND(MOVIMIENTOS!$B179&lt;&gt;"",NOT(AND(MOVIMIENTOS!$B179="PROCESO",MOVIMIENTOS!$C179&lt;&gt;"Chancho")),NOT(AND(MOVIMIENTOS!$B179="SALDO INICIAL",MOVIMIENTOS!$C179="Chancho"))),OR(MOVIMIENTOS!$B179="ENVÍO A SUPESA",MOVIMIENTOS!$B179="MALOGRADO",MOVIMIENTOS!$B179="OTRA SALIDA",MOVIMIENTOS!$B179="TRASIEGO",AND(MOVIMIENTOS!$B179="PROCESO",MOVIMIENTOS!$C179="Chancho"),AND(MOVIMIENTOS!$B179="REGALO",MOVIMIENTOS!$C179&lt;&gt;"Chancho"),AND(MOVIMIENTOS!$B179="VENTA",MOVIMIENTOS!$C179&lt;&gt;"Chancho"),AND(MOVIMIENTOS!$B179="AJUSTE",MOVIMIENTOS!$C179&lt;&gt;"Chancho",N(MOVIMIENTOS!$F179)&lt;0))),IF(MOVIMIENTOS!$B179="AJUSTE",-N(MOVIMIENTOS!$F179),N(MOVIMIENTOS!$F179)),"")</f>
        <v/>
      </c>
      <c r="O180" s="48" t="str">
        <f aca="false">IF(AND(MOVIMIENTOS!$B179&lt;&gt;"",NOT(AND(MOVIMIENTOS!$B179="PROCESO",MOVIMIENTOS!$C179&lt;&gt;"Chancho")),NOT(AND(MOVIMIENTOS!$B179="SALDO INICIAL",MOVIMIENTOS!$C179="Chancho"))),IF(MOVIMIENTOS!$B179="RECHAZO",MOVIMIENTOS!$E179&amp;" jabas rechazadas · van a reproceso",IF(MOVIMIENTOS!$B179="REPROCESO",MOVIMIENTOS!$E179&amp;" kg recuperados (merma del día: "&amp;TEXT(SUMPRODUCT((MOVIMIENTOS!$A$5:$A$400=MOVIMIENTOS!$A179)*(MOVIMIENTOS!$B$5:$B$400="RECHAZO")*(MOVIMIENTOS!$D$5:$D$400="jabas")*MOVIMIENTOS!$E$5:$E$400*IFERROR(_xlfn.SWITCH(MOVIMIENTOS!$C$5:$C$400,"A",15,"P",18,"C",17,"M",17,0),0))-SUMPRODUCT((MOVIMIENTOS!$A$5:$A$400=MOVIMIENTOS!$A179)*(MOVIMIENTOS!$B$5:$B$400="REPROCESO")*MOVIMIENTOS!$I$5:$I$400),"+#,##0;-#,##0;0")&amp;" kg)",TRIM(IF(MOVIMIENTOS!$G179&lt;&gt;"",MOVIMIENTOS!$G179&amp;"  ","")&amp;IF(N(MOVIMIENTOS!$D179)&gt;0,MOVIMIENTOS!$D179&amp;" "&amp;MOVIMIENTOS!$D179,"")))),"")</f>
        <v/>
      </c>
      <c r="P180" s="48" t="n">
        <f aca="false">N(P179)+N(M180)-N(N180)</f>
        <v>2969</v>
      </c>
      <c r="Q180" s="48"/>
      <c r="R180" s="48"/>
      <c r="S180" s="48"/>
      <c r="T180" s="48"/>
    </row>
    <row r="181" customFormat="false" ht="15" hidden="false" customHeight="true" outlineLevel="0" collapsed="false">
      <c r="A181" s="51" t="str">
        <f aca="false">IFERROR(INDEX(K$6:K$401,MATCH(ROW()-5,J$6:J$401,0)),"")</f>
        <v/>
      </c>
      <c r="B181" s="56" t="str">
        <f aca="false">IFERROR(INDEX(L$6:L$401,MATCH(ROW()-5,J$6:J$401,0)),"")</f>
        <v/>
      </c>
      <c r="C181" s="52" t="str">
        <f aca="false">IFERROR(INDEX(M$6:M$401,MATCH(ROW()-5,J$6:J$401,0)),"")</f>
        <v/>
      </c>
      <c r="D181" s="52" t="str">
        <f aca="false">IFERROR(INDEX(N$6:N$401,MATCH(ROW()-5,J$6:J$401,0)),"")</f>
        <v/>
      </c>
      <c r="E181" s="56" t="str">
        <f aca="false">IFERROR(INDEX(O$6:O$401,MATCH(ROW()-5,J$6:J$401,0)),"")</f>
        <v/>
      </c>
      <c r="F181" s="52" t="str">
        <f aca="false">IFERROR(INDEX(P$6:P$401,MATCH(ROW()-5,J$6:J$401,0)),"")</f>
        <v/>
      </c>
      <c r="G181" s="48"/>
      <c r="H181" s="48"/>
      <c r="I181" s="48"/>
      <c r="J181" s="48" t="n">
        <f aca="false">IF(AND(MOVIMIENTOS!$B180&lt;&gt;"",NOT(AND(MOVIMIENTOS!$B180="PROCESO",MOVIMIENTOS!$C180&lt;&gt;"Chancho")),NOT(AND(MOVIMIENTOS!$B180="SALDO INICIAL",MOVIMIENTOS!$C180="Chancho"))),COUNT(J$6:J180)+1,"")</f>
        <v>115</v>
      </c>
      <c r="K181" s="53" t="n">
        <f aca="false">IF(AND(MOVIMIENTOS!$B180&lt;&gt;"",NOT(AND(MOVIMIENTOS!$B180="PROCESO",MOVIMIENTOS!$C180&lt;&gt;"Chancho")),NOT(AND(MOVIMIENTOS!$B180="SALDO INICIAL",MOVIMIENTOS!$C180="Chancho"))),MOVIMIENTOS!$A180,"")</f>
        <v>46228</v>
      </c>
      <c r="L181" s="48" t="str">
        <f aca="false">IF(AND(MOVIMIENTOS!$B180&lt;&gt;"",NOT(AND(MOVIMIENTOS!$B180="PROCESO",MOVIMIENTOS!$C180&lt;&gt;"Chancho")),NOT(AND(MOVIMIENTOS!$B180="SALDO INICIAL",MOVIMIENTOS!$C180="Chancho"))),IF(MOVIMIENTOS!$B180="SALDO INICIAL","APERTURA ("&amp;MOVIMIENTOS!$C180&amp;")",IF(MOVIMIENTOS!$B180="COMPRA","INGRESO (compra)",IF(MOVIMIENTOS!$B180="PROCESO","CHANCHO (proceso)",IF(MOVIMIENTOS!$B180="ENVÍO A SUPESA","ENVÍO cal. "&amp;MOVIMIENTOS!$C180,IF(MOVIMIENTOS!$B180="VENTA CHANCHO","VENTA CHANCHO",IF(MOVIMIENTOS!$B180="VENTA","VENTA cal. "&amp;MOVIMIENTOS!$C180,IF(MOVIMIENTOS!$B180="REGALO","REGALO "&amp;MOVIMIENTOS!$C180,IF(MOVIMIENTOS!$B180="RECHAZO","RECHAZO cal. "&amp;MOVIMIENTOS!$C180&amp;" (va a reproceso)",IF(MOVIMIENTOS!$B180="DEVOLUCIÓN","DEVOLUCIÓN cal. "&amp;MOVIMIENTOS!$C180&amp;" (regresa intacta)",IF(MOVIMIENTOS!$B180="TRASIEGO","TRASIEGO cal. "&amp;MOVIMIENTOS!$C180,MOVIMIENTOS!$B180)))))))))),"")</f>
        <v>CHANCHO (proceso)</v>
      </c>
      <c r="M181" s="48" t="str">
        <f aca="false">IF(AND(AND(MOVIMIENTOS!$B180&lt;&gt;"",NOT(AND(MOVIMIENTOS!$B180="PROCESO",MOVIMIENTOS!$C180&lt;&gt;"Chancho")),NOT(AND(MOVIMIENTOS!$B180="SALDO INICIAL",MOVIMIENTOS!$C180="Chancho"))),OR(MOVIMIENTOS!$B180="SALDO INICIAL",MOVIMIENTOS!$B180="COMPRA",MOVIMIENTOS!$B180="REPROCESO",MOVIMIENTOS!$B180="DEVOLUCIÓN",AND(MOVIMIENTOS!$B180="AJUSTE",MOVIMIENTOS!$C180&lt;&gt;"Chancho",N(MOVIMIENTOS!$F180)&gt;=0))),N(MOVIMIENTOS!$F180),"")</f>
        <v/>
      </c>
      <c r="N181" s="48" t="n">
        <f aca="false">IF(AND(AND(MOVIMIENTOS!$B180&lt;&gt;"",NOT(AND(MOVIMIENTOS!$B180="PROCESO",MOVIMIENTOS!$C180&lt;&gt;"Chancho")),NOT(AND(MOVIMIENTOS!$B180="SALDO INICIAL",MOVIMIENTOS!$C180="Chancho"))),OR(MOVIMIENTOS!$B180="ENVÍO A SUPESA",MOVIMIENTOS!$B180="MALOGRADO",MOVIMIENTOS!$B180="OTRA SALIDA",MOVIMIENTOS!$B180="TRASIEGO",AND(MOVIMIENTOS!$B180="PROCESO",MOVIMIENTOS!$C180="Chancho"),AND(MOVIMIENTOS!$B180="REGALO",MOVIMIENTOS!$C180&lt;&gt;"Chancho"),AND(MOVIMIENTOS!$B180="VENTA",MOVIMIENTOS!$C180&lt;&gt;"Chancho"),AND(MOVIMIENTOS!$B180="AJUSTE",MOVIMIENTOS!$C180&lt;&gt;"Chancho",N(MOVIMIENTOS!$F180)&lt;0))),IF(MOVIMIENTOS!$B180="AJUSTE",-N(MOVIMIENTOS!$F180),N(MOVIMIENTOS!$F180)),"")</f>
        <v>902.5</v>
      </c>
      <c r="O181" s="48" t="str">
        <f aca="false">IF(AND(MOVIMIENTOS!$B180&lt;&gt;"",NOT(AND(MOVIMIENTOS!$B180="PROCESO",MOVIMIENTOS!$C180&lt;&gt;"Chancho")),NOT(AND(MOVIMIENTOS!$B180="SALDO INICIAL",MOVIMIENTOS!$C180="Chancho"))),IF(MOVIMIENTOS!$B180="RECHAZO",MOVIMIENTOS!$E180&amp;" jabas rechazadas · van a reproceso",IF(MOVIMIENTOS!$B180="REPROCESO",MOVIMIENTOS!$E180&amp;" kg recuperados (merma del día: "&amp;TEXT(SUMPRODUCT((MOVIMIENTOS!$A$5:$A$400=MOVIMIENTOS!$A180)*(MOVIMIENTOS!$B$5:$B$400="RECHAZO")*(MOVIMIENTOS!$D$5:$D$400="jabas")*MOVIMIENTOS!$E$5:$E$400*IFERROR(_xlfn.SWITCH(MOVIMIENTOS!$C$5:$C$400,"A",15,"P",18,"C",17,"M",17,0),0))-SUMPRODUCT((MOVIMIENTOS!$A$5:$A$400=MOVIMIENTOS!$A180)*(MOVIMIENTOS!$B$5:$B$400="REPROCESO")*MOVIMIENTOS!$I$5:$I$400),"+#,##0;-#,##0;0")&amp;" kg)",TRIM(IF(MOVIMIENTOS!$G180&lt;&gt;"",MOVIMIENTOS!$G180&amp;"  ","")&amp;IF(N(MOVIMIENTOS!$D180)&gt;0,MOVIMIENTOS!$D180&amp;" "&amp;MOVIMIENTOS!$D180,"")))),"")</f>
        <v/>
      </c>
      <c r="P181" s="48" t="n">
        <f aca="false">N(P180)+N(M181)-N(N181)</f>
        <v>2066.5</v>
      </c>
      <c r="Q181" s="48"/>
      <c r="R181" s="48"/>
      <c r="S181" s="48"/>
      <c r="T181" s="48"/>
    </row>
    <row r="182" customFormat="false" ht="15" hidden="false" customHeight="true" outlineLevel="0" collapsed="false">
      <c r="A182" s="51" t="str">
        <f aca="false">IFERROR(INDEX(K$6:K$401,MATCH(ROW()-5,J$6:J$401,0)),"")</f>
        <v/>
      </c>
      <c r="B182" s="56" t="str">
        <f aca="false">IFERROR(INDEX(L$6:L$401,MATCH(ROW()-5,J$6:J$401,0)),"")</f>
        <v/>
      </c>
      <c r="C182" s="52" t="str">
        <f aca="false">IFERROR(INDEX(M$6:M$401,MATCH(ROW()-5,J$6:J$401,0)),"")</f>
        <v/>
      </c>
      <c r="D182" s="52" t="str">
        <f aca="false">IFERROR(INDEX(N$6:N$401,MATCH(ROW()-5,J$6:J$401,0)),"")</f>
        <v/>
      </c>
      <c r="E182" s="56" t="str">
        <f aca="false">IFERROR(INDEX(O$6:O$401,MATCH(ROW()-5,J$6:J$401,0)),"")</f>
        <v/>
      </c>
      <c r="F182" s="52" t="str">
        <f aca="false">IFERROR(INDEX(P$6:P$401,MATCH(ROW()-5,J$6:J$401,0)),"")</f>
        <v/>
      </c>
      <c r="G182" s="48"/>
      <c r="H182" s="48"/>
      <c r="I182" s="48"/>
      <c r="J182" s="48" t="n">
        <f aca="false">IF(AND(MOVIMIENTOS!$B181&lt;&gt;"",NOT(AND(MOVIMIENTOS!$B181="PROCESO",MOVIMIENTOS!$C181&lt;&gt;"Chancho")),NOT(AND(MOVIMIENTOS!$B181="SALDO INICIAL",MOVIMIENTOS!$C181="Chancho"))),COUNT(J$6:J181)+1,"")</f>
        <v>116</v>
      </c>
      <c r="K182" s="53" t="n">
        <f aca="false">IF(AND(MOVIMIENTOS!$B181&lt;&gt;"",NOT(AND(MOVIMIENTOS!$B181="PROCESO",MOVIMIENTOS!$C181&lt;&gt;"Chancho")),NOT(AND(MOVIMIENTOS!$B181="SALDO INICIAL",MOVIMIENTOS!$C181="Chancho"))),MOVIMIENTOS!$A181,"")</f>
        <v>46229</v>
      </c>
      <c r="L182" s="48" t="str">
        <f aca="false">IF(AND(MOVIMIENTOS!$B181&lt;&gt;"",NOT(AND(MOVIMIENTOS!$B181="PROCESO",MOVIMIENTOS!$C181&lt;&gt;"Chancho")),NOT(AND(MOVIMIENTOS!$B181="SALDO INICIAL",MOVIMIENTOS!$C181="Chancho"))),IF(MOVIMIENTOS!$B181="SALDO INICIAL","APERTURA ("&amp;MOVIMIENTOS!$C181&amp;")",IF(MOVIMIENTOS!$B181="COMPRA","INGRESO (compra)",IF(MOVIMIENTOS!$B181="PROCESO","CHANCHO (proceso)",IF(MOVIMIENTOS!$B181="ENVÍO A SUPESA","ENVÍO cal. "&amp;MOVIMIENTOS!$C181,IF(MOVIMIENTOS!$B181="VENTA CHANCHO","VENTA CHANCHO",IF(MOVIMIENTOS!$B181="VENTA","VENTA cal. "&amp;MOVIMIENTOS!$C181,IF(MOVIMIENTOS!$B181="REGALO","REGALO "&amp;MOVIMIENTOS!$C181,IF(MOVIMIENTOS!$B181="RECHAZO","RECHAZO cal. "&amp;MOVIMIENTOS!$C181&amp;" (va a reproceso)",IF(MOVIMIENTOS!$B181="DEVOLUCIÓN","DEVOLUCIÓN cal. "&amp;MOVIMIENTOS!$C181&amp;" (regresa intacta)",IF(MOVIMIENTOS!$B181="TRASIEGO","TRASIEGO cal. "&amp;MOVIMIENTOS!$C181,MOVIMIENTOS!$B181)))))))))),"")</f>
        <v>ENVÍO cal. A</v>
      </c>
      <c r="M182" s="48" t="str">
        <f aca="false">IF(AND(AND(MOVIMIENTOS!$B181&lt;&gt;"",NOT(AND(MOVIMIENTOS!$B181="PROCESO",MOVIMIENTOS!$C181&lt;&gt;"Chancho")),NOT(AND(MOVIMIENTOS!$B181="SALDO INICIAL",MOVIMIENTOS!$C181="Chancho"))),OR(MOVIMIENTOS!$B181="SALDO INICIAL",MOVIMIENTOS!$B181="COMPRA",MOVIMIENTOS!$B181="REPROCESO",MOVIMIENTOS!$B181="DEVOLUCIÓN",AND(MOVIMIENTOS!$B181="AJUSTE",MOVIMIENTOS!$C181&lt;&gt;"Chancho",N(MOVIMIENTOS!$F181)&gt;=0))),N(MOVIMIENTOS!$F181),"")</f>
        <v/>
      </c>
      <c r="N182" s="48" t="n">
        <f aca="false">IF(AND(AND(MOVIMIENTOS!$B181&lt;&gt;"",NOT(AND(MOVIMIENTOS!$B181="PROCESO",MOVIMIENTOS!$C181&lt;&gt;"Chancho")),NOT(AND(MOVIMIENTOS!$B181="SALDO INICIAL",MOVIMIENTOS!$C181="Chancho"))),OR(MOVIMIENTOS!$B181="ENVÍO A SUPESA",MOVIMIENTOS!$B181="MALOGRADO",MOVIMIENTOS!$B181="OTRA SALIDA",MOVIMIENTOS!$B181="TRASIEGO",AND(MOVIMIENTOS!$B181="PROCESO",MOVIMIENTOS!$C181="Chancho"),AND(MOVIMIENTOS!$B181="REGALO",MOVIMIENTOS!$C181&lt;&gt;"Chancho"),AND(MOVIMIENTOS!$B181="VENTA",MOVIMIENTOS!$C181&lt;&gt;"Chancho"),AND(MOVIMIENTOS!$B181="AJUSTE",MOVIMIENTOS!$C181&lt;&gt;"Chancho",N(MOVIMIENTOS!$F181)&lt;0))),IF(MOVIMIENTOS!$B181="AJUSTE",-N(MOVIMIENTOS!$F181),N(MOVIMIENTOS!$F181)),"")</f>
        <v>1005</v>
      </c>
      <c r="O182" s="48" t="str">
        <f aca="false">IF(AND(MOVIMIENTOS!$B181&lt;&gt;"",NOT(AND(MOVIMIENTOS!$B181="PROCESO",MOVIMIENTOS!$C181&lt;&gt;"Chancho")),NOT(AND(MOVIMIENTOS!$B181="SALDO INICIAL",MOVIMIENTOS!$C181="Chancho"))),IF(MOVIMIENTOS!$B181="RECHAZO",MOVIMIENTOS!$E181&amp;" jabas rechazadas · van a reproceso",IF(MOVIMIENTOS!$B181="REPROCESO",MOVIMIENTOS!$E181&amp;" kg recuperados (merma del día: "&amp;TEXT(SUMPRODUCT((MOVIMIENTOS!$A$5:$A$400=MOVIMIENTOS!$A181)*(MOVIMIENTOS!$B$5:$B$400="RECHAZO")*(MOVIMIENTOS!$D$5:$D$400="jabas")*MOVIMIENTOS!$E$5:$E$400*IFERROR(_xlfn.SWITCH(MOVIMIENTOS!$C$5:$C$400,"A",15,"P",18,"C",17,"M",17,0),0))-SUMPRODUCT((MOVIMIENTOS!$A$5:$A$400=MOVIMIENTOS!$A181)*(MOVIMIENTOS!$B$5:$B$400="REPROCESO")*MOVIMIENTOS!$I$5:$I$400),"+#,##0;-#,##0;0")&amp;" kg)",TRIM(IF(MOVIMIENTOS!$G181&lt;&gt;"",MOVIMIENTOS!$G181&amp;"  ","")&amp;IF(N(MOVIMIENTOS!$D181)&gt;0,MOVIMIENTOS!$D181&amp;" "&amp;MOVIMIENTOS!$D181,"")))),"")</f>
        <v>3018</v>
      </c>
      <c r="P182" s="48" t="n">
        <f aca="false">N(P181)+N(M182)-N(N182)</f>
        <v>1061.5</v>
      </c>
      <c r="Q182" s="48"/>
      <c r="R182" s="48"/>
      <c r="S182" s="48"/>
      <c r="T182" s="48"/>
    </row>
    <row r="183" customFormat="false" ht="15" hidden="false" customHeight="true" outlineLevel="0" collapsed="false">
      <c r="A183" s="51" t="str">
        <f aca="false">IFERROR(INDEX(K$6:K$401,MATCH(ROW()-5,J$6:J$401,0)),"")</f>
        <v/>
      </c>
      <c r="B183" s="56" t="str">
        <f aca="false">IFERROR(INDEX(L$6:L$401,MATCH(ROW()-5,J$6:J$401,0)),"")</f>
        <v/>
      </c>
      <c r="C183" s="52" t="str">
        <f aca="false">IFERROR(INDEX(M$6:M$401,MATCH(ROW()-5,J$6:J$401,0)),"")</f>
        <v/>
      </c>
      <c r="D183" s="52" t="str">
        <f aca="false">IFERROR(INDEX(N$6:N$401,MATCH(ROW()-5,J$6:J$401,0)),"")</f>
        <v/>
      </c>
      <c r="E183" s="56" t="str">
        <f aca="false">IFERROR(INDEX(O$6:O$401,MATCH(ROW()-5,J$6:J$401,0)),"")</f>
        <v/>
      </c>
      <c r="F183" s="52" t="str">
        <f aca="false">IFERROR(INDEX(P$6:P$401,MATCH(ROW()-5,J$6:J$401,0)),"")</f>
        <v/>
      </c>
      <c r="G183" s="48"/>
      <c r="H183" s="48"/>
      <c r="I183" s="48"/>
      <c r="J183" s="48" t="n">
        <f aca="false">IF(AND(MOVIMIENTOS!$B182&lt;&gt;"",NOT(AND(MOVIMIENTOS!$B182="PROCESO",MOVIMIENTOS!$C182&lt;&gt;"Chancho")),NOT(AND(MOVIMIENTOS!$B182="SALDO INICIAL",MOVIMIENTOS!$C182="Chancho"))),COUNT(J$6:J182)+1,"")</f>
        <v>117</v>
      </c>
      <c r="K183" s="53" t="n">
        <f aca="false">IF(AND(MOVIMIENTOS!$B182&lt;&gt;"",NOT(AND(MOVIMIENTOS!$B182="PROCESO",MOVIMIENTOS!$C182&lt;&gt;"Chancho")),NOT(AND(MOVIMIENTOS!$B182="SALDO INICIAL",MOVIMIENTOS!$C182="Chancho"))),MOVIMIENTOS!$A182,"")</f>
        <v>46229</v>
      </c>
      <c r="L183" s="48" t="str">
        <f aca="false">IF(AND(MOVIMIENTOS!$B182&lt;&gt;"",NOT(AND(MOVIMIENTOS!$B182="PROCESO",MOVIMIENTOS!$C182&lt;&gt;"Chancho")),NOT(AND(MOVIMIENTOS!$B182="SALDO INICIAL",MOVIMIENTOS!$C182="Chancho"))),IF(MOVIMIENTOS!$B182="SALDO INICIAL","APERTURA ("&amp;MOVIMIENTOS!$C182&amp;")",IF(MOVIMIENTOS!$B182="COMPRA","INGRESO (compra)",IF(MOVIMIENTOS!$B182="PROCESO","CHANCHO (proceso)",IF(MOVIMIENTOS!$B182="ENVÍO A SUPESA","ENVÍO cal. "&amp;MOVIMIENTOS!$C182,IF(MOVIMIENTOS!$B182="VENTA CHANCHO","VENTA CHANCHO",IF(MOVIMIENTOS!$B182="VENTA","VENTA cal. "&amp;MOVIMIENTOS!$C182,IF(MOVIMIENTOS!$B182="REGALO","REGALO "&amp;MOVIMIENTOS!$C182,IF(MOVIMIENTOS!$B182="RECHAZO","RECHAZO cal. "&amp;MOVIMIENTOS!$C182&amp;" (va a reproceso)",IF(MOVIMIENTOS!$B182="DEVOLUCIÓN","DEVOLUCIÓN cal. "&amp;MOVIMIENTOS!$C182&amp;" (regresa intacta)",IF(MOVIMIENTOS!$B182="TRASIEGO","TRASIEGO cal. "&amp;MOVIMIENTOS!$C182,MOVIMIENTOS!$B182)))))))))),"")</f>
        <v>ENVÍO cal. P</v>
      </c>
      <c r="M183" s="48" t="str">
        <f aca="false">IF(AND(AND(MOVIMIENTOS!$B182&lt;&gt;"",NOT(AND(MOVIMIENTOS!$B182="PROCESO",MOVIMIENTOS!$C182&lt;&gt;"Chancho")),NOT(AND(MOVIMIENTOS!$B182="SALDO INICIAL",MOVIMIENTOS!$C182="Chancho"))),OR(MOVIMIENTOS!$B182="SALDO INICIAL",MOVIMIENTOS!$B182="COMPRA",MOVIMIENTOS!$B182="REPROCESO",MOVIMIENTOS!$B182="DEVOLUCIÓN",AND(MOVIMIENTOS!$B182="AJUSTE",MOVIMIENTOS!$C182&lt;&gt;"Chancho",N(MOVIMIENTOS!$F182)&gt;=0))),N(MOVIMIENTOS!$F182),"")</f>
        <v/>
      </c>
      <c r="N183" s="48" t="n">
        <f aca="false">IF(AND(AND(MOVIMIENTOS!$B182&lt;&gt;"",NOT(AND(MOVIMIENTOS!$B182="PROCESO",MOVIMIENTOS!$C182&lt;&gt;"Chancho")),NOT(AND(MOVIMIENTOS!$B182="SALDO INICIAL",MOVIMIENTOS!$C182="Chancho"))),OR(MOVIMIENTOS!$B182="ENVÍO A SUPESA",MOVIMIENTOS!$B182="MALOGRADO",MOVIMIENTOS!$B182="OTRA SALIDA",MOVIMIENTOS!$B182="TRASIEGO",AND(MOVIMIENTOS!$B182="PROCESO",MOVIMIENTOS!$C182="Chancho"),AND(MOVIMIENTOS!$B182="REGALO",MOVIMIENTOS!$C182&lt;&gt;"Chancho"),AND(MOVIMIENTOS!$B182="VENTA",MOVIMIENTOS!$C182&lt;&gt;"Chancho"),AND(MOVIMIENTOS!$B182="AJUSTE",MOVIMIENTOS!$C182&lt;&gt;"Chancho",N(MOVIMIENTOS!$F182)&lt;0))),IF(MOVIMIENTOS!$B182="AJUSTE",-N(MOVIMIENTOS!$F182),N(MOVIMIENTOS!$F182)),"")</f>
        <v>198</v>
      </c>
      <c r="O183" s="48" t="str">
        <f aca="false">IF(AND(MOVIMIENTOS!$B182&lt;&gt;"",NOT(AND(MOVIMIENTOS!$B182="PROCESO",MOVIMIENTOS!$C182&lt;&gt;"Chancho")),NOT(AND(MOVIMIENTOS!$B182="SALDO INICIAL",MOVIMIENTOS!$C182="Chancho"))),IF(MOVIMIENTOS!$B182="RECHAZO",MOVIMIENTOS!$E182&amp;" jabas rechazadas · van a reproceso",IF(MOVIMIENTOS!$B182="REPROCESO",MOVIMIENTOS!$E182&amp;" kg recuperados (merma del día: "&amp;TEXT(SUMPRODUCT((MOVIMIENTOS!$A$5:$A$400=MOVIMIENTOS!$A182)*(MOVIMIENTOS!$B$5:$B$400="RECHAZO")*(MOVIMIENTOS!$D$5:$D$400="jabas")*MOVIMIENTOS!$E$5:$E$400*IFERROR(_xlfn.SWITCH(MOVIMIENTOS!$C$5:$C$400,"A",15,"P",18,"C",17,"M",17,0),0))-SUMPRODUCT((MOVIMIENTOS!$A$5:$A$400=MOVIMIENTOS!$A182)*(MOVIMIENTOS!$B$5:$B$400="REPROCESO")*MOVIMIENTOS!$I$5:$I$400),"+#,##0;-#,##0;0")&amp;" kg)",TRIM(IF(MOVIMIENTOS!$G182&lt;&gt;"",MOVIMIENTOS!$G182&amp;"  ","")&amp;IF(N(MOVIMIENTOS!$D182)&gt;0,MOVIMIENTOS!$D182&amp;" "&amp;MOVIMIENTOS!$D182,"")))),"")</f>
        <v>3018</v>
      </c>
      <c r="P183" s="48" t="n">
        <f aca="false">N(P182)+N(M183)-N(N183)</f>
        <v>863.5</v>
      </c>
      <c r="Q183" s="48"/>
      <c r="R183" s="48"/>
      <c r="S183" s="48"/>
      <c r="T183" s="48"/>
    </row>
    <row r="184" customFormat="false" ht="15" hidden="false" customHeight="true" outlineLevel="0" collapsed="false">
      <c r="A184" s="51" t="str">
        <f aca="false">IFERROR(INDEX(K$6:K$401,MATCH(ROW()-5,J$6:J$401,0)),"")</f>
        <v/>
      </c>
      <c r="B184" s="56" t="str">
        <f aca="false">IFERROR(INDEX(L$6:L$401,MATCH(ROW()-5,J$6:J$401,0)),"")</f>
        <v/>
      </c>
      <c r="C184" s="52" t="str">
        <f aca="false">IFERROR(INDEX(M$6:M$401,MATCH(ROW()-5,J$6:J$401,0)),"")</f>
        <v/>
      </c>
      <c r="D184" s="52" t="str">
        <f aca="false">IFERROR(INDEX(N$6:N$401,MATCH(ROW()-5,J$6:J$401,0)),"")</f>
        <v/>
      </c>
      <c r="E184" s="56" t="str">
        <f aca="false">IFERROR(INDEX(O$6:O$401,MATCH(ROW()-5,J$6:J$401,0)),"")</f>
        <v/>
      </c>
      <c r="F184" s="52" t="str">
        <f aca="false">IFERROR(INDEX(P$6:P$401,MATCH(ROW()-5,J$6:J$401,0)),"")</f>
        <v/>
      </c>
      <c r="G184" s="48"/>
      <c r="H184" s="48"/>
      <c r="I184" s="48"/>
      <c r="J184" s="48" t="n">
        <f aca="false">IF(AND(MOVIMIENTOS!$B183&lt;&gt;"",NOT(AND(MOVIMIENTOS!$B183="PROCESO",MOVIMIENTOS!$C183&lt;&gt;"Chancho")),NOT(AND(MOVIMIENTOS!$B183="SALDO INICIAL",MOVIMIENTOS!$C183="Chancho"))),COUNT(J$6:J183)+1,"")</f>
        <v>118</v>
      </c>
      <c r="K184" s="53" t="n">
        <f aca="false">IF(AND(MOVIMIENTOS!$B183&lt;&gt;"",NOT(AND(MOVIMIENTOS!$B183="PROCESO",MOVIMIENTOS!$C183&lt;&gt;"Chancho")),NOT(AND(MOVIMIENTOS!$B183="SALDO INICIAL",MOVIMIENTOS!$C183="Chancho"))),MOVIMIENTOS!$A183,"")</f>
        <v>46229</v>
      </c>
      <c r="L184" s="48" t="str">
        <f aca="false">IF(AND(MOVIMIENTOS!$B183&lt;&gt;"",NOT(AND(MOVIMIENTOS!$B183="PROCESO",MOVIMIENTOS!$C183&lt;&gt;"Chancho")),NOT(AND(MOVIMIENTOS!$B183="SALDO INICIAL",MOVIMIENTOS!$C183="Chancho"))),IF(MOVIMIENTOS!$B183="SALDO INICIAL","APERTURA ("&amp;MOVIMIENTOS!$C183&amp;")",IF(MOVIMIENTOS!$B183="COMPRA","INGRESO (compra)",IF(MOVIMIENTOS!$B183="PROCESO","CHANCHO (proceso)",IF(MOVIMIENTOS!$B183="ENVÍO A SUPESA","ENVÍO cal. "&amp;MOVIMIENTOS!$C183,IF(MOVIMIENTOS!$B183="VENTA CHANCHO","VENTA CHANCHO",IF(MOVIMIENTOS!$B183="VENTA","VENTA cal. "&amp;MOVIMIENTOS!$C183,IF(MOVIMIENTOS!$B183="REGALO","REGALO "&amp;MOVIMIENTOS!$C183,IF(MOVIMIENTOS!$B183="RECHAZO","RECHAZO cal. "&amp;MOVIMIENTOS!$C183&amp;" (va a reproceso)",IF(MOVIMIENTOS!$B183="DEVOLUCIÓN","DEVOLUCIÓN cal. "&amp;MOVIMIENTOS!$C183&amp;" (regresa intacta)",IF(MOVIMIENTOS!$B183="TRASIEGO","TRASIEGO cal. "&amp;MOVIMIENTOS!$C183,MOVIMIENTOS!$B183)))))))))),"")</f>
        <v>ENVÍO cal. C</v>
      </c>
      <c r="M184" s="48" t="str">
        <f aca="false">IF(AND(AND(MOVIMIENTOS!$B183&lt;&gt;"",NOT(AND(MOVIMIENTOS!$B183="PROCESO",MOVIMIENTOS!$C183&lt;&gt;"Chancho")),NOT(AND(MOVIMIENTOS!$B183="SALDO INICIAL",MOVIMIENTOS!$C183="Chancho"))),OR(MOVIMIENTOS!$B183="SALDO INICIAL",MOVIMIENTOS!$B183="COMPRA",MOVIMIENTOS!$B183="REPROCESO",MOVIMIENTOS!$B183="DEVOLUCIÓN",AND(MOVIMIENTOS!$B183="AJUSTE",MOVIMIENTOS!$C183&lt;&gt;"Chancho",N(MOVIMIENTOS!$F183)&gt;=0))),N(MOVIMIENTOS!$F183),"")</f>
        <v/>
      </c>
      <c r="N184" s="48" t="n">
        <f aca="false">IF(AND(AND(MOVIMIENTOS!$B183&lt;&gt;"",NOT(AND(MOVIMIENTOS!$B183="PROCESO",MOVIMIENTOS!$C183&lt;&gt;"Chancho")),NOT(AND(MOVIMIENTOS!$B183="SALDO INICIAL",MOVIMIENTOS!$C183="Chancho"))),OR(MOVIMIENTOS!$B183="ENVÍO A SUPESA",MOVIMIENTOS!$B183="MALOGRADO",MOVIMIENTOS!$B183="OTRA SALIDA",MOVIMIENTOS!$B183="TRASIEGO",AND(MOVIMIENTOS!$B183="PROCESO",MOVIMIENTOS!$C183="Chancho"),AND(MOVIMIENTOS!$B183="REGALO",MOVIMIENTOS!$C183&lt;&gt;"Chancho"),AND(MOVIMIENTOS!$B183="VENTA",MOVIMIENTOS!$C183&lt;&gt;"Chancho"),AND(MOVIMIENTOS!$B183="AJUSTE",MOVIMIENTOS!$C183&lt;&gt;"Chancho",N(MOVIMIENTOS!$F183)&lt;0))),IF(MOVIMIENTOS!$B183="AJUSTE",-N(MOVIMIENTOS!$F183),N(MOVIMIENTOS!$F183)),"")</f>
        <v>204</v>
      </c>
      <c r="O184" s="48" t="str">
        <f aca="false">IF(AND(MOVIMIENTOS!$B183&lt;&gt;"",NOT(AND(MOVIMIENTOS!$B183="PROCESO",MOVIMIENTOS!$C183&lt;&gt;"Chancho")),NOT(AND(MOVIMIENTOS!$B183="SALDO INICIAL",MOVIMIENTOS!$C183="Chancho"))),IF(MOVIMIENTOS!$B183="RECHAZO",MOVIMIENTOS!$E183&amp;" jabas rechazadas · van a reproceso",IF(MOVIMIENTOS!$B183="REPROCESO",MOVIMIENTOS!$E183&amp;" kg recuperados (merma del día: "&amp;TEXT(SUMPRODUCT((MOVIMIENTOS!$A$5:$A$400=MOVIMIENTOS!$A183)*(MOVIMIENTOS!$B$5:$B$400="RECHAZO")*(MOVIMIENTOS!$D$5:$D$400="jabas")*MOVIMIENTOS!$E$5:$E$400*IFERROR(_xlfn.SWITCH(MOVIMIENTOS!$C$5:$C$400,"A",15,"P",18,"C",17,"M",17,0),0))-SUMPRODUCT((MOVIMIENTOS!$A$5:$A$400=MOVIMIENTOS!$A183)*(MOVIMIENTOS!$B$5:$B$400="REPROCESO")*MOVIMIENTOS!$I$5:$I$400),"+#,##0;-#,##0;0")&amp;" kg)",TRIM(IF(MOVIMIENTOS!$G183&lt;&gt;"",MOVIMIENTOS!$G183&amp;"  ","")&amp;IF(N(MOVIMIENTOS!$D183)&gt;0,MOVIMIENTOS!$D183&amp;" "&amp;MOVIMIENTOS!$D183,"")))),"")</f>
        <v>3018</v>
      </c>
      <c r="P184" s="48" t="n">
        <f aca="false">N(P183)+N(M184)-N(N184)</f>
        <v>659.5</v>
      </c>
      <c r="Q184" s="48"/>
      <c r="R184" s="48"/>
      <c r="S184" s="48"/>
      <c r="T184" s="48"/>
    </row>
    <row r="185" customFormat="false" ht="15" hidden="false" customHeight="true" outlineLevel="0" collapsed="false">
      <c r="A185" s="51" t="str">
        <f aca="false">IFERROR(INDEX(K$6:K$401,MATCH(ROW()-5,J$6:J$401,0)),"")</f>
        <v/>
      </c>
      <c r="B185" s="56" t="str">
        <f aca="false">IFERROR(INDEX(L$6:L$401,MATCH(ROW()-5,J$6:J$401,0)),"")</f>
        <v/>
      </c>
      <c r="C185" s="52" t="str">
        <f aca="false">IFERROR(INDEX(M$6:M$401,MATCH(ROW()-5,J$6:J$401,0)),"")</f>
        <v/>
      </c>
      <c r="D185" s="52" t="str">
        <f aca="false">IFERROR(INDEX(N$6:N$401,MATCH(ROW()-5,J$6:J$401,0)),"")</f>
        <v/>
      </c>
      <c r="E185" s="56" t="str">
        <f aca="false">IFERROR(INDEX(O$6:O$401,MATCH(ROW()-5,J$6:J$401,0)),"")</f>
        <v/>
      </c>
      <c r="F185" s="52" t="str">
        <f aca="false">IFERROR(INDEX(P$6:P$401,MATCH(ROW()-5,J$6:J$401,0)),"")</f>
        <v/>
      </c>
      <c r="G185" s="48"/>
      <c r="H185" s="48"/>
      <c r="I185" s="48"/>
      <c r="J185" s="48" t="n">
        <f aca="false">IF(AND(MOVIMIENTOS!$B184&lt;&gt;"",NOT(AND(MOVIMIENTOS!$B184="PROCESO",MOVIMIENTOS!$C184&lt;&gt;"Chancho")),NOT(AND(MOVIMIENTOS!$B184="SALDO INICIAL",MOVIMIENTOS!$C184="Chancho"))),COUNT(J$6:J184)+1,"")</f>
        <v>119</v>
      </c>
      <c r="K185" s="53" t="n">
        <f aca="false">IF(AND(MOVIMIENTOS!$B184&lt;&gt;"",NOT(AND(MOVIMIENTOS!$B184="PROCESO",MOVIMIENTOS!$C184&lt;&gt;"Chancho")),NOT(AND(MOVIMIENTOS!$B184="SALDO INICIAL",MOVIMIENTOS!$C184="Chancho"))),MOVIMIENTOS!$A184,"")</f>
        <v>46230</v>
      </c>
      <c r="L185" s="48" t="str">
        <f aca="false">IF(AND(MOVIMIENTOS!$B184&lt;&gt;"",NOT(AND(MOVIMIENTOS!$B184="PROCESO",MOVIMIENTOS!$C184&lt;&gt;"Chancho")),NOT(AND(MOVIMIENTOS!$B184="SALDO INICIAL",MOVIMIENTOS!$C184="Chancho"))),IF(MOVIMIENTOS!$B184="SALDO INICIAL","APERTURA ("&amp;MOVIMIENTOS!$C184&amp;")",IF(MOVIMIENTOS!$B184="COMPRA","INGRESO (compra)",IF(MOVIMIENTOS!$B184="PROCESO","CHANCHO (proceso)",IF(MOVIMIENTOS!$B184="ENVÍO A SUPESA","ENVÍO cal. "&amp;MOVIMIENTOS!$C184,IF(MOVIMIENTOS!$B184="VENTA CHANCHO","VENTA CHANCHO",IF(MOVIMIENTOS!$B184="VENTA","VENTA cal. "&amp;MOVIMIENTOS!$C184,IF(MOVIMIENTOS!$B184="REGALO","REGALO "&amp;MOVIMIENTOS!$C184,IF(MOVIMIENTOS!$B184="RECHAZO","RECHAZO cal. "&amp;MOVIMIENTOS!$C184&amp;" (va a reproceso)",IF(MOVIMIENTOS!$B184="DEVOLUCIÓN","DEVOLUCIÓN cal. "&amp;MOVIMIENTOS!$C184&amp;" (regresa intacta)",IF(MOVIMIENTOS!$B184="TRASIEGO","TRASIEGO cal. "&amp;MOVIMIENTOS!$C184,MOVIMIENTOS!$B184)))))))))),"")</f>
        <v>INGRESO (compra)</v>
      </c>
      <c r="M185" s="48" t="n">
        <f aca="false">IF(AND(AND(MOVIMIENTOS!$B184&lt;&gt;"",NOT(AND(MOVIMIENTOS!$B184="PROCESO",MOVIMIENTOS!$C184&lt;&gt;"Chancho")),NOT(AND(MOVIMIENTOS!$B184="SALDO INICIAL",MOVIMIENTOS!$C184="Chancho"))),OR(MOVIMIENTOS!$B184="SALDO INICIAL",MOVIMIENTOS!$B184="COMPRA",MOVIMIENTOS!$B184="REPROCESO",MOVIMIENTOS!$B184="DEVOLUCIÓN",AND(MOVIMIENTOS!$B184="AJUSTE",MOVIMIENTOS!$C184&lt;&gt;"Chancho",N(MOVIMIENTOS!$F184)&gt;=0))),N(MOVIMIENTOS!$F184),"")</f>
        <v>4275</v>
      </c>
      <c r="N185" s="48" t="str">
        <f aca="false">IF(AND(AND(MOVIMIENTOS!$B184&lt;&gt;"",NOT(AND(MOVIMIENTOS!$B184="PROCESO",MOVIMIENTOS!$C184&lt;&gt;"Chancho")),NOT(AND(MOVIMIENTOS!$B184="SALDO INICIAL",MOVIMIENTOS!$C184="Chancho"))),OR(MOVIMIENTOS!$B184="ENVÍO A SUPESA",MOVIMIENTOS!$B184="MALOGRADO",MOVIMIENTOS!$B184="OTRA SALIDA",MOVIMIENTOS!$B184="TRASIEGO",AND(MOVIMIENTOS!$B184="PROCESO",MOVIMIENTOS!$C184="Chancho"),AND(MOVIMIENTOS!$B184="REGALO",MOVIMIENTOS!$C184&lt;&gt;"Chancho"),AND(MOVIMIENTOS!$B184="VENTA",MOVIMIENTOS!$C184&lt;&gt;"Chancho"),AND(MOVIMIENTOS!$B184="AJUSTE",MOVIMIENTOS!$C184&lt;&gt;"Chancho",N(MOVIMIENTOS!$F184)&lt;0))),IF(MOVIMIENTOS!$B184="AJUSTE",-N(MOVIMIENTOS!$F184),N(MOVIMIENTOS!$F184)),"")</f>
        <v/>
      </c>
      <c r="O185" s="48" t="str">
        <f aca="false">IF(AND(MOVIMIENTOS!$B184&lt;&gt;"",NOT(AND(MOVIMIENTOS!$B184="PROCESO",MOVIMIENTOS!$C184&lt;&gt;"Chancho")),NOT(AND(MOVIMIENTOS!$B184="SALDO INICIAL",MOVIMIENTOS!$C184="Chancho"))),IF(MOVIMIENTOS!$B184="RECHAZO",MOVIMIENTOS!$E184&amp;" jabas rechazadas · van a reproceso",IF(MOVIMIENTOS!$B184="REPROCESO",MOVIMIENTOS!$E184&amp;" kg recuperados (merma del día: "&amp;TEXT(SUMPRODUCT((MOVIMIENTOS!$A$5:$A$400=MOVIMIENTOS!$A184)*(MOVIMIENTOS!$B$5:$B$400="RECHAZO")*(MOVIMIENTOS!$D$5:$D$400="jabas")*MOVIMIENTOS!$E$5:$E$400*IFERROR(_xlfn.SWITCH(MOVIMIENTOS!$C$5:$C$400,"A",15,"P",18,"C",17,"M",17,0),0))-SUMPRODUCT((MOVIMIENTOS!$A$5:$A$400=MOVIMIENTOS!$A184)*(MOVIMIENTOS!$B$5:$B$400="REPROCESO")*MOVIMIENTOS!$I$5:$I$400),"+#,##0;-#,##0;0")&amp;" kg)",TRIM(IF(MOVIMIENTOS!$G184&lt;&gt;"",MOVIMIENTOS!$G184&amp;"  ","")&amp;IF(N(MOVIMIENTOS!$D184)&gt;0,MOVIMIENTOS!$D184&amp;" "&amp;MOVIMIENTOS!$D184,"")))),"")</f>
        <v/>
      </c>
      <c r="P185" s="48" t="n">
        <f aca="false">N(P184)+N(M185)-N(N185)</f>
        <v>4934.5</v>
      </c>
      <c r="Q185" s="48"/>
      <c r="R185" s="48"/>
      <c r="S185" s="48"/>
      <c r="T185" s="48"/>
    </row>
    <row r="186" customFormat="false" ht="15" hidden="false" customHeight="true" outlineLevel="0" collapsed="false">
      <c r="A186" s="51" t="str">
        <f aca="false">IFERROR(INDEX(K$6:K$401,MATCH(ROW()-5,J$6:J$401,0)),"")</f>
        <v/>
      </c>
      <c r="B186" s="56" t="str">
        <f aca="false">IFERROR(INDEX(L$6:L$401,MATCH(ROW()-5,J$6:J$401,0)),"")</f>
        <v/>
      </c>
      <c r="C186" s="52" t="str">
        <f aca="false">IFERROR(INDEX(M$6:M$401,MATCH(ROW()-5,J$6:J$401,0)),"")</f>
        <v/>
      </c>
      <c r="D186" s="52" t="str">
        <f aca="false">IFERROR(INDEX(N$6:N$401,MATCH(ROW()-5,J$6:J$401,0)),"")</f>
        <v/>
      </c>
      <c r="E186" s="56" t="str">
        <f aca="false">IFERROR(INDEX(O$6:O$401,MATCH(ROW()-5,J$6:J$401,0)),"")</f>
        <v/>
      </c>
      <c r="F186" s="52" t="str">
        <f aca="false">IFERROR(INDEX(P$6:P$401,MATCH(ROW()-5,J$6:J$401,0)),"")</f>
        <v/>
      </c>
      <c r="G186" s="48"/>
      <c r="H186" s="48"/>
      <c r="I186" s="48"/>
      <c r="J186" s="48" t="str">
        <f aca="false">IF(AND(MOVIMIENTOS!$B185&lt;&gt;"",NOT(AND(MOVIMIENTOS!$B185="PROCESO",MOVIMIENTOS!$C185&lt;&gt;"Chancho")),NOT(AND(MOVIMIENTOS!$B185="SALDO INICIAL",MOVIMIENTOS!$C185="Chancho"))),COUNT(J$6:J185)+1,"")</f>
        <v/>
      </c>
      <c r="K186" s="48" t="str">
        <f aca="false">IF(AND(MOVIMIENTOS!$B185&lt;&gt;"",NOT(AND(MOVIMIENTOS!$B185="PROCESO",MOVIMIENTOS!$C185&lt;&gt;"Chancho")),NOT(AND(MOVIMIENTOS!$B185="SALDO INICIAL",MOVIMIENTOS!$C185="Chancho"))),MOVIMIENTOS!$A185,"")</f>
        <v/>
      </c>
      <c r="L186" s="48" t="str">
        <f aca="false">IF(AND(MOVIMIENTOS!$B185&lt;&gt;"",NOT(AND(MOVIMIENTOS!$B185="PROCESO",MOVIMIENTOS!$C185&lt;&gt;"Chancho")),NOT(AND(MOVIMIENTOS!$B185="SALDO INICIAL",MOVIMIENTOS!$C185="Chancho"))),IF(MOVIMIENTOS!$B185="SALDO INICIAL","APERTURA ("&amp;MOVIMIENTOS!$C185&amp;")",IF(MOVIMIENTOS!$B185="COMPRA","INGRESO (compra)",IF(MOVIMIENTOS!$B185="PROCESO","CHANCHO (proceso)",IF(MOVIMIENTOS!$B185="ENVÍO A SUPESA","ENVÍO cal. "&amp;MOVIMIENTOS!$C185,IF(MOVIMIENTOS!$B185="VENTA CHANCHO","VENTA CHANCHO",IF(MOVIMIENTOS!$B185="VENTA","VENTA cal. "&amp;MOVIMIENTOS!$C185,IF(MOVIMIENTOS!$B185="REGALO","REGALO "&amp;MOVIMIENTOS!$C185,IF(MOVIMIENTOS!$B185="RECHAZO","RECHAZO cal. "&amp;MOVIMIENTOS!$C185&amp;" (va a reproceso)",IF(MOVIMIENTOS!$B185="DEVOLUCIÓN","DEVOLUCIÓN cal. "&amp;MOVIMIENTOS!$C185&amp;" (regresa intacta)",IF(MOVIMIENTOS!$B185="TRASIEGO","TRASIEGO cal. "&amp;MOVIMIENTOS!$C185,MOVIMIENTOS!$B185)))))))))),"")</f>
        <v/>
      </c>
      <c r="M186" s="48" t="str">
        <f aca="false">IF(AND(AND(MOVIMIENTOS!$B185&lt;&gt;"",NOT(AND(MOVIMIENTOS!$B185="PROCESO",MOVIMIENTOS!$C185&lt;&gt;"Chancho")),NOT(AND(MOVIMIENTOS!$B185="SALDO INICIAL",MOVIMIENTOS!$C185="Chancho"))),OR(MOVIMIENTOS!$B185="SALDO INICIAL",MOVIMIENTOS!$B185="COMPRA",MOVIMIENTOS!$B185="REPROCESO",MOVIMIENTOS!$B185="DEVOLUCIÓN",AND(MOVIMIENTOS!$B185="AJUSTE",MOVIMIENTOS!$C185&lt;&gt;"Chancho",N(MOVIMIENTOS!$F185)&gt;=0))),N(MOVIMIENTOS!$F185),"")</f>
        <v/>
      </c>
      <c r="N186" s="48" t="str">
        <f aca="false">IF(AND(AND(MOVIMIENTOS!$B185&lt;&gt;"",NOT(AND(MOVIMIENTOS!$B185="PROCESO",MOVIMIENTOS!$C185&lt;&gt;"Chancho")),NOT(AND(MOVIMIENTOS!$B185="SALDO INICIAL",MOVIMIENTOS!$C185="Chancho"))),OR(MOVIMIENTOS!$B185="ENVÍO A SUPESA",MOVIMIENTOS!$B185="MALOGRADO",MOVIMIENTOS!$B185="OTRA SALIDA",MOVIMIENTOS!$B185="TRASIEGO",AND(MOVIMIENTOS!$B185="PROCESO",MOVIMIENTOS!$C185="Chancho"),AND(MOVIMIENTOS!$B185="REGALO",MOVIMIENTOS!$C185&lt;&gt;"Chancho"),AND(MOVIMIENTOS!$B185="VENTA",MOVIMIENTOS!$C185&lt;&gt;"Chancho"),AND(MOVIMIENTOS!$B185="AJUSTE",MOVIMIENTOS!$C185&lt;&gt;"Chancho",N(MOVIMIENTOS!$F185)&lt;0))),IF(MOVIMIENTOS!$B185="AJUSTE",-N(MOVIMIENTOS!$F185),N(MOVIMIENTOS!$F185)),"")</f>
        <v/>
      </c>
      <c r="O186" s="48" t="str">
        <f aca="false">IF(AND(MOVIMIENTOS!$B185&lt;&gt;"",NOT(AND(MOVIMIENTOS!$B185="PROCESO",MOVIMIENTOS!$C185&lt;&gt;"Chancho")),NOT(AND(MOVIMIENTOS!$B185="SALDO INICIAL",MOVIMIENTOS!$C185="Chancho"))),IF(MOVIMIENTOS!$B185="RECHAZO",MOVIMIENTOS!$E185&amp;" jabas rechazadas · van a reproceso",IF(MOVIMIENTOS!$B185="REPROCESO",MOVIMIENTOS!$E185&amp;" kg recuperados (merma del día: "&amp;TEXT(SUMPRODUCT((MOVIMIENTOS!$A$5:$A$400=MOVIMIENTOS!$A185)*(MOVIMIENTOS!$B$5:$B$400="RECHAZO")*(MOVIMIENTOS!$D$5:$D$400="jabas")*MOVIMIENTOS!$E$5:$E$400*IFERROR(_xlfn.SWITCH(MOVIMIENTOS!$C$5:$C$400,"A",15,"P",18,"C",17,"M",17,0),0))-SUMPRODUCT((MOVIMIENTOS!$A$5:$A$400=MOVIMIENTOS!$A185)*(MOVIMIENTOS!$B$5:$B$400="REPROCESO")*MOVIMIENTOS!$I$5:$I$400),"+#,##0;-#,##0;0")&amp;" kg)",TRIM(IF(MOVIMIENTOS!$G185&lt;&gt;"",MOVIMIENTOS!$G185&amp;"  ","")&amp;IF(N(MOVIMIENTOS!$D185)&gt;0,MOVIMIENTOS!$D185&amp;" "&amp;MOVIMIENTOS!$D185,"")))),"")</f>
        <v/>
      </c>
      <c r="P186" s="48" t="n">
        <f aca="false">N(P185)+N(M186)-N(N186)</f>
        <v>4934.5</v>
      </c>
      <c r="Q186" s="48"/>
      <c r="R186" s="48"/>
      <c r="S186" s="48"/>
      <c r="T186" s="48"/>
    </row>
    <row r="187" customFormat="false" ht="15" hidden="false" customHeight="true" outlineLevel="0" collapsed="false">
      <c r="A187" s="51" t="str">
        <f aca="false">IFERROR(INDEX(K$6:K$401,MATCH(ROW()-5,J$6:J$401,0)),"")</f>
        <v/>
      </c>
      <c r="B187" s="56" t="str">
        <f aca="false">IFERROR(INDEX(L$6:L$401,MATCH(ROW()-5,J$6:J$401,0)),"")</f>
        <v/>
      </c>
      <c r="C187" s="52" t="str">
        <f aca="false">IFERROR(INDEX(M$6:M$401,MATCH(ROW()-5,J$6:J$401,0)),"")</f>
        <v/>
      </c>
      <c r="D187" s="52" t="str">
        <f aca="false">IFERROR(INDEX(N$6:N$401,MATCH(ROW()-5,J$6:J$401,0)),"")</f>
        <v/>
      </c>
      <c r="E187" s="56" t="str">
        <f aca="false">IFERROR(INDEX(O$6:O$401,MATCH(ROW()-5,J$6:J$401,0)),"")</f>
        <v/>
      </c>
      <c r="F187" s="52" t="str">
        <f aca="false">IFERROR(INDEX(P$6:P$401,MATCH(ROW()-5,J$6:J$401,0)),"")</f>
        <v/>
      </c>
      <c r="G187" s="48"/>
      <c r="H187" s="48"/>
      <c r="I187" s="48"/>
      <c r="J187" s="48" t="str">
        <f aca="false">IF(AND(MOVIMIENTOS!$B186&lt;&gt;"",NOT(AND(MOVIMIENTOS!$B186="PROCESO",MOVIMIENTOS!$C186&lt;&gt;"Chancho")),NOT(AND(MOVIMIENTOS!$B186="SALDO INICIAL",MOVIMIENTOS!$C186="Chancho"))),COUNT(J$6:J186)+1,"")</f>
        <v/>
      </c>
      <c r="K187" s="48" t="str">
        <f aca="false">IF(AND(MOVIMIENTOS!$B186&lt;&gt;"",NOT(AND(MOVIMIENTOS!$B186="PROCESO",MOVIMIENTOS!$C186&lt;&gt;"Chancho")),NOT(AND(MOVIMIENTOS!$B186="SALDO INICIAL",MOVIMIENTOS!$C186="Chancho"))),MOVIMIENTOS!$A186,"")</f>
        <v/>
      </c>
      <c r="L187" s="48" t="str">
        <f aca="false">IF(AND(MOVIMIENTOS!$B186&lt;&gt;"",NOT(AND(MOVIMIENTOS!$B186="PROCESO",MOVIMIENTOS!$C186&lt;&gt;"Chancho")),NOT(AND(MOVIMIENTOS!$B186="SALDO INICIAL",MOVIMIENTOS!$C186="Chancho"))),IF(MOVIMIENTOS!$B186="SALDO INICIAL","APERTURA ("&amp;MOVIMIENTOS!$C186&amp;")",IF(MOVIMIENTOS!$B186="COMPRA","INGRESO (compra)",IF(MOVIMIENTOS!$B186="PROCESO","CHANCHO (proceso)",IF(MOVIMIENTOS!$B186="ENVÍO A SUPESA","ENVÍO cal. "&amp;MOVIMIENTOS!$C186,IF(MOVIMIENTOS!$B186="VENTA CHANCHO","VENTA CHANCHO",IF(MOVIMIENTOS!$B186="VENTA","VENTA cal. "&amp;MOVIMIENTOS!$C186,IF(MOVIMIENTOS!$B186="REGALO","REGALO "&amp;MOVIMIENTOS!$C186,IF(MOVIMIENTOS!$B186="RECHAZO","RECHAZO cal. "&amp;MOVIMIENTOS!$C186&amp;" (va a reproceso)",IF(MOVIMIENTOS!$B186="DEVOLUCIÓN","DEVOLUCIÓN cal. "&amp;MOVIMIENTOS!$C186&amp;" (regresa intacta)",IF(MOVIMIENTOS!$B186="TRASIEGO","TRASIEGO cal. "&amp;MOVIMIENTOS!$C186,MOVIMIENTOS!$B186)))))))))),"")</f>
        <v/>
      </c>
      <c r="M187" s="48" t="str">
        <f aca="false">IF(AND(AND(MOVIMIENTOS!$B186&lt;&gt;"",NOT(AND(MOVIMIENTOS!$B186="PROCESO",MOVIMIENTOS!$C186&lt;&gt;"Chancho")),NOT(AND(MOVIMIENTOS!$B186="SALDO INICIAL",MOVIMIENTOS!$C186="Chancho"))),OR(MOVIMIENTOS!$B186="SALDO INICIAL",MOVIMIENTOS!$B186="COMPRA",MOVIMIENTOS!$B186="REPROCESO",MOVIMIENTOS!$B186="DEVOLUCIÓN",AND(MOVIMIENTOS!$B186="AJUSTE",MOVIMIENTOS!$C186&lt;&gt;"Chancho",N(MOVIMIENTOS!$F186)&gt;=0))),N(MOVIMIENTOS!$F186),"")</f>
        <v/>
      </c>
      <c r="N187" s="48" t="str">
        <f aca="false">IF(AND(AND(MOVIMIENTOS!$B186&lt;&gt;"",NOT(AND(MOVIMIENTOS!$B186="PROCESO",MOVIMIENTOS!$C186&lt;&gt;"Chancho")),NOT(AND(MOVIMIENTOS!$B186="SALDO INICIAL",MOVIMIENTOS!$C186="Chancho"))),OR(MOVIMIENTOS!$B186="ENVÍO A SUPESA",MOVIMIENTOS!$B186="MALOGRADO",MOVIMIENTOS!$B186="OTRA SALIDA",MOVIMIENTOS!$B186="TRASIEGO",AND(MOVIMIENTOS!$B186="PROCESO",MOVIMIENTOS!$C186="Chancho"),AND(MOVIMIENTOS!$B186="REGALO",MOVIMIENTOS!$C186&lt;&gt;"Chancho"),AND(MOVIMIENTOS!$B186="VENTA",MOVIMIENTOS!$C186&lt;&gt;"Chancho"),AND(MOVIMIENTOS!$B186="AJUSTE",MOVIMIENTOS!$C186&lt;&gt;"Chancho",N(MOVIMIENTOS!$F186)&lt;0))),IF(MOVIMIENTOS!$B186="AJUSTE",-N(MOVIMIENTOS!$F186),N(MOVIMIENTOS!$F186)),"")</f>
        <v/>
      </c>
      <c r="O187" s="48" t="str">
        <f aca="false">IF(AND(MOVIMIENTOS!$B186&lt;&gt;"",NOT(AND(MOVIMIENTOS!$B186="PROCESO",MOVIMIENTOS!$C186&lt;&gt;"Chancho")),NOT(AND(MOVIMIENTOS!$B186="SALDO INICIAL",MOVIMIENTOS!$C186="Chancho"))),IF(MOVIMIENTOS!$B186="RECHAZO",MOVIMIENTOS!$E186&amp;" jabas rechazadas · van a reproceso",IF(MOVIMIENTOS!$B186="REPROCESO",MOVIMIENTOS!$E186&amp;" kg recuperados (merma del día: "&amp;TEXT(SUMPRODUCT((MOVIMIENTOS!$A$5:$A$400=MOVIMIENTOS!$A186)*(MOVIMIENTOS!$B$5:$B$400="RECHAZO")*(MOVIMIENTOS!$D$5:$D$400="jabas")*MOVIMIENTOS!$E$5:$E$400*IFERROR(_xlfn.SWITCH(MOVIMIENTOS!$C$5:$C$400,"A",15,"P",18,"C",17,"M",17,0),0))-SUMPRODUCT((MOVIMIENTOS!$A$5:$A$400=MOVIMIENTOS!$A186)*(MOVIMIENTOS!$B$5:$B$400="REPROCESO")*MOVIMIENTOS!$I$5:$I$400),"+#,##0;-#,##0;0")&amp;" kg)",TRIM(IF(MOVIMIENTOS!$G186&lt;&gt;"",MOVIMIENTOS!$G186&amp;"  ","")&amp;IF(N(MOVIMIENTOS!$D186)&gt;0,MOVIMIENTOS!$D186&amp;" "&amp;MOVIMIENTOS!$D186,"")))),"")</f>
        <v/>
      </c>
      <c r="P187" s="48" t="n">
        <f aca="false">N(P186)+N(M187)-N(N187)</f>
        <v>4934.5</v>
      </c>
      <c r="Q187" s="48"/>
      <c r="R187" s="48"/>
      <c r="S187" s="48"/>
      <c r="T187" s="48"/>
    </row>
    <row r="188" customFormat="false" ht="15" hidden="false" customHeight="true" outlineLevel="0" collapsed="false">
      <c r="A188" s="51" t="str">
        <f aca="false">IFERROR(INDEX(K$6:K$401,MATCH(ROW()-5,J$6:J$401,0)),"")</f>
        <v/>
      </c>
      <c r="B188" s="56" t="str">
        <f aca="false">IFERROR(INDEX(L$6:L$401,MATCH(ROW()-5,J$6:J$401,0)),"")</f>
        <v/>
      </c>
      <c r="C188" s="52" t="str">
        <f aca="false">IFERROR(INDEX(M$6:M$401,MATCH(ROW()-5,J$6:J$401,0)),"")</f>
        <v/>
      </c>
      <c r="D188" s="52" t="str">
        <f aca="false">IFERROR(INDEX(N$6:N$401,MATCH(ROW()-5,J$6:J$401,0)),"")</f>
        <v/>
      </c>
      <c r="E188" s="56" t="str">
        <f aca="false">IFERROR(INDEX(O$6:O$401,MATCH(ROW()-5,J$6:J$401,0)),"")</f>
        <v/>
      </c>
      <c r="F188" s="52" t="str">
        <f aca="false">IFERROR(INDEX(P$6:P$401,MATCH(ROW()-5,J$6:J$401,0)),"")</f>
        <v/>
      </c>
      <c r="G188" s="48"/>
      <c r="H188" s="48"/>
      <c r="I188" s="48"/>
      <c r="J188" s="48" t="str">
        <f aca="false">IF(AND(MOVIMIENTOS!$B187&lt;&gt;"",NOT(AND(MOVIMIENTOS!$B187="PROCESO",MOVIMIENTOS!$C187&lt;&gt;"Chancho")),NOT(AND(MOVIMIENTOS!$B187="SALDO INICIAL",MOVIMIENTOS!$C187="Chancho"))),COUNT(J$6:J187)+1,"")</f>
        <v/>
      </c>
      <c r="K188" s="48" t="str">
        <f aca="false">IF(AND(MOVIMIENTOS!$B187&lt;&gt;"",NOT(AND(MOVIMIENTOS!$B187="PROCESO",MOVIMIENTOS!$C187&lt;&gt;"Chancho")),NOT(AND(MOVIMIENTOS!$B187="SALDO INICIAL",MOVIMIENTOS!$C187="Chancho"))),MOVIMIENTOS!$A187,"")</f>
        <v/>
      </c>
      <c r="L188" s="48" t="str">
        <f aca="false">IF(AND(MOVIMIENTOS!$B187&lt;&gt;"",NOT(AND(MOVIMIENTOS!$B187="PROCESO",MOVIMIENTOS!$C187&lt;&gt;"Chancho")),NOT(AND(MOVIMIENTOS!$B187="SALDO INICIAL",MOVIMIENTOS!$C187="Chancho"))),IF(MOVIMIENTOS!$B187="SALDO INICIAL","APERTURA ("&amp;MOVIMIENTOS!$C187&amp;")",IF(MOVIMIENTOS!$B187="COMPRA","INGRESO (compra)",IF(MOVIMIENTOS!$B187="PROCESO","CHANCHO (proceso)",IF(MOVIMIENTOS!$B187="ENVÍO A SUPESA","ENVÍO cal. "&amp;MOVIMIENTOS!$C187,IF(MOVIMIENTOS!$B187="VENTA CHANCHO","VENTA CHANCHO",IF(MOVIMIENTOS!$B187="VENTA","VENTA cal. "&amp;MOVIMIENTOS!$C187,IF(MOVIMIENTOS!$B187="REGALO","REGALO "&amp;MOVIMIENTOS!$C187,IF(MOVIMIENTOS!$B187="RECHAZO","RECHAZO cal. "&amp;MOVIMIENTOS!$C187&amp;" (va a reproceso)",IF(MOVIMIENTOS!$B187="DEVOLUCIÓN","DEVOLUCIÓN cal. "&amp;MOVIMIENTOS!$C187&amp;" (regresa intacta)",IF(MOVIMIENTOS!$B187="TRASIEGO","TRASIEGO cal. "&amp;MOVIMIENTOS!$C187,MOVIMIENTOS!$B187)))))))))),"")</f>
        <v/>
      </c>
      <c r="M188" s="48" t="str">
        <f aca="false">IF(AND(AND(MOVIMIENTOS!$B187&lt;&gt;"",NOT(AND(MOVIMIENTOS!$B187="PROCESO",MOVIMIENTOS!$C187&lt;&gt;"Chancho")),NOT(AND(MOVIMIENTOS!$B187="SALDO INICIAL",MOVIMIENTOS!$C187="Chancho"))),OR(MOVIMIENTOS!$B187="SALDO INICIAL",MOVIMIENTOS!$B187="COMPRA",MOVIMIENTOS!$B187="REPROCESO",MOVIMIENTOS!$B187="DEVOLUCIÓN",AND(MOVIMIENTOS!$B187="AJUSTE",MOVIMIENTOS!$C187&lt;&gt;"Chancho",N(MOVIMIENTOS!$F187)&gt;=0))),N(MOVIMIENTOS!$F187),"")</f>
        <v/>
      </c>
      <c r="N188" s="48" t="str">
        <f aca="false">IF(AND(AND(MOVIMIENTOS!$B187&lt;&gt;"",NOT(AND(MOVIMIENTOS!$B187="PROCESO",MOVIMIENTOS!$C187&lt;&gt;"Chancho")),NOT(AND(MOVIMIENTOS!$B187="SALDO INICIAL",MOVIMIENTOS!$C187="Chancho"))),OR(MOVIMIENTOS!$B187="ENVÍO A SUPESA",MOVIMIENTOS!$B187="MALOGRADO",MOVIMIENTOS!$B187="OTRA SALIDA",MOVIMIENTOS!$B187="TRASIEGO",AND(MOVIMIENTOS!$B187="PROCESO",MOVIMIENTOS!$C187="Chancho"),AND(MOVIMIENTOS!$B187="REGALO",MOVIMIENTOS!$C187&lt;&gt;"Chancho"),AND(MOVIMIENTOS!$B187="VENTA",MOVIMIENTOS!$C187&lt;&gt;"Chancho"),AND(MOVIMIENTOS!$B187="AJUSTE",MOVIMIENTOS!$C187&lt;&gt;"Chancho",N(MOVIMIENTOS!$F187)&lt;0))),IF(MOVIMIENTOS!$B187="AJUSTE",-N(MOVIMIENTOS!$F187),N(MOVIMIENTOS!$F187)),"")</f>
        <v/>
      </c>
      <c r="O188" s="48" t="str">
        <f aca="false">IF(AND(MOVIMIENTOS!$B187&lt;&gt;"",NOT(AND(MOVIMIENTOS!$B187="PROCESO",MOVIMIENTOS!$C187&lt;&gt;"Chancho")),NOT(AND(MOVIMIENTOS!$B187="SALDO INICIAL",MOVIMIENTOS!$C187="Chancho"))),IF(MOVIMIENTOS!$B187="RECHAZO",MOVIMIENTOS!$E187&amp;" jabas rechazadas · van a reproceso",IF(MOVIMIENTOS!$B187="REPROCESO",MOVIMIENTOS!$E187&amp;" kg recuperados (merma del día: "&amp;TEXT(SUMPRODUCT((MOVIMIENTOS!$A$5:$A$400=MOVIMIENTOS!$A187)*(MOVIMIENTOS!$B$5:$B$400="RECHAZO")*(MOVIMIENTOS!$D$5:$D$400="jabas")*MOVIMIENTOS!$E$5:$E$400*IFERROR(_xlfn.SWITCH(MOVIMIENTOS!$C$5:$C$400,"A",15,"P",18,"C",17,"M",17,0),0))-SUMPRODUCT((MOVIMIENTOS!$A$5:$A$400=MOVIMIENTOS!$A187)*(MOVIMIENTOS!$B$5:$B$400="REPROCESO")*MOVIMIENTOS!$I$5:$I$400),"+#,##0;-#,##0;0")&amp;" kg)",TRIM(IF(MOVIMIENTOS!$G187&lt;&gt;"",MOVIMIENTOS!$G187&amp;"  ","")&amp;IF(N(MOVIMIENTOS!$D187)&gt;0,MOVIMIENTOS!$D187&amp;" "&amp;MOVIMIENTOS!$D187,"")))),"")</f>
        <v/>
      </c>
      <c r="P188" s="48" t="n">
        <f aca="false">N(P187)+N(M188)-N(N188)</f>
        <v>4934.5</v>
      </c>
      <c r="Q188" s="48"/>
      <c r="R188" s="48"/>
      <c r="S188" s="48"/>
      <c r="T188" s="48"/>
    </row>
    <row r="189" customFormat="false" ht="15" hidden="false" customHeight="true" outlineLevel="0" collapsed="false">
      <c r="A189" s="51" t="str">
        <f aca="false">IFERROR(INDEX(K$6:K$401,MATCH(ROW()-5,J$6:J$401,0)),"")</f>
        <v/>
      </c>
      <c r="B189" s="56" t="str">
        <f aca="false">IFERROR(INDEX(L$6:L$401,MATCH(ROW()-5,J$6:J$401,0)),"")</f>
        <v/>
      </c>
      <c r="C189" s="52" t="str">
        <f aca="false">IFERROR(INDEX(M$6:M$401,MATCH(ROW()-5,J$6:J$401,0)),"")</f>
        <v/>
      </c>
      <c r="D189" s="52" t="str">
        <f aca="false">IFERROR(INDEX(N$6:N$401,MATCH(ROW()-5,J$6:J$401,0)),"")</f>
        <v/>
      </c>
      <c r="E189" s="56" t="str">
        <f aca="false">IFERROR(INDEX(O$6:O$401,MATCH(ROW()-5,J$6:J$401,0)),"")</f>
        <v/>
      </c>
      <c r="F189" s="52" t="str">
        <f aca="false">IFERROR(INDEX(P$6:P$401,MATCH(ROW()-5,J$6:J$401,0)),"")</f>
        <v/>
      </c>
      <c r="G189" s="48"/>
      <c r="H189" s="48"/>
      <c r="I189" s="48"/>
      <c r="J189" s="48" t="str">
        <f aca="false">IF(AND(MOVIMIENTOS!$B188&lt;&gt;"",NOT(AND(MOVIMIENTOS!$B188="PROCESO",MOVIMIENTOS!$C188&lt;&gt;"Chancho")),NOT(AND(MOVIMIENTOS!$B188="SALDO INICIAL",MOVIMIENTOS!$C188="Chancho"))),COUNT(J$6:J188)+1,"")</f>
        <v/>
      </c>
      <c r="K189" s="48" t="str">
        <f aca="false">IF(AND(MOVIMIENTOS!$B188&lt;&gt;"",NOT(AND(MOVIMIENTOS!$B188="PROCESO",MOVIMIENTOS!$C188&lt;&gt;"Chancho")),NOT(AND(MOVIMIENTOS!$B188="SALDO INICIAL",MOVIMIENTOS!$C188="Chancho"))),MOVIMIENTOS!$A188,"")</f>
        <v/>
      </c>
      <c r="L189" s="48" t="str">
        <f aca="false">IF(AND(MOVIMIENTOS!$B188&lt;&gt;"",NOT(AND(MOVIMIENTOS!$B188="PROCESO",MOVIMIENTOS!$C188&lt;&gt;"Chancho")),NOT(AND(MOVIMIENTOS!$B188="SALDO INICIAL",MOVIMIENTOS!$C188="Chancho"))),IF(MOVIMIENTOS!$B188="SALDO INICIAL","APERTURA ("&amp;MOVIMIENTOS!$C188&amp;")",IF(MOVIMIENTOS!$B188="COMPRA","INGRESO (compra)",IF(MOVIMIENTOS!$B188="PROCESO","CHANCHO (proceso)",IF(MOVIMIENTOS!$B188="ENVÍO A SUPESA","ENVÍO cal. "&amp;MOVIMIENTOS!$C188,IF(MOVIMIENTOS!$B188="VENTA CHANCHO","VENTA CHANCHO",IF(MOVIMIENTOS!$B188="VENTA","VENTA cal. "&amp;MOVIMIENTOS!$C188,IF(MOVIMIENTOS!$B188="REGALO","REGALO "&amp;MOVIMIENTOS!$C188,IF(MOVIMIENTOS!$B188="RECHAZO","RECHAZO cal. "&amp;MOVIMIENTOS!$C188&amp;" (va a reproceso)",IF(MOVIMIENTOS!$B188="DEVOLUCIÓN","DEVOLUCIÓN cal. "&amp;MOVIMIENTOS!$C188&amp;" (regresa intacta)",IF(MOVIMIENTOS!$B188="TRASIEGO","TRASIEGO cal. "&amp;MOVIMIENTOS!$C188,MOVIMIENTOS!$B188)))))))))),"")</f>
        <v/>
      </c>
      <c r="M189" s="48" t="str">
        <f aca="false">IF(AND(AND(MOVIMIENTOS!$B188&lt;&gt;"",NOT(AND(MOVIMIENTOS!$B188="PROCESO",MOVIMIENTOS!$C188&lt;&gt;"Chancho")),NOT(AND(MOVIMIENTOS!$B188="SALDO INICIAL",MOVIMIENTOS!$C188="Chancho"))),OR(MOVIMIENTOS!$B188="SALDO INICIAL",MOVIMIENTOS!$B188="COMPRA",MOVIMIENTOS!$B188="REPROCESO",MOVIMIENTOS!$B188="DEVOLUCIÓN",AND(MOVIMIENTOS!$B188="AJUSTE",MOVIMIENTOS!$C188&lt;&gt;"Chancho",N(MOVIMIENTOS!$F188)&gt;=0))),N(MOVIMIENTOS!$F188),"")</f>
        <v/>
      </c>
      <c r="N189" s="48" t="str">
        <f aca="false">IF(AND(AND(MOVIMIENTOS!$B188&lt;&gt;"",NOT(AND(MOVIMIENTOS!$B188="PROCESO",MOVIMIENTOS!$C188&lt;&gt;"Chancho")),NOT(AND(MOVIMIENTOS!$B188="SALDO INICIAL",MOVIMIENTOS!$C188="Chancho"))),OR(MOVIMIENTOS!$B188="ENVÍO A SUPESA",MOVIMIENTOS!$B188="MALOGRADO",MOVIMIENTOS!$B188="OTRA SALIDA",MOVIMIENTOS!$B188="TRASIEGO",AND(MOVIMIENTOS!$B188="PROCESO",MOVIMIENTOS!$C188="Chancho"),AND(MOVIMIENTOS!$B188="REGALO",MOVIMIENTOS!$C188&lt;&gt;"Chancho"),AND(MOVIMIENTOS!$B188="VENTA",MOVIMIENTOS!$C188&lt;&gt;"Chancho"),AND(MOVIMIENTOS!$B188="AJUSTE",MOVIMIENTOS!$C188&lt;&gt;"Chancho",N(MOVIMIENTOS!$F188)&lt;0))),IF(MOVIMIENTOS!$B188="AJUSTE",-N(MOVIMIENTOS!$F188),N(MOVIMIENTOS!$F188)),"")</f>
        <v/>
      </c>
      <c r="O189" s="48" t="str">
        <f aca="false">IF(AND(MOVIMIENTOS!$B188&lt;&gt;"",NOT(AND(MOVIMIENTOS!$B188="PROCESO",MOVIMIENTOS!$C188&lt;&gt;"Chancho")),NOT(AND(MOVIMIENTOS!$B188="SALDO INICIAL",MOVIMIENTOS!$C188="Chancho"))),IF(MOVIMIENTOS!$B188="RECHAZO",MOVIMIENTOS!$E188&amp;" jabas rechazadas · van a reproceso",IF(MOVIMIENTOS!$B188="REPROCESO",MOVIMIENTOS!$E188&amp;" kg recuperados (merma del día: "&amp;TEXT(SUMPRODUCT((MOVIMIENTOS!$A$5:$A$400=MOVIMIENTOS!$A188)*(MOVIMIENTOS!$B$5:$B$400="RECHAZO")*(MOVIMIENTOS!$D$5:$D$400="jabas")*MOVIMIENTOS!$E$5:$E$400*IFERROR(_xlfn.SWITCH(MOVIMIENTOS!$C$5:$C$400,"A",15,"P",18,"C",17,"M",17,0),0))-SUMPRODUCT((MOVIMIENTOS!$A$5:$A$400=MOVIMIENTOS!$A188)*(MOVIMIENTOS!$B$5:$B$400="REPROCESO")*MOVIMIENTOS!$I$5:$I$400),"+#,##0;-#,##0;0")&amp;" kg)",TRIM(IF(MOVIMIENTOS!$G188&lt;&gt;"",MOVIMIENTOS!$G188&amp;"  ","")&amp;IF(N(MOVIMIENTOS!$D188)&gt;0,MOVIMIENTOS!$D188&amp;" "&amp;MOVIMIENTOS!$D188,"")))),"")</f>
        <v/>
      </c>
      <c r="P189" s="48" t="n">
        <f aca="false">N(P188)+N(M189)-N(N189)</f>
        <v>4934.5</v>
      </c>
      <c r="Q189" s="48"/>
      <c r="R189" s="48"/>
      <c r="S189" s="48"/>
      <c r="T189" s="48"/>
    </row>
    <row r="190" customFormat="false" ht="15" hidden="false" customHeight="true" outlineLevel="0" collapsed="false">
      <c r="A190" s="51" t="str">
        <f aca="false">IFERROR(INDEX(K$6:K$401,MATCH(ROW()-5,J$6:J$401,0)),"")</f>
        <v/>
      </c>
      <c r="B190" s="56" t="str">
        <f aca="false">IFERROR(INDEX(L$6:L$401,MATCH(ROW()-5,J$6:J$401,0)),"")</f>
        <v/>
      </c>
      <c r="C190" s="52" t="str">
        <f aca="false">IFERROR(INDEX(M$6:M$401,MATCH(ROW()-5,J$6:J$401,0)),"")</f>
        <v/>
      </c>
      <c r="D190" s="52" t="str">
        <f aca="false">IFERROR(INDEX(N$6:N$401,MATCH(ROW()-5,J$6:J$401,0)),"")</f>
        <v/>
      </c>
      <c r="E190" s="56" t="str">
        <f aca="false">IFERROR(INDEX(O$6:O$401,MATCH(ROW()-5,J$6:J$401,0)),"")</f>
        <v/>
      </c>
      <c r="F190" s="52" t="str">
        <f aca="false">IFERROR(INDEX(P$6:P$401,MATCH(ROW()-5,J$6:J$401,0)),"")</f>
        <v/>
      </c>
      <c r="G190" s="48"/>
      <c r="H190" s="48"/>
      <c r="I190" s="48"/>
      <c r="J190" s="48" t="n">
        <f aca="false">IF(AND(MOVIMIENTOS!$B189&lt;&gt;"",NOT(AND(MOVIMIENTOS!$B189="PROCESO",MOVIMIENTOS!$C189&lt;&gt;"Chancho")),NOT(AND(MOVIMIENTOS!$B189="SALDO INICIAL",MOVIMIENTOS!$C189="Chancho"))),COUNT(J$6:J189)+1,"")</f>
        <v>120</v>
      </c>
      <c r="K190" s="53" t="n">
        <f aca="false">IF(AND(MOVIMIENTOS!$B189&lt;&gt;"",NOT(AND(MOVIMIENTOS!$B189="PROCESO",MOVIMIENTOS!$C189&lt;&gt;"Chancho")),NOT(AND(MOVIMIENTOS!$B189="SALDO INICIAL",MOVIMIENTOS!$C189="Chancho"))),MOVIMIENTOS!$A189,"")</f>
        <v>46230</v>
      </c>
      <c r="L190" s="48" t="str">
        <f aca="false">IF(AND(MOVIMIENTOS!$B189&lt;&gt;"",NOT(AND(MOVIMIENTOS!$B189="PROCESO",MOVIMIENTOS!$C189&lt;&gt;"Chancho")),NOT(AND(MOVIMIENTOS!$B189="SALDO INICIAL",MOVIMIENTOS!$C189="Chancho"))),IF(MOVIMIENTOS!$B189="SALDO INICIAL","APERTURA ("&amp;MOVIMIENTOS!$C189&amp;")",IF(MOVIMIENTOS!$B189="COMPRA","INGRESO (compra)",IF(MOVIMIENTOS!$B189="PROCESO","CHANCHO (proceso)",IF(MOVIMIENTOS!$B189="ENVÍO A SUPESA","ENVÍO cal. "&amp;MOVIMIENTOS!$C189,IF(MOVIMIENTOS!$B189="VENTA CHANCHO","VENTA CHANCHO",IF(MOVIMIENTOS!$B189="VENTA","VENTA cal. "&amp;MOVIMIENTOS!$C189,IF(MOVIMIENTOS!$B189="REGALO","REGALO "&amp;MOVIMIENTOS!$C189,IF(MOVIMIENTOS!$B189="RECHAZO","RECHAZO cal. "&amp;MOVIMIENTOS!$C189&amp;" (va a reproceso)",IF(MOVIMIENTOS!$B189="DEVOLUCIÓN","DEVOLUCIÓN cal. "&amp;MOVIMIENTOS!$C189&amp;" (regresa intacta)",IF(MOVIMIENTOS!$B189="TRASIEGO","TRASIEGO cal. "&amp;MOVIMIENTOS!$C189,MOVIMIENTOS!$B189)))))))))),"")</f>
        <v>CHANCHO (proceso)</v>
      </c>
      <c r="M190" s="48" t="str">
        <f aca="false">IF(AND(AND(MOVIMIENTOS!$B189&lt;&gt;"",NOT(AND(MOVIMIENTOS!$B189="PROCESO",MOVIMIENTOS!$C189&lt;&gt;"Chancho")),NOT(AND(MOVIMIENTOS!$B189="SALDO INICIAL",MOVIMIENTOS!$C189="Chancho"))),OR(MOVIMIENTOS!$B189="SALDO INICIAL",MOVIMIENTOS!$B189="COMPRA",MOVIMIENTOS!$B189="REPROCESO",MOVIMIENTOS!$B189="DEVOLUCIÓN",AND(MOVIMIENTOS!$B189="AJUSTE",MOVIMIENTOS!$C189&lt;&gt;"Chancho",N(MOVIMIENTOS!$F189)&gt;=0))),N(MOVIMIENTOS!$F189),"")</f>
        <v/>
      </c>
      <c r="N190" s="48" t="n">
        <f aca="false">IF(AND(AND(MOVIMIENTOS!$B189&lt;&gt;"",NOT(AND(MOVIMIENTOS!$B189="PROCESO",MOVIMIENTOS!$C189&lt;&gt;"Chancho")),NOT(AND(MOVIMIENTOS!$B189="SALDO INICIAL",MOVIMIENTOS!$C189="Chancho"))),OR(MOVIMIENTOS!$B189="ENVÍO A SUPESA",MOVIMIENTOS!$B189="MALOGRADO",MOVIMIENTOS!$B189="OTRA SALIDA",MOVIMIENTOS!$B189="TRASIEGO",AND(MOVIMIENTOS!$B189="PROCESO",MOVIMIENTOS!$C189="Chancho"),AND(MOVIMIENTOS!$B189="REGALO",MOVIMIENTOS!$C189&lt;&gt;"Chancho"),AND(MOVIMIENTOS!$B189="VENTA",MOVIMIENTOS!$C189&lt;&gt;"Chancho"),AND(MOVIMIENTOS!$B189="AJUSTE",MOVIMIENTOS!$C189&lt;&gt;"Chancho",N(MOVIMIENTOS!$F189)&lt;0))),IF(MOVIMIENTOS!$B189="AJUSTE",-N(MOVIMIENTOS!$F189),N(MOVIMIENTOS!$F189)),"")</f>
        <v>807.5</v>
      </c>
      <c r="O190" s="48" t="str">
        <f aca="false">IF(AND(MOVIMIENTOS!$B189&lt;&gt;"",NOT(AND(MOVIMIENTOS!$B189="PROCESO",MOVIMIENTOS!$C189&lt;&gt;"Chancho")),NOT(AND(MOVIMIENTOS!$B189="SALDO INICIAL",MOVIMIENTOS!$C189="Chancho"))),IF(MOVIMIENTOS!$B189="RECHAZO",MOVIMIENTOS!$E189&amp;" jabas rechazadas · van a reproceso",IF(MOVIMIENTOS!$B189="REPROCESO",MOVIMIENTOS!$E189&amp;" kg recuperados (merma del día: "&amp;TEXT(SUMPRODUCT((MOVIMIENTOS!$A$5:$A$400=MOVIMIENTOS!$A189)*(MOVIMIENTOS!$B$5:$B$400="RECHAZO")*(MOVIMIENTOS!$D$5:$D$400="jabas")*MOVIMIENTOS!$E$5:$E$400*IFERROR(_xlfn.SWITCH(MOVIMIENTOS!$C$5:$C$400,"A",15,"P",18,"C",17,"M",17,0),0))-SUMPRODUCT((MOVIMIENTOS!$A$5:$A$400=MOVIMIENTOS!$A189)*(MOVIMIENTOS!$B$5:$B$400="REPROCESO")*MOVIMIENTOS!$I$5:$I$400),"+#,##0;-#,##0;0")&amp;" kg)",TRIM(IF(MOVIMIENTOS!$G189&lt;&gt;"",MOVIMIENTOS!$G189&amp;"  ","")&amp;IF(N(MOVIMIENTOS!$D189)&gt;0,MOVIMIENTOS!$D189&amp;" "&amp;MOVIMIENTOS!$D189,"")))),"")</f>
        <v/>
      </c>
      <c r="P190" s="48" t="n">
        <f aca="false">N(P189)+N(M190)-N(N190)</f>
        <v>4127</v>
      </c>
      <c r="Q190" s="48"/>
      <c r="R190" s="48"/>
      <c r="S190" s="48"/>
      <c r="T190" s="48"/>
    </row>
    <row r="191" customFormat="false" ht="15" hidden="false" customHeight="true" outlineLevel="0" collapsed="false">
      <c r="A191" s="51" t="str">
        <f aca="false">IFERROR(INDEX(K$6:K$401,MATCH(ROW()-5,J$6:J$401,0)),"")</f>
        <v/>
      </c>
      <c r="B191" s="56" t="str">
        <f aca="false">IFERROR(INDEX(L$6:L$401,MATCH(ROW()-5,J$6:J$401,0)),"")</f>
        <v/>
      </c>
      <c r="C191" s="52" t="str">
        <f aca="false">IFERROR(INDEX(M$6:M$401,MATCH(ROW()-5,J$6:J$401,0)),"")</f>
        <v/>
      </c>
      <c r="D191" s="52" t="str">
        <f aca="false">IFERROR(INDEX(N$6:N$401,MATCH(ROW()-5,J$6:J$401,0)),"")</f>
        <v/>
      </c>
      <c r="E191" s="56" t="str">
        <f aca="false">IFERROR(INDEX(O$6:O$401,MATCH(ROW()-5,J$6:J$401,0)),"")</f>
        <v/>
      </c>
      <c r="F191" s="52" t="str">
        <f aca="false">IFERROR(INDEX(P$6:P$401,MATCH(ROW()-5,J$6:J$401,0)),"")</f>
        <v/>
      </c>
      <c r="G191" s="48"/>
      <c r="H191" s="48"/>
      <c r="I191" s="48"/>
      <c r="J191" s="48" t="n">
        <f aca="false">IF(AND(MOVIMIENTOS!$B190&lt;&gt;"",NOT(AND(MOVIMIENTOS!$B190="PROCESO",MOVIMIENTOS!$C190&lt;&gt;"Chancho")),NOT(AND(MOVIMIENTOS!$B190="SALDO INICIAL",MOVIMIENTOS!$C190="Chancho"))),COUNT(J$6:J190)+1,"")</f>
        <v>121</v>
      </c>
      <c r="K191" s="53" t="n">
        <f aca="false">IF(AND(MOVIMIENTOS!$B190&lt;&gt;"",NOT(AND(MOVIMIENTOS!$B190="PROCESO",MOVIMIENTOS!$C190&lt;&gt;"Chancho")),NOT(AND(MOVIMIENTOS!$B190="SALDO INICIAL",MOVIMIENTOS!$C190="Chancho"))),MOVIMIENTOS!$A190,"")</f>
        <v>46230</v>
      </c>
      <c r="L191" s="48" t="str">
        <f aca="false">IF(AND(MOVIMIENTOS!$B190&lt;&gt;"",NOT(AND(MOVIMIENTOS!$B190="PROCESO",MOVIMIENTOS!$C190&lt;&gt;"Chancho")),NOT(AND(MOVIMIENTOS!$B190="SALDO INICIAL",MOVIMIENTOS!$C190="Chancho"))),IF(MOVIMIENTOS!$B190="SALDO INICIAL","APERTURA ("&amp;MOVIMIENTOS!$C190&amp;")",IF(MOVIMIENTOS!$B190="COMPRA","INGRESO (compra)",IF(MOVIMIENTOS!$B190="PROCESO","CHANCHO (proceso)",IF(MOVIMIENTOS!$B190="ENVÍO A SUPESA","ENVÍO cal. "&amp;MOVIMIENTOS!$C190,IF(MOVIMIENTOS!$B190="VENTA CHANCHO","VENTA CHANCHO",IF(MOVIMIENTOS!$B190="VENTA","VENTA cal. "&amp;MOVIMIENTOS!$C190,IF(MOVIMIENTOS!$B190="REGALO","REGALO "&amp;MOVIMIENTOS!$C190,IF(MOVIMIENTOS!$B190="RECHAZO","RECHAZO cal. "&amp;MOVIMIENTOS!$C190&amp;" (va a reproceso)",IF(MOVIMIENTOS!$B190="DEVOLUCIÓN","DEVOLUCIÓN cal. "&amp;MOVIMIENTOS!$C190&amp;" (regresa intacta)",IF(MOVIMIENTOS!$B190="TRASIEGO","TRASIEGO cal. "&amp;MOVIMIENTOS!$C190,MOVIMIENTOS!$B190)))))))))),"")</f>
        <v>ENVÍO cal. A</v>
      </c>
      <c r="M191" s="48" t="str">
        <f aca="false">IF(AND(AND(MOVIMIENTOS!$B190&lt;&gt;"",NOT(AND(MOVIMIENTOS!$B190="PROCESO",MOVIMIENTOS!$C190&lt;&gt;"Chancho")),NOT(AND(MOVIMIENTOS!$B190="SALDO INICIAL",MOVIMIENTOS!$C190="Chancho"))),OR(MOVIMIENTOS!$B190="SALDO INICIAL",MOVIMIENTOS!$B190="COMPRA",MOVIMIENTOS!$B190="REPROCESO",MOVIMIENTOS!$B190="DEVOLUCIÓN",AND(MOVIMIENTOS!$B190="AJUSTE",MOVIMIENTOS!$C190&lt;&gt;"Chancho",N(MOVIMIENTOS!$F190)&gt;=0))),N(MOVIMIENTOS!$F190),"")</f>
        <v/>
      </c>
      <c r="N191" s="48" t="n">
        <f aca="false">IF(AND(AND(MOVIMIENTOS!$B190&lt;&gt;"",NOT(AND(MOVIMIENTOS!$B190="PROCESO",MOVIMIENTOS!$C190&lt;&gt;"Chancho")),NOT(AND(MOVIMIENTOS!$B190="SALDO INICIAL",MOVIMIENTOS!$C190="Chancho"))),OR(MOVIMIENTOS!$B190="ENVÍO A SUPESA",MOVIMIENTOS!$B190="MALOGRADO",MOVIMIENTOS!$B190="OTRA SALIDA",MOVIMIENTOS!$B190="TRASIEGO",AND(MOVIMIENTOS!$B190="PROCESO",MOVIMIENTOS!$C190="Chancho"),AND(MOVIMIENTOS!$B190="REGALO",MOVIMIENTOS!$C190&lt;&gt;"Chancho"),AND(MOVIMIENTOS!$B190="VENTA",MOVIMIENTOS!$C190&lt;&gt;"Chancho"),AND(MOVIMIENTOS!$B190="AJUSTE",MOVIMIENTOS!$C190&lt;&gt;"Chancho",N(MOVIMIENTOS!$F190)&lt;0))),IF(MOVIMIENTOS!$B190="AJUSTE",-N(MOVIMIENTOS!$F190),N(MOVIMIENTOS!$F190)),"")</f>
        <v>1005</v>
      </c>
      <c r="O191" s="48" t="str">
        <f aca="false">IF(AND(MOVIMIENTOS!$B190&lt;&gt;"",NOT(AND(MOVIMIENTOS!$B190="PROCESO",MOVIMIENTOS!$C190&lt;&gt;"Chancho")),NOT(AND(MOVIMIENTOS!$B190="SALDO INICIAL",MOVIMIENTOS!$C190="Chancho"))),IF(MOVIMIENTOS!$B190="RECHAZO",MOVIMIENTOS!$E190&amp;" jabas rechazadas · van a reproceso",IF(MOVIMIENTOS!$B190="REPROCESO",MOVIMIENTOS!$E190&amp;" kg recuperados (merma del día: "&amp;TEXT(SUMPRODUCT((MOVIMIENTOS!$A$5:$A$400=MOVIMIENTOS!$A190)*(MOVIMIENTOS!$B$5:$B$400="RECHAZO")*(MOVIMIENTOS!$D$5:$D$400="jabas")*MOVIMIENTOS!$E$5:$E$400*IFERROR(_xlfn.SWITCH(MOVIMIENTOS!$C$5:$C$400,"A",15,"P",18,"C",17,"M",17,0),0))-SUMPRODUCT((MOVIMIENTOS!$A$5:$A$400=MOVIMIENTOS!$A190)*(MOVIMIENTOS!$B$5:$B$400="REPROCESO")*MOVIMIENTOS!$I$5:$I$400),"+#,##0;-#,##0;0")&amp;" kg)",TRIM(IF(MOVIMIENTOS!$G190&lt;&gt;"",MOVIMIENTOS!$G190&amp;"  ","")&amp;IF(N(MOVIMIENTOS!$D190)&gt;0,MOVIMIENTOS!$D190&amp;" "&amp;MOVIMIENTOS!$D190,"")))),"")</f>
        <v>3021</v>
      </c>
      <c r="P191" s="48" t="n">
        <f aca="false">N(P190)+N(M191)-N(N191)</f>
        <v>3122</v>
      </c>
      <c r="Q191" s="48"/>
      <c r="R191" s="48"/>
      <c r="S191" s="48"/>
      <c r="T191" s="48"/>
    </row>
    <row r="192" customFormat="false" ht="15" hidden="false" customHeight="true" outlineLevel="0" collapsed="false">
      <c r="A192" s="51" t="str">
        <f aca="false">IFERROR(INDEX(K$6:K$401,MATCH(ROW()-5,J$6:J$401,0)),"")</f>
        <v/>
      </c>
      <c r="B192" s="56" t="str">
        <f aca="false">IFERROR(INDEX(L$6:L$401,MATCH(ROW()-5,J$6:J$401,0)),"")</f>
        <v/>
      </c>
      <c r="C192" s="52" t="str">
        <f aca="false">IFERROR(INDEX(M$6:M$401,MATCH(ROW()-5,J$6:J$401,0)),"")</f>
        <v/>
      </c>
      <c r="D192" s="52" t="str">
        <f aca="false">IFERROR(INDEX(N$6:N$401,MATCH(ROW()-5,J$6:J$401,0)),"")</f>
        <v/>
      </c>
      <c r="E192" s="56" t="str">
        <f aca="false">IFERROR(INDEX(O$6:O$401,MATCH(ROW()-5,J$6:J$401,0)),"")</f>
        <v/>
      </c>
      <c r="F192" s="52" t="str">
        <f aca="false">IFERROR(INDEX(P$6:P$401,MATCH(ROW()-5,J$6:J$401,0)),"")</f>
        <v/>
      </c>
      <c r="G192" s="48"/>
      <c r="H192" s="48"/>
      <c r="I192" s="48"/>
      <c r="J192" s="48" t="n">
        <f aca="false">IF(AND(MOVIMIENTOS!$B191&lt;&gt;"",NOT(AND(MOVIMIENTOS!$B191="PROCESO",MOVIMIENTOS!$C191&lt;&gt;"Chancho")),NOT(AND(MOVIMIENTOS!$B191="SALDO INICIAL",MOVIMIENTOS!$C191="Chancho"))),COUNT(J$6:J191)+1,"")</f>
        <v>122</v>
      </c>
      <c r="K192" s="53" t="n">
        <f aca="false">IF(AND(MOVIMIENTOS!$B191&lt;&gt;"",NOT(AND(MOVIMIENTOS!$B191="PROCESO",MOVIMIENTOS!$C191&lt;&gt;"Chancho")),NOT(AND(MOVIMIENTOS!$B191="SALDO INICIAL",MOVIMIENTOS!$C191="Chancho"))),MOVIMIENTOS!$A191,"")</f>
        <v>46230</v>
      </c>
      <c r="L192" s="48" t="str">
        <f aca="false">IF(AND(MOVIMIENTOS!$B191&lt;&gt;"",NOT(AND(MOVIMIENTOS!$B191="PROCESO",MOVIMIENTOS!$C191&lt;&gt;"Chancho")),NOT(AND(MOVIMIENTOS!$B191="SALDO INICIAL",MOVIMIENTOS!$C191="Chancho"))),IF(MOVIMIENTOS!$B191="SALDO INICIAL","APERTURA ("&amp;MOVIMIENTOS!$C191&amp;")",IF(MOVIMIENTOS!$B191="COMPRA","INGRESO (compra)",IF(MOVIMIENTOS!$B191="PROCESO","CHANCHO (proceso)",IF(MOVIMIENTOS!$B191="ENVÍO A SUPESA","ENVÍO cal. "&amp;MOVIMIENTOS!$C191,IF(MOVIMIENTOS!$B191="VENTA CHANCHO","VENTA CHANCHO",IF(MOVIMIENTOS!$B191="VENTA","VENTA cal. "&amp;MOVIMIENTOS!$C191,IF(MOVIMIENTOS!$B191="REGALO","REGALO "&amp;MOVIMIENTOS!$C191,IF(MOVIMIENTOS!$B191="RECHAZO","RECHAZO cal. "&amp;MOVIMIENTOS!$C191&amp;" (va a reproceso)",IF(MOVIMIENTOS!$B191="DEVOLUCIÓN","DEVOLUCIÓN cal. "&amp;MOVIMIENTOS!$C191&amp;" (regresa intacta)",IF(MOVIMIENTOS!$B191="TRASIEGO","TRASIEGO cal. "&amp;MOVIMIENTOS!$C191,MOVIMIENTOS!$B191)))))))))),"")</f>
        <v>ENVÍO cal. P</v>
      </c>
      <c r="M192" s="48" t="str">
        <f aca="false">IF(AND(AND(MOVIMIENTOS!$B191&lt;&gt;"",NOT(AND(MOVIMIENTOS!$B191="PROCESO",MOVIMIENTOS!$C191&lt;&gt;"Chancho")),NOT(AND(MOVIMIENTOS!$B191="SALDO INICIAL",MOVIMIENTOS!$C191="Chancho"))),OR(MOVIMIENTOS!$B191="SALDO INICIAL",MOVIMIENTOS!$B191="COMPRA",MOVIMIENTOS!$B191="REPROCESO",MOVIMIENTOS!$B191="DEVOLUCIÓN",AND(MOVIMIENTOS!$B191="AJUSTE",MOVIMIENTOS!$C191&lt;&gt;"Chancho",N(MOVIMIENTOS!$F191)&gt;=0))),N(MOVIMIENTOS!$F191),"")</f>
        <v/>
      </c>
      <c r="N192" s="48" t="n">
        <f aca="false">IF(AND(AND(MOVIMIENTOS!$B191&lt;&gt;"",NOT(AND(MOVIMIENTOS!$B191="PROCESO",MOVIMIENTOS!$C191&lt;&gt;"Chancho")),NOT(AND(MOVIMIENTOS!$B191="SALDO INICIAL",MOVIMIENTOS!$C191="Chancho"))),OR(MOVIMIENTOS!$B191="ENVÍO A SUPESA",MOVIMIENTOS!$B191="MALOGRADO",MOVIMIENTOS!$B191="OTRA SALIDA",MOVIMIENTOS!$B191="TRASIEGO",AND(MOVIMIENTOS!$B191="PROCESO",MOVIMIENTOS!$C191="Chancho"),AND(MOVIMIENTOS!$B191="REGALO",MOVIMIENTOS!$C191&lt;&gt;"Chancho"),AND(MOVIMIENTOS!$B191="VENTA",MOVIMIENTOS!$C191&lt;&gt;"Chancho"),AND(MOVIMIENTOS!$B191="AJUSTE",MOVIMIENTOS!$C191&lt;&gt;"Chancho",N(MOVIMIENTOS!$F191)&lt;0))),IF(MOVIMIENTOS!$B191="AJUSTE",-N(MOVIMIENTOS!$F191),N(MOVIMIENTOS!$F191)),"")</f>
        <v>198</v>
      </c>
      <c r="O192" s="48" t="str">
        <f aca="false">IF(AND(MOVIMIENTOS!$B191&lt;&gt;"",NOT(AND(MOVIMIENTOS!$B191="PROCESO",MOVIMIENTOS!$C191&lt;&gt;"Chancho")),NOT(AND(MOVIMIENTOS!$B191="SALDO INICIAL",MOVIMIENTOS!$C191="Chancho"))),IF(MOVIMIENTOS!$B191="RECHAZO",MOVIMIENTOS!$E191&amp;" jabas rechazadas · van a reproceso",IF(MOVIMIENTOS!$B191="REPROCESO",MOVIMIENTOS!$E191&amp;" kg recuperados (merma del día: "&amp;TEXT(SUMPRODUCT((MOVIMIENTOS!$A$5:$A$400=MOVIMIENTOS!$A191)*(MOVIMIENTOS!$B$5:$B$400="RECHAZO")*(MOVIMIENTOS!$D$5:$D$400="jabas")*MOVIMIENTOS!$E$5:$E$400*IFERROR(_xlfn.SWITCH(MOVIMIENTOS!$C$5:$C$400,"A",15,"P",18,"C",17,"M",17,0),0))-SUMPRODUCT((MOVIMIENTOS!$A$5:$A$400=MOVIMIENTOS!$A191)*(MOVIMIENTOS!$B$5:$B$400="REPROCESO")*MOVIMIENTOS!$I$5:$I$400),"+#,##0;-#,##0;0")&amp;" kg)",TRIM(IF(MOVIMIENTOS!$G191&lt;&gt;"",MOVIMIENTOS!$G191&amp;"  ","")&amp;IF(N(MOVIMIENTOS!$D191)&gt;0,MOVIMIENTOS!$D191&amp;" "&amp;MOVIMIENTOS!$D191,"")))),"")</f>
        <v>3021</v>
      </c>
      <c r="P192" s="48" t="n">
        <f aca="false">N(P191)+N(M192)-N(N192)</f>
        <v>2924</v>
      </c>
      <c r="Q192" s="48"/>
      <c r="R192" s="48"/>
      <c r="S192" s="48"/>
      <c r="T192" s="48"/>
    </row>
    <row r="193" customFormat="false" ht="15" hidden="false" customHeight="true" outlineLevel="0" collapsed="false">
      <c r="A193" s="51" t="str">
        <f aca="false">IFERROR(INDEX(K$6:K$401,MATCH(ROW()-5,J$6:J$401,0)),"")</f>
        <v/>
      </c>
      <c r="B193" s="56" t="str">
        <f aca="false">IFERROR(INDEX(L$6:L$401,MATCH(ROW()-5,J$6:J$401,0)),"")</f>
        <v/>
      </c>
      <c r="C193" s="52" t="str">
        <f aca="false">IFERROR(INDEX(M$6:M$401,MATCH(ROW()-5,J$6:J$401,0)),"")</f>
        <v/>
      </c>
      <c r="D193" s="52" t="str">
        <f aca="false">IFERROR(INDEX(N$6:N$401,MATCH(ROW()-5,J$6:J$401,0)),"")</f>
        <v/>
      </c>
      <c r="E193" s="56" t="str">
        <f aca="false">IFERROR(INDEX(O$6:O$401,MATCH(ROW()-5,J$6:J$401,0)),"")</f>
        <v/>
      </c>
      <c r="F193" s="52" t="str">
        <f aca="false">IFERROR(INDEX(P$6:P$401,MATCH(ROW()-5,J$6:J$401,0)),"")</f>
        <v/>
      </c>
      <c r="G193" s="48"/>
      <c r="H193" s="48"/>
      <c r="I193" s="48"/>
      <c r="J193" s="48" t="n">
        <f aca="false">IF(AND(MOVIMIENTOS!$B192&lt;&gt;"",NOT(AND(MOVIMIENTOS!$B192="PROCESO",MOVIMIENTOS!$C192&lt;&gt;"Chancho")),NOT(AND(MOVIMIENTOS!$B192="SALDO INICIAL",MOVIMIENTOS!$C192="Chancho"))),COUNT(J$6:J192)+1,"")</f>
        <v>123</v>
      </c>
      <c r="K193" s="53" t="n">
        <f aca="false">IF(AND(MOVIMIENTOS!$B192&lt;&gt;"",NOT(AND(MOVIMIENTOS!$B192="PROCESO",MOVIMIENTOS!$C192&lt;&gt;"Chancho")),NOT(AND(MOVIMIENTOS!$B192="SALDO INICIAL",MOVIMIENTOS!$C192="Chancho"))),MOVIMIENTOS!$A192,"")</f>
        <v>46230</v>
      </c>
      <c r="L193" s="48" t="str">
        <f aca="false">IF(AND(MOVIMIENTOS!$B192&lt;&gt;"",NOT(AND(MOVIMIENTOS!$B192="PROCESO",MOVIMIENTOS!$C192&lt;&gt;"Chancho")),NOT(AND(MOVIMIENTOS!$B192="SALDO INICIAL",MOVIMIENTOS!$C192="Chancho"))),IF(MOVIMIENTOS!$B192="SALDO INICIAL","APERTURA ("&amp;MOVIMIENTOS!$C192&amp;")",IF(MOVIMIENTOS!$B192="COMPRA","INGRESO (compra)",IF(MOVIMIENTOS!$B192="PROCESO","CHANCHO (proceso)",IF(MOVIMIENTOS!$B192="ENVÍO A SUPESA","ENVÍO cal. "&amp;MOVIMIENTOS!$C192,IF(MOVIMIENTOS!$B192="VENTA CHANCHO","VENTA CHANCHO",IF(MOVIMIENTOS!$B192="VENTA","VENTA cal. "&amp;MOVIMIENTOS!$C192,IF(MOVIMIENTOS!$B192="REGALO","REGALO "&amp;MOVIMIENTOS!$C192,IF(MOVIMIENTOS!$B192="RECHAZO","RECHAZO cal. "&amp;MOVIMIENTOS!$C192&amp;" (va a reproceso)",IF(MOVIMIENTOS!$B192="DEVOLUCIÓN","DEVOLUCIÓN cal. "&amp;MOVIMIENTOS!$C192&amp;" (regresa intacta)",IF(MOVIMIENTOS!$B192="TRASIEGO","TRASIEGO cal. "&amp;MOVIMIENTOS!$C192,MOVIMIENTOS!$B192)))))))))),"")</f>
        <v>ENVÍO cal. C</v>
      </c>
      <c r="M193" s="48" t="str">
        <f aca="false">IF(AND(AND(MOVIMIENTOS!$B192&lt;&gt;"",NOT(AND(MOVIMIENTOS!$B192="PROCESO",MOVIMIENTOS!$C192&lt;&gt;"Chancho")),NOT(AND(MOVIMIENTOS!$B192="SALDO INICIAL",MOVIMIENTOS!$C192="Chancho"))),OR(MOVIMIENTOS!$B192="SALDO INICIAL",MOVIMIENTOS!$B192="COMPRA",MOVIMIENTOS!$B192="REPROCESO",MOVIMIENTOS!$B192="DEVOLUCIÓN",AND(MOVIMIENTOS!$B192="AJUSTE",MOVIMIENTOS!$C192&lt;&gt;"Chancho",N(MOVIMIENTOS!$F192)&gt;=0))),N(MOVIMIENTOS!$F192),"")</f>
        <v/>
      </c>
      <c r="N193" s="48" t="n">
        <f aca="false">IF(AND(AND(MOVIMIENTOS!$B192&lt;&gt;"",NOT(AND(MOVIMIENTOS!$B192="PROCESO",MOVIMIENTOS!$C192&lt;&gt;"Chancho")),NOT(AND(MOVIMIENTOS!$B192="SALDO INICIAL",MOVIMIENTOS!$C192="Chancho"))),OR(MOVIMIENTOS!$B192="ENVÍO A SUPESA",MOVIMIENTOS!$B192="MALOGRADO",MOVIMIENTOS!$B192="OTRA SALIDA",MOVIMIENTOS!$B192="TRASIEGO",AND(MOVIMIENTOS!$B192="PROCESO",MOVIMIENTOS!$C192="Chancho"),AND(MOVIMIENTOS!$B192="REGALO",MOVIMIENTOS!$C192&lt;&gt;"Chancho"),AND(MOVIMIENTOS!$B192="VENTA",MOVIMIENTOS!$C192&lt;&gt;"Chancho"),AND(MOVIMIENTOS!$B192="AJUSTE",MOVIMIENTOS!$C192&lt;&gt;"Chancho",N(MOVIMIENTOS!$F192)&lt;0))),IF(MOVIMIENTOS!$B192="AJUSTE",-N(MOVIMIENTOS!$F192),N(MOVIMIENTOS!$F192)),"")</f>
        <v>136</v>
      </c>
      <c r="O193" s="48" t="str">
        <f aca="false">IF(AND(MOVIMIENTOS!$B192&lt;&gt;"",NOT(AND(MOVIMIENTOS!$B192="PROCESO",MOVIMIENTOS!$C192&lt;&gt;"Chancho")),NOT(AND(MOVIMIENTOS!$B192="SALDO INICIAL",MOVIMIENTOS!$C192="Chancho"))),IF(MOVIMIENTOS!$B192="RECHAZO",MOVIMIENTOS!$E192&amp;" jabas rechazadas · van a reproceso",IF(MOVIMIENTOS!$B192="REPROCESO",MOVIMIENTOS!$E192&amp;" kg recuperados (merma del día: "&amp;TEXT(SUMPRODUCT((MOVIMIENTOS!$A$5:$A$400=MOVIMIENTOS!$A192)*(MOVIMIENTOS!$B$5:$B$400="RECHAZO")*(MOVIMIENTOS!$D$5:$D$400="jabas")*MOVIMIENTOS!$E$5:$E$400*IFERROR(_xlfn.SWITCH(MOVIMIENTOS!$C$5:$C$400,"A",15,"P",18,"C",17,"M",17,0),0))-SUMPRODUCT((MOVIMIENTOS!$A$5:$A$400=MOVIMIENTOS!$A192)*(MOVIMIENTOS!$B$5:$B$400="REPROCESO")*MOVIMIENTOS!$I$5:$I$400),"+#,##0;-#,##0;0")&amp;" kg)",TRIM(IF(MOVIMIENTOS!$G192&lt;&gt;"",MOVIMIENTOS!$G192&amp;"  ","")&amp;IF(N(MOVIMIENTOS!$D192)&gt;0,MOVIMIENTOS!$D192&amp;" "&amp;MOVIMIENTOS!$D192,"")))),"")</f>
        <v>3021</v>
      </c>
      <c r="P193" s="48" t="n">
        <f aca="false">N(P192)+N(M193)-N(N193)</f>
        <v>2788</v>
      </c>
      <c r="Q193" s="48"/>
      <c r="R193" s="48"/>
      <c r="S193" s="48"/>
      <c r="T193" s="48"/>
    </row>
    <row r="194" customFormat="false" ht="15" hidden="false" customHeight="true" outlineLevel="0" collapsed="false">
      <c r="A194" s="51" t="str">
        <f aca="false">IFERROR(INDEX(K$6:K$401,MATCH(ROW()-5,J$6:J$401,0)),"")</f>
        <v/>
      </c>
      <c r="B194" s="56" t="str">
        <f aca="false">IFERROR(INDEX(L$6:L$401,MATCH(ROW()-5,J$6:J$401,0)),"")</f>
        <v/>
      </c>
      <c r="C194" s="52" t="str">
        <f aca="false">IFERROR(INDEX(M$6:M$401,MATCH(ROW()-5,J$6:J$401,0)),"")</f>
        <v/>
      </c>
      <c r="D194" s="52" t="str">
        <f aca="false">IFERROR(INDEX(N$6:N$401,MATCH(ROW()-5,J$6:J$401,0)),"")</f>
        <v/>
      </c>
      <c r="E194" s="56" t="str">
        <f aca="false">IFERROR(INDEX(O$6:O$401,MATCH(ROW()-5,J$6:J$401,0)),"")</f>
        <v/>
      </c>
      <c r="F194" s="52" t="str">
        <f aca="false">IFERROR(INDEX(P$6:P$401,MATCH(ROW()-5,J$6:J$401,0)),"")</f>
        <v/>
      </c>
      <c r="G194" s="48"/>
      <c r="H194" s="48"/>
      <c r="I194" s="48"/>
      <c r="J194" s="48" t="n">
        <f aca="false">IF(AND(MOVIMIENTOS!$B193&lt;&gt;"",NOT(AND(MOVIMIENTOS!$B193="PROCESO",MOVIMIENTOS!$C193&lt;&gt;"Chancho")),NOT(AND(MOVIMIENTOS!$B193="SALDO INICIAL",MOVIMIENTOS!$C193="Chancho"))),COUNT(J$6:J193)+1,"")</f>
        <v>124</v>
      </c>
      <c r="K194" s="53" t="n">
        <f aca="false">IF(AND(MOVIMIENTOS!$B193&lt;&gt;"",NOT(AND(MOVIMIENTOS!$B193="PROCESO",MOVIMIENTOS!$C193&lt;&gt;"Chancho")),NOT(AND(MOVIMIENTOS!$B193="SALDO INICIAL",MOVIMIENTOS!$C193="Chancho"))),MOVIMIENTOS!$A193,"")</f>
        <v>46230</v>
      </c>
      <c r="L194" s="48" t="str">
        <f aca="false">IF(AND(MOVIMIENTOS!$B193&lt;&gt;"",NOT(AND(MOVIMIENTOS!$B193="PROCESO",MOVIMIENTOS!$C193&lt;&gt;"Chancho")),NOT(AND(MOVIMIENTOS!$B193="SALDO INICIAL",MOVIMIENTOS!$C193="Chancho"))),IF(MOVIMIENTOS!$B193="SALDO INICIAL","APERTURA ("&amp;MOVIMIENTOS!$C193&amp;")",IF(MOVIMIENTOS!$B193="COMPRA","INGRESO (compra)",IF(MOVIMIENTOS!$B193="PROCESO","CHANCHO (proceso)",IF(MOVIMIENTOS!$B193="ENVÍO A SUPESA","ENVÍO cal. "&amp;MOVIMIENTOS!$C193,IF(MOVIMIENTOS!$B193="VENTA CHANCHO","VENTA CHANCHO",IF(MOVIMIENTOS!$B193="VENTA","VENTA cal. "&amp;MOVIMIENTOS!$C193,IF(MOVIMIENTOS!$B193="REGALO","REGALO "&amp;MOVIMIENTOS!$C193,IF(MOVIMIENTOS!$B193="RECHAZO","RECHAZO cal. "&amp;MOVIMIENTOS!$C193&amp;" (va a reproceso)",IF(MOVIMIENTOS!$B193="DEVOLUCIÓN","DEVOLUCIÓN cal. "&amp;MOVIMIENTOS!$C193&amp;" (regresa intacta)",IF(MOVIMIENTOS!$B193="TRASIEGO","TRASIEGO cal. "&amp;MOVIMIENTOS!$C193,MOVIMIENTOS!$B193)))))))))),"")</f>
        <v>VENTA CHANCHO</v>
      </c>
      <c r="M194" s="48" t="str">
        <f aca="false">IF(AND(AND(MOVIMIENTOS!$B193&lt;&gt;"",NOT(AND(MOVIMIENTOS!$B193="PROCESO",MOVIMIENTOS!$C193&lt;&gt;"Chancho")),NOT(AND(MOVIMIENTOS!$B193="SALDO INICIAL",MOVIMIENTOS!$C193="Chancho"))),OR(MOVIMIENTOS!$B193="SALDO INICIAL",MOVIMIENTOS!$B193="COMPRA",MOVIMIENTOS!$B193="REPROCESO",MOVIMIENTOS!$B193="DEVOLUCIÓN",AND(MOVIMIENTOS!$B193="AJUSTE",MOVIMIENTOS!$C193&lt;&gt;"Chancho",N(MOVIMIENTOS!$F193)&gt;=0))),N(MOVIMIENTOS!$F193),"")</f>
        <v/>
      </c>
      <c r="N194" s="48" t="str">
        <f aca="false">IF(AND(AND(MOVIMIENTOS!$B193&lt;&gt;"",NOT(AND(MOVIMIENTOS!$B193="PROCESO",MOVIMIENTOS!$C193&lt;&gt;"Chancho")),NOT(AND(MOVIMIENTOS!$B193="SALDO INICIAL",MOVIMIENTOS!$C193="Chancho"))),OR(MOVIMIENTOS!$B193="ENVÍO A SUPESA",MOVIMIENTOS!$B193="MALOGRADO",MOVIMIENTOS!$B193="OTRA SALIDA",MOVIMIENTOS!$B193="TRASIEGO",AND(MOVIMIENTOS!$B193="PROCESO",MOVIMIENTOS!$C193="Chancho"),AND(MOVIMIENTOS!$B193="REGALO",MOVIMIENTOS!$C193&lt;&gt;"Chancho"),AND(MOVIMIENTOS!$B193="VENTA",MOVIMIENTOS!$C193&lt;&gt;"Chancho"),AND(MOVIMIENTOS!$B193="AJUSTE",MOVIMIENTOS!$C193&lt;&gt;"Chancho",N(MOVIMIENTOS!$F193)&lt;0))),IF(MOVIMIENTOS!$B193="AJUSTE",-N(MOVIMIENTOS!$F193),N(MOVIMIENTOS!$F193)),"")</f>
        <v/>
      </c>
      <c r="O194" s="48" t="str">
        <f aca="false">IF(AND(MOVIMIENTOS!$B193&lt;&gt;"",NOT(AND(MOVIMIENTOS!$B193="PROCESO",MOVIMIENTOS!$C193&lt;&gt;"Chancho")),NOT(AND(MOVIMIENTOS!$B193="SALDO INICIAL",MOVIMIENTOS!$C193="Chancho"))),IF(MOVIMIENTOS!$B193="RECHAZO",MOVIMIENTOS!$E193&amp;" jabas rechazadas · van a reproceso",IF(MOVIMIENTOS!$B193="REPROCESO",MOVIMIENTOS!$E193&amp;" kg recuperados (merma del día: "&amp;TEXT(SUMPRODUCT((MOVIMIENTOS!$A$5:$A$400=MOVIMIENTOS!$A193)*(MOVIMIENTOS!$B$5:$B$400="RECHAZO")*(MOVIMIENTOS!$D$5:$D$400="jabas")*MOVIMIENTOS!$E$5:$E$400*IFERROR(_xlfn.SWITCH(MOVIMIENTOS!$C$5:$C$400,"A",15,"P",18,"C",17,"M",17,0),0))-SUMPRODUCT((MOVIMIENTOS!$A$5:$A$400=MOVIMIENTOS!$A193)*(MOVIMIENTOS!$B$5:$B$400="REPROCESO")*MOVIMIENTOS!$I$5:$I$400),"+#,##0;-#,##0;0")&amp;" kg)",TRIM(IF(MOVIMIENTOS!$G193&lt;&gt;"",MOVIMIENTOS!$G193&amp;"  ","")&amp;IF(N(MOVIMIENTOS!$D193)&gt;0,MOVIMIENTOS!$D193&amp;" "&amp;MOVIMIENTOS!$D193,"")))),"")</f>
        <v/>
      </c>
      <c r="P194" s="48" t="n">
        <f aca="false">N(P193)+N(M194)-N(N194)</f>
        <v>2788</v>
      </c>
      <c r="Q194" s="48"/>
      <c r="R194" s="48"/>
      <c r="S194" s="48"/>
      <c r="T194" s="48"/>
    </row>
    <row r="195" customFormat="false" ht="15" hidden="false" customHeight="true" outlineLevel="0" collapsed="false">
      <c r="A195" s="51" t="str">
        <f aca="false">IFERROR(INDEX(K$6:K$401,MATCH(ROW()-5,J$6:J$401,0)),"")</f>
        <v/>
      </c>
      <c r="B195" s="56" t="str">
        <f aca="false">IFERROR(INDEX(L$6:L$401,MATCH(ROW()-5,J$6:J$401,0)),"")</f>
        <v/>
      </c>
      <c r="C195" s="52" t="str">
        <f aca="false">IFERROR(INDEX(M$6:M$401,MATCH(ROW()-5,J$6:J$401,0)),"")</f>
        <v/>
      </c>
      <c r="D195" s="52" t="str">
        <f aca="false">IFERROR(INDEX(N$6:N$401,MATCH(ROW()-5,J$6:J$401,0)),"")</f>
        <v/>
      </c>
      <c r="E195" s="56" t="str">
        <f aca="false">IFERROR(INDEX(O$6:O$401,MATCH(ROW()-5,J$6:J$401,0)),"")</f>
        <v/>
      </c>
      <c r="F195" s="52" t="str">
        <f aca="false">IFERROR(INDEX(P$6:P$401,MATCH(ROW()-5,J$6:J$401,0)),"")</f>
        <v/>
      </c>
      <c r="G195" s="48"/>
      <c r="H195" s="48"/>
      <c r="I195" s="48"/>
      <c r="J195" s="48" t="n">
        <f aca="false">IF(AND(MOVIMIENTOS!$B194&lt;&gt;"",NOT(AND(MOVIMIENTOS!$B194="PROCESO",MOVIMIENTOS!$C194&lt;&gt;"Chancho")),NOT(AND(MOVIMIENTOS!$B194="SALDO INICIAL",MOVIMIENTOS!$C194="Chancho"))),COUNT(J$6:J194)+1,"")</f>
        <v>125</v>
      </c>
      <c r="K195" s="53" t="n">
        <f aca="false">IF(AND(MOVIMIENTOS!$B194&lt;&gt;"",NOT(AND(MOVIMIENTOS!$B194="PROCESO",MOVIMIENTOS!$C194&lt;&gt;"Chancho")),NOT(AND(MOVIMIENTOS!$B194="SALDO INICIAL",MOVIMIENTOS!$C194="Chancho"))),MOVIMIENTOS!$A194,"")</f>
        <v>46230</v>
      </c>
      <c r="L195" s="48" t="str">
        <f aca="false">IF(AND(MOVIMIENTOS!$B194&lt;&gt;"",NOT(AND(MOVIMIENTOS!$B194="PROCESO",MOVIMIENTOS!$C194&lt;&gt;"Chancho")),NOT(AND(MOVIMIENTOS!$B194="SALDO INICIAL",MOVIMIENTOS!$C194="Chancho"))),IF(MOVIMIENTOS!$B194="SALDO INICIAL","APERTURA ("&amp;MOVIMIENTOS!$C194&amp;")",IF(MOVIMIENTOS!$B194="COMPRA","INGRESO (compra)",IF(MOVIMIENTOS!$B194="PROCESO","CHANCHO (proceso)",IF(MOVIMIENTOS!$B194="ENVÍO A SUPESA","ENVÍO cal. "&amp;MOVIMIENTOS!$C194,IF(MOVIMIENTOS!$B194="VENTA CHANCHO","VENTA CHANCHO",IF(MOVIMIENTOS!$B194="VENTA","VENTA cal. "&amp;MOVIMIENTOS!$C194,IF(MOVIMIENTOS!$B194="REGALO","REGALO "&amp;MOVIMIENTOS!$C194,IF(MOVIMIENTOS!$B194="RECHAZO","RECHAZO cal. "&amp;MOVIMIENTOS!$C194&amp;" (va a reproceso)",IF(MOVIMIENTOS!$B194="DEVOLUCIÓN","DEVOLUCIÓN cal. "&amp;MOVIMIENTOS!$C194&amp;" (regresa intacta)",IF(MOVIMIENTOS!$B194="TRASIEGO","TRASIEGO cal. "&amp;MOVIMIENTOS!$C194,MOVIMIENTOS!$B194)))))))))),"")</f>
        <v>VENTA CHANCHO</v>
      </c>
      <c r="M195" s="48" t="str">
        <f aca="false">IF(AND(AND(MOVIMIENTOS!$B194&lt;&gt;"",NOT(AND(MOVIMIENTOS!$B194="PROCESO",MOVIMIENTOS!$C194&lt;&gt;"Chancho")),NOT(AND(MOVIMIENTOS!$B194="SALDO INICIAL",MOVIMIENTOS!$C194="Chancho"))),OR(MOVIMIENTOS!$B194="SALDO INICIAL",MOVIMIENTOS!$B194="COMPRA",MOVIMIENTOS!$B194="REPROCESO",MOVIMIENTOS!$B194="DEVOLUCIÓN",AND(MOVIMIENTOS!$B194="AJUSTE",MOVIMIENTOS!$C194&lt;&gt;"Chancho",N(MOVIMIENTOS!$F194)&gt;=0))),N(MOVIMIENTOS!$F194),"")</f>
        <v/>
      </c>
      <c r="N195" s="48" t="str">
        <f aca="false">IF(AND(AND(MOVIMIENTOS!$B194&lt;&gt;"",NOT(AND(MOVIMIENTOS!$B194="PROCESO",MOVIMIENTOS!$C194&lt;&gt;"Chancho")),NOT(AND(MOVIMIENTOS!$B194="SALDO INICIAL",MOVIMIENTOS!$C194="Chancho"))),OR(MOVIMIENTOS!$B194="ENVÍO A SUPESA",MOVIMIENTOS!$B194="MALOGRADO",MOVIMIENTOS!$B194="OTRA SALIDA",MOVIMIENTOS!$B194="TRASIEGO",AND(MOVIMIENTOS!$B194="PROCESO",MOVIMIENTOS!$C194="Chancho"),AND(MOVIMIENTOS!$B194="REGALO",MOVIMIENTOS!$C194&lt;&gt;"Chancho"),AND(MOVIMIENTOS!$B194="VENTA",MOVIMIENTOS!$C194&lt;&gt;"Chancho"),AND(MOVIMIENTOS!$B194="AJUSTE",MOVIMIENTOS!$C194&lt;&gt;"Chancho",N(MOVIMIENTOS!$F194)&lt;0))),IF(MOVIMIENTOS!$B194="AJUSTE",-N(MOVIMIENTOS!$F194),N(MOVIMIENTOS!$F194)),"")</f>
        <v/>
      </c>
      <c r="O195" s="48" t="str">
        <f aca="false">IF(AND(MOVIMIENTOS!$B194&lt;&gt;"",NOT(AND(MOVIMIENTOS!$B194="PROCESO",MOVIMIENTOS!$C194&lt;&gt;"Chancho")),NOT(AND(MOVIMIENTOS!$B194="SALDO INICIAL",MOVIMIENTOS!$C194="Chancho"))),IF(MOVIMIENTOS!$B194="RECHAZO",MOVIMIENTOS!$E194&amp;" jabas rechazadas · van a reproceso",IF(MOVIMIENTOS!$B194="REPROCESO",MOVIMIENTOS!$E194&amp;" kg recuperados (merma del día: "&amp;TEXT(SUMPRODUCT((MOVIMIENTOS!$A$5:$A$400=MOVIMIENTOS!$A194)*(MOVIMIENTOS!$B$5:$B$400="RECHAZO")*(MOVIMIENTOS!$D$5:$D$400="jabas")*MOVIMIENTOS!$E$5:$E$400*IFERROR(_xlfn.SWITCH(MOVIMIENTOS!$C$5:$C$400,"A",15,"P",18,"C",17,"M",17,0),0))-SUMPRODUCT((MOVIMIENTOS!$A$5:$A$400=MOVIMIENTOS!$A194)*(MOVIMIENTOS!$B$5:$B$400="REPROCESO")*MOVIMIENTOS!$I$5:$I$400),"+#,##0;-#,##0;0")&amp;" kg)",TRIM(IF(MOVIMIENTOS!$G194&lt;&gt;"",MOVIMIENTOS!$G194&amp;"  ","")&amp;IF(N(MOVIMIENTOS!$D194)&gt;0,MOVIMIENTOS!$D194&amp;" "&amp;MOVIMIENTOS!$D194,"")))),"")</f>
        <v/>
      </c>
      <c r="P195" s="48" t="n">
        <f aca="false">N(P194)+N(M195)-N(N195)</f>
        <v>2788</v>
      </c>
      <c r="Q195" s="48"/>
      <c r="R195" s="48"/>
      <c r="S195" s="48"/>
      <c r="T195" s="48"/>
    </row>
    <row r="196" customFormat="false" ht="15" hidden="false" customHeight="true" outlineLevel="0" collapsed="false">
      <c r="A196" s="51" t="str">
        <f aca="false">IFERROR(INDEX(K$6:K$401,MATCH(ROW()-5,J$6:J$401,0)),"")</f>
        <v/>
      </c>
      <c r="B196" s="56" t="str">
        <f aca="false">IFERROR(INDEX(L$6:L$401,MATCH(ROW()-5,J$6:J$401,0)),"")</f>
        <v/>
      </c>
      <c r="C196" s="52" t="str">
        <f aca="false">IFERROR(INDEX(M$6:M$401,MATCH(ROW()-5,J$6:J$401,0)),"")</f>
        <v/>
      </c>
      <c r="D196" s="52" t="str">
        <f aca="false">IFERROR(INDEX(N$6:N$401,MATCH(ROW()-5,J$6:J$401,0)),"")</f>
        <v/>
      </c>
      <c r="E196" s="56" t="str">
        <f aca="false">IFERROR(INDEX(O$6:O$401,MATCH(ROW()-5,J$6:J$401,0)),"")</f>
        <v/>
      </c>
      <c r="F196" s="52" t="str">
        <f aca="false">IFERROR(INDEX(P$6:P$401,MATCH(ROW()-5,J$6:J$401,0)),"")</f>
        <v/>
      </c>
      <c r="G196" s="48"/>
      <c r="H196" s="48"/>
      <c r="I196" s="48"/>
      <c r="J196" s="48" t="n">
        <f aca="false">IF(AND(MOVIMIENTOS!$B195&lt;&gt;"",NOT(AND(MOVIMIENTOS!$B195="PROCESO",MOVIMIENTOS!$C195&lt;&gt;"Chancho")),NOT(AND(MOVIMIENTOS!$B195="SALDO INICIAL",MOVIMIENTOS!$C195="Chancho"))),COUNT(J$6:J195)+1,"")</f>
        <v>126</v>
      </c>
      <c r="K196" s="53" t="n">
        <f aca="false">IF(AND(MOVIMIENTOS!$B195&lt;&gt;"",NOT(AND(MOVIMIENTOS!$B195="PROCESO",MOVIMIENTOS!$C195&lt;&gt;"Chancho")),NOT(AND(MOVIMIENTOS!$B195="SALDO INICIAL",MOVIMIENTOS!$C195="Chancho"))),MOVIMIENTOS!$A195,"")</f>
        <v>46230</v>
      </c>
      <c r="L196" s="48" t="str">
        <f aca="false">IF(AND(MOVIMIENTOS!$B195&lt;&gt;"",NOT(AND(MOVIMIENTOS!$B195="PROCESO",MOVIMIENTOS!$C195&lt;&gt;"Chancho")),NOT(AND(MOVIMIENTOS!$B195="SALDO INICIAL",MOVIMIENTOS!$C195="Chancho"))),IF(MOVIMIENTOS!$B195="SALDO INICIAL","APERTURA ("&amp;MOVIMIENTOS!$C195&amp;")",IF(MOVIMIENTOS!$B195="COMPRA","INGRESO (compra)",IF(MOVIMIENTOS!$B195="PROCESO","CHANCHO (proceso)",IF(MOVIMIENTOS!$B195="ENVÍO A SUPESA","ENVÍO cal. "&amp;MOVIMIENTOS!$C195,IF(MOVIMIENTOS!$B195="VENTA CHANCHO","VENTA CHANCHO",IF(MOVIMIENTOS!$B195="VENTA","VENTA cal. "&amp;MOVIMIENTOS!$C195,IF(MOVIMIENTOS!$B195="REGALO","REGALO "&amp;MOVIMIENTOS!$C195,IF(MOVIMIENTOS!$B195="RECHAZO","RECHAZO cal. "&amp;MOVIMIENTOS!$C195&amp;" (va a reproceso)",IF(MOVIMIENTOS!$B195="DEVOLUCIÓN","DEVOLUCIÓN cal. "&amp;MOVIMIENTOS!$C195&amp;" (regresa intacta)",IF(MOVIMIENTOS!$B195="TRASIEGO","TRASIEGO cal. "&amp;MOVIMIENTOS!$C195,MOVIMIENTOS!$B195)))))))))),"")</f>
        <v>RECHAZO cal. A (va a reproceso)</v>
      </c>
      <c r="M196" s="48" t="str">
        <f aca="false">IF(AND(AND(MOVIMIENTOS!$B195&lt;&gt;"",NOT(AND(MOVIMIENTOS!$B195="PROCESO",MOVIMIENTOS!$C195&lt;&gt;"Chancho")),NOT(AND(MOVIMIENTOS!$B195="SALDO INICIAL",MOVIMIENTOS!$C195="Chancho"))),OR(MOVIMIENTOS!$B195="SALDO INICIAL",MOVIMIENTOS!$B195="COMPRA",MOVIMIENTOS!$B195="REPROCESO",MOVIMIENTOS!$B195="DEVOLUCIÓN",AND(MOVIMIENTOS!$B195="AJUSTE",MOVIMIENTOS!$C195&lt;&gt;"Chancho",N(MOVIMIENTOS!$F195)&gt;=0))),N(MOVIMIENTOS!$F195),"")</f>
        <v/>
      </c>
      <c r="N196" s="48" t="str">
        <f aca="false">IF(AND(AND(MOVIMIENTOS!$B195&lt;&gt;"",NOT(AND(MOVIMIENTOS!$B195="PROCESO",MOVIMIENTOS!$C195&lt;&gt;"Chancho")),NOT(AND(MOVIMIENTOS!$B195="SALDO INICIAL",MOVIMIENTOS!$C195="Chancho"))),OR(MOVIMIENTOS!$B195="ENVÍO A SUPESA",MOVIMIENTOS!$B195="MALOGRADO",MOVIMIENTOS!$B195="OTRA SALIDA",MOVIMIENTOS!$B195="TRASIEGO",AND(MOVIMIENTOS!$B195="PROCESO",MOVIMIENTOS!$C195="Chancho"),AND(MOVIMIENTOS!$B195="REGALO",MOVIMIENTOS!$C195&lt;&gt;"Chancho"),AND(MOVIMIENTOS!$B195="VENTA",MOVIMIENTOS!$C195&lt;&gt;"Chancho"),AND(MOVIMIENTOS!$B195="AJUSTE",MOVIMIENTOS!$C195&lt;&gt;"Chancho",N(MOVIMIENTOS!$F195)&lt;0))),IF(MOVIMIENTOS!$B195="AJUSTE",-N(MOVIMIENTOS!$F195),N(MOVIMIENTOS!$F195)),"")</f>
        <v/>
      </c>
      <c r="O196" s="48" t="str">
        <f aca="false">IF(AND(MOVIMIENTOS!$B195&lt;&gt;"",NOT(AND(MOVIMIENTOS!$B195="PROCESO",MOVIMIENTOS!$C195&lt;&gt;"Chancho")),NOT(AND(MOVIMIENTOS!$B195="SALDO INICIAL",MOVIMIENTOS!$C195="Chancho"))),IF(MOVIMIENTOS!$B195="RECHAZO",MOVIMIENTOS!$E195&amp;" jabas rechazadas · van a reproceso",IF(MOVIMIENTOS!$B195="REPROCESO",MOVIMIENTOS!$E195&amp;" kg recuperados (merma del día: "&amp;TEXT(SUMPRODUCT((MOVIMIENTOS!$A$5:$A$400=MOVIMIENTOS!$A195)*(MOVIMIENTOS!$B$5:$B$400="RECHAZO")*(MOVIMIENTOS!$D$5:$D$400="jabas")*MOVIMIENTOS!$E$5:$E$400*IFERROR(_xlfn.SWITCH(MOVIMIENTOS!$C$5:$C$400,"A",15,"P",18,"C",17,"M",17,0),0))-SUMPRODUCT((MOVIMIENTOS!$A$5:$A$400=MOVIMIENTOS!$A195)*(MOVIMIENTOS!$B$5:$B$400="REPROCESO")*MOVIMIENTOS!$I$5:$I$400),"+#,##0;-#,##0;0")&amp;" kg)",TRIM(IF(MOVIMIENTOS!$G195&lt;&gt;"",MOVIMIENTOS!$G195&amp;"  ","")&amp;IF(N(MOVIMIENTOS!$D195)&gt;0,MOVIMIENTOS!$D195&amp;" "&amp;MOVIMIENTOS!$D195,"")))),"")</f>
        <v>1 jabas rechazadas · van a reproceso</v>
      </c>
      <c r="P196" s="48" t="n">
        <f aca="false">N(P195)+N(M196)-N(N196)</f>
        <v>2788</v>
      </c>
      <c r="Q196" s="48"/>
      <c r="R196" s="48"/>
      <c r="S196" s="48"/>
      <c r="T196" s="48"/>
    </row>
    <row r="197" customFormat="false" ht="15" hidden="false" customHeight="true" outlineLevel="0" collapsed="false">
      <c r="A197" s="51" t="str">
        <f aca="false">IFERROR(INDEX(K$6:K$401,MATCH(ROW()-5,J$6:J$401,0)),"")</f>
        <v/>
      </c>
      <c r="B197" s="56" t="str">
        <f aca="false">IFERROR(INDEX(L$6:L$401,MATCH(ROW()-5,J$6:J$401,0)),"")</f>
        <v/>
      </c>
      <c r="C197" s="52" t="str">
        <f aca="false">IFERROR(INDEX(M$6:M$401,MATCH(ROW()-5,J$6:J$401,0)),"")</f>
        <v/>
      </c>
      <c r="D197" s="52" t="str">
        <f aca="false">IFERROR(INDEX(N$6:N$401,MATCH(ROW()-5,J$6:J$401,0)),"")</f>
        <v/>
      </c>
      <c r="E197" s="56" t="str">
        <f aca="false">IFERROR(INDEX(O$6:O$401,MATCH(ROW()-5,J$6:J$401,0)),"")</f>
        <v/>
      </c>
      <c r="F197" s="52" t="str">
        <f aca="false">IFERROR(INDEX(P$6:P$401,MATCH(ROW()-5,J$6:J$401,0)),"")</f>
        <v/>
      </c>
      <c r="G197" s="48"/>
      <c r="H197" s="48"/>
      <c r="I197" s="48"/>
      <c r="J197" s="48" t="n">
        <f aca="false">IF(AND(MOVIMIENTOS!$B196&lt;&gt;"",NOT(AND(MOVIMIENTOS!$B196="PROCESO",MOVIMIENTOS!$C196&lt;&gt;"Chancho")),NOT(AND(MOVIMIENTOS!$B196="SALDO INICIAL",MOVIMIENTOS!$C196="Chancho"))),COUNT(J$6:J196)+1,"")</f>
        <v>127</v>
      </c>
      <c r="K197" s="53" t="n">
        <f aca="false">IF(AND(MOVIMIENTOS!$B196&lt;&gt;"",NOT(AND(MOVIMIENTOS!$B196="PROCESO",MOVIMIENTOS!$C196&lt;&gt;"Chancho")),NOT(AND(MOVIMIENTOS!$B196="SALDO INICIAL",MOVIMIENTOS!$C196="Chancho"))),MOVIMIENTOS!$A196,"")</f>
        <v>46230</v>
      </c>
      <c r="L197" s="48" t="str">
        <f aca="false">IF(AND(MOVIMIENTOS!$B196&lt;&gt;"",NOT(AND(MOVIMIENTOS!$B196="PROCESO",MOVIMIENTOS!$C196&lt;&gt;"Chancho")),NOT(AND(MOVIMIENTOS!$B196="SALDO INICIAL",MOVIMIENTOS!$C196="Chancho"))),IF(MOVIMIENTOS!$B196="SALDO INICIAL","APERTURA ("&amp;MOVIMIENTOS!$C196&amp;")",IF(MOVIMIENTOS!$B196="COMPRA","INGRESO (compra)",IF(MOVIMIENTOS!$B196="PROCESO","CHANCHO (proceso)",IF(MOVIMIENTOS!$B196="ENVÍO A SUPESA","ENVÍO cal. "&amp;MOVIMIENTOS!$C196,IF(MOVIMIENTOS!$B196="VENTA CHANCHO","VENTA CHANCHO",IF(MOVIMIENTOS!$B196="VENTA","VENTA cal. "&amp;MOVIMIENTOS!$C196,IF(MOVIMIENTOS!$B196="REGALO","REGALO "&amp;MOVIMIENTOS!$C196,IF(MOVIMIENTOS!$B196="RECHAZO","RECHAZO cal. "&amp;MOVIMIENTOS!$C196&amp;" (va a reproceso)",IF(MOVIMIENTOS!$B196="DEVOLUCIÓN","DEVOLUCIÓN cal. "&amp;MOVIMIENTOS!$C196&amp;" (regresa intacta)",IF(MOVIMIENTOS!$B196="TRASIEGO","TRASIEGO cal. "&amp;MOVIMIENTOS!$C196,MOVIMIENTOS!$B196)))))))))),"")</f>
        <v>REPROCESO</v>
      </c>
      <c r="M197" s="48" t="n">
        <f aca="false">IF(AND(AND(MOVIMIENTOS!$B196&lt;&gt;"",NOT(AND(MOVIMIENTOS!$B196="PROCESO",MOVIMIENTOS!$C196&lt;&gt;"Chancho")),NOT(AND(MOVIMIENTOS!$B196="SALDO INICIAL",MOVIMIENTOS!$C196="Chancho"))),OR(MOVIMIENTOS!$B196="SALDO INICIAL",MOVIMIENTOS!$B196="COMPRA",MOVIMIENTOS!$B196="REPROCESO",MOVIMIENTOS!$B196="DEVOLUCIÓN",AND(MOVIMIENTOS!$B196="AJUSTE",MOVIMIENTOS!$C196&lt;&gt;"Chancho",N(MOVIMIENTOS!$F196)&gt;=0))),N(MOVIMIENTOS!$F196),"")</f>
        <v>7</v>
      </c>
      <c r="N197" s="48" t="str">
        <f aca="false">IF(AND(AND(MOVIMIENTOS!$B196&lt;&gt;"",NOT(AND(MOVIMIENTOS!$B196="PROCESO",MOVIMIENTOS!$C196&lt;&gt;"Chancho")),NOT(AND(MOVIMIENTOS!$B196="SALDO INICIAL",MOVIMIENTOS!$C196="Chancho"))),OR(MOVIMIENTOS!$B196="ENVÍO A SUPESA",MOVIMIENTOS!$B196="MALOGRADO",MOVIMIENTOS!$B196="OTRA SALIDA",MOVIMIENTOS!$B196="TRASIEGO",AND(MOVIMIENTOS!$B196="PROCESO",MOVIMIENTOS!$C196="Chancho"),AND(MOVIMIENTOS!$B196="REGALO",MOVIMIENTOS!$C196&lt;&gt;"Chancho"),AND(MOVIMIENTOS!$B196="VENTA",MOVIMIENTOS!$C196&lt;&gt;"Chancho"),AND(MOVIMIENTOS!$B196="AJUSTE",MOVIMIENTOS!$C196&lt;&gt;"Chancho",N(MOVIMIENTOS!$F196)&lt;0))),IF(MOVIMIENTOS!$B196="AJUSTE",-N(MOVIMIENTOS!$F196),N(MOVIMIENTOS!$F196)),"")</f>
        <v/>
      </c>
      <c r="O197" s="48" t="str">
        <f aca="false">IF(AND(MOVIMIENTOS!$B196&lt;&gt;"",NOT(AND(MOVIMIENTOS!$B196="PROCESO",MOVIMIENTOS!$C196&lt;&gt;"Chancho")),NOT(AND(MOVIMIENTOS!$B196="SALDO INICIAL",MOVIMIENTOS!$C196="Chancho"))),IF(MOVIMIENTOS!$B196="RECHAZO",MOVIMIENTOS!$E196&amp;" jabas rechazadas · van a reproceso",IF(MOVIMIENTOS!$B196="REPROCESO",MOVIMIENTOS!$E196&amp;" kg recuperados (merma del día: "&amp;TEXT(SUMPRODUCT((MOVIMIENTOS!$A$5:$A$400=MOVIMIENTOS!$A196)*(MOVIMIENTOS!$B$5:$B$400="RECHAZO")*(MOVIMIENTOS!$D$5:$D$400="jabas")*MOVIMIENTOS!$E$5:$E$400*IFERROR(_xlfn.SWITCH(MOVIMIENTOS!$C$5:$C$400,"A",15,"P",18,"C",17,"M",17,0),0))-SUMPRODUCT((MOVIMIENTOS!$A$5:$A$400=MOVIMIENTOS!$A196)*(MOVIMIENTOS!$B$5:$B$400="REPROCESO")*MOVIMIENTOS!$I$5:$I$400),"+#,##0;-#,##0;0")&amp;" kg)",TRIM(IF(MOVIMIENTOS!$G196&lt;&gt;"",MOVIMIENTOS!$G196&amp;"  ","")&amp;IF(N(MOVIMIENTOS!$D196)&gt;0,MOVIMIENTOS!$D196&amp;" "&amp;MOVIMIENTOS!$D196,"")))),"")</f>
        <v>7 kg recuperados (merma del día: +8 kg)</v>
      </c>
      <c r="P197" s="48" t="n">
        <f aca="false">N(P196)+N(M197)-N(N197)</f>
        <v>2795</v>
      </c>
      <c r="Q197" s="48"/>
      <c r="R197" s="48"/>
      <c r="S197" s="48"/>
      <c r="T197" s="48"/>
    </row>
    <row r="198" customFormat="false" ht="15" hidden="false" customHeight="true" outlineLevel="0" collapsed="false">
      <c r="A198" s="51" t="str">
        <f aca="false">IFERROR(INDEX(K$6:K$401,MATCH(ROW()-5,J$6:J$401,0)),"")</f>
        <v/>
      </c>
      <c r="B198" s="56" t="str">
        <f aca="false">IFERROR(INDEX(L$6:L$401,MATCH(ROW()-5,J$6:J$401,0)),"")</f>
        <v/>
      </c>
      <c r="C198" s="52" t="str">
        <f aca="false">IFERROR(INDEX(M$6:M$401,MATCH(ROW()-5,J$6:J$401,0)),"")</f>
        <v/>
      </c>
      <c r="D198" s="52" t="str">
        <f aca="false">IFERROR(INDEX(N$6:N$401,MATCH(ROW()-5,J$6:J$401,0)),"")</f>
        <v/>
      </c>
      <c r="E198" s="56" t="str">
        <f aca="false">IFERROR(INDEX(O$6:O$401,MATCH(ROW()-5,J$6:J$401,0)),"")</f>
        <v/>
      </c>
      <c r="F198" s="52" t="str">
        <f aca="false">IFERROR(INDEX(P$6:P$401,MATCH(ROW()-5,J$6:J$401,0)),"")</f>
        <v/>
      </c>
      <c r="G198" s="48"/>
      <c r="H198" s="48"/>
      <c r="I198" s="48"/>
      <c r="J198" s="48" t="n">
        <f aca="false">IF(AND(MOVIMIENTOS!$B197&lt;&gt;"",NOT(AND(MOVIMIENTOS!$B197="PROCESO",MOVIMIENTOS!$C197&lt;&gt;"Chancho")),NOT(AND(MOVIMIENTOS!$B197="SALDO INICIAL",MOVIMIENTOS!$C197="Chancho"))),COUNT(J$6:J197)+1,"")</f>
        <v>128</v>
      </c>
      <c r="K198" s="53" t="n">
        <f aca="false">IF(AND(MOVIMIENTOS!$B197&lt;&gt;"",NOT(AND(MOVIMIENTOS!$B197="PROCESO",MOVIMIENTOS!$C197&lt;&gt;"Chancho")),NOT(AND(MOVIMIENTOS!$B197="SALDO INICIAL",MOVIMIENTOS!$C197="Chancho"))),MOVIMIENTOS!$A197,"")</f>
        <v>46231</v>
      </c>
      <c r="L198" s="48" t="str">
        <f aca="false">IF(AND(MOVIMIENTOS!$B197&lt;&gt;"",NOT(AND(MOVIMIENTOS!$B197="PROCESO",MOVIMIENTOS!$C197&lt;&gt;"Chancho")),NOT(AND(MOVIMIENTOS!$B197="SALDO INICIAL",MOVIMIENTOS!$C197="Chancho"))),IF(MOVIMIENTOS!$B197="SALDO INICIAL","APERTURA ("&amp;MOVIMIENTOS!$C197&amp;")",IF(MOVIMIENTOS!$B197="COMPRA","INGRESO (compra)",IF(MOVIMIENTOS!$B197="PROCESO","CHANCHO (proceso)",IF(MOVIMIENTOS!$B197="ENVÍO A SUPESA","ENVÍO cal. "&amp;MOVIMIENTOS!$C197,IF(MOVIMIENTOS!$B197="VENTA CHANCHO","VENTA CHANCHO",IF(MOVIMIENTOS!$B197="VENTA","VENTA cal. "&amp;MOVIMIENTOS!$C197,IF(MOVIMIENTOS!$B197="REGALO","REGALO "&amp;MOVIMIENTOS!$C197,IF(MOVIMIENTOS!$B197="RECHAZO","RECHAZO cal. "&amp;MOVIMIENTOS!$C197&amp;" (va a reproceso)",IF(MOVIMIENTOS!$B197="DEVOLUCIÓN","DEVOLUCIÓN cal. "&amp;MOVIMIENTOS!$C197&amp;" (regresa intacta)",IF(MOVIMIENTOS!$B197="TRASIEGO","TRASIEGO cal. "&amp;MOVIMIENTOS!$C197,MOVIMIENTOS!$B197)))))))))),"")</f>
        <v>INGRESO (compra)</v>
      </c>
      <c r="M198" s="48" t="n">
        <f aca="false">IF(AND(AND(MOVIMIENTOS!$B197&lt;&gt;"",NOT(AND(MOVIMIENTOS!$B197="PROCESO",MOVIMIENTOS!$C197&lt;&gt;"Chancho")),NOT(AND(MOVIMIENTOS!$B197="SALDO INICIAL",MOVIMIENTOS!$C197="Chancho"))),OR(MOVIMIENTOS!$B197="SALDO INICIAL",MOVIMIENTOS!$B197="COMPRA",MOVIMIENTOS!$B197="REPROCESO",MOVIMIENTOS!$B197="DEVOLUCIÓN",AND(MOVIMIENTOS!$B197="AJUSTE",MOVIMIENTOS!$C197&lt;&gt;"Chancho",N(MOVIMIENTOS!$F197)&gt;=0))),N(MOVIMIENTOS!$F197),"")</f>
        <v>5225</v>
      </c>
      <c r="N198" s="48" t="str">
        <f aca="false">IF(AND(AND(MOVIMIENTOS!$B197&lt;&gt;"",NOT(AND(MOVIMIENTOS!$B197="PROCESO",MOVIMIENTOS!$C197&lt;&gt;"Chancho")),NOT(AND(MOVIMIENTOS!$B197="SALDO INICIAL",MOVIMIENTOS!$C197="Chancho"))),OR(MOVIMIENTOS!$B197="ENVÍO A SUPESA",MOVIMIENTOS!$B197="MALOGRADO",MOVIMIENTOS!$B197="OTRA SALIDA",MOVIMIENTOS!$B197="TRASIEGO",AND(MOVIMIENTOS!$B197="PROCESO",MOVIMIENTOS!$C197="Chancho"),AND(MOVIMIENTOS!$B197="REGALO",MOVIMIENTOS!$C197&lt;&gt;"Chancho"),AND(MOVIMIENTOS!$B197="VENTA",MOVIMIENTOS!$C197&lt;&gt;"Chancho"),AND(MOVIMIENTOS!$B197="AJUSTE",MOVIMIENTOS!$C197&lt;&gt;"Chancho",N(MOVIMIENTOS!$F197)&lt;0))),IF(MOVIMIENTOS!$B197="AJUSTE",-N(MOVIMIENTOS!$F197),N(MOVIMIENTOS!$F197)),"")</f>
        <v/>
      </c>
      <c r="O198" s="48" t="str">
        <f aca="false">IF(AND(MOVIMIENTOS!$B197&lt;&gt;"",NOT(AND(MOVIMIENTOS!$B197="PROCESO",MOVIMIENTOS!$C197&lt;&gt;"Chancho")),NOT(AND(MOVIMIENTOS!$B197="SALDO INICIAL",MOVIMIENTOS!$C197="Chancho"))),IF(MOVIMIENTOS!$B197="RECHAZO",MOVIMIENTOS!$E197&amp;" jabas rechazadas · van a reproceso",IF(MOVIMIENTOS!$B197="REPROCESO",MOVIMIENTOS!$E197&amp;" kg recuperados (merma del día: "&amp;TEXT(SUMPRODUCT((MOVIMIENTOS!$A$5:$A$400=MOVIMIENTOS!$A197)*(MOVIMIENTOS!$B$5:$B$400="RECHAZO")*(MOVIMIENTOS!$D$5:$D$400="jabas")*MOVIMIENTOS!$E$5:$E$400*IFERROR(_xlfn.SWITCH(MOVIMIENTOS!$C$5:$C$400,"A",15,"P",18,"C",17,"M",17,0),0))-SUMPRODUCT((MOVIMIENTOS!$A$5:$A$400=MOVIMIENTOS!$A197)*(MOVIMIENTOS!$B$5:$B$400="REPROCESO")*MOVIMIENTOS!$I$5:$I$400),"+#,##0;-#,##0;0")&amp;" kg)",TRIM(IF(MOVIMIENTOS!$G197&lt;&gt;"",MOVIMIENTOS!$G197&amp;"  ","")&amp;IF(N(MOVIMIENTOS!$D197)&gt;0,MOVIMIENTOS!$D197&amp;" "&amp;MOVIMIENTOS!$D197,"")))),"")</f>
        <v/>
      </c>
      <c r="P198" s="48" t="n">
        <f aca="false">N(P197)+N(M198)-N(N198)</f>
        <v>8020</v>
      </c>
      <c r="Q198" s="48"/>
      <c r="R198" s="48"/>
      <c r="S198" s="48"/>
      <c r="T198" s="48"/>
    </row>
    <row r="199" customFormat="false" ht="15" hidden="false" customHeight="true" outlineLevel="0" collapsed="false">
      <c r="A199" s="51" t="str">
        <f aca="false">IFERROR(INDEX(K$6:K$401,MATCH(ROW()-5,J$6:J$401,0)),"")</f>
        <v/>
      </c>
      <c r="B199" s="56" t="str">
        <f aca="false">IFERROR(INDEX(L$6:L$401,MATCH(ROW()-5,J$6:J$401,0)),"")</f>
        <v/>
      </c>
      <c r="C199" s="52" t="str">
        <f aca="false">IFERROR(INDEX(M$6:M$401,MATCH(ROW()-5,J$6:J$401,0)),"")</f>
        <v/>
      </c>
      <c r="D199" s="52" t="str">
        <f aca="false">IFERROR(INDEX(N$6:N$401,MATCH(ROW()-5,J$6:J$401,0)),"")</f>
        <v/>
      </c>
      <c r="E199" s="56" t="str">
        <f aca="false">IFERROR(INDEX(O$6:O$401,MATCH(ROW()-5,J$6:J$401,0)),"")</f>
        <v/>
      </c>
      <c r="F199" s="52" t="str">
        <f aca="false">IFERROR(INDEX(P$6:P$401,MATCH(ROW()-5,J$6:J$401,0)),"")</f>
        <v/>
      </c>
      <c r="G199" s="48"/>
      <c r="H199" s="48"/>
      <c r="I199" s="48"/>
      <c r="J199" s="48" t="str">
        <f aca="false">IF(AND(MOVIMIENTOS!$B198&lt;&gt;"",NOT(AND(MOVIMIENTOS!$B198="PROCESO",MOVIMIENTOS!$C198&lt;&gt;"Chancho")),NOT(AND(MOVIMIENTOS!$B198="SALDO INICIAL",MOVIMIENTOS!$C198="Chancho"))),COUNT(J$6:J198)+1,"")</f>
        <v/>
      </c>
      <c r="K199" s="48" t="str">
        <f aca="false">IF(AND(MOVIMIENTOS!$B198&lt;&gt;"",NOT(AND(MOVIMIENTOS!$B198="PROCESO",MOVIMIENTOS!$C198&lt;&gt;"Chancho")),NOT(AND(MOVIMIENTOS!$B198="SALDO INICIAL",MOVIMIENTOS!$C198="Chancho"))),MOVIMIENTOS!$A198,"")</f>
        <v/>
      </c>
      <c r="L199" s="48" t="str">
        <f aca="false">IF(AND(MOVIMIENTOS!$B198&lt;&gt;"",NOT(AND(MOVIMIENTOS!$B198="PROCESO",MOVIMIENTOS!$C198&lt;&gt;"Chancho")),NOT(AND(MOVIMIENTOS!$B198="SALDO INICIAL",MOVIMIENTOS!$C198="Chancho"))),IF(MOVIMIENTOS!$B198="SALDO INICIAL","APERTURA ("&amp;MOVIMIENTOS!$C198&amp;")",IF(MOVIMIENTOS!$B198="COMPRA","INGRESO (compra)",IF(MOVIMIENTOS!$B198="PROCESO","CHANCHO (proceso)",IF(MOVIMIENTOS!$B198="ENVÍO A SUPESA","ENVÍO cal. "&amp;MOVIMIENTOS!$C198,IF(MOVIMIENTOS!$B198="VENTA CHANCHO","VENTA CHANCHO",IF(MOVIMIENTOS!$B198="VENTA","VENTA cal. "&amp;MOVIMIENTOS!$C198,IF(MOVIMIENTOS!$B198="REGALO","REGALO "&amp;MOVIMIENTOS!$C198,IF(MOVIMIENTOS!$B198="RECHAZO","RECHAZO cal. "&amp;MOVIMIENTOS!$C198&amp;" (va a reproceso)",IF(MOVIMIENTOS!$B198="DEVOLUCIÓN","DEVOLUCIÓN cal. "&amp;MOVIMIENTOS!$C198&amp;" (regresa intacta)",IF(MOVIMIENTOS!$B198="TRASIEGO","TRASIEGO cal. "&amp;MOVIMIENTOS!$C198,MOVIMIENTOS!$B198)))))))))),"")</f>
        <v/>
      </c>
      <c r="M199" s="48" t="str">
        <f aca="false">IF(AND(AND(MOVIMIENTOS!$B198&lt;&gt;"",NOT(AND(MOVIMIENTOS!$B198="PROCESO",MOVIMIENTOS!$C198&lt;&gt;"Chancho")),NOT(AND(MOVIMIENTOS!$B198="SALDO INICIAL",MOVIMIENTOS!$C198="Chancho"))),OR(MOVIMIENTOS!$B198="SALDO INICIAL",MOVIMIENTOS!$B198="COMPRA",MOVIMIENTOS!$B198="REPROCESO",MOVIMIENTOS!$B198="DEVOLUCIÓN",AND(MOVIMIENTOS!$B198="AJUSTE",MOVIMIENTOS!$C198&lt;&gt;"Chancho",N(MOVIMIENTOS!$F198)&gt;=0))),N(MOVIMIENTOS!$F198),"")</f>
        <v/>
      </c>
      <c r="N199" s="48" t="str">
        <f aca="false">IF(AND(AND(MOVIMIENTOS!$B198&lt;&gt;"",NOT(AND(MOVIMIENTOS!$B198="PROCESO",MOVIMIENTOS!$C198&lt;&gt;"Chancho")),NOT(AND(MOVIMIENTOS!$B198="SALDO INICIAL",MOVIMIENTOS!$C198="Chancho"))),OR(MOVIMIENTOS!$B198="ENVÍO A SUPESA",MOVIMIENTOS!$B198="MALOGRADO",MOVIMIENTOS!$B198="OTRA SALIDA",MOVIMIENTOS!$B198="TRASIEGO",AND(MOVIMIENTOS!$B198="PROCESO",MOVIMIENTOS!$C198="Chancho"),AND(MOVIMIENTOS!$B198="REGALO",MOVIMIENTOS!$C198&lt;&gt;"Chancho"),AND(MOVIMIENTOS!$B198="VENTA",MOVIMIENTOS!$C198&lt;&gt;"Chancho"),AND(MOVIMIENTOS!$B198="AJUSTE",MOVIMIENTOS!$C198&lt;&gt;"Chancho",N(MOVIMIENTOS!$F198)&lt;0))),IF(MOVIMIENTOS!$B198="AJUSTE",-N(MOVIMIENTOS!$F198),N(MOVIMIENTOS!$F198)),"")</f>
        <v/>
      </c>
      <c r="O199" s="48" t="str">
        <f aca="false">IF(AND(MOVIMIENTOS!$B198&lt;&gt;"",NOT(AND(MOVIMIENTOS!$B198="PROCESO",MOVIMIENTOS!$C198&lt;&gt;"Chancho")),NOT(AND(MOVIMIENTOS!$B198="SALDO INICIAL",MOVIMIENTOS!$C198="Chancho"))),IF(MOVIMIENTOS!$B198="RECHAZO",MOVIMIENTOS!$E198&amp;" jabas rechazadas · van a reproceso",IF(MOVIMIENTOS!$B198="REPROCESO",MOVIMIENTOS!$E198&amp;" kg recuperados (merma del día: "&amp;TEXT(SUMPRODUCT((MOVIMIENTOS!$A$5:$A$400=MOVIMIENTOS!$A198)*(MOVIMIENTOS!$B$5:$B$400="RECHAZO")*(MOVIMIENTOS!$D$5:$D$400="jabas")*MOVIMIENTOS!$E$5:$E$400*IFERROR(_xlfn.SWITCH(MOVIMIENTOS!$C$5:$C$400,"A",15,"P",18,"C",17,"M",17,0),0))-SUMPRODUCT((MOVIMIENTOS!$A$5:$A$400=MOVIMIENTOS!$A198)*(MOVIMIENTOS!$B$5:$B$400="REPROCESO")*MOVIMIENTOS!$I$5:$I$400),"+#,##0;-#,##0;0")&amp;" kg)",TRIM(IF(MOVIMIENTOS!$G198&lt;&gt;"",MOVIMIENTOS!$G198&amp;"  ","")&amp;IF(N(MOVIMIENTOS!$D198)&gt;0,MOVIMIENTOS!$D198&amp;" "&amp;MOVIMIENTOS!$D198,"")))),"")</f>
        <v/>
      </c>
      <c r="P199" s="48" t="n">
        <f aca="false">N(P198)+N(M199)-N(N199)</f>
        <v>8020</v>
      </c>
      <c r="Q199" s="48"/>
      <c r="R199" s="48"/>
      <c r="S199" s="48"/>
      <c r="T199" s="48"/>
    </row>
    <row r="200" customFormat="false" ht="15" hidden="false" customHeight="true" outlineLevel="0" collapsed="false">
      <c r="A200" s="51" t="str">
        <f aca="false">IFERROR(INDEX(K$6:K$401,MATCH(ROW()-5,J$6:J$401,0)),"")</f>
        <v/>
      </c>
      <c r="B200" s="56" t="str">
        <f aca="false">IFERROR(INDEX(L$6:L$401,MATCH(ROW()-5,J$6:J$401,0)),"")</f>
        <v/>
      </c>
      <c r="C200" s="52" t="str">
        <f aca="false">IFERROR(INDEX(M$6:M$401,MATCH(ROW()-5,J$6:J$401,0)),"")</f>
        <v/>
      </c>
      <c r="D200" s="52" t="str">
        <f aca="false">IFERROR(INDEX(N$6:N$401,MATCH(ROW()-5,J$6:J$401,0)),"")</f>
        <v/>
      </c>
      <c r="E200" s="56" t="str">
        <f aca="false">IFERROR(INDEX(O$6:O$401,MATCH(ROW()-5,J$6:J$401,0)),"")</f>
        <v/>
      </c>
      <c r="F200" s="52" t="str">
        <f aca="false">IFERROR(INDEX(P$6:P$401,MATCH(ROW()-5,J$6:J$401,0)),"")</f>
        <v/>
      </c>
      <c r="G200" s="48"/>
      <c r="H200" s="48"/>
      <c r="I200" s="48"/>
      <c r="J200" s="48" t="str">
        <f aca="false">IF(AND(MOVIMIENTOS!$B199&lt;&gt;"",NOT(AND(MOVIMIENTOS!$B199="PROCESO",MOVIMIENTOS!$C199&lt;&gt;"Chancho")),NOT(AND(MOVIMIENTOS!$B199="SALDO INICIAL",MOVIMIENTOS!$C199="Chancho"))),COUNT(J$6:J199)+1,"")</f>
        <v/>
      </c>
      <c r="K200" s="48" t="str">
        <f aca="false">IF(AND(MOVIMIENTOS!$B199&lt;&gt;"",NOT(AND(MOVIMIENTOS!$B199="PROCESO",MOVIMIENTOS!$C199&lt;&gt;"Chancho")),NOT(AND(MOVIMIENTOS!$B199="SALDO INICIAL",MOVIMIENTOS!$C199="Chancho"))),MOVIMIENTOS!$A199,"")</f>
        <v/>
      </c>
      <c r="L200" s="48" t="str">
        <f aca="false">IF(AND(MOVIMIENTOS!$B199&lt;&gt;"",NOT(AND(MOVIMIENTOS!$B199="PROCESO",MOVIMIENTOS!$C199&lt;&gt;"Chancho")),NOT(AND(MOVIMIENTOS!$B199="SALDO INICIAL",MOVIMIENTOS!$C199="Chancho"))),IF(MOVIMIENTOS!$B199="SALDO INICIAL","APERTURA ("&amp;MOVIMIENTOS!$C199&amp;")",IF(MOVIMIENTOS!$B199="COMPRA","INGRESO (compra)",IF(MOVIMIENTOS!$B199="PROCESO","CHANCHO (proceso)",IF(MOVIMIENTOS!$B199="ENVÍO A SUPESA","ENVÍO cal. "&amp;MOVIMIENTOS!$C199,IF(MOVIMIENTOS!$B199="VENTA CHANCHO","VENTA CHANCHO",IF(MOVIMIENTOS!$B199="VENTA","VENTA cal. "&amp;MOVIMIENTOS!$C199,IF(MOVIMIENTOS!$B199="REGALO","REGALO "&amp;MOVIMIENTOS!$C199,IF(MOVIMIENTOS!$B199="RECHAZO","RECHAZO cal. "&amp;MOVIMIENTOS!$C199&amp;" (va a reproceso)",IF(MOVIMIENTOS!$B199="DEVOLUCIÓN","DEVOLUCIÓN cal. "&amp;MOVIMIENTOS!$C199&amp;" (regresa intacta)",IF(MOVIMIENTOS!$B199="TRASIEGO","TRASIEGO cal. "&amp;MOVIMIENTOS!$C199,MOVIMIENTOS!$B199)))))))))),"")</f>
        <v/>
      </c>
      <c r="M200" s="48" t="str">
        <f aca="false">IF(AND(AND(MOVIMIENTOS!$B199&lt;&gt;"",NOT(AND(MOVIMIENTOS!$B199="PROCESO",MOVIMIENTOS!$C199&lt;&gt;"Chancho")),NOT(AND(MOVIMIENTOS!$B199="SALDO INICIAL",MOVIMIENTOS!$C199="Chancho"))),OR(MOVIMIENTOS!$B199="SALDO INICIAL",MOVIMIENTOS!$B199="COMPRA",MOVIMIENTOS!$B199="REPROCESO",MOVIMIENTOS!$B199="DEVOLUCIÓN",AND(MOVIMIENTOS!$B199="AJUSTE",MOVIMIENTOS!$C199&lt;&gt;"Chancho",N(MOVIMIENTOS!$F199)&gt;=0))),N(MOVIMIENTOS!$F199),"")</f>
        <v/>
      </c>
      <c r="N200" s="48" t="str">
        <f aca="false">IF(AND(AND(MOVIMIENTOS!$B199&lt;&gt;"",NOT(AND(MOVIMIENTOS!$B199="PROCESO",MOVIMIENTOS!$C199&lt;&gt;"Chancho")),NOT(AND(MOVIMIENTOS!$B199="SALDO INICIAL",MOVIMIENTOS!$C199="Chancho"))),OR(MOVIMIENTOS!$B199="ENVÍO A SUPESA",MOVIMIENTOS!$B199="MALOGRADO",MOVIMIENTOS!$B199="OTRA SALIDA",MOVIMIENTOS!$B199="TRASIEGO",AND(MOVIMIENTOS!$B199="PROCESO",MOVIMIENTOS!$C199="Chancho"),AND(MOVIMIENTOS!$B199="REGALO",MOVIMIENTOS!$C199&lt;&gt;"Chancho"),AND(MOVIMIENTOS!$B199="VENTA",MOVIMIENTOS!$C199&lt;&gt;"Chancho"),AND(MOVIMIENTOS!$B199="AJUSTE",MOVIMIENTOS!$C199&lt;&gt;"Chancho",N(MOVIMIENTOS!$F199)&lt;0))),IF(MOVIMIENTOS!$B199="AJUSTE",-N(MOVIMIENTOS!$F199),N(MOVIMIENTOS!$F199)),"")</f>
        <v/>
      </c>
      <c r="O200" s="48" t="str">
        <f aca="false">IF(AND(MOVIMIENTOS!$B199&lt;&gt;"",NOT(AND(MOVIMIENTOS!$B199="PROCESO",MOVIMIENTOS!$C199&lt;&gt;"Chancho")),NOT(AND(MOVIMIENTOS!$B199="SALDO INICIAL",MOVIMIENTOS!$C199="Chancho"))),IF(MOVIMIENTOS!$B199="RECHAZO",MOVIMIENTOS!$E199&amp;" jabas rechazadas · van a reproceso",IF(MOVIMIENTOS!$B199="REPROCESO",MOVIMIENTOS!$E199&amp;" kg recuperados (merma del día: "&amp;TEXT(SUMPRODUCT((MOVIMIENTOS!$A$5:$A$400=MOVIMIENTOS!$A199)*(MOVIMIENTOS!$B$5:$B$400="RECHAZO")*(MOVIMIENTOS!$D$5:$D$400="jabas")*MOVIMIENTOS!$E$5:$E$400*IFERROR(_xlfn.SWITCH(MOVIMIENTOS!$C$5:$C$400,"A",15,"P",18,"C",17,"M",17,0),0))-SUMPRODUCT((MOVIMIENTOS!$A$5:$A$400=MOVIMIENTOS!$A199)*(MOVIMIENTOS!$B$5:$B$400="REPROCESO")*MOVIMIENTOS!$I$5:$I$400),"+#,##0;-#,##0;0")&amp;" kg)",TRIM(IF(MOVIMIENTOS!$G199&lt;&gt;"",MOVIMIENTOS!$G199&amp;"  ","")&amp;IF(N(MOVIMIENTOS!$D199)&gt;0,MOVIMIENTOS!$D199&amp;" "&amp;MOVIMIENTOS!$D199,"")))),"")</f>
        <v/>
      </c>
      <c r="P200" s="48" t="n">
        <f aca="false">N(P199)+N(M200)-N(N200)</f>
        <v>8020</v>
      </c>
      <c r="Q200" s="48"/>
      <c r="R200" s="48"/>
      <c r="S200" s="48"/>
      <c r="T200" s="48"/>
    </row>
    <row r="201" customFormat="false" ht="15" hidden="false" customHeight="true" outlineLevel="0" collapsed="false">
      <c r="A201" s="51" t="str">
        <f aca="false">IFERROR(INDEX(K$6:K$401,MATCH(ROW()-5,J$6:J$401,0)),"")</f>
        <v/>
      </c>
      <c r="B201" s="56" t="str">
        <f aca="false">IFERROR(INDEX(L$6:L$401,MATCH(ROW()-5,J$6:J$401,0)),"")</f>
        <v/>
      </c>
      <c r="C201" s="52" t="str">
        <f aca="false">IFERROR(INDEX(M$6:M$401,MATCH(ROW()-5,J$6:J$401,0)),"")</f>
        <v/>
      </c>
      <c r="D201" s="52" t="str">
        <f aca="false">IFERROR(INDEX(N$6:N$401,MATCH(ROW()-5,J$6:J$401,0)),"")</f>
        <v/>
      </c>
      <c r="E201" s="56" t="str">
        <f aca="false">IFERROR(INDEX(O$6:O$401,MATCH(ROW()-5,J$6:J$401,0)),"")</f>
        <v/>
      </c>
      <c r="F201" s="52" t="str">
        <f aca="false">IFERROR(INDEX(P$6:P$401,MATCH(ROW()-5,J$6:J$401,0)),"")</f>
        <v/>
      </c>
      <c r="G201" s="48"/>
      <c r="H201" s="48"/>
      <c r="I201" s="48"/>
      <c r="J201" s="48" t="str">
        <f aca="false">IF(AND(MOVIMIENTOS!$B200&lt;&gt;"",NOT(AND(MOVIMIENTOS!$B200="PROCESO",MOVIMIENTOS!$C200&lt;&gt;"Chancho")),NOT(AND(MOVIMIENTOS!$B200="SALDO INICIAL",MOVIMIENTOS!$C200="Chancho"))),COUNT(J$6:J200)+1,"")</f>
        <v/>
      </c>
      <c r="K201" s="48" t="str">
        <f aca="false">IF(AND(MOVIMIENTOS!$B200&lt;&gt;"",NOT(AND(MOVIMIENTOS!$B200="PROCESO",MOVIMIENTOS!$C200&lt;&gt;"Chancho")),NOT(AND(MOVIMIENTOS!$B200="SALDO INICIAL",MOVIMIENTOS!$C200="Chancho"))),MOVIMIENTOS!$A200,"")</f>
        <v/>
      </c>
      <c r="L201" s="48" t="str">
        <f aca="false">IF(AND(MOVIMIENTOS!$B200&lt;&gt;"",NOT(AND(MOVIMIENTOS!$B200="PROCESO",MOVIMIENTOS!$C200&lt;&gt;"Chancho")),NOT(AND(MOVIMIENTOS!$B200="SALDO INICIAL",MOVIMIENTOS!$C200="Chancho"))),IF(MOVIMIENTOS!$B200="SALDO INICIAL","APERTURA ("&amp;MOVIMIENTOS!$C200&amp;")",IF(MOVIMIENTOS!$B200="COMPRA","INGRESO (compra)",IF(MOVIMIENTOS!$B200="PROCESO","CHANCHO (proceso)",IF(MOVIMIENTOS!$B200="ENVÍO A SUPESA","ENVÍO cal. "&amp;MOVIMIENTOS!$C200,IF(MOVIMIENTOS!$B200="VENTA CHANCHO","VENTA CHANCHO",IF(MOVIMIENTOS!$B200="VENTA","VENTA cal. "&amp;MOVIMIENTOS!$C200,IF(MOVIMIENTOS!$B200="REGALO","REGALO "&amp;MOVIMIENTOS!$C200,IF(MOVIMIENTOS!$B200="RECHAZO","RECHAZO cal. "&amp;MOVIMIENTOS!$C200&amp;" (va a reproceso)",IF(MOVIMIENTOS!$B200="DEVOLUCIÓN","DEVOLUCIÓN cal. "&amp;MOVIMIENTOS!$C200&amp;" (regresa intacta)",IF(MOVIMIENTOS!$B200="TRASIEGO","TRASIEGO cal. "&amp;MOVIMIENTOS!$C200,MOVIMIENTOS!$B200)))))))))),"")</f>
        <v/>
      </c>
      <c r="M201" s="48" t="str">
        <f aca="false">IF(AND(AND(MOVIMIENTOS!$B200&lt;&gt;"",NOT(AND(MOVIMIENTOS!$B200="PROCESO",MOVIMIENTOS!$C200&lt;&gt;"Chancho")),NOT(AND(MOVIMIENTOS!$B200="SALDO INICIAL",MOVIMIENTOS!$C200="Chancho"))),OR(MOVIMIENTOS!$B200="SALDO INICIAL",MOVIMIENTOS!$B200="COMPRA",MOVIMIENTOS!$B200="REPROCESO",MOVIMIENTOS!$B200="DEVOLUCIÓN",AND(MOVIMIENTOS!$B200="AJUSTE",MOVIMIENTOS!$C200&lt;&gt;"Chancho",N(MOVIMIENTOS!$F200)&gt;=0))),N(MOVIMIENTOS!$F200),"")</f>
        <v/>
      </c>
      <c r="N201" s="48" t="str">
        <f aca="false">IF(AND(AND(MOVIMIENTOS!$B200&lt;&gt;"",NOT(AND(MOVIMIENTOS!$B200="PROCESO",MOVIMIENTOS!$C200&lt;&gt;"Chancho")),NOT(AND(MOVIMIENTOS!$B200="SALDO INICIAL",MOVIMIENTOS!$C200="Chancho"))),OR(MOVIMIENTOS!$B200="ENVÍO A SUPESA",MOVIMIENTOS!$B200="MALOGRADO",MOVIMIENTOS!$B200="OTRA SALIDA",MOVIMIENTOS!$B200="TRASIEGO",AND(MOVIMIENTOS!$B200="PROCESO",MOVIMIENTOS!$C200="Chancho"),AND(MOVIMIENTOS!$B200="REGALO",MOVIMIENTOS!$C200&lt;&gt;"Chancho"),AND(MOVIMIENTOS!$B200="VENTA",MOVIMIENTOS!$C200&lt;&gt;"Chancho"),AND(MOVIMIENTOS!$B200="AJUSTE",MOVIMIENTOS!$C200&lt;&gt;"Chancho",N(MOVIMIENTOS!$F200)&lt;0))),IF(MOVIMIENTOS!$B200="AJUSTE",-N(MOVIMIENTOS!$F200),N(MOVIMIENTOS!$F200)),"")</f>
        <v/>
      </c>
      <c r="O201" s="48" t="str">
        <f aca="false">IF(AND(MOVIMIENTOS!$B200&lt;&gt;"",NOT(AND(MOVIMIENTOS!$B200="PROCESO",MOVIMIENTOS!$C200&lt;&gt;"Chancho")),NOT(AND(MOVIMIENTOS!$B200="SALDO INICIAL",MOVIMIENTOS!$C200="Chancho"))),IF(MOVIMIENTOS!$B200="RECHAZO",MOVIMIENTOS!$E200&amp;" jabas rechazadas · van a reproceso",IF(MOVIMIENTOS!$B200="REPROCESO",MOVIMIENTOS!$E200&amp;" kg recuperados (merma del día: "&amp;TEXT(SUMPRODUCT((MOVIMIENTOS!$A$5:$A$400=MOVIMIENTOS!$A200)*(MOVIMIENTOS!$B$5:$B$400="RECHAZO")*(MOVIMIENTOS!$D$5:$D$400="jabas")*MOVIMIENTOS!$E$5:$E$400*IFERROR(_xlfn.SWITCH(MOVIMIENTOS!$C$5:$C$400,"A",15,"P",18,"C",17,"M",17,0),0))-SUMPRODUCT((MOVIMIENTOS!$A$5:$A$400=MOVIMIENTOS!$A200)*(MOVIMIENTOS!$B$5:$B$400="REPROCESO")*MOVIMIENTOS!$I$5:$I$400),"+#,##0;-#,##0;0")&amp;" kg)",TRIM(IF(MOVIMIENTOS!$G200&lt;&gt;"",MOVIMIENTOS!$G200&amp;"  ","")&amp;IF(N(MOVIMIENTOS!$D200)&gt;0,MOVIMIENTOS!$D200&amp;" "&amp;MOVIMIENTOS!$D200,"")))),"")</f>
        <v/>
      </c>
      <c r="P201" s="48" t="n">
        <f aca="false">N(P200)+N(M201)-N(N201)</f>
        <v>8020</v>
      </c>
      <c r="Q201" s="48"/>
      <c r="R201" s="48"/>
      <c r="S201" s="48"/>
      <c r="T201" s="48"/>
    </row>
    <row r="202" customFormat="false" ht="15" hidden="false" customHeight="true" outlineLevel="0" collapsed="false">
      <c r="A202" s="51" t="str">
        <f aca="false">IFERROR(INDEX(K$6:K$401,MATCH(ROW()-5,J$6:J$401,0)),"")</f>
        <v/>
      </c>
      <c r="B202" s="56" t="str">
        <f aca="false">IFERROR(INDEX(L$6:L$401,MATCH(ROW()-5,J$6:J$401,0)),"")</f>
        <v/>
      </c>
      <c r="C202" s="52" t="str">
        <f aca="false">IFERROR(INDEX(M$6:M$401,MATCH(ROW()-5,J$6:J$401,0)),"")</f>
        <v/>
      </c>
      <c r="D202" s="52" t="str">
        <f aca="false">IFERROR(INDEX(N$6:N$401,MATCH(ROW()-5,J$6:J$401,0)),"")</f>
        <v/>
      </c>
      <c r="E202" s="56" t="str">
        <f aca="false">IFERROR(INDEX(O$6:O$401,MATCH(ROW()-5,J$6:J$401,0)),"")</f>
        <v/>
      </c>
      <c r="F202" s="52" t="str">
        <f aca="false">IFERROR(INDEX(P$6:P$401,MATCH(ROW()-5,J$6:J$401,0)),"")</f>
        <v/>
      </c>
      <c r="G202" s="48"/>
      <c r="H202" s="48"/>
      <c r="I202" s="48"/>
      <c r="J202" s="48" t="str">
        <f aca="false">IF(AND(MOVIMIENTOS!$B201&lt;&gt;"",NOT(AND(MOVIMIENTOS!$B201="PROCESO",MOVIMIENTOS!$C201&lt;&gt;"Chancho")),NOT(AND(MOVIMIENTOS!$B201="SALDO INICIAL",MOVIMIENTOS!$C201="Chancho"))),COUNT(J$6:J201)+1,"")</f>
        <v/>
      </c>
      <c r="K202" s="48" t="str">
        <f aca="false">IF(AND(MOVIMIENTOS!$B201&lt;&gt;"",NOT(AND(MOVIMIENTOS!$B201="PROCESO",MOVIMIENTOS!$C201&lt;&gt;"Chancho")),NOT(AND(MOVIMIENTOS!$B201="SALDO INICIAL",MOVIMIENTOS!$C201="Chancho"))),MOVIMIENTOS!$A201,"")</f>
        <v/>
      </c>
      <c r="L202" s="48" t="str">
        <f aca="false">IF(AND(MOVIMIENTOS!$B201&lt;&gt;"",NOT(AND(MOVIMIENTOS!$B201="PROCESO",MOVIMIENTOS!$C201&lt;&gt;"Chancho")),NOT(AND(MOVIMIENTOS!$B201="SALDO INICIAL",MOVIMIENTOS!$C201="Chancho"))),IF(MOVIMIENTOS!$B201="SALDO INICIAL","APERTURA ("&amp;MOVIMIENTOS!$C201&amp;")",IF(MOVIMIENTOS!$B201="COMPRA","INGRESO (compra)",IF(MOVIMIENTOS!$B201="PROCESO","CHANCHO (proceso)",IF(MOVIMIENTOS!$B201="ENVÍO A SUPESA","ENVÍO cal. "&amp;MOVIMIENTOS!$C201,IF(MOVIMIENTOS!$B201="VENTA CHANCHO","VENTA CHANCHO",IF(MOVIMIENTOS!$B201="VENTA","VENTA cal. "&amp;MOVIMIENTOS!$C201,IF(MOVIMIENTOS!$B201="REGALO","REGALO "&amp;MOVIMIENTOS!$C201,IF(MOVIMIENTOS!$B201="RECHAZO","RECHAZO cal. "&amp;MOVIMIENTOS!$C201&amp;" (va a reproceso)",IF(MOVIMIENTOS!$B201="DEVOLUCIÓN","DEVOLUCIÓN cal. "&amp;MOVIMIENTOS!$C201&amp;" (regresa intacta)",IF(MOVIMIENTOS!$B201="TRASIEGO","TRASIEGO cal. "&amp;MOVIMIENTOS!$C201,MOVIMIENTOS!$B201)))))))))),"")</f>
        <v/>
      </c>
      <c r="M202" s="48" t="str">
        <f aca="false">IF(AND(AND(MOVIMIENTOS!$B201&lt;&gt;"",NOT(AND(MOVIMIENTOS!$B201="PROCESO",MOVIMIENTOS!$C201&lt;&gt;"Chancho")),NOT(AND(MOVIMIENTOS!$B201="SALDO INICIAL",MOVIMIENTOS!$C201="Chancho"))),OR(MOVIMIENTOS!$B201="SALDO INICIAL",MOVIMIENTOS!$B201="COMPRA",MOVIMIENTOS!$B201="REPROCESO",MOVIMIENTOS!$B201="DEVOLUCIÓN",AND(MOVIMIENTOS!$B201="AJUSTE",MOVIMIENTOS!$C201&lt;&gt;"Chancho",N(MOVIMIENTOS!$F201)&gt;=0))),N(MOVIMIENTOS!$F201),"")</f>
        <v/>
      </c>
      <c r="N202" s="48" t="str">
        <f aca="false">IF(AND(AND(MOVIMIENTOS!$B201&lt;&gt;"",NOT(AND(MOVIMIENTOS!$B201="PROCESO",MOVIMIENTOS!$C201&lt;&gt;"Chancho")),NOT(AND(MOVIMIENTOS!$B201="SALDO INICIAL",MOVIMIENTOS!$C201="Chancho"))),OR(MOVIMIENTOS!$B201="ENVÍO A SUPESA",MOVIMIENTOS!$B201="MALOGRADO",MOVIMIENTOS!$B201="OTRA SALIDA",MOVIMIENTOS!$B201="TRASIEGO",AND(MOVIMIENTOS!$B201="PROCESO",MOVIMIENTOS!$C201="Chancho"),AND(MOVIMIENTOS!$B201="REGALO",MOVIMIENTOS!$C201&lt;&gt;"Chancho"),AND(MOVIMIENTOS!$B201="VENTA",MOVIMIENTOS!$C201&lt;&gt;"Chancho"),AND(MOVIMIENTOS!$B201="AJUSTE",MOVIMIENTOS!$C201&lt;&gt;"Chancho",N(MOVIMIENTOS!$F201)&lt;0))),IF(MOVIMIENTOS!$B201="AJUSTE",-N(MOVIMIENTOS!$F201),N(MOVIMIENTOS!$F201)),"")</f>
        <v/>
      </c>
      <c r="O202" s="48" t="str">
        <f aca="false">IF(AND(MOVIMIENTOS!$B201&lt;&gt;"",NOT(AND(MOVIMIENTOS!$B201="PROCESO",MOVIMIENTOS!$C201&lt;&gt;"Chancho")),NOT(AND(MOVIMIENTOS!$B201="SALDO INICIAL",MOVIMIENTOS!$C201="Chancho"))),IF(MOVIMIENTOS!$B201="RECHAZO",MOVIMIENTOS!$E201&amp;" jabas rechazadas · van a reproceso",IF(MOVIMIENTOS!$B201="REPROCESO",MOVIMIENTOS!$E201&amp;" kg recuperados (merma del día: "&amp;TEXT(SUMPRODUCT((MOVIMIENTOS!$A$5:$A$400=MOVIMIENTOS!$A201)*(MOVIMIENTOS!$B$5:$B$400="RECHAZO")*(MOVIMIENTOS!$D$5:$D$400="jabas")*MOVIMIENTOS!$E$5:$E$400*IFERROR(_xlfn.SWITCH(MOVIMIENTOS!$C$5:$C$400,"A",15,"P",18,"C",17,"M",17,0),0))-SUMPRODUCT((MOVIMIENTOS!$A$5:$A$400=MOVIMIENTOS!$A201)*(MOVIMIENTOS!$B$5:$B$400="REPROCESO")*MOVIMIENTOS!$I$5:$I$400),"+#,##0;-#,##0;0")&amp;" kg)",TRIM(IF(MOVIMIENTOS!$G201&lt;&gt;"",MOVIMIENTOS!$G201&amp;"  ","")&amp;IF(N(MOVIMIENTOS!$D201)&gt;0,MOVIMIENTOS!$D201&amp;" "&amp;MOVIMIENTOS!$D201,"")))),"")</f>
        <v/>
      </c>
      <c r="P202" s="48" t="n">
        <f aca="false">N(P201)+N(M202)-N(N202)</f>
        <v>8020</v>
      </c>
      <c r="Q202" s="48"/>
      <c r="R202" s="48"/>
      <c r="S202" s="48"/>
      <c r="T202" s="48"/>
    </row>
    <row r="203" customFormat="false" ht="15" hidden="false" customHeight="true" outlineLevel="0" collapsed="false">
      <c r="A203" s="51" t="str">
        <f aca="false">IFERROR(INDEX(K$6:K$401,MATCH(ROW()-5,J$6:J$401,0)),"")</f>
        <v/>
      </c>
      <c r="B203" s="56" t="str">
        <f aca="false">IFERROR(INDEX(L$6:L$401,MATCH(ROW()-5,J$6:J$401,0)),"")</f>
        <v/>
      </c>
      <c r="C203" s="52" t="str">
        <f aca="false">IFERROR(INDEX(M$6:M$401,MATCH(ROW()-5,J$6:J$401,0)),"")</f>
        <v/>
      </c>
      <c r="D203" s="52" t="str">
        <f aca="false">IFERROR(INDEX(N$6:N$401,MATCH(ROW()-5,J$6:J$401,0)),"")</f>
        <v/>
      </c>
      <c r="E203" s="56" t="str">
        <f aca="false">IFERROR(INDEX(O$6:O$401,MATCH(ROW()-5,J$6:J$401,0)),"")</f>
        <v/>
      </c>
      <c r="F203" s="52" t="str">
        <f aca="false">IFERROR(INDEX(P$6:P$401,MATCH(ROW()-5,J$6:J$401,0)),"")</f>
        <v/>
      </c>
      <c r="G203" s="48"/>
      <c r="H203" s="48"/>
      <c r="I203" s="48"/>
      <c r="J203" s="48" t="n">
        <f aca="false">IF(AND(MOVIMIENTOS!$B202&lt;&gt;"",NOT(AND(MOVIMIENTOS!$B202="PROCESO",MOVIMIENTOS!$C202&lt;&gt;"Chancho")),NOT(AND(MOVIMIENTOS!$B202="SALDO INICIAL",MOVIMIENTOS!$C202="Chancho"))),COUNT(J$6:J202)+1,"")</f>
        <v>129</v>
      </c>
      <c r="K203" s="53" t="n">
        <f aca="false">IF(AND(MOVIMIENTOS!$B202&lt;&gt;"",NOT(AND(MOVIMIENTOS!$B202="PROCESO",MOVIMIENTOS!$C202&lt;&gt;"Chancho")),NOT(AND(MOVIMIENTOS!$B202="SALDO INICIAL",MOVIMIENTOS!$C202="Chancho"))),MOVIMIENTOS!$A202,"")</f>
        <v>46231</v>
      </c>
      <c r="L203" s="48" t="str">
        <f aca="false">IF(AND(MOVIMIENTOS!$B202&lt;&gt;"",NOT(AND(MOVIMIENTOS!$B202="PROCESO",MOVIMIENTOS!$C202&lt;&gt;"Chancho")),NOT(AND(MOVIMIENTOS!$B202="SALDO INICIAL",MOVIMIENTOS!$C202="Chancho"))),IF(MOVIMIENTOS!$B202="SALDO INICIAL","APERTURA ("&amp;MOVIMIENTOS!$C202&amp;")",IF(MOVIMIENTOS!$B202="COMPRA","INGRESO (compra)",IF(MOVIMIENTOS!$B202="PROCESO","CHANCHO (proceso)",IF(MOVIMIENTOS!$B202="ENVÍO A SUPESA","ENVÍO cal. "&amp;MOVIMIENTOS!$C202,IF(MOVIMIENTOS!$B202="VENTA CHANCHO","VENTA CHANCHO",IF(MOVIMIENTOS!$B202="VENTA","VENTA cal. "&amp;MOVIMIENTOS!$C202,IF(MOVIMIENTOS!$B202="REGALO","REGALO "&amp;MOVIMIENTOS!$C202,IF(MOVIMIENTOS!$B202="RECHAZO","RECHAZO cal. "&amp;MOVIMIENTOS!$C202&amp;" (va a reproceso)",IF(MOVIMIENTOS!$B202="DEVOLUCIÓN","DEVOLUCIÓN cal. "&amp;MOVIMIENTOS!$C202&amp;" (regresa intacta)",IF(MOVIMIENTOS!$B202="TRASIEGO","TRASIEGO cal. "&amp;MOVIMIENTOS!$C202,MOVIMIENTOS!$B202)))))))))),"")</f>
        <v>CHANCHO (proceso)</v>
      </c>
      <c r="M203" s="48" t="str">
        <f aca="false">IF(AND(AND(MOVIMIENTOS!$B202&lt;&gt;"",NOT(AND(MOVIMIENTOS!$B202="PROCESO",MOVIMIENTOS!$C202&lt;&gt;"Chancho")),NOT(AND(MOVIMIENTOS!$B202="SALDO INICIAL",MOVIMIENTOS!$C202="Chancho"))),OR(MOVIMIENTOS!$B202="SALDO INICIAL",MOVIMIENTOS!$B202="COMPRA",MOVIMIENTOS!$B202="REPROCESO",MOVIMIENTOS!$B202="DEVOLUCIÓN",AND(MOVIMIENTOS!$B202="AJUSTE",MOVIMIENTOS!$C202&lt;&gt;"Chancho",N(MOVIMIENTOS!$F202)&gt;=0))),N(MOVIMIENTOS!$F202),"")</f>
        <v/>
      </c>
      <c r="N203" s="48" t="n">
        <f aca="false">IF(AND(AND(MOVIMIENTOS!$B202&lt;&gt;"",NOT(AND(MOVIMIENTOS!$B202="PROCESO",MOVIMIENTOS!$C202&lt;&gt;"Chancho")),NOT(AND(MOVIMIENTOS!$B202="SALDO INICIAL",MOVIMIENTOS!$C202="Chancho"))),OR(MOVIMIENTOS!$B202="ENVÍO A SUPESA",MOVIMIENTOS!$B202="MALOGRADO",MOVIMIENTOS!$B202="OTRA SALIDA",MOVIMIENTOS!$B202="TRASIEGO",AND(MOVIMIENTOS!$B202="PROCESO",MOVIMIENTOS!$C202="Chancho"),AND(MOVIMIENTOS!$B202="REGALO",MOVIMIENTOS!$C202&lt;&gt;"Chancho"),AND(MOVIMIENTOS!$B202="VENTA",MOVIMIENTOS!$C202&lt;&gt;"Chancho"),AND(MOVIMIENTOS!$B202="AJUSTE",MOVIMIENTOS!$C202&lt;&gt;"Chancho",N(MOVIMIENTOS!$F202)&lt;0))),IF(MOVIMIENTOS!$B202="AJUSTE",-N(MOVIMIENTOS!$F202),N(MOVIMIENTOS!$F202)),"")</f>
        <v>2137.5</v>
      </c>
      <c r="O203" s="48" t="str">
        <f aca="false">IF(AND(MOVIMIENTOS!$B202&lt;&gt;"",NOT(AND(MOVIMIENTOS!$B202="PROCESO",MOVIMIENTOS!$C202&lt;&gt;"Chancho")),NOT(AND(MOVIMIENTOS!$B202="SALDO INICIAL",MOVIMIENTOS!$C202="Chancho"))),IF(MOVIMIENTOS!$B202="RECHAZO",MOVIMIENTOS!$E202&amp;" jabas rechazadas · van a reproceso",IF(MOVIMIENTOS!$B202="REPROCESO",MOVIMIENTOS!$E202&amp;" kg recuperados (merma del día: "&amp;TEXT(SUMPRODUCT((MOVIMIENTOS!$A$5:$A$400=MOVIMIENTOS!$A202)*(MOVIMIENTOS!$B$5:$B$400="RECHAZO")*(MOVIMIENTOS!$D$5:$D$400="jabas")*MOVIMIENTOS!$E$5:$E$400*IFERROR(_xlfn.SWITCH(MOVIMIENTOS!$C$5:$C$400,"A",15,"P",18,"C",17,"M",17,0),0))-SUMPRODUCT((MOVIMIENTOS!$A$5:$A$400=MOVIMIENTOS!$A202)*(MOVIMIENTOS!$B$5:$B$400="REPROCESO")*MOVIMIENTOS!$I$5:$I$400),"+#,##0;-#,##0;0")&amp;" kg)",TRIM(IF(MOVIMIENTOS!$G202&lt;&gt;"",MOVIMIENTOS!$G202&amp;"  ","")&amp;IF(N(MOVIMIENTOS!$D202)&gt;0,MOVIMIENTOS!$D202&amp;" "&amp;MOVIMIENTOS!$D202,"")))),"")</f>
        <v/>
      </c>
      <c r="P203" s="48" t="n">
        <f aca="false">N(P202)+N(M203)-N(N203)</f>
        <v>5882.5</v>
      </c>
      <c r="Q203" s="48"/>
      <c r="R203" s="48"/>
      <c r="S203" s="48"/>
      <c r="T203" s="48"/>
    </row>
    <row r="204" customFormat="false" ht="15" hidden="false" customHeight="true" outlineLevel="0" collapsed="false">
      <c r="A204" s="51" t="str">
        <f aca="false">IFERROR(INDEX(K$6:K$401,MATCH(ROW()-5,J$6:J$401,0)),"")</f>
        <v/>
      </c>
      <c r="B204" s="56" t="str">
        <f aca="false">IFERROR(INDEX(L$6:L$401,MATCH(ROW()-5,J$6:J$401,0)),"")</f>
        <v/>
      </c>
      <c r="C204" s="52" t="str">
        <f aca="false">IFERROR(INDEX(M$6:M$401,MATCH(ROW()-5,J$6:J$401,0)),"")</f>
        <v/>
      </c>
      <c r="D204" s="52" t="str">
        <f aca="false">IFERROR(INDEX(N$6:N$401,MATCH(ROW()-5,J$6:J$401,0)),"")</f>
        <v/>
      </c>
      <c r="E204" s="56" t="str">
        <f aca="false">IFERROR(INDEX(O$6:O$401,MATCH(ROW()-5,J$6:J$401,0)),"")</f>
        <v/>
      </c>
      <c r="F204" s="52" t="str">
        <f aca="false">IFERROR(INDEX(P$6:P$401,MATCH(ROW()-5,J$6:J$401,0)),"")</f>
        <v/>
      </c>
      <c r="G204" s="48"/>
      <c r="H204" s="48"/>
      <c r="I204" s="48"/>
      <c r="J204" s="48" t="n">
        <f aca="false">IF(AND(MOVIMIENTOS!$B203&lt;&gt;"",NOT(AND(MOVIMIENTOS!$B203="PROCESO",MOVIMIENTOS!$C203&lt;&gt;"Chancho")),NOT(AND(MOVIMIENTOS!$B203="SALDO INICIAL",MOVIMIENTOS!$C203="Chancho"))),COUNT(J$6:J203)+1,"")</f>
        <v>130</v>
      </c>
      <c r="K204" s="53" t="n">
        <f aca="false">IF(AND(MOVIMIENTOS!$B203&lt;&gt;"",NOT(AND(MOVIMIENTOS!$B203="PROCESO",MOVIMIENTOS!$C203&lt;&gt;"Chancho")),NOT(AND(MOVIMIENTOS!$B203="SALDO INICIAL",MOVIMIENTOS!$C203="Chancho"))),MOVIMIENTOS!$A203,"")</f>
        <v>46231</v>
      </c>
      <c r="L204" s="48" t="str">
        <f aca="false">IF(AND(MOVIMIENTOS!$B203&lt;&gt;"",NOT(AND(MOVIMIENTOS!$B203="PROCESO",MOVIMIENTOS!$C203&lt;&gt;"Chancho")),NOT(AND(MOVIMIENTOS!$B203="SALDO INICIAL",MOVIMIENTOS!$C203="Chancho"))),IF(MOVIMIENTOS!$B203="SALDO INICIAL","APERTURA ("&amp;MOVIMIENTOS!$C203&amp;")",IF(MOVIMIENTOS!$B203="COMPRA","INGRESO (compra)",IF(MOVIMIENTOS!$B203="PROCESO","CHANCHO (proceso)",IF(MOVIMIENTOS!$B203="ENVÍO A SUPESA","ENVÍO cal. "&amp;MOVIMIENTOS!$C203,IF(MOVIMIENTOS!$B203="VENTA CHANCHO","VENTA CHANCHO",IF(MOVIMIENTOS!$B203="VENTA","VENTA cal. "&amp;MOVIMIENTOS!$C203,IF(MOVIMIENTOS!$B203="REGALO","REGALO "&amp;MOVIMIENTOS!$C203,IF(MOVIMIENTOS!$B203="RECHAZO","RECHAZO cal. "&amp;MOVIMIENTOS!$C203&amp;" (va a reproceso)",IF(MOVIMIENTOS!$B203="DEVOLUCIÓN","DEVOLUCIÓN cal. "&amp;MOVIMIENTOS!$C203&amp;" (regresa intacta)",IF(MOVIMIENTOS!$B203="TRASIEGO","TRASIEGO cal. "&amp;MOVIMIENTOS!$C203,MOVIMIENTOS!$B203)))))))))),"")</f>
        <v>ENVÍO cal. A</v>
      </c>
      <c r="M204" s="48" t="str">
        <f aca="false">IF(AND(AND(MOVIMIENTOS!$B203&lt;&gt;"",NOT(AND(MOVIMIENTOS!$B203="PROCESO",MOVIMIENTOS!$C203&lt;&gt;"Chancho")),NOT(AND(MOVIMIENTOS!$B203="SALDO INICIAL",MOVIMIENTOS!$C203="Chancho"))),OR(MOVIMIENTOS!$B203="SALDO INICIAL",MOVIMIENTOS!$B203="COMPRA",MOVIMIENTOS!$B203="REPROCESO",MOVIMIENTOS!$B203="DEVOLUCIÓN",AND(MOVIMIENTOS!$B203="AJUSTE",MOVIMIENTOS!$C203&lt;&gt;"Chancho",N(MOVIMIENTOS!$F203)&gt;=0))),N(MOVIMIENTOS!$F203),"")</f>
        <v/>
      </c>
      <c r="N204" s="48" t="n">
        <f aca="false">IF(AND(AND(MOVIMIENTOS!$B203&lt;&gt;"",NOT(AND(MOVIMIENTOS!$B203="PROCESO",MOVIMIENTOS!$C203&lt;&gt;"Chancho")),NOT(AND(MOVIMIENTOS!$B203="SALDO INICIAL",MOVIMIENTOS!$C203="Chancho"))),OR(MOVIMIENTOS!$B203="ENVÍO A SUPESA",MOVIMIENTOS!$B203="MALOGRADO",MOVIMIENTOS!$B203="OTRA SALIDA",MOVIMIENTOS!$B203="TRASIEGO",AND(MOVIMIENTOS!$B203="PROCESO",MOVIMIENTOS!$C203="Chancho"),AND(MOVIMIENTOS!$B203="REGALO",MOVIMIENTOS!$C203&lt;&gt;"Chancho"),AND(MOVIMIENTOS!$B203="VENTA",MOVIMIENTOS!$C203&lt;&gt;"Chancho"),AND(MOVIMIENTOS!$B203="AJUSTE",MOVIMIENTOS!$C203&lt;&gt;"Chancho",N(MOVIMIENTOS!$F203)&lt;0))),IF(MOVIMIENTOS!$B203="AJUSTE",-N(MOVIMIENTOS!$F203),N(MOVIMIENTOS!$F203)),"")</f>
        <v>1005</v>
      </c>
      <c r="O204" s="48" t="str">
        <f aca="false">IF(AND(MOVIMIENTOS!$B203&lt;&gt;"",NOT(AND(MOVIMIENTOS!$B203="PROCESO",MOVIMIENTOS!$C203&lt;&gt;"Chancho")),NOT(AND(MOVIMIENTOS!$B203="SALDO INICIAL",MOVIMIENTOS!$C203="Chancho"))),IF(MOVIMIENTOS!$B203="RECHAZO",MOVIMIENTOS!$E203&amp;" jabas rechazadas · van a reproceso",IF(MOVIMIENTOS!$B203="REPROCESO",MOVIMIENTOS!$E203&amp;" kg recuperados (merma del día: "&amp;TEXT(SUMPRODUCT((MOVIMIENTOS!$A$5:$A$400=MOVIMIENTOS!$A203)*(MOVIMIENTOS!$B$5:$B$400="RECHAZO")*(MOVIMIENTOS!$D$5:$D$400="jabas")*MOVIMIENTOS!$E$5:$E$400*IFERROR(_xlfn.SWITCH(MOVIMIENTOS!$C$5:$C$400,"A",15,"P",18,"C",17,"M",17,0),0))-SUMPRODUCT((MOVIMIENTOS!$A$5:$A$400=MOVIMIENTOS!$A203)*(MOVIMIENTOS!$B$5:$B$400="REPROCESO")*MOVIMIENTOS!$I$5:$I$400),"+#,##0;-#,##0;0")&amp;" kg)",TRIM(IF(MOVIMIENTOS!$G203&lt;&gt;"",MOVIMIENTOS!$G203&amp;"  ","")&amp;IF(N(MOVIMIENTOS!$D203)&gt;0,MOVIMIENTOS!$D203&amp;" "&amp;MOVIMIENTOS!$D203,"")))),"")</f>
        <v>3023</v>
      </c>
      <c r="P204" s="48" t="n">
        <f aca="false">N(P203)+N(M204)-N(N204)</f>
        <v>4877.5</v>
      </c>
      <c r="Q204" s="48"/>
      <c r="R204" s="48"/>
      <c r="S204" s="48"/>
      <c r="T204" s="48"/>
    </row>
    <row r="205" customFormat="false" ht="15" hidden="false" customHeight="true" outlineLevel="0" collapsed="false">
      <c r="A205" s="51" t="str">
        <f aca="false">IFERROR(INDEX(K$6:K$401,MATCH(ROW()-5,J$6:J$401,0)),"")</f>
        <v/>
      </c>
      <c r="B205" s="56" t="str">
        <f aca="false">IFERROR(INDEX(L$6:L$401,MATCH(ROW()-5,J$6:J$401,0)),"")</f>
        <v/>
      </c>
      <c r="C205" s="52" t="str">
        <f aca="false">IFERROR(INDEX(M$6:M$401,MATCH(ROW()-5,J$6:J$401,0)),"")</f>
        <v/>
      </c>
      <c r="D205" s="52" t="str">
        <f aca="false">IFERROR(INDEX(N$6:N$401,MATCH(ROW()-5,J$6:J$401,0)),"")</f>
        <v/>
      </c>
      <c r="E205" s="56" t="str">
        <f aca="false">IFERROR(INDEX(O$6:O$401,MATCH(ROW()-5,J$6:J$401,0)),"")</f>
        <v/>
      </c>
      <c r="F205" s="52" t="str">
        <f aca="false">IFERROR(INDEX(P$6:P$401,MATCH(ROW()-5,J$6:J$401,0)),"")</f>
        <v/>
      </c>
      <c r="G205" s="48"/>
      <c r="H205" s="48"/>
      <c r="I205" s="48"/>
      <c r="J205" s="48" t="n">
        <f aca="false">IF(AND(MOVIMIENTOS!$B204&lt;&gt;"",NOT(AND(MOVIMIENTOS!$B204="PROCESO",MOVIMIENTOS!$C204&lt;&gt;"Chancho")),NOT(AND(MOVIMIENTOS!$B204="SALDO INICIAL",MOVIMIENTOS!$C204="Chancho"))),COUNT(J$6:J204)+1,"")</f>
        <v>131</v>
      </c>
      <c r="K205" s="53" t="n">
        <f aca="false">IF(AND(MOVIMIENTOS!$B204&lt;&gt;"",NOT(AND(MOVIMIENTOS!$B204="PROCESO",MOVIMIENTOS!$C204&lt;&gt;"Chancho")),NOT(AND(MOVIMIENTOS!$B204="SALDO INICIAL",MOVIMIENTOS!$C204="Chancho"))),MOVIMIENTOS!$A204,"")</f>
        <v>46231</v>
      </c>
      <c r="L205" s="48" t="str">
        <f aca="false">IF(AND(MOVIMIENTOS!$B204&lt;&gt;"",NOT(AND(MOVIMIENTOS!$B204="PROCESO",MOVIMIENTOS!$C204&lt;&gt;"Chancho")),NOT(AND(MOVIMIENTOS!$B204="SALDO INICIAL",MOVIMIENTOS!$C204="Chancho"))),IF(MOVIMIENTOS!$B204="SALDO INICIAL","APERTURA ("&amp;MOVIMIENTOS!$C204&amp;")",IF(MOVIMIENTOS!$B204="COMPRA","INGRESO (compra)",IF(MOVIMIENTOS!$B204="PROCESO","CHANCHO (proceso)",IF(MOVIMIENTOS!$B204="ENVÍO A SUPESA","ENVÍO cal. "&amp;MOVIMIENTOS!$C204,IF(MOVIMIENTOS!$B204="VENTA CHANCHO","VENTA CHANCHO",IF(MOVIMIENTOS!$B204="VENTA","VENTA cal. "&amp;MOVIMIENTOS!$C204,IF(MOVIMIENTOS!$B204="REGALO","REGALO "&amp;MOVIMIENTOS!$C204,IF(MOVIMIENTOS!$B204="RECHAZO","RECHAZO cal. "&amp;MOVIMIENTOS!$C204&amp;" (va a reproceso)",IF(MOVIMIENTOS!$B204="DEVOLUCIÓN","DEVOLUCIÓN cal. "&amp;MOVIMIENTOS!$C204&amp;" (regresa intacta)",IF(MOVIMIENTOS!$B204="TRASIEGO","TRASIEGO cal. "&amp;MOVIMIENTOS!$C204,MOVIMIENTOS!$B204)))))))))),"")</f>
        <v>ENVÍO cal. P</v>
      </c>
      <c r="M205" s="48" t="str">
        <f aca="false">IF(AND(AND(MOVIMIENTOS!$B204&lt;&gt;"",NOT(AND(MOVIMIENTOS!$B204="PROCESO",MOVIMIENTOS!$C204&lt;&gt;"Chancho")),NOT(AND(MOVIMIENTOS!$B204="SALDO INICIAL",MOVIMIENTOS!$C204="Chancho"))),OR(MOVIMIENTOS!$B204="SALDO INICIAL",MOVIMIENTOS!$B204="COMPRA",MOVIMIENTOS!$B204="REPROCESO",MOVIMIENTOS!$B204="DEVOLUCIÓN",AND(MOVIMIENTOS!$B204="AJUSTE",MOVIMIENTOS!$C204&lt;&gt;"Chancho",N(MOVIMIENTOS!$F204)&gt;=0))),N(MOVIMIENTOS!$F204),"")</f>
        <v/>
      </c>
      <c r="N205" s="48" t="n">
        <f aca="false">IF(AND(AND(MOVIMIENTOS!$B204&lt;&gt;"",NOT(AND(MOVIMIENTOS!$B204="PROCESO",MOVIMIENTOS!$C204&lt;&gt;"Chancho")),NOT(AND(MOVIMIENTOS!$B204="SALDO INICIAL",MOVIMIENTOS!$C204="Chancho"))),OR(MOVIMIENTOS!$B204="ENVÍO A SUPESA",MOVIMIENTOS!$B204="MALOGRADO",MOVIMIENTOS!$B204="OTRA SALIDA",MOVIMIENTOS!$B204="TRASIEGO",AND(MOVIMIENTOS!$B204="PROCESO",MOVIMIENTOS!$C204="Chancho"),AND(MOVIMIENTOS!$B204="REGALO",MOVIMIENTOS!$C204&lt;&gt;"Chancho"),AND(MOVIMIENTOS!$B204="VENTA",MOVIMIENTOS!$C204&lt;&gt;"Chancho"),AND(MOVIMIENTOS!$B204="AJUSTE",MOVIMIENTOS!$C204&lt;&gt;"Chancho",N(MOVIMIENTOS!$F204)&lt;0))),IF(MOVIMIENTOS!$B204="AJUSTE",-N(MOVIMIENTOS!$F204),N(MOVIMIENTOS!$F204)),"")</f>
        <v>198</v>
      </c>
      <c r="O205" s="48" t="str">
        <f aca="false">IF(AND(MOVIMIENTOS!$B204&lt;&gt;"",NOT(AND(MOVIMIENTOS!$B204="PROCESO",MOVIMIENTOS!$C204&lt;&gt;"Chancho")),NOT(AND(MOVIMIENTOS!$B204="SALDO INICIAL",MOVIMIENTOS!$C204="Chancho"))),IF(MOVIMIENTOS!$B204="RECHAZO",MOVIMIENTOS!$E204&amp;" jabas rechazadas · van a reproceso",IF(MOVIMIENTOS!$B204="REPROCESO",MOVIMIENTOS!$E204&amp;" kg recuperados (merma del día: "&amp;TEXT(SUMPRODUCT((MOVIMIENTOS!$A$5:$A$400=MOVIMIENTOS!$A204)*(MOVIMIENTOS!$B$5:$B$400="RECHAZO")*(MOVIMIENTOS!$D$5:$D$400="jabas")*MOVIMIENTOS!$E$5:$E$400*IFERROR(_xlfn.SWITCH(MOVIMIENTOS!$C$5:$C$400,"A",15,"P",18,"C",17,"M",17,0),0))-SUMPRODUCT((MOVIMIENTOS!$A$5:$A$400=MOVIMIENTOS!$A204)*(MOVIMIENTOS!$B$5:$B$400="REPROCESO")*MOVIMIENTOS!$I$5:$I$400),"+#,##0;-#,##0;0")&amp;" kg)",TRIM(IF(MOVIMIENTOS!$G204&lt;&gt;"",MOVIMIENTOS!$G204&amp;"  ","")&amp;IF(N(MOVIMIENTOS!$D204)&gt;0,MOVIMIENTOS!$D204&amp;" "&amp;MOVIMIENTOS!$D204,"")))),"")</f>
        <v>3023</v>
      </c>
      <c r="P205" s="48" t="n">
        <f aca="false">N(P204)+N(M205)-N(N205)</f>
        <v>4679.5</v>
      </c>
      <c r="Q205" s="48"/>
      <c r="R205" s="48"/>
      <c r="S205" s="48"/>
      <c r="T205" s="48"/>
    </row>
    <row r="206" customFormat="false" ht="15" hidden="false" customHeight="true" outlineLevel="0" collapsed="false">
      <c r="A206" s="51" t="str">
        <f aca="false">IFERROR(INDEX(K$6:K$401,MATCH(ROW()-5,J$6:J$401,0)),"")</f>
        <v/>
      </c>
      <c r="B206" s="56" t="str">
        <f aca="false">IFERROR(INDEX(L$6:L$401,MATCH(ROW()-5,J$6:J$401,0)),"")</f>
        <v/>
      </c>
      <c r="C206" s="52" t="str">
        <f aca="false">IFERROR(INDEX(M$6:M$401,MATCH(ROW()-5,J$6:J$401,0)),"")</f>
        <v/>
      </c>
      <c r="D206" s="52" t="str">
        <f aca="false">IFERROR(INDEX(N$6:N$401,MATCH(ROW()-5,J$6:J$401,0)),"")</f>
        <v/>
      </c>
      <c r="E206" s="56" t="str">
        <f aca="false">IFERROR(INDEX(O$6:O$401,MATCH(ROW()-5,J$6:J$401,0)),"")</f>
        <v/>
      </c>
      <c r="F206" s="52" t="str">
        <f aca="false">IFERROR(INDEX(P$6:P$401,MATCH(ROW()-5,J$6:J$401,0)),"")</f>
        <v/>
      </c>
      <c r="G206" s="48"/>
      <c r="H206" s="48"/>
      <c r="I206" s="48"/>
      <c r="J206" s="48" t="n">
        <f aca="false">IF(AND(MOVIMIENTOS!$B205&lt;&gt;"",NOT(AND(MOVIMIENTOS!$B205="PROCESO",MOVIMIENTOS!$C205&lt;&gt;"Chancho")),NOT(AND(MOVIMIENTOS!$B205="SALDO INICIAL",MOVIMIENTOS!$C205="Chancho"))),COUNT(J$6:J205)+1,"")</f>
        <v>132</v>
      </c>
      <c r="K206" s="53" t="n">
        <f aca="false">IF(AND(MOVIMIENTOS!$B205&lt;&gt;"",NOT(AND(MOVIMIENTOS!$B205="PROCESO",MOVIMIENTOS!$C205&lt;&gt;"Chancho")),NOT(AND(MOVIMIENTOS!$B205="SALDO INICIAL",MOVIMIENTOS!$C205="Chancho"))),MOVIMIENTOS!$A205,"")</f>
        <v>46231</v>
      </c>
      <c r="L206" s="48" t="str">
        <f aca="false">IF(AND(MOVIMIENTOS!$B205&lt;&gt;"",NOT(AND(MOVIMIENTOS!$B205="PROCESO",MOVIMIENTOS!$C205&lt;&gt;"Chancho")),NOT(AND(MOVIMIENTOS!$B205="SALDO INICIAL",MOVIMIENTOS!$C205="Chancho"))),IF(MOVIMIENTOS!$B205="SALDO INICIAL","APERTURA ("&amp;MOVIMIENTOS!$C205&amp;")",IF(MOVIMIENTOS!$B205="COMPRA","INGRESO (compra)",IF(MOVIMIENTOS!$B205="PROCESO","CHANCHO (proceso)",IF(MOVIMIENTOS!$B205="ENVÍO A SUPESA","ENVÍO cal. "&amp;MOVIMIENTOS!$C205,IF(MOVIMIENTOS!$B205="VENTA CHANCHO","VENTA CHANCHO",IF(MOVIMIENTOS!$B205="VENTA","VENTA cal. "&amp;MOVIMIENTOS!$C205,IF(MOVIMIENTOS!$B205="REGALO","REGALO "&amp;MOVIMIENTOS!$C205,IF(MOVIMIENTOS!$B205="RECHAZO","RECHAZO cal. "&amp;MOVIMIENTOS!$C205&amp;" (va a reproceso)",IF(MOVIMIENTOS!$B205="DEVOLUCIÓN","DEVOLUCIÓN cal. "&amp;MOVIMIENTOS!$C205&amp;" (regresa intacta)",IF(MOVIMIENTOS!$B205="TRASIEGO","TRASIEGO cal. "&amp;MOVIMIENTOS!$C205,MOVIMIENTOS!$B205)))))))))),"")</f>
        <v>ENVÍO cal. C</v>
      </c>
      <c r="M206" s="48" t="str">
        <f aca="false">IF(AND(AND(MOVIMIENTOS!$B205&lt;&gt;"",NOT(AND(MOVIMIENTOS!$B205="PROCESO",MOVIMIENTOS!$C205&lt;&gt;"Chancho")),NOT(AND(MOVIMIENTOS!$B205="SALDO INICIAL",MOVIMIENTOS!$C205="Chancho"))),OR(MOVIMIENTOS!$B205="SALDO INICIAL",MOVIMIENTOS!$B205="COMPRA",MOVIMIENTOS!$B205="REPROCESO",MOVIMIENTOS!$B205="DEVOLUCIÓN",AND(MOVIMIENTOS!$B205="AJUSTE",MOVIMIENTOS!$C205&lt;&gt;"Chancho",N(MOVIMIENTOS!$F205)&gt;=0))),N(MOVIMIENTOS!$F205),"")</f>
        <v/>
      </c>
      <c r="N206" s="48" t="n">
        <f aca="false">IF(AND(AND(MOVIMIENTOS!$B205&lt;&gt;"",NOT(AND(MOVIMIENTOS!$B205="PROCESO",MOVIMIENTOS!$C205&lt;&gt;"Chancho")),NOT(AND(MOVIMIENTOS!$B205="SALDO INICIAL",MOVIMIENTOS!$C205="Chancho"))),OR(MOVIMIENTOS!$B205="ENVÍO A SUPESA",MOVIMIENTOS!$B205="MALOGRADO",MOVIMIENTOS!$B205="OTRA SALIDA",MOVIMIENTOS!$B205="TRASIEGO",AND(MOVIMIENTOS!$B205="PROCESO",MOVIMIENTOS!$C205="Chancho"),AND(MOVIMIENTOS!$B205="REGALO",MOVIMIENTOS!$C205&lt;&gt;"Chancho"),AND(MOVIMIENTOS!$B205="VENTA",MOVIMIENTOS!$C205&lt;&gt;"Chancho"),AND(MOVIMIENTOS!$B205="AJUSTE",MOVIMIENTOS!$C205&lt;&gt;"Chancho",N(MOVIMIENTOS!$F205)&lt;0))),IF(MOVIMIENTOS!$B205="AJUSTE",-N(MOVIMIENTOS!$F205),N(MOVIMIENTOS!$F205)),"")</f>
        <v>170</v>
      </c>
      <c r="O206" s="48" t="str">
        <f aca="false">IF(AND(MOVIMIENTOS!$B205&lt;&gt;"",NOT(AND(MOVIMIENTOS!$B205="PROCESO",MOVIMIENTOS!$C205&lt;&gt;"Chancho")),NOT(AND(MOVIMIENTOS!$B205="SALDO INICIAL",MOVIMIENTOS!$C205="Chancho"))),IF(MOVIMIENTOS!$B205="RECHAZO",MOVIMIENTOS!$E205&amp;" jabas rechazadas · van a reproceso",IF(MOVIMIENTOS!$B205="REPROCESO",MOVIMIENTOS!$E205&amp;" kg recuperados (merma del día: "&amp;TEXT(SUMPRODUCT((MOVIMIENTOS!$A$5:$A$400=MOVIMIENTOS!$A205)*(MOVIMIENTOS!$B$5:$B$400="RECHAZO")*(MOVIMIENTOS!$D$5:$D$400="jabas")*MOVIMIENTOS!$E$5:$E$400*IFERROR(_xlfn.SWITCH(MOVIMIENTOS!$C$5:$C$400,"A",15,"P",18,"C",17,"M",17,0),0))-SUMPRODUCT((MOVIMIENTOS!$A$5:$A$400=MOVIMIENTOS!$A205)*(MOVIMIENTOS!$B$5:$B$400="REPROCESO")*MOVIMIENTOS!$I$5:$I$400),"+#,##0;-#,##0;0")&amp;" kg)",TRIM(IF(MOVIMIENTOS!$G205&lt;&gt;"",MOVIMIENTOS!$G205&amp;"  ","")&amp;IF(N(MOVIMIENTOS!$D205)&gt;0,MOVIMIENTOS!$D205&amp;" "&amp;MOVIMIENTOS!$D205,"")))),"")</f>
        <v>3023</v>
      </c>
      <c r="P206" s="48" t="n">
        <f aca="false">N(P205)+N(M206)-N(N206)</f>
        <v>4509.5</v>
      </c>
      <c r="Q206" s="48"/>
      <c r="R206" s="48"/>
      <c r="S206" s="48"/>
      <c r="T206" s="48"/>
    </row>
    <row r="207" customFormat="false" ht="15" hidden="false" customHeight="true" outlineLevel="0" collapsed="false">
      <c r="A207" s="51" t="str">
        <f aca="false">IFERROR(INDEX(K$6:K$401,MATCH(ROW()-5,J$6:J$401,0)),"")</f>
        <v/>
      </c>
      <c r="B207" s="56" t="str">
        <f aca="false">IFERROR(INDEX(L$6:L$401,MATCH(ROW()-5,J$6:J$401,0)),"")</f>
        <v/>
      </c>
      <c r="C207" s="52" t="str">
        <f aca="false">IFERROR(INDEX(M$6:M$401,MATCH(ROW()-5,J$6:J$401,0)),"")</f>
        <v/>
      </c>
      <c r="D207" s="52" t="str">
        <f aca="false">IFERROR(INDEX(N$6:N$401,MATCH(ROW()-5,J$6:J$401,0)),"")</f>
        <v/>
      </c>
      <c r="E207" s="56" t="str">
        <f aca="false">IFERROR(INDEX(O$6:O$401,MATCH(ROW()-5,J$6:J$401,0)),"")</f>
        <v/>
      </c>
      <c r="F207" s="52" t="str">
        <f aca="false">IFERROR(INDEX(P$6:P$401,MATCH(ROW()-5,J$6:J$401,0)),"")</f>
        <v/>
      </c>
      <c r="G207" s="48"/>
      <c r="H207" s="48"/>
      <c r="I207" s="48"/>
      <c r="J207" s="48" t="n">
        <f aca="false">IF(AND(MOVIMIENTOS!$B206&lt;&gt;"",NOT(AND(MOVIMIENTOS!$B206="PROCESO",MOVIMIENTOS!$C206&lt;&gt;"Chancho")),NOT(AND(MOVIMIENTOS!$B206="SALDO INICIAL",MOVIMIENTOS!$C206="Chancho"))),COUNT(J$6:J206)+1,"")</f>
        <v>133</v>
      </c>
      <c r="K207" s="53" t="n">
        <f aca="false">IF(AND(MOVIMIENTOS!$B206&lt;&gt;"",NOT(AND(MOVIMIENTOS!$B206="PROCESO",MOVIMIENTOS!$C206&lt;&gt;"Chancho")),NOT(AND(MOVIMIENTOS!$B206="SALDO INICIAL",MOVIMIENTOS!$C206="Chancho"))),MOVIMIENTOS!$A206,"")</f>
        <v>46231</v>
      </c>
      <c r="L207" s="48" t="str">
        <f aca="false">IF(AND(MOVIMIENTOS!$B206&lt;&gt;"",NOT(AND(MOVIMIENTOS!$B206="PROCESO",MOVIMIENTOS!$C206&lt;&gt;"Chancho")),NOT(AND(MOVIMIENTOS!$B206="SALDO INICIAL",MOVIMIENTOS!$C206="Chancho"))),IF(MOVIMIENTOS!$B206="SALDO INICIAL","APERTURA ("&amp;MOVIMIENTOS!$C206&amp;")",IF(MOVIMIENTOS!$B206="COMPRA","INGRESO (compra)",IF(MOVIMIENTOS!$B206="PROCESO","CHANCHO (proceso)",IF(MOVIMIENTOS!$B206="ENVÍO A SUPESA","ENVÍO cal. "&amp;MOVIMIENTOS!$C206,IF(MOVIMIENTOS!$B206="VENTA CHANCHO","VENTA CHANCHO",IF(MOVIMIENTOS!$B206="VENTA","VENTA cal. "&amp;MOVIMIENTOS!$C206,IF(MOVIMIENTOS!$B206="REGALO","REGALO "&amp;MOVIMIENTOS!$C206,IF(MOVIMIENTOS!$B206="RECHAZO","RECHAZO cal. "&amp;MOVIMIENTOS!$C206&amp;" (va a reproceso)",IF(MOVIMIENTOS!$B206="DEVOLUCIÓN","DEVOLUCIÓN cal. "&amp;MOVIMIENTOS!$C206&amp;" (regresa intacta)",IF(MOVIMIENTOS!$B206="TRASIEGO","TRASIEGO cal. "&amp;MOVIMIENTOS!$C206,MOVIMIENTOS!$B206)))))))))),"")</f>
        <v>ENVÍO cal. M</v>
      </c>
      <c r="M207" s="48" t="str">
        <f aca="false">IF(AND(AND(MOVIMIENTOS!$B206&lt;&gt;"",NOT(AND(MOVIMIENTOS!$B206="PROCESO",MOVIMIENTOS!$C206&lt;&gt;"Chancho")),NOT(AND(MOVIMIENTOS!$B206="SALDO INICIAL",MOVIMIENTOS!$C206="Chancho"))),OR(MOVIMIENTOS!$B206="SALDO INICIAL",MOVIMIENTOS!$B206="COMPRA",MOVIMIENTOS!$B206="REPROCESO",MOVIMIENTOS!$B206="DEVOLUCIÓN",AND(MOVIMIENTOS!$B206="AJUSTE",MOVIMIENTOS!$C206&lt;&gt;"Chancho",N(MOVIMIENTOS!$F206)&gt;=0))),N(MOVIMIENTOS!$F206),"")</f>
        <v/>
      </c>
      <c r="N207" s="48" t="n">
        <f aca="false">IF(AND(AND(MOVIMIENTOS!$B206&lt;&gt;"",NOT(AND(MOVIMIENTOS!$B206="PROCESO",MOVIMIENTOS!$C206&lt;&gt;"Chancho")),NOT(AND(MOVIMIENTOS!$B206="SALDO INICIAL",MOVIMIENTOS!$C206="Chancho"))),OR(MOVIMIENTOS!$B206="ENVÍO A SUPESA",MOVIMIENTOS!$B206="MALOGRADO",MOVIMIENTOS!$B206="OTRA SALIDA",MOVIMIENTOS!$B206="TRASIEGO",AND(MOVIMIENTOS!$B206="PROCESO",MOVIMIENTOS!$C206="Chancho"),AND(MOVIMIENTOS!$B206="REGALO",MOVIMIENTOS!$C206&lt;&gt;"Chancho"),AND(MOVIMIENTOS!$B206="VENTA",MOVIMIENTOS!$C206&lt;&gt;"Chancho"),AND(MOVIMIENTOS!$B206="AJUSTE",MOVIMIENTOS!$C206&lt;&gt;"Chancho",N(MOVIMIENTOS!$F206)&lt;0))),IF(MOVIMIENTOS!$B206="AJUSTE",-N(MOVIMIENTOS!$F206),N(MOVIMIENTOS!$F206)),"")</f>
        <v>2006</v>
      </c>
      <c r="O207" s="48" t="str">
        <f aca="false">IF(AND(MOVIMIENTOS!$B206&lt;&gt;"",NOT(AND(MOVIMIENTOS!$B206="PROCESO",MOVIMIENTOS!$C206&lt;&gt;"Chancho")),NOT(AND(MOVIMIENTOS!$B206="SALDO INICIAL",MOVIMIENTOS!$C206="Chancho"))),IF(MOVIMIENTOS!$B206="RECHAZO",MOVIMIENTOS!$E206&amp;" jabas rechazadas · van a reproceso",IF(MOVIMIENTOS!$B206="REPROCESO",MOVIMIENTOS!$E206&amp;" kg recuperados (merma del día: "&amp;TEXT(SUMPRODUCT((MOVIMIENTOS!$A$5:$A$400=MOVIMIENTOS!$A206)*(MOVIMIENTOS!$B$5:$B$400="RECHAZO")*(MOVIMIENTOS!$D$5:$D$400="jabas")*MOVIMIENTOS!$E$5:$E$400*IFERROR(_xlfn.SWITCH(MOVIMIENTOS!$C$5:$C$400,"A",15,"P",18,"C",17,"M",17,0),0))-SUMPRODUCT((MOVIMIENTOS!$A$5:$A$400=MOVIMIENTOS!$A206)*(MOVIMIENTOS!$B$5:$B$400="REPROCESO")*MOVIMIENTOS!$I$5:$I$400),"+#,##0;-#,##0;0")&amp;" kg)",TRIM(IF(MOVIMIENTOS!$G206&lt;&gt;"",MOVIMIENTOS!$G206&amp;"  ","")&amp;IF(N(MOVIMIENTOS!$D206)&gt;0,MOVIMIENTOS!$D206&amp;" "&amp;MOVIMIENTOS!$D206,"")))),"")</f>
        <v>3023</v>
      </c>
      <c r="P207" s="48" t="n">
        <f aca="false">N(P206)+N(M207)-N(N207)</f>
        <v>2503.5</v>
      </c>
      <c r="Q207" s="48"/>
      <c r="R207" s="48"/>
      <c r="S207" s="48"/>
      <c r="T207" s="48"/>
    </row>
    <row r="208" customFormat="false" ht="15" hidden="false" customHeight="true" outlineLevel="0" collapsed="false">
      <c r="A208" s="51" t="str">
        <f aca="false">IFERROR(INDEX(K$6:K$401,MATCH(ROW()-5,J$6:J$401,0)),"")</f>
        <v/>
      </c>
      <c r="B208" s="56" t="str">
        <f aca="false">IFERROR(INDEX(L$6:L$401,MATCH(ROW()-5,J$6:J$401,0)),"")</f>
        <v/>
      </c>
      <c r="C208" s="52" t="str">
        <f aca="false">IFERROR(INDEX(M$6:M$401,MATCH(ROW()-5,J$6:J$401,0)),"")</f>
        <v/>
      </c>
      <c r="D208" s="52" t="str">
        <f aca="false">IFERROR(INDEX(N$6:N$401,MATCH(ROW()-5,J$6:J$401,0)),"")</f>
        <v/>
      </c>
      <c r="E208" s="56" t="str">
        <f aca="false">IFERROR(INDEX(O$6:O$401,MATCH(ROW()-5,J$6:J$401,0)),"")</f>
        <v/>
      </c>
      <c r="F208" s="52" t="str">
        <f aca="false">IFERROR(INDEX(P$6:P$401,MATCH(ROW()-5,J$6:J$401,0)),"")</f>
        <v/>
      </c>
      <c r="G208" s="48"/>
      <c r="H208" s="48"/>
      <c r="I208" s="48"/>
      <c r="J208" s="48" t="n">
        <f aca="false">IF(AND(MOVIMIENTOS!$B207&lt;&gt;"",NOT(AND(MOVIMIENTOS!$B207="PROCESO",MOVIMIENTOS!$C207&lt;&gt;"Chancho")),NOT(AND(MOVIMIENTOS!$B207="SALDO INICIAL",MOVIMIENTOS!$C207="Chancho"))),COUNT(J$6:J207)+1,"")</f>
        <v>134</v>
      </c>
      <c r="K208" s="53" t="n">
        <f aca="false">IF(AND(MOVIMIENTOS!$B207&lt;&gt;"",NOT(AND(MOVIMIENTOS!$B207="PROCESO",MOVIMIENTOS!$C207&lt;&gt;"Chancho")),NOT(AND(MOVIMIENTOS!$B207="SALDO INICIAL",MOVIMIENTOS!$C207="Chancho"))),MOVIMIENTOS!$A207,"")</f>
        <v>46232</v>
      </c>
      <c r="L208" s="48" t="str">
        <f aca="false">IF(AND(MOVIMIENTOS!$B207&lt;&gt;"",NOT(AND(MOVIMIENTOS!$B207="PROCESO",MOVIMIENTOS!$C207&lt;&gt;"Chancho")),NOT(AND(MOVIMIENTOS!$B207="SALDO INICIAL",MOVIMIENTOS!$C207="Chancho"))),IF(MOVIMIENTOS!$B207="SALDO INICIAL","APERTURA ("&amp;MOVIMIENTOS!$C207&amp;")",IF(MOVIMIENTOS!$B207="COMPRA","INGRESO (compra)",IF(MOVIMIENTOS!$B207="PROCESO","CHANCHO (proceso)",IF(MOVIMIENTOS!$B207="ENVÍO A SUPESA","ENVÍO cal. "&amp;MOVIMIENTOS!$C207,IF(MOVIMIENTOS!$B207="VENTA CHANCHO","VENTA CHANCHO",IF(MOVIMIENTOS!$B207="VENTA","VENTA cal. "&amp;MOVIMIENTOS!$C207,IF(MOVIMIENTOS!$B207="REGALO","REGALO "&amp;MOVIMIENTOS!$C207,IF(MOVIMIENTOS!$B207="RECHAZO","RECHAZO cal. "&amp;MOVIMIENTOS!$C207&amp;" (va a reproceso)",IF(MOVIMIENTOS!$B207="DEVOLUCIÓN","DEVOLUCIÓN cal. "&amp;MOVIMIENTOS!$C207&amp;" (regresa intacta)",IF(MOVIMIENTOS!$B207="TRASIEGO","TRASIEGO cal. "&amp;MOVIMIENTOS!$C207,MOVIMIENTOS!$B207)))))))))),"")</f>
        <v>ENVÍO cal. A</v>
      </c>
      <c r="M208" s="48" t="str">
        <f aca="false">IF(AND(AND(MOVIMIENTOS!$B207&lt;&gt;"",NOT(AND(MOVIMIENTOS!$B207="PROCESO",MOVIMIENTOS!$C207&lt;&gt;"Chancho")),NOT(AND(MOVIMIENTOS!$B207="SALDO INICIAL",MOVIMIENTOS!$C207="Chancho"))),OR(MOVIMIENTOS!$B207="SALDO INICIAL",MOVIMIENTOS!$B207="COMPRA",MOVIMIENTOS!$B207="REPROCESO",MOVIMIENTOS!$B207="DEVOLUCIÓN",AND(MOVIMIENTOS!$B207="AJUSTE",MOVIMIENTOS!$C207&lt;&gt;"Chancho",N(MOVIMIENTOS!$F207)&gt;=0))),N(MOVIMIENTOS!$F207),"")</f>
        <v/>
      </c>
      <c r="N208" s="48" t="n">
        <f aca="false">IF(AND(AND(MOVIMIENTOS!$B207&lt;&gt;"",NOT(AND(MOVIMIENTOS!$B207="PROCESO",MOVIMIENTOS!$C207&lt;&gt;"Chancho")),NOT(AND(MOVIMIENTOS!$B207="SALDO INICIAL",MOVIMIENTOS!$C207="Chancho"))),OR(MOVIMIENTOS!$B207="ENVÍO A SUPESA",MOVIMIENTOS!$B207="MALOGRADO",MOVIMIENTOS!$B207="OTRA SALIDA",MOVIMIENTOS!$B207="TRASIEGO",AND(MOVIMIENTOS!$B207="PROCESO",MOVIMIENTOS!$C207="Chancho"),AND(MOVIMIENTOS!$B207="REGALO",MOVIMIENTOS!$C207&lt;&gt;"Chancho"),AND(MOVIMIENTOS!$B207="VENTA",MOVIMIENTOS!$C207&lt;&gt;"Chancho"),AND(MOVIMIENTOS!$B207="AJUSTE",MOVIMIENTOS!$C207&lt;&gt;"Chancho",N(MOVIMIENTOS!$F207)&lt;0))),IF(MOVIMIENTOS!$B207="AJUSTE",-N(MOVIMIENTOS!$F207),N(MOVIMIENTOS!$F207)),"")</f>
        <v>1005</v>
      </c>
      <c r="O208" s="48" t="str">
        <f aca="false">IF(AND(MOVIMIENTOS!$B207&lt;&gt;"",NOT(AND(MOVIMIENTOS!$B207="PROCESO",MOVIMIENTOS!$C207&lt;&gt;"Chancho")),NOT(AND(MOVIMIENTOS!$B207="SALDO INICIAL",MOVIMIENTOS!$C207="Chancho"))),IF(MOVIMIENTOS!$B207="RECHAZO",MOVIMIENTOS!$E207&amp;" jabas rechazadas · van a reproceso",IF(MOVIMIENTOS!$B207="REPROCESO",MOVIMIENTOS!$E207&amp;" kg recuperados (merma del día: "&amp;TEXT(SUMPRODUCT((MOVIMIENTOS!$A$5:$A$400=MOVIMIENTOS!$A207)*(MOVIMIENTOS!$B$5:$B$400="RECHAZO")*(MOVIMIENTOS!$D$5:$D$400="jabas")*MOVIMIENTOS!$E$5:$E$400*IFERROR(_xlfn.SWITCH(MOVIMIENTOS!$C$5:$C$400,"A",15,"P",18,"C",17,"M",17,0),0))-SUMPRODUCT((MOVIMIENTOS!$A$5:$A$400=MOVIMIENTOS!$A207)*(MOVIMIENTOS!$B$5:$B$400="REPROCESO")*MOVIMIENTOS!$I$5:$I$400),"+#,##0;-#,##0;0")&amp;" kg)",TRIM(IF(MOVIMIENTOS!$G207&lt;&gt;"",MOVIMIENTOS!$G207&amp;"  ","")&amp;IF(N(MOVIMIENTOS!$D207)&gt;0,MOVIMIENTOS!$D207&amp;" "&amp;MOVIMIENTOS!$D207,"")))),"")</f>
        <v>3023</v>
      </c>
      <c r="P208" s="48" t="n">
        <f aca="false">N(P207)+N(M208)-N(N208)</f>
        <v>1498.5</v>
      </c>
      <c r="Q208" s="48"/>
      <c r="R208" s="48"/>
      <c r="S208" s="48"/>
      <c r="T208" s="48"/>
    </row>
    <row r="209" customFormat="false" ht="15" hidden="false" customHeight="true" outlineLevel="0" collapsed="false">
      <c r="A209" s="51" t="str">
        <f aca="false">IFERROR(INDEX(K$6:K$401,MATCH(ROW()-5,J$6:J$401,0)),"")</f>
        <v/>
      </c>
      <c r="B209" s="56" t="str">
        <f aca="false">IFERROR(INDEX(L$6:L$401,MATCH(ROW()-5,J$6:J$401,0)),"")</f>
        <v/>
      </c>
      <c r="C209" s="52" t="str">
        <f aca="false">IFERROR(INDEX(M$6:M$401,MATCH(ROW()-5,J$6:J$401,0)),"")</f>
        <v/>
      </c>
      <c r="D209" s="52" t="str">
        <f aca="false">IFERROR(INDEX(N$6:N$401,MATCH(ROW()-5,J$6:J$401,0)),"")</f>
        <v/>
      </c>
      <c r="E209" s="56" t="str">
        <f aca="false">IFERROR(INDEX(O$6:O$401,MATCH(ROW()-5,J$6:J$401,0)),"")</f>
        <v/>
      </c>
      <c r="F209" s="52" t="str">
        <f aca="false">IFERROR(INDEX(P$6:P$401,MATCH(ROW()-5,J$6:J$401,0)),"")</f>
        <v/>
      </c>
      <c r="G209" s="48"/>
      <c r="H209" s="48"/>
      <c r="I209" s="48"/>
      <c r="J209" s="48" t="n">
        <f aca="false">IF(AND(MOVIMIENTOS!$B208&lt;&gt;"",NOT(AND(MOVIMIENTOS!$B208="PROCESO",MOVIMIENTOS!$C208&lt;&gt;"Chancho")),NOT(AND(MOVIMIENTOS!$B208="SALDO INICIAL",MOVIMIENTOS!$C208="Chancho"))),COUNT(J$6:J208)+1,"")</f>
        <v>135</v>
      </c>
      <c r="K209" s="53" t="n">
        <f aca="false">IF(AND(MOVIMIENTOS!$B208&lt;&gt;"",NOT(AND(MOVIMIENTOS!$B208="PROCESO",MOVIMIENTOS!$C208&lt;&gt;"Chancho")),NOT(AND(MOVIMIENTOS!$B208="SALDO INICIAL",MOVIMIENTOS!$C208="Chancho"))),MOVIMIENTOS!$A208,"")</f>
        <v>46232</v>
      </c>
      <c r="L209" s="48" t="str">
        <f aca="false">IF(AND(MOVIMIENTOS!$B208&lt;&gt;"",NOT(AND(MOVIMIENTOS!$B208="PROCESO",MOVIMIENTOS!$C208&lt;&gt;"Chancho")),NOT(AND(MOVIMIENTOS!$B208="SALDO INICIAL",MOVIMIENTOS!$C208="Chancho"))),IF(MOVIMIENTOS!$B208="SALDO INICIAL","APERTURA ("&amp;MOVIMIENTOS!$C208&amp;")",IF(MOVIMIENTOS!$B208="COMPRA","INGRESO (compra)",IF(MOVIMIENTOS!$B208="PROCESO","CHANCHO (proceso)",IF(MOVIMIENTOS!$B208="ENVÍO A SUPESA","ENVÍO cal. "&amp;MOVIMIENTOS!$C208,IF(MOVIMIENTOS!$B208="VENTA CHANCHO","VENTA CHANCHO",IF(MOVIMIENTOS!$B208="VENTA","VENTA cal. "&amp;MOVIMIENTOS!$C208,IF(MOVIMIENTOS!$B208="REGALO","REGALO "&amp;MOVIMIENTOS!$C208,IF(MOVIMIENTOS!$B208="RECHAZO","RECHAZO cal. "&amp;MOVIMIENTOS!$C208&amp;" (va a reproceso)",IF(MOVIMIENTOS!$B208="DEVOLUCIÓN","DEVOLUCIÓN cal. "&amp;MOVIMIENTOS!$C208&amp;" (regresa intacta)",IF(MOVIMIENTOS!$B208="TRASIEGO","TRASIEGO cal. "&amp;MOVIMIENTOS!$C208,MOVIMIENTOS!$B208)))))))))),"")</f>
        <v>ENVÍO cal. P</v>
      </c>
      <c r="M209" s="48" t="str">
        <f aca="false">IF(AND(AND(MOVIMIENTOS!$B208&lt;&gt;"",NOT(AND(MOVIMIENTOS!$B208="PROCESO",MOVIMIENTOS!$C208&lt;&gt;"Chancho")),NOT(AND(MOVIMIENTOS!$B208="SALDO INICIAL",MOVIMIENTOS!$C208="Chancho"))),OR(MOVIMIENTOS!$B208="SALDO INICIAL",MOVIMIENTOS!$B208="COMPRA",MOVIMIENTOS!$B208="REPROCESO",MOVIMIENTOS!$B208="DEVOLUCIÓN",AND(MOVIMIENTOS!$B208="AJUSTE",MOVIMIENTOS!$C208&lt;&gt;"Chancho",N(MOVIMIENTOS!$F208)&gt;=0))),N(MOVIMIENTOS!$F208),"")</f>
        <v/>
      </c>
      <c r="N209" s="48" t="n">
        <f aca="false">IF(AND(AND(MOVIMIENTOS!$B208&lt;&gt;"",NOT(AND(MOVIMIENTOS!$B208="PROCESO",MOVIMIENTOS!$C208&lt;&gt;"Chancho")),NOT(AND(MOVIMIENTOS!$B208="SALDO INICIAL",MOVIMIENTOS!$C208="Chancho"))),OR(MOVIMIENTOS!$B208="ENVÍO A SUPESA",MOVIMIENTOS!$B208="MALOGRADO",MOVIMIENTOS!$B208="OTRA SALIDA",MOVIMIENTOS!$B208="TRASIEGO",AND(MOVIMIENTOS!$B208="PROCESO",MOVIMIENTOS!$C208="Chancho"),AND(MOVIMIENTOS!$B208="REGALO",MOVIMIENTOS!$C208&lt;&gt;"Chancho"),AND(MOVIMIENTOS!$B208="VENTA",MOVIMIENTOS!$C208&lt;&gt;"Chancho"),AND(MOVIMIENTOS!$B208="AJUSTE",MOVIMIENTOS!$C208&lt;&gt;"Chancho",N(MOVIMIENTOS!$F208)&lt;0))),IF(MOVIMIENTOS!$B208="AJUSTE",-N(MOVIMIENTOS!$F208),N(MOVIMIENTOS!$F208)),"")</f>
        <v>72</v>
      </c>
      <c r="O209" s="48" t="str">
        <f aca="false">IF(AND(MOVIMIENTOS!$B208&lt;&gt;"",NOT(AND(MOVIMIENTOS!$B208="PROCESO",MOVIMIENTOS!$C208&lt;&gt;"Chancho")),NOT(AND(MOVIMIENTOS!$B208="SALDO INICIAL",MOVIMIENTOS!$C208="Chancho"))),IF(MOVIMIENTOS!$B208="RECHAZO",MOVIMIENTOS!$E208&amp;" jabas rechazadas · van a reproceso",IF(MOVIMIENTOS!$B208="REPROCESO",MOVIMIENTOS!$E208&amp;" kg recuperados (merma del día: "&amp;TEXT(SUMPRODUCT((MOVIMIENTOS!$A$5:$A$400=MOVIMIENTOS!$A208)*(MOVIMIENTOS!$B$5:$B$400="RECHAZO")*(MOVIMIENTOS!$D$5:$D$400="jabas")*MOVIMIENTOS!$E$5:$E$400*IFERROR(_xlfn.SWITCH(MOVIMIENTOS!$C$5:$C$400,"A",15,"P",18,"C",17,"M",17,0),0))-SUMPRODUCT((MOVIMIENTOS!$A$5:$A$400=MOVIMIENTOS!$A208)*(MOVIMIENTOS!$B$5:$B$400="REPROCESO")*MOVIMIENTOS!$I$5:$I$400),"+#,##0;-#,##0;0")&amp;" kg)",TRIM(IF(MOVIMIENTOS!$G208&lt;&gt;"",MOVIMIENTOS!$G208&amp;"  ","")&amp;IF(N(MOVIMIENTOS!$D208)&gt;0,MOVIMIENTOS!$D208&amp;" "&amp;MOVIMIENTOS!$D208,"")))),"")</f>
        <v>3023</v>
      </c>
      <c r="P209" s="48" t="n">
        <f aca="false">N(P208)+N(M209)-N(N209)</f>
        <v>1426.5</v>
      </c>
      <c r="Q209" s="48"/>
      <c r="R209" s="48"/>
      <c r="S209" s="48"/>
      <c r="T209" s="48"/>
    </row>
    <row r="210" customFormat="false" ht="15" hidden="false" customHeight="true" outlineLevel="0" collapsed="false">
      <c r="A210" s="51" t="str">
        <f aca="false">IFERROR(INDEX(K$6:K$401,MATCH(ROW()-5,J$6:J$401,0)),"")</f>
        <v/>
      </c>
      <c r="B210" s="56" t="str">
        <f aca="false">IFERROR(INDEX(L$6:L$401,MATCH(ROW()-5,J$6:J$401,0)),"")</f>
        <v/>
      </c>
      <c r="C210" s="52" t="str">
        <f aca="false">IFERROR(INDEX(M$6:M$401,MATCH(ROW()-5,J$6:J$401,0)),"")</f>
        <v/>
      </c>
      <c r="D210" s="52" t="str">
        <f aca="false">IFERROR(INDEX(N$6:N$401,MATCH(ROW()-5,J$6:J$401,0)),"")</f>
        <v/>
      </c>
      <c r="E210" s="56" t="str">
        <f aca="false">IFERROR(INDEX(O$6:O$401,MATCH(ROW()-5,J$6:J$401,0)),"")</f>
        <v/>
      </c>
      <c r="F210" s="52" t="str">
        <f aca="false">IFERROR(INDEX(P$6:P$401,MATCH(ROW()-5,J$6:J$401,0)),"")</f>
        <v/>
      </c>
      <c r="G210" s="48"/>
      <c r="H210" s="48"/>
      <c r="I210" s="48"/>
      <c r="J210" s="48" t="n">
        <f aca="false">IF(AND(MOVIMIENTOS!$B209&lt;&gt;"",NOT(AND(MOVIMIENTOS!$B209="PROCESO",MOVIMIENTOS!$C209&lt;&gt;"Chancho")),NOT(AND(MOVIMIENTOS!$B209="SALDO INICIAL",MOVIMIENTOS!$C209="Chancho"))),COUNT(J$6:J209)+1,"")</f>
        <v>136</v>
      </c>
      <c r="K210" s="53" t="n">
        <f aca="false">IF(AND(MOVIMIENTOS!$B209&lt;&gt;"",NOT(AND(MOVIMIENTOS!$B209="PROCESO",MOVIMIENTOS!$C209&lt;&gt;"Chancho")),NOT(AND(MOVIMIENTOS!$B209="SALDO INICIAL",MOVIMIENTOS!$C209="Chancho"))),MOVIMIENTOS!$A209,"")</f>
        <v>46232</v>
      </c>
      <c r="L210" s="48" t="str">
        <f aca="false">IF(AND(MOVIMIENTOS!$B209&lt;&gt;"",NOT(AND(MOVIMIENTOS!$B209="PROCESO",MOVIMIENTOS!$C209&lt;&gt;"Chancho")),NOT(AND(MOVIMIENTOS!$B209="SALDO INICIAL",MOVIMIENTOS!$C209="Chancho"))),IF(MOVIMIENTOS!$B209="SALDO INICIAL","APERTURA ("&amp;MOVIMIENTOS!$C209&amp;")",IF(MOVIMIENTOS!$B209="COMPRA","INGRESO (compra)",IF(MOVIMIENTOS!$B209="PROCESO","CHANCHO (proceso)",IF(MOVIMIENTOS!$B209="ENVÍO A SUPESA","ENVÍO cal. "&amp;MOVIMIENTOS!$C209,IF(MOVIMIENTOS!$B209="VENTA CHANCHO","VENTA CHANCHO",IF(MOVIMIENTOS!$B209="VENTA","VENTA cal. "&amp;MOVIMIENTOS!$C209,IF(MOVIMIENTOS!$B209="REGALO","REGALO "&amp;MOVIMIENTOS!$C209,IF(MOVIMIENTOS!$B209="RECHAZO","RECHAZO cal. "&amp;MOVIMIENTOS!$C209&amp;" (va a reproceso)",IF(MOVIMIENTOS!$B209="DEVOLUCIÓN","DEVOLUCIÓN cal. "&amp;MOVIMIENTOS!$C209&amp;" (regresa intacta)",IF(MOVIMIENTOS!$B209="TRASIEGO","TRASIEGO cal. "&amp;MOVIMIENTOS!$C209,MOVIMIENTOS!$B209)))))))))),"")</f>
        <v>ENVÍO cal. C</v>
      </c>
      <c r="M210" s="48" t="str">
        <f aca="false">IF(AND(AND(MOVIMIENTOS!$B209&lt;&gt;"",NOT(AND(MOVIMIENTOS!$B209="PROCESO",MOVIMIENTOS!$C209&lt;&gt;"Chancho")),NOT(AND(MOVIMIENTOS!$B209="SALDO INICIAL",MOVIMIENTOS!$C209="Chancho"))),OR(MOVIMIENTOS!$B209="SALDO INICIAL",MOVIMIENTOS!$B209="COMPRA",MOVIMIENTOS!$B209="REPROCESO",MOVIMIENTOS!$B209="DEVOLUCIÓN",AND(MOVIMIENTOS!$B209="AJUSTE",MOVIMIENTOS!$C209&lt;&gt;"Chancho",N(MOVIMIENTOS!$F209)&gt;=0))),N(MOVIMIENTOS!$F209),"")</f>
        <v/>
      </c>
      <c r="N210" s="48" t="n">
        <f aca="false">IF(AND(AND(MOVIMIENTOS!$B209&lt;&gt;"",NOT(AND(MOVIMIENTOS!$B209="PROCESO",MOVIMIENTOS!$C209&lt;&gt;"Chancho")),NOT(AND(MOVIMIENTOS!$B209="SALDO INICIAL",MOVIMIENTOS!$C209="Chancho"))),OR(MOVIMIENTOS!$B209="ENVÍO A SUPESA",MOVIMIENTOS!$B209="MALOGRADO",MOVIMIENTOS!$B209="OTRA SALIDA",MOVIMIENTOS!$B209="TRASIEGO",AND(MOVIMIENTOS!$B209="PROCESO",MOVIMIENTOS!$C209="Chancho"),AND(MOVIMIENTOS!$B209="REGALO",MOVIMIENTOS!$C209&lt;&gt;"Chancho"),AND(MOVIMIENTOS!$B209="VENTA",MOVIMIENTOS!$C209&lt;&gt;"Chancho"),AND(MOVIMIENTOS!$B209="AJUSTE",MOVIMIENTOS!$C209&lt;&gt;"Chancho",N(MOVIMIENTOS!$F209)&lt;0))),IF(MOVIMIENTOS!$B209="AJUSTE",-N(MOVIMIENTOS!$F209),N(MOVIMIENTOS!$F209)),"")</f>
        <v>204</v>
      </c>
      <c r="O210" s="48" t="str">
        <f aca="false">IF(AND(MOVIMIENTOS!$B209&lt;&gt;"",NOT(AND(MOVIMIENTOS!$B209="PROCESO",MOVIMIENTOS!$C209&lt;&gt;"Chancho")),NOT(AND(MOVIMIENTOS!$B209="SALDO INICIAL",MOVIMIENTOS!$C209="Chancho"))),IF(MOVIMIENTOS!$B209="RECHAZO",MOVIMIENTOS!$E209&amp;" jabas rechazadas · van a reproceso",IF(MOVIMIENTOS!$B209="REPROCESO",MOVIMIENTOS!$E209&amp;" kg recuperados (merma del día: "&amp;TEXT(SUMPRODUCT((MOVIMIENTOS!$A$5:$A$400=MOVIMIENTOS!$A209)*(MOVIMIENTOS!$B$5:$B$400="RECHAZO")*(MOVIMIENTOS!$D$5:$D$400="jabas")*MOVIMIENTOS!$E$5:$E$400*IFERROR(_xlfn.SWITCH(MOVIMIENTOS!$C$5:$C$400,"A",15,"P",18,"C",17,"M",17,0),0))-SUMPRODUCT((MOVIMIENTOS!$A$5:$A$400=MOVIMIENTOS!$A209)*(MOVIMIENTOS!$B$5:$B$400="REPROCESO")*MOVIMIENTOS!$I$5:$I$400),"+#,##0;-#,##0;0")&amp;" kg)",TRIM(IF(MOVIMIENTOS!$G209&lt;&gt;"",MOVIMIENTOS!$G209&amp;"  ","")&amp;IF(N(MOVIMIENTOS!$D209)&gt;0,MOVIMIENTOS!$D209&amp;" "&amp;MOVIMIENTOS!$D209,"")))),"")</f>
        <v>3023</v>
      </c>
      <c r="P210" s="48" t="n">
        <f aca="false">N(P209)+N(M210)-N(N210)</f>
        <v>1222.5</v>
      </c>
      <c r="Q210" s="48"/>
      <c r="R210" s="48"/>
      <c r="S210" s="48"/>
      <c r="T210" s="48"/>
    </row>
    <row r="211" customFormat="false" ht="15" hidden="false" customHeight="true" outlineLevel="0" collapsed="false">
      <c r="A211" s="51" t="str">
        <f aca="false">IFERROR(INDEX(K$6:K$401,MATCH(ROW()-5,J$6:J$401,0)),"")</f>
        <v/>
      </c>
      <c r="B211" s="56" t="str">
        <f aca="false">IFERROR(INDEX(L$6:L$401,MATCH(ROW()-5,J$6:J$401,0)),"")</f>
        <v/>
      </c>
      <c r="C211" s="52" t="str">
        <f aca="false">IFERROR(INDEX(M$6:M$401,MATCH(ROW()-5,J$6:J$401,0)),"")</f>
        <v/>
      </c>
      <c r="D211" s="52" t="str">
        <f aca="false">IFERROR(INDEX(N$6:N$401,MATCH(ROW()-5,J$6:J$401,0)),"")</f>
        <v/>
      </c>
      <c r="E211" s="56" t="str">
        <f aca="false">IFERROR(INDEX(O$6:O$401,MATCH(ROW()-5,J$6:J$401,0)),"")</f>
        <v/>
      </c>
      <c r="F211" s="52" t="str">
        <f aca="false">IFERROR(INDEX(P$6:P$401,MATCH(ROW()-5,J$6:J$401,0)),"")</f>
        <v/>
      </c>
      <c r="G211" s="48"/>
      <c r="H211" s="48"/>
      <c r="I211" s="48"/>
      <c r="J211" s="48" t="n">
        <f aca="false">IF(AND(MOVIMIENTOS!$B210&lt;&gt;"",NOT(AND(MOVIMIENTOS!$B210="PROCESO",MOVIMIENTOS!$C210&lt;&gt;"Chancho")),NOT(AND(MOVIMIENTOS!$B210="SALDO INICIAL",MOVIMIENTOS!$C210="Chancho"))),COUNT(J$6:J210)+1,"")</f>
        <v>137</v>
      </c>
      <c r="K211" s="53" t="n">
        <f aca="false">IF(AND(MOVIMIENTOS!$B210&lt;&gt;"",NOT(AND(MOVIMIENTOS!$B210="PROCESO",MOVIMIENTOS!$C210&lt;&gt;"Chancho")),NOT(AND(MOVIMIENTOS!$B210="SALDO INICIAL",MOVIMIENTOS!$C210="Chancho"))),MOVIMIENTOS!$A210,"")</f>
        <v>46232</v>
      </c>
      <c r="L211" s="48" t="str">
        <f aca="false">IF(AND(MOVIMIENTOS!$B210&lt;&gt;"",NOT(AND(MOVIMIENTOS!$B210="PROCESO",MOVIMIENTOS!$C210&lt;&gt;"Chancho")),NOT(AND(MOVIMIENTOS!$B210="SALDO INICIAL",MOVIMIENTOS!$C210="Chancho"))),IF(MOVIMIENTOS!$B210="SALDO INICIAL","APERTURA ("&amp;MOVIMIENTOS!$C210&amp;")",IF(MOVIMIENTOS!$B210="COMPRA","INGRESO (compra)",IF(MOVIMIENTOS!$B210="PROCESO","CHANCHO (proceso)",IF(MOVIMIENTOS!$B210="ENVÍO A SUPESA","ENVÍO cal. "&amp;MOVIMIENTOS!$C210,IF(MOVIMIENTOS!$B210="VENTA CHANCHO","VENTA CHANCHO",IF(MOVIMIENTOS!$B210="VENTA","VENTA cal. "&amp;MOVIMIENTOS!$C210,IF(MOVIMIENTOS!$B210="REGALO","REGALO "&amp;MOVIMIENTOS!$C210,IF(MOVIMIENTOS!$B210="RECHAZO","RECHAZO cal. "&amp;MOVIMIENTOS!$C210&amp;" (va a reproceso)",IF(MOVIMIENTOS!$B210="DEVOLUCIÓN","DEVOLUCIÓN cal. "&amp;MOVIMIENTOS!$C210&amp;" (regresa intacta)",IF(MOVIMIENTOS!$B210="TRASIEGO","TRASIEGO cal. "&amp;MOVIMIENTOS!$C210,MOVIMIENTOS!$B210)))))))))),"")</f>
        <v>ENVÍO cal. M</v>
      </c>
      <c r="M211" s="48" t="str">
        <f aca="false">IF(AND(AND(MOVIMIENTOS!$B210&lt;&gt;"",NOT(AND(MOVIMIENTOS!$B210="PROCESO",MOVIMIENTOS!$C210&lt;&gt;"Chancho")),NOT(AND(MOVIMIENTOS!$B210="SALDO INICIAL",MOVIMIENTOS!$C210="Chancho"))),OR(MOVIMIENTOS!$B210="SALDO INICIAL",MOVIMIENTOS!$B210="COMPRA",MOVIMIENTOS!$B210="REPROCESO",MOVIMIENTOS!$B210="DEVOLUCIÓN",AND(MOVIMIENTOS!$B210="AJUSTE",MOVIMIENTOS!$C210&lt;&gt;"Chancho",N(MOVIMIENTOS!$F210)&gt;=0))),N(MOVIMIENTOS!$F210),"")</f>
        <v/>
      </c>
      <c r="N211" s="48" t="n">
        <f aca="false">IF(AND(AND(MOVIMIENTOS!$B210&lt;&gt;"",NOT(AND(MOVIMIENTOS!$B210="PROCESO",MOVIMIENTOS!$C210&lt;&gt;"Chancho")),NOT(AND(MOVIMIENTOS!$B210="SALDO INICIAL",MOVIMIENTOS!$C210="Chancho"))),OR(MOVIMIENTOS!$B210="ENVÍO A SUPESA",MOVIMIENTOS!$B210="MALOGRADO",MOVIMIENTOS!$B210="OTRA SALIDA",MOVIMIENTOS!$B210="TRASIEGO",AND(MOVIMIENTOS!$B210="PROCESO",MOVIMIENTOS!$C210="Chancho"),AND(MOVIMIENTOS!$B210="REGALO",MOVIMIENTOS!$C210&lt;&gt;"Chancho"),AND(MOVIMIENTOS!$B210="VENTA",MOVIMIENTOS!$C210&lt;&gt;"Chancho"),AND(MOVIMIENTOS!$B210="AJUSTE",MOVIMIENTOS!$C210&lt;&gt;"Chancho",N(MOVIMIENTOS!$F210)&lt;0))),IF(MOVIMIENTOS!$B210="AJUSTE",-N(MOVIMIENTOS!$F210),N(MOVIMIENTOS!$F210)),"")</f>
        <v>1513</v>
      </c>
      <c r="O211" s="48" t="str">
        <f aca="false">IF(AND(MOVIMIENTOS!$B210&lt;&gt;"",NOT(AND(MOVIMIENTOS!$B210="PROCESO",MOVIMIENTOS!$C210&lt;&gt;"Chancho")),NOT(AND(MOVIMIENTOS!$B210="SALDO INICIAL",MOVIMIENTOS!$C210="Chancho"))),IF(MOVIMIENTOS!$B210="RECHAZO",MOVIMIENTOS!$E210&amp;" jabas rechazadas · van a reproceso",IF(MOVIMIENTOS!$B210="REPROCESO",MOVIMIENTOS!$E210&amp;" kg recuperados (merma del día: "&amp;TEXT(SUMPRODUCT((MOVIMIENTOS!$A$5:$A$400=MOVIMIENTOS!$A210)*(MOVIMIENTOS!$B$5:$B$400="RECHAZO")*(MOVIMIENTOS!$D$5:$D$400="jabas")*MOVIMIENTOS!$E$5:$E$400*IFERROR(_xlfn.SWITCH(MOVIMIENTOS!$C$5:$C$400,"A",15,"P",18,"C",17,"M",17,0),0))-SUMPRODUCT((MOVIMIENTOS!$A$5:$A$400=MOVIMIENTOS!$A210)*(MOVIMIENTOS!$B$5:$B$400="REPROCESO")*MOVIMIENTOS!$I$5:$I$400),"+#,##0;-#,##0;0")&amp;" kg)",TRIM(IF(MOVIMIENTOS!$G210&lt;&gt;"",MOVIMIENTOS!$G210&amp;"  ","")&amp;IF(N(MOVIMIENTOS!$D210)&gt;0,MOVIMIENTOS!$D210&amp;" "&amp;MOVIMIENTOS!$D210,"")))),"")</f>
        <v>3023</v>
      </c>
      <c r="P211" s="48" t="n">
        <f aca="false">N(P210)+N(M211)-N(N211)</f>
        <v>-290.5</v>
      </c>
      <c r="Q211" s="48"/>
      <c r="R211" s="48"/>
      <c r="S211" s="48"/>
      <c r="T211" s="48"/>
    </row>
    <row r="212" customFormat="false" ht="15" hidden="false" customHeight="true" outlineLevel="0" collapsed="false">
      <c r="A212" s="51" t="str">
        <f aca="false">IFERROR(INDEX(K$6:K$401,MATCH(ROW()-5,J$6:J$401,0)),"")</f>
        <v/>
      </c>
      <c r="B212" s="56" t="str">
        <f aca="false">IFERROR(INDEX(L$6:L$401,MATCH(ROW()-5,J$6:J$401,0)),"")</f>
        <v/>
      </c>
      <c r="C212" s="52" t="str">
        <f aca="false">IFERROR(INDEX(M$6:M$401,MATCH(ROW()-5,J$6:J$401,0)),"")</f>
        <v/>
      </c>
      <c r="D212" s="52" t="str">
        <f aca="false">IFERROR(INDEX(N$6:N$401,MATCH(ROW()-5,J$6:J$401,0)),"")</f>
        <v/>
      </c>
      <c r="E212" s="56" t="str">
        <f aca="false">IFERROR(INDEX(O$6:O$401,MATCH(ROW()-5,J$6:J$401,0)),"")</f>
        <v/>
      </c>
      <c r="F212" s="52" t="str">
        <f aca="false">IFERROR(INDEX(P$6:P$401,MATCH(ROW()-5,J$6:J$401,0)),"")</f>
        <v/>
      </c>
      <c r="G212" s="48"/>
      <c r="H212" s="48"/>
      <c r="I212" s="48"/>
      <c r="J212" s="48" t="n">
        <f aca="false">IF(AND(MOVIMIENTOS!$B211&lt;&gt;"",NOT(AND(MOVIMIENTOS!$B211="PROCESO",MOVIMIENTOS!$C211&lt;&gt;"Chancho")),NOT(AND(MOVIMIENTOS!$B211="SALDO INICIAL",MOVIMIENTOS!$C211="Chancho"))),COUNT(J$6:J211)+1,"")</f>
        <v>138</v>
      </c>
      <c r="K212" s="53" t="n">
        <f aca="false">IF(AND(MOVIMIENTOS!$B211&lt;&gt;"",NOT(AND(MOVIMIENTOS!$B211="PROCESO",MOVIMIENTOS!$C211&lt;&gt;"Chancho")),NOT(AND(MOVIMIENTOS!$B211="SALDO INICIAL",MOVIMIENTOS!$C211="Chancho"))),MOVIMIENTOS!$A211,"")</f>
        <v>46232</v>
      </c>
      <c r="L212" s="48" t="str">
        <f aca="false">IF(AND(MOVIMIENTOS!$B211&lt;&gt;"",NOT(AND(MOVIMIENTOS!$B211="PROCESO",MOVIMIENTOS!$C211&lt;&gt;"Chancho")),NOT(AND(MOVIMIENTOS!$B211="SALDO INICIAL",MOVIMIENTOS!$C211="Chancho"))),IF(MOVIMIENTOS!$B211="SALDO INICIAL","APERTURA ("&amp;MOVIMIENTOS!$C211&amp;")",IF(MOVIMIENTOS!$B211="COMPRA","INGRESO (compra)",IF(MOVIMIENTOS!$B211="PROCESO","CHANCHO (proceso)",IF(MOVIMIENTOS!$B211="ENVÍO A SUPESA","ENVÍO cal. "&amp;MOVIMIENTOS!$C211,IF(MOVIMIENTOS!$B211="VENTA CHANCHO","VENTA CHANCHO",IF(MOVIMIENTOS!$B211="VENTA","VENTA cal. "&amp;MOVIMIENTOS!$C211,IF(MOVIMIENTOS!$B211="REGALO","REGALO "&amp;MOVIMIENTOS!$C211,IF(MOVIMIENTOS!$B211="RECHAZO","RECHAZO cal. "&amp;MOVIMIENTOS!$C211&amp;" (va a reproceso)",IF(MOVIMIENTOS!$B211="DEVOLUCIÓN","DEVOLUCIÓN cal. "&amp;MOVIMIENTOS!$C211&amp;" (regresa intacta)",IF(MOVIMIENTOS!$B211="TRASIEGO","TRASIEGO cal. "&amp;MOVIMIENTOS!$C211,MOVIMIENTOS!$B211)))))))))),"")</f>
        <v>VENTA CHANCHO</v>
      </c>
      <c r="M212" s="48" t="str">
        <f aca="false">IF(AND(AND(MOVIMIENTOS!$B211&lt;&gt;"",NOT(AND(MOVIMIENTOS!$B211="PROCESO",MOVIMIENTOS!$C211&lt;&gt;"Chancho")),NOT(AND(MOVIMIENTOS!$B211="SALDO INICIAL",MOVIMIENTOS!$C211="Chancho"))),OR(MOVIMIENTOS!$B211="SALDO INICIAL",MOVIMIENTOS!$B211="COMPRA",MOVIMIENTOS!$B211="REPROCESO",MOVIMIENTOS!$B211="DEVOLUCIÓN",AND(MOVIMIENTOS!$B211="AJUSTE",MOVIMIENTOS!$C211&lt;&gt;"Chancho",N(MOVIMIENTOS!$F211)&gt;=0))),N(MOVIMIENTOS!$F211),"")</f>
        <v/>
      </c>
      <c r="N212" s="48" t="str">
        <f aca="false">IF(AND(AND(MOVIMIENTOS!$B211&lt;&gt;"",NOT(AND(MOVIMIENTOS!$B211="PROCESO",MOVIMIENTOS!$C211&lt;&gt;"Chancho")),NOT(AND(MOVIMIENTOS!$B211="SALDO INICIAL",MOVIMIENTOS!$C211="Chancho"))),OR(MOVIMIENTOS!$B211="ENVÍO A SUPESA",MOVIMIENTOS!$B211="MALOGRADO",MOVIMIENTOS!$B211="OTRA SALIDA",MOVIMIENTOS!$B211="TRASIEGO",AND(MOVIMIENTOS!$B211="PROCESO",MOVIMIENTOS!$C211="Chancho"),AND(MOVIMIENTOS!$B211="REGALO",MOVIMIENTOS!$C211&lt;&gt;"Chancho"),AND(MOVIMIENTOS!$B211="VENTA",MOVIMIENTOS!$C211&lt;&gt;"Chancho"),AND(MOVIMIENTOS!$B211="AJUSTE",MOVIMIENTOS!$C211&lt;&gt;"Chancho",N(MOVIMIENTOS!$F211)&lt;0))),IF(MOVIMIENTOS!$B211="AJUSTE",-N(MOVIMIENTOS!$F211),N(MOVIMIENTOS!$F211)),"")</f>
        <v/>
      </c>
      <c r="O212" s="48" t="str">
        <f aca="false">IF(AND(MOVIMIENTOS!$B211&lt;&gt;"",NOT(AND(MOVIMIENTOS!$B211="PROCESO",MOVIMIENTOS!$C211&lt;&gt;"Chancho")),NOT(AND(MOVIMIENTOS!$B211="SALDO INICIAL",MOVIMIENTOS!$C211="Chancho"))),IF(MOVIMIENTOS!$B211="RECHAZO",MOVIMIENTOS!$E211&amp;" jabas rechazadas · van a reproceso",IF(MOVIMIENTOS!$B211="REPROCESO",MOVIMIENTOS!$E211&amp;" kg recuperados (merma del día: "&amp;TEXT(SUMPRODUCT((MOVIMIENTOS!$A$5:$A$400=MOVIMIENTOS!$A211)*(MOVIMIENTOS!$B$5:$B$400="RECHAZO")*(MOVIMIENTOS!$D$5:$D$400="jabas")*MOVIMIENTOS!$E$5:$E$400*IFERROR(_xlfn.SWITCH(MOVIMIENTOS!$C$5:$C$400,"A",15,"P",18,"C",17,"M",17,0),0))-SUMPRODUCT((MOVIMIENTOS!$A$5:$A$400=MOVIMIENTOS!$A211)*(MOVIMIENTOS!$B$5:$B$400="REPROCESO")*MOVIMIENTOS!$I$5:$I$400),"+#,##0;-#,##0;0")&amp;" kg)",TRIM(IF(MOVIMIENTOS!$G211&lt;&gt;"",MOVIMIENTOS!$G211&amp;"  ","")&amp;IF(N(MOVIMIENTOS!$D211)&gt;0,MOVIMIENTOS!$D211&amp;" "&amp;MOVIMIENTOS!$D211,"")))),"")</f>
        <v>TCK002-730</v>
      </c>
      <c r="P212" s="48" t="n">
        <f aca="false">N(P211)+N(M212)-N(N212)</f>
        <v>-290.5</v>
      </c>
      <c r="Q212" s="48"/>
      <c r="R212" s="48"/>
      <c r="S212" s="48"/>
      <c r="T212" s="48"/>
    </row>
    <row r="213" customFormat="false" ht="15" hidden="false" customHeight="true" outlineLevel="0" collapsed="false">
      <c r="A213" s="51" t="str">
        <f aca="false">IFERROR(INDEX(K$6:K$401,MATCH(ROW()-5,J$6:J$401,0)),"")</f>
        <v/>
      </c>
      <c r="B213" s="56" t="str">
        <f aca="false">IFERROR(INDEX(L$6:L$401,MATCH(ROW()-5,J$6:J$401,0)),"")</f>
        <v/>
      </c>
      <c r="C213" s="52" t="str">
        <f aca="false">IFERROR(INDEX(M$6:M$401,MATCH(ROW()-5,J$6:J$401,0)),"")</f>
        <v/>
      </c>
      <c r="D213" s="52" t="str">
        <f aca="false">IFERROR(INDEX(N$6:N$401,MATCH(ROW()-5,J$6:J$401,0)),"")</f>
        <v/>
      </c>
      <c r="E213" s="56" t="str">
        <f aca="false">IFERROR(INDEX(O$6:O$401,MATCH(ROW()-5,J$6:J$401,0)),"")</f>
        <v/>
      </c>
      <c r="F213" s="52" t="str">
        <f aca="false">IFERROR(INDEX(P$6:P$401,MATCH(ROW()-5,J$6:J$401,0)),"")</f>
        <v/>
      </c>
      <c r="G213" s="48"/>
      <c r="H213" s="48"/>
      <c r="I213" s="48"/>
      <c r="J213" s="48" t="str">
        <f aca="false">IF(AND(MOVIMIENTOS!$B212&lt;&gt;"",NOT(AND(MOVIMIENTOS!$B212="PROCESO",MOVIMIENTOS!$C212&lt;&gt;"Chancho")),NOT(AND(MOVIMIENTOS!$B212="SALDO INICIAL",MOVIMIENTOS!$C212="Chancho"))),COUNT(J$6:J212)+1,"")</f>
        <v/>
      </c>
      <c r="K213" s="48" t="str">
        <f aca="false">IF(AND(MOVIMIENTOS!$B212&lt;&gt;"",NOT(AND(MOVIMIENTOS!$B212="PROCESO",MOVIMIENTOS!$C212&lt;&gt;"Chancho")),NOT(AND(MOVIMIENTOS!$B212="SALDO INICIAL",MOVIMIENTOS!$C212="Chancho"))),MOVIMIENTOS!$A212,"")</f>
        <v/>
      </c>
      <c r="L213" s="48" t="str">
        <f aca="false">IF(AND(MOVIMIENTOS!$B212&lt;&gt;"",NOT(AND(MOVIMIENTOS!$B212="PROCESO",MOVIMIENTOS!$C212&lt;&gt;"Chancho")),NOT(AND(MOVIMIENTOS!$B212="SALDO INICIAL",MOVIMIENTOS!$C212="Chancho"))),IF(MOVIMIENTOS!$B212="SALDO INICIAL","APERTURA ("&amp;MOVIMIENTOS!$C212&amp;")",IF(MOVIMIENTOS!$B212="COMPRA","INGRESO (compra)",IF(MOVIMIENTOS!$B212="PROCESO","CHANCHO (proceso)",IF(MOVIMIENTOS!$B212="ENVÍO A SUPESA","ENVÍO cal. "&amp;MOVIMIENTOS!$C212,IF(MOVIMIENTOS!$B212="VENTA CHANCHO","VENTA CHANCHO",IF(MOVIMIENTOS!$B212="VENTA","VENTA cal. "&amp;MOVIMIENTOS!$C212,IF(MOVIMIENTOS!$B212="REGALO","REGALO "&amp;MOVIMIENTOS!$C212,IF(MOVIMIENTOS!$B212="RECHAZO","RECHAZO cal. "&amp;MOVIMIENTOS!$C212&amp;" (va a reproceso)",IF(MOVIMIENTOS!$B212="DEVOLUCIÓN","DEVOLUCIÓN cal. "&amp;MOVIMIENTOS!$C212&amp;" (regresa intacta)",IF(MOVIMIENTOS!$B212="TRASIEGO","TRASIEGO cal. "&amp;MOVIMIENTOS!$C212,MOVIMIENTOS!$B212)))))))))),"")</f>
        <v/>
      </c>
      <c r="M213" s="48" t="str">
        <f aca="false">IF(AND(AND(MOVIMIENTOS!$B212&lt;&gt;"",NOT(AND(MOVIMIENTOS!$B212="PROCESO",MOVIMIENTOS!$C212&lt;&gt;"Chancho")),NOT(AND(MOVIMIENTOS!$B212="SALDO INICIAL",MOVIMIENTOS!$C212="Chancho"))),OR(MOVIMIENTOS!$B212="SALDO INICIAL",MOVIMIENTOS!$B212="COMPRA",MOVIMIENTOS!$B212="REPROCESO",MOVIMIENTOS!$B212="DEVOLUCIÓN",AND(MOVIMIENTOS!$B212="AJUSTE",MOVIMIENTOS!$C212&lt;&gt;"Chancho",N(MOVIMIENTOS!$F212)&gt;=0))),N(MOVIMIENTOS!$F212),"")</f>
        <v/>
      </c>
      <c r="N213" s="48" t="str">
        <f aca="false">IF(AND(AND(MOVIMIENTOS!$B212&lt;&gt;"",NOT(AND(MOVIMIENTOS!$B212="PROCESO",MOVIMIENTOS!$C212&lt;&gt;"Chancho")),NOT(AND(MOVIMIENTOS!$B212="SALDO INICIAL",MOVIMIENTOS!$C212="Chancho"))),OR(MOVIMIENTOS!$B212="ENVÍO A SUPESA",MOVIMIENTOS!$B212="MALOGRADO",MOVIMIENTOS!$B212="OTRA SALIDA",MOVIMIENTOS!$B212="TRASIEGO",AND(MOVIMIENTOS!$B212="PROCESO",MOVIMIENTOS!$C212="Chancho"),AND(MOVIMIENTOS!$B212="REGALO",MOVIMIENTOS!$C212&lt;&gt;"Chancho"),AND(MOVIMIENTOS!$B212="VENTA",MOVIMIENTOS!$C212&lt;&gt;"Chancho"),AND(MOVIMIENTOS!$B212="AJUSTE",MOVIMIENTOS!$C212&lt;&gt;"Chancho",N(MOVIMIENTOS!$F212)&lt;0))),IF(MOVIMIENTOS!$B212="AJUSTE",-N(MOVIMIENTOS!$F212),N(MOVIMIENTOS!$F212)),"")</f>
        <v/>
      </c>
      <c r="O213" s="48" t="str">
        <f aca="false">IF(AND(MOVIMIENTOS!$B212&lt;&gt;"",NOT(AND(MOVIMIENTOS!$B212="PROCESO",MOVIMIENTOS!$C212&lt;&gt;"Chancho")),NOT(AND(MOVIMIENTOS!$B212="SALDO INICIAL",MOVIMIENTOS!$C212="Chancho"))),IF(MOVIMIENTOS!$B212="RECHAZO",MOVIMIENTOS!$E212&amp;" jabas rechazadas · van a reproceso",IF(MOVIMIENTOS!$B212="REPROCESO",MOVIMIENTOS!$E212&amp;" kg recuperados (merma del día: "&amp;TEXT(SUMPRODUCT((MOVIMIENTOS!$A$5:$A$400=MOVIMIENTOS!$A212)*(MOVIMIENTOS!$B$5:$B$400="RECHAZO")*(MOVIMIENTOS!$D$5:$D$400="jabas")*MOVIMIENTOS!$E$5:$E$400*IFERROR(_xlfn.SWITCH(MOVIMIENTOS!$C$5:$C$400,"A",15,"P",18,"C",17,"M",17,0),0))-SUMPRODUCT((MOVIMIENTOS!$A$5:$A$400=MOVIMIENTOS!$A212)*(MOVIMIENTOS!$B$5:$B$400="REPROCESO")*MOVIMIENTOS!$I$5:$I$400),"+#,##0;-#,##0;0")&amp;" kg)",TRIM(IF(MOVIMIENTOS!$G212&lt;&gt;"",MOVIMIENTOS!$G212&amp;"  ","")&amp;IF(N(MOVIMIENTOS!$D212)&gt;0,MOVIMIENTOS!$D212&amp;" "&amp;MOVIMIENTOS!$D212,"")))),"")</f>
        <v/>
      </c>
      <c r="P213" s="48" t="n">
        <f aca="false">N(P212)+N(M213)-N(N213)</f>
        <v>-290.5</v>
      </c>
      <c r="Q213" s="48"/>
      <c r="R213" s="48"/>
      <c r="S213" s="48"/>
      <c r="T213" s="48"/>
    </row>
    <row r="214" customFormat="false" ht="15" hidden="false" customHeight="true" outlineLevel="0" collapsed="false">
      <c r="A214" s="51" t="str">
        <f aca="false">IFERROR(INDEX(K$6:K$401,MATCH(ROW()-5,J$6:J$401,0)),"")</f>
        <v/>
      </c>
      <c r="B214" s="56" t="str">
        <f aca="false">IFERROR(INDEX(L$6:L$401,MATCH(ROW()-5,J$6:J$401,0)),"")</f>
        <v/>
      </c>
      <c r="C214" s="52" t="str">
        <f aca="false">IFERROR(INDEX(M$6:M$401,MATCH(ROW()-5,J$6:J$401,0)),"")</f>
        <v/>
      </c>
      <c r="D214" s="52" t="str">
        <f aca="false">IFERROR(INDEX(N$6:N$401,MATCH(ROW()-5,J$6:J$401,0)),"")</f>
        <v/>
      </c>
      <c r="E214" s="56" t="str">
        <f aca="false">IFERROR(INDEX(O$6:O$401,MATCH(ROW()-5,J$6:J$401,0)),"")</f>
        <v/>
      </c>
      <c r="F214" s="52" t="str">
        <f aca="false">IFERROR(INDEX(P$6:P$401,MATCH(ROW()-5,J$6:J$401,0)),"")</f>
        <v/>
      </c>
      <c r="G214" s="48"/>
      <c r="H214" s="48"/>
      <c r="I214" s="48"/>
      <c r="J214" s="48" t="str">
        <f aca="false">IF(AND(MOVIMIENTOS!$B213&lt;&gt;"",NOT(AND(MOVIMIENTOS!$B213="PROCESO",MOVIMIENTOS!$C213&lt;&gt;"Chancho")),NOT(AND(MOVIMIENTOS!$B213="SALDO INICIAL",MOVIMIENTOS!$C213="Chancho"))),COUNT(J$6:J213)+1,"")</f>
        <v/>
      </c>
      <c r="K214" s="48" t="str">
        <f aca="false">IF(AND(MOVIMIENTOS!$B213&lt;&gt;"",NOT(AND(MOVIMIENTOS!$B213="PROCESO",MOVIMIENTOS!$C213&lt;&gt;"Chancho")),NOT(AND(MOVIMIENTOS!$B213="SALDO INICIAL",MOVIMIENTOS!$C213="Chancho"))),MOVIMIENTOS!$A213,"")</f>
        <v/>
      </c>
      <c r="L214" s="48" t="str">
        <f aca="false">IF(AND(MOVIMIENTOS!$B213&lt;&gt;"",NOT(AND(MOVIMIENTOS!$B213="PROCESO",MOVIMIENTOS!$C213&lt;&gt;"Chancho")),NOT(AND(MOVIMIENTOS!$B213="SALDO INICIAL",MOVIMIENTOS!$C213="Chancho"))),IF(MOVIMIENTOS!$B213="SALDO INICIAL","APERTURA ("&amp;MOVIMIENTOS!$C213&amp;")",IF(MOVIMIENTOS!$B213="COMPRA","INGRESO (compra)",IF(MOVIMIENTOS!$B213="PROCESO","CHANCHO (proceso)",IF(MOVIMIENTOS!$B213="ENVÍO A SUPESA","ENVÍO cal. "&amp;MOVIMIENTOS!$C213,IF(MOVIMIENTOS!$B213="VENTA CHANCHO","VENTA CHANCHO",IF(MOVIMIENTOS!$B213="VENTA","VENTA cal. "&amp;MOVIMIENTOS!$C213,IF(MOVIMIENTOS!$B213="REGALO","REGALO "&amp;MOVIMIENTOS!$C213,IF(MOVIMIENTOS!$B213="RECHAZO","RECHAZO cal. "&amp;MOVIMIENTOS!$C213&amp;" (va a reproceso)",IF(MOVIMIENTOS!$B213="DEVOLUCIÓN","DEVOLUCIÓN cal. "&amp;MOVIMIENTOS!$C213&amp;" (regresa intacta)",IF(MOVIMIENTOS!$B213="TRASIEGO","TRASIEGO cal. "&amp;MOVIMIENTOS!$C213,MOVIMIENTOS!$B213)))))))))),"")</f>
        <v/>
      </c>
      <c r="M214" s="48" t="str">
        <f aca="false">IF(AND(AND(MOVIMIENTOS!$B213&lt;&gt;"",NOT(AND(MOVIMIENTOS!$B213="PROCESO",MOVIMIENTOS!$C213&lt;&gt;"Chancho")),NOT(AND(MOVIMIENTOS!$B213="SALDO INICIAL",MOVIMIENTOS!$C213="Chancho"))),OR(MOVIMIENTOS!$B213="SALDO INICIAL",MOVIMIENTOS!$B213="COMPRA",MOVIMIENTOS!$B213="REPROCESO",MOVIMIENTOS!$B213="DEVOLUCIÓN",AND(MOVIMIENTOS!$B213="AJUSTE",MOVIMIENTOS!$C213&lt;&gt;"Chancho",N(MOVIMIENTOS!$F213)&gt;=0))),N(MOVIMIENTOS!$F213),"")</f>
        <v/>
      </c>
      <c r="N214" s="48" t="str">
        <f aca="false">IF(AND(AND(MOVIMIENTOS!$B213&lt;&gt;"",NOT(AND(MOVIMIENTOS!$B213="PROCESO",MOVIMIENTOS!$C213&lt;&gt;"Chancho")),NOT(AND(MOVIMIENTOS!$B213="SALDO INICIAL",MOVIMIENTOS!$C213="Chancho"))),OR(MOVIMIENTOS!$B213="ENVÍO A SUPESA",MOVIMIENTOS!$B213="MALOGRADO",MOVIMIENTOS!$B213="OTRA SALIDA",MOVIMIENTOS!$B213="TRASIEGO",AND(MOVIMIENTOS!$B213="PROCESO",MOVIMIENTOS!$C213="Chancho"),AND(MOVIMIENTOS!$B213="REGALO",MOVIMIENTOS!$C213&lt;&gt;"Chancho"),AND(MOVIMIENTOS!$B213="VENTA",MOVIMIENTOS!$C213&lt;&gt;"Chancho"),AND(MOVIMIENTOS!$B213="AJUSTE",MOVIMIENTOS!$C213&lt;&gt;"Chancho",N(MOVIMIENTOS!$F213)&lt;0))),IF(MOVIMIENTOS!$B213="AJUSTE",-N(MOVIMIENTOS!$F213),N(MOVIMIENTOS!$F213)),"")</f>
        <v/>
      </c>
      <c r="O214" s="48" t="str">
        <f aca="false">IF(AND(MOVIMIENTOS!$B213&lt;&gt;"",NOT(AND(MOVIMIENTOS!$B213="PROCESO",MOVIMIENTOS!$C213&lt;&gt;"Chancho")),NOT(AND(MOVIMIENTOS!$B213="SALDO INICIAL",MOVIMIENTOS!$C213="Chancho"))),IF(MOVIMIENTOS!$B213="RECHAZO",MOVIMIENTOS!$E213&amp;" jabas rechazadas · van a reproceso",IF(MOVIMIENTOS!$B213="REPROCESO",MOVIMIENTOS!$E213&amp;" kg recuperados (merma del día: "&amp;TEXT(SUMPRODUCT((MOVIMIENTOS!$A$5:$A$400=MOVIMIENTOS!$A213)*(MOVIMIENTOS!$B$5:$B$400="RECHAZO")*(MOVIMIENTOS!$D$5:$D$400="jabas")*MOVIMIENTOS!$E$5:$E$400*IFERROR(_xlfn.SWITCH(MOVIMIENTOS!$C$5:$C$400,"A",15,"P",18,"C",17,"M",17,0),0))-SUMPRODUCT((MOVIMIENTOS!$A$5:$A$400=MOVIMIENTOS!$A213)*(MOVIMIENTOS!$B$5:$B$400="REPROCESO")*MOVIMIENTOS!$I$5:$I$400),"+#,##0;-#,##0;0")&amp;" kg)",TRIM(IF(MOVIMIENTOS!$G213&lt;&gt;"",MOVIMIENTOS!$G213&amp;"  ","")&amp;IF(N(MOVIMIENTOS!$D213)&gt;0,MOVIMIENTOS!$D213&amp;" "&amp;MOVIMIENTOS!$D213,"")))),"")</f>
        <v/>
      </c>
      <c r="P214" s="48" t="n">
        <f aca="false">N(P213)+N(M214)-N(N214)</f>
        <v>-290.5</v>
      </c>
      <c r="Q214" s="48"/>
      <c r="R214" s="48"/>
      <c r="S214" s="48"/>
      <c r="T214" s="48"/>
    </row>
    <row r="215" customFormat="false" ht="15" hidden="false" customHeight="true" outlineLevel="0" collapsed="false">
      <c r="A215" s="51" t="str">
        <f aca="false">IFERROR(INDEX(K$6:K$401,MATCH(ROW()-5,J$6:J$401,0)),"")</f>
        <v/>
      </c>
      <c r="B215" s="56" t="str">
        <f aca="false">IFERROR(INDEX(L$6:L$401,MATCH(ROW()-5,J$6:J$401,0)),"")</f>
        <v/>
      </c>
      <c r="C215" s="52" t="str">
        <f aca="false">IFERROR(INDEX(M$6:M$401,MATCH(ROW()-5,J$6:J$401,0)),"")</f>
        <v/>
      </c>
      <c r="D215" s="52" t="str">
        <f aca="false">IFERROR(INDEX(N$6:N$401,MATCH(ROW()-5,J$6:J$401,0)),"")</f>
        <v/>
      </c>
      <c r="E215" s="56" t="str">
        <f aca="false">IFERROR(INDEX(O$6:O$401,MATCH(ROW()-5,J$6:J$401,0)),"")</f>
        <v/>
      </c>
      <c r="F215" s="52" t="str">
        <f aca="false">IFERROR(INDEX(P$6:P$401,MATCH(ROW()-5,J$6:J$401,0)),"")</f>
        <v/>
      </c>
      <c r="G215" s="48"/>
      <c r="H215" s="48"/>
      <c r="I215" s="48"/>
      <c r="J215" s="48" t="str">
        <f aca="false">IF(AND(MOVIMIENTOS!$B214&lt;&gt;"",NOT(AND(MOVIMIENTOS!$B214="PROCESO",MOVIMIENTOS!$C214&lt;&gt;"Chancho")),NOT(AND(MOVIMIENTOS!$B214="SALDO INICIAL",MOVIMIENTOS!$C214="Chancho"))),COUNT(J$6:J214)+1,"")</f>
        <v/>
      </c>
      <c r="K215" s="48" t="str">
        <f aca="false">IF(AND(MOVIMIENTOS!$B214&lt;&gt;"",NOT(AND(MOVIMIENTOS!$B214="PROCESO",MOVIMIENTOS!$C214&lt;&gt;"Chancho")),NOT(AND(MOVIMIENTOS!$B214="SALDO INICIAL",MOVIMIENTOS!$C214="Chancho"))),MOVIMIENTOS!$A214,"")</f>
        <v/>
      </c>
      <c r="L215" s="48" t="str">
        <f aca="false">IF(AND(MOVIMIENTOS!$B214&lt;&gt;"",NOT(AND(MOVIMIENTOS!$B214="PROCESO",MOVIMIENTOS!$C214&lt;&gt;"Chancho")),NOT(AND(MOVIMIENTOS!$B214="SALDO INICIAL",MOVIMIENTOS!$C214="Chancho"))),IF(MOVIMIENTOS!$B214="SALDO INICIAL","APERTURA ("&amp;MOVIMIENTOS!$C214&amp;")",IF(MOVIMIENTOS!$B214="COMPRA","INGRESO (compra)",IF(MOVIMIENTOS!$B214="PROCESO","CHANCHO (proceso)",IF(MOVIMIENTOS!$B214="ENVÍO A SUPESA","ENVÍO cal. "&amp;MOVIMIENTOS!$C214,IF(MOVIMIENTOS!$B214="VENTA CHANCHO","VENTA CHANCHO",IF(MOVIMIENTOS!$B214="VENTA","VENTA cal. "&amp;MOVIMIENTOS!$C214,IF(MOVIMIENTOS!$B214="REGALO","REGALO "&amp;MOVIMIENTOS!$C214,IF(MOVIMIENTOS!$B214="RECHAZO","RECHAZO cal. "&amp;MOVIMIENTOS!$C214&amp;" (va a reproceso)",IF(MOVIMIENTOS!$B214="DEVOLUCIÓN","DEVOLUCIÓN cal. "&amp;MOVIMIENTOS!$C214&amp;" (regresa intacta)",IF(MOVIMIENTOS!$B214="TRASIEGO","TRASIEGO cal. "&amp;MOVIMIENTOS!$C214,MOVIMIENTOS!$B214)))))))))),"")</f>
        <v/>
      </c>
      <c r="M215" s="48" t="str">
        <f aca="false">IF(AND(AND(MOVIMIENTOS!$B214&lt;&gt;"",NOT(AND(MOVIMIENTOS!$B214="PROCESO",MOVIMIENTOS!$C214&lt;&gt;"Chancho")),NOT(AND(MOVIMIENTOS!$B214="SALDO INICIAL",MOVIMIENTOS!$C214="Chancho"))),OR(MOVIMIENTOS!$B214="SALDO INICIAL",MOVIMIENTOS!$B214="COMPRA",MOVIMIENTOS!$B214="REPROCESO",MOVIMIENTOS!$B214="DEVOLUCIÓN",AND(MOVIMIENTOS!$B214="AJUSTE",MOVIMIENTOS!$C214&lt;&gt;"Chancho",N(MOVIMIENTOS!$F214)&gt;=0))),N(MOVIMIENTOS!$F214),"")</f>
        <v/>
      </c>
      <c r="N215" s="48" t="str">
        <f aca="false">IF(AND(AND(MOVIMIENTOS!$B214&lt;&gt;"",NOT(AND(MOVIMIENTOS!$B214="PROCESO",MOVIMIENTOS!$C214&lt;&gt;"Chancho")),NOT(AND(MOVIMIENTOS!$B214="SALDO INICIAL",MOVIMIENTOS!$C214="Chancho"))),OR(MOVIMIENTOS!$B214="ENVÍO A SUPESA",MOVIMIENTOS!$B214="MALOGRADO",MOVIMIENTOS!$B214="OTRA SALIDA",MOVIMIENTOS!$B214="TRASIEGO",AND(MOVIMIENTOS!$B214="PROCESO",MOVIMIENTOS!$C214="Chancho"),AND(MOVIMIENTOS!$B214="REGALO",MOVIMIENTOS!$C214&lt;&gt;"Chancho"),AND(MOVIMIENTOS!$B214="VENTA",MOVIMIENTOS!$C214&lt;&gt;"Chancho"),AND(MOVIMIENTOS!$B214="AJUSTE",MOVIMIENTOS!$C214&lt;&gt;"Chancho",N(MOVIMIENTOS!$F214)&lt;0))),IF(MOVIMIENTOS!$B214="AJUSTE",-N(MOVIMIENTOS!$F214),N(MOVIMIENTOS!$F214)),"")</f>
        <v/>
      </c>
      <c r="O215" s="48" t="str">
        <f aca="false">IF(AND(MOVIMIENTOS!$B214&lt;&gt;"",NOT(AND(MOVIMIENTOS!$B214="PROCESO",MOVIMIENTOS!$C214&lt;&gt;"Chancho")),NOT(AND(MOVIMIENTOS!$B214="SALDO INICIAL",MOVIMIENTOS!$C214="Chancho"))),IF(MOVIMIENTOS!$B214="RECHAZO",MOVIMIENTOS!$E214&amp;" jabas rechazadas · van a reproceso",IF(MOVIMIENTOS!$B214="REPROCESO",MOVIMIENTOS!$E214&amp;" kg recuperados (merma del día: "&amp;TEXT(SUMPRODUCT((MOVIMIENTOS!$A$5:$A$400=MOVIMIENTOS!$A214)*(MOVIMIENTOS!$B$5:$B$400="RECHAZO")*(MOVIMIENTOS!$D$5:$D$400="jabas")*MOVIMIENTOS!$E$5:$E$400*IFERROR(_xlfn.SWITCH(MOVIMIENTOS!$C$5:$C$400,"A",15,"P",18,"C",17,"M",17,0),0))-SUMPRODUCT((MOVIMIENTOS!$A$5:$A$400=MOVIMIENTOS!$A214)*(MOVIMIENTOS!$B$5:$B$400="REPROCESO")*MOVIMIENTOS!$I$5:$I$400),"+#,##0;-#,##0;0")&amp;" kg)",TRIM(IF(MOVIMIENTOS!$G214&lt;&gt;"",MOVIMIENTOS!$G214&amp;"  ","")&amp;IF(N(MOVIMIENTOS!$D214)&gt;0,MOVIMIENTOS!$D214&amp;" "&amp;MOVIMIENTOS!$D214,"")))),"")</f>
        <v/>
      </c>
      <c r="P215" s="48" t="n">
        <f aca="false">N(P214)+N(M215)-N(N215)</f>
        <v>-290.5</v>
      </c>
      <c r="Q215" s="48"/>
      <c r="R215" s="48"/>
      <c r="S215" s="48"/>
      <c r="T215" s="48"/>
    </row>
    <row r="216" customFormat="false" ht="15" hidden="false" customHeight="true" outlineLevel="0" collapsed="false">
      <c r="A216" s="51" t="str">
        <f aca="false">IFERROR(INDEX(K$6:K$401,MATCH(ROW()-5,J$6:J$401,0)),"")</f>
        <v/>
      </c>
      <c r="B216" s="56" t="str">
        <f aca="false">IFERROR(INDEX(L$6:L$401,MATCH(ROW()-5,J$6:J$401,0)),"")</f>
        <v/>
      </c>
      <c r="C216" s="52" t="str">
        <f aca="false">IFERROR(INDEX(M$6:M$401,MATCH(ROW()-5,J$6:J$401,0)),"")</f>
        <v/>
      </c>
      <c r="D216" s="52" t="str">
        <f aca="false">IFERROR(INDEX(N$6:N$401,MATCH(ROW()-5,J$6:J$401,0)),"")</f>
        <v/>
      </c>
      <c r="E216" s="56" t="str">
        <f aca="false">IFERROR(INDEX(O$6:O$401,MATCH(ROW()-5,J$6:J$401,0)),"")</f>
        <v/>
      </c>
      <c r="F216" s="52" t="str">
        <f aca="false">IFERROR(INDEX(P$6:P$401,MATCH(ROW()-5,J$6:J$401,0)),"")</f>
        <v/>
      </c>
      <c r="G216" s="48"/>
      <c r="H216" s="48"/>
      <c r="I216" s="48"/>
      <c r="J216" s="48" t="str">
        <f aca="false">IF(AND(MOVIMIENTOS!$B215&lt;&gt;"",NOT(AND(MOVIMIENTOS!$B215="PROCESO",MOVIMIENTOS!$C215&lt;&gt;"Chancho")),NOT(AND(MOVIMIENTOS!$B215="SALDO INICIAL",MOVIMIENTOS!$C215="Chancho"))),COUNT(J$6:J215)+1,"")</f>
        <v/>
      </c>
      <c r="K216" s="48" t="str">
        <f aca="false">IF(AND(MOVIMIENTOS!$B215&lt;&gt;"",NOT(AND(MOVIMIENTOS!$B215="PROCESO",MOVIMIENTOS!$C215&lt;&gt;"Chancho")),NOT(AND(MOVIMIENTOS!$B215="SALDO INICIAL",MOVIMIENTOS!$C215="Chancho"))),MOVIMIENTOS!$A215,"")</f>
        <v/>
      </c>
      <c r="L216" s="48" t="str">
        <f aca="false">IF(AND(MOVIMIENTOS!$B215&lt;&gt;"",NOT(AND(MOVIMIENTOS!$B215="PROCESO",MOVIMIENTOS!$C215&lt;&gt;"Chancho")),NOT(AND(MOVIMIENTOS!$B215="SALDO INICIAL",MOVIMIENTOS!$C215="Chancho"))),IF(MOVIMIENTOS!$B215="SALDO INICIAL","APERTURA ("&amp;MOVIMIENTOS!$C215&amp;")",IF(MOVIMIENTOS!$B215="COMPRA","INGRESO (compra)",IF(MOVIMIENTOS!$B215="PROCESO","CHANCHO (proceso)",IF(MOVIMIENTOS!$B215="ENVÍO A SUPESA","ENVÍO cal. "&amp;MOVIMIENTOS!$C215,IF(MOVIMIENTOS!$B215="VENTA CHANCHO","VENTA CHANCHO",IF(MOVIMIENTOS!$B215="VENTA","VENTA cal. "&amp;MOVIMIENTOS!$C215,IF(MOVIMIENTOS!$B215="REGALO","REGALO "&amp;MOVIMIENTOS!$C215,IF(MOVIMIENTOS!$B215="RECHAZO","RECHAZO cal. "&amp;MOVIMIENTOS!$C215&amp;" (va a reproceso)",IF(MOVIMIENTOS!$B215="DEVOLUCIÓN","DEVOLUCIÓN cal. "&amp;MOVIMIENTOS!$C215&amp;" (regresa intacta)",IF(MOVIMIENTOS!$B215="TRASIEGO","TRASIEGO cal. "&amp;MOVIMIENTOS!$C215,MOVIMIENTOS!$B215)))))))))),"")</f>
        <v/>
      </c>
      <c r="M216" s="48" t="str">
        <f aca="false">IF(AND(AND(MOVIMIENTOS!$B215&lt;&gt;"",NOT(AND(MOVIMIENTOS!$B215="PROCESO",MOVIMIENTOS!$C215&lt;&gt;"Chancho")),NOT(AND(MOVIMIENTOS!$B215="SALDO INICIAL",MOVIMIENTOS!$C215="Chancho"))),OR(MOVIMIENTOS!$B215="SALDO INICIAL",MOVIMIENTOS!$B215="COMPRA",MOVIMIENTOS!$B215="REPROCESO",MOVIMIENTOS!$B215="DEVOLUCIÓN",AND(MOVIMIENTOS!$B215="AJUSTE",MOVIMIENTOS!$C215&lt;&gt;"Chancho",N(MOVIMIENTOS!$F215)&gt;=0))),N(MOVIMIENTOS!$F215),"")</f>
        <v/>
      </c>
      <c r="N216" s="48" t="str">
        <f aca="false">IF(AND(AND(MOVIMIENTOS!$B215&lt;&gt;"",NOT(AND(MOVIMIENTOS!$B215="PROCESO",MOVIMIENTOS!$C215&lt;&gt;"Chancho")),NOT(AND(MOVIMIENTOS!$B215="SALDO INICIAL",MOVIMIENTOS!$C215="Chancho"))),OR(MOVIMIENTOS!$B215="ENVÍO A SUPESA",MOVIMIENTOS!$B215="MALOGRADO",MOVIMIENTOS!$B215="OTRA SALIDA",MOVIMIENTOS!$B215="TRASIEGO",AND(MOVIMIENTOS!$B215="PROCESO",MOVIMIENTOS!$C215="Chancho"),AND(MOVIMIENTOS!$B215="REGALO",MOVIMIENTOS!$C215&lt;&gt;"Chancho"),AND(MOVIMIENTOS!$B215="VENTA",MOVIMIENTOS!$C215&lt;&gt;"Chancho"),AND(MOVIMIENTOS!$B215="AJUSTE",MOVIMIENTOS!$C215&lt;&gt;"Chancho",N(MOVIMIENTOS!$F215)&lt;0))),IF(MOVIMIENTOS!$B215="AJUSTE",-N(MOVIMIENTOS!$F215),N(MOVIMIENTOS!$F215)),"")</f>
        <v/>
      </c>
      <c r="O216" s="48" t="str">
        <f aca="false">IF(AND(MOVIMIENTOS!$B215&lt;&gt;"",NOT(AND(MOVIMIENTOS!$B215="PROCESO",MOVIMIENTOS!$C215&lt;&gt;"Chancho")),NOT(AND(MOVIMIENTOS!$B215="SALDO INICIAL",MOVIMIENTOS!$C215="Chancho"))),IF(MOVIMIENTOS!$B215="RECHAZO",MOVIMIENTOS!$E215&amp;" jabas rechazadas · van a reproceso",IF(MOVIMIENTOS!$B215="REPROCESO",MOVIMIENTOS!$E215&amp;" kg recuperados (merma del día: "&amp;TEXT(SUMPRODUCT((MOVIMIENTOS!$A$5:$A$400=MOVIMIENTOS!$A215)*(MOVIMIENTOS!$B$5:$B$400="RECHAZO")*(MOVIMIENTOS!$D$5:$D$400="jabas")*MOVIMIENTOS!$E$5:$E$400*IFERROR(_xlfn.SWITCH(MOVIMIENTOS!$C$5:$C$400,"A",15,"P",18,"C",17,"M",17,0),0))-SUMPRODUCT((MOVIMIENTOS!$A$5:$A$400=MOVIMIENTOS!$A215)*(MOVIMIENTOS!$B$5:$B$400="REPROCESO")*MOVIMIENTOS!$I$5:$I$400),"+#,##0;-#,##0;0")&amp;" kg)",TRIM(IF(MOVIMIENTOS!$G215&lt;&gt;"",MOVIMIENTOS!$G215&amp;"  ","")&amp;IF(N(MOVIMIENTOS!$D215)&gt;0,MOVIMIENTOS!$D215&amp;" "&amp;MOVIMIENTOS!$D215,"")))),"")</f>
        <v/>
      </c>
      <c r="P216" s="48" t="n">
        <f aca="false">N(P215)+N(M216)-N(N216)</f>
        <v>-290.5</v>
      </c>
      <c r="Q216" s="48"/>
      <c r="R216" s="48"/>
      <c r="S216" s="48"/>
      <c r="T216" s="48"/>
    </row>
    <row r="217" customFormat="false" ht="15" hidden="false" customHeight="true" outlineLevel="0" collapsed="false">
      <c r="A217" s="51" t="str">
        <f aca="false">IFERROR(INDEX(K$6:K$401,MATCH(ROW()-5,J$6:J$401,0)),"")</f>
        <v/>
      </c>
      <c r="B217" s="56" t="str">
        <f aca="false">IFERROR(INDEX(L$6:L$401,MATCH(ROW()-5,J$6:J$401,0)),"")</f>
        <v/>
      </c>
      <c r="C217" s="52" t="str">
        <f aca="false">IFERROR(INDEX(M$6:M$401,MATCH(ROW()-5,J$6:J$401,0)),"")</f>
        <v/>
      </c>
      <c r="D217" s="52" t="str">
        <f aca="false">IFERROR(INDEX(N$6:N$401,MATCH(ROW()-5,J$6:J$401,0)),"")</f>
        <v/>
      </c>
      <c r="E217" s="56" t="str">
        <f aca="false">IFERROR(INDEX(O$6:O$401,MATCH(ROW()-5,J$6:J$401,0)),"")</f>
        <v/>
      </c>
      <c r="F217" s="52" t="str">
        <f aca="false">IFERROR(INDEX(P$6:P$401,MATCH(ROW()-5,J$6:J$401,0)),"")</f>
        <v/>
      </c>
      <c r="G217" s="48"/>
      <c r="H217" s="48"/>
      <c r="I217" s="48"/>
      <c r="J217" s="48" t="str">
        <f aca="false">IF(AND(MOVIMIENTOS!$B216&lt;&gt;"",NOT(AND(MOVIMIENTOS!$B216="PROCESO",MOVIMIENTOS!$C216&lt;&gt;"Chancho")),NOT(AND(MOVIMIENTOS!$B216="SALDO INICIAL",MOVIMIENTOS!$C216="Chancho"))),COUNT(J$6:J216)+1,"")</f>
        <v/>
      </c>
      <c r="K217" s="48" t="str">
        <f aca="false">IF(AND(MOVIMIENTOS!$B216&lt;&gt;"",NOT(AND(MOVIMIENTOS!$B216="PROCESO",MOVIMIENTOS!$C216&lt;&gt;"Chancho")),NOT(AND(MOVIMIENTOS!$B216="SALDO INICIAL",MOVIMIENTOS!$C216="Chancho"))),MOVIMIENTOS!$A216,"")</f>
        <v/>
      </c>
      <c r="L217" s="48" t="str">
        <f aca="false">IF(AND(MOVIMIENTOS!$B216&lt;&gt;"",NOT(AND(MOVIMIENTOS!$B216="PROCESO",MOVIMIENTOS!$C216&lt;&gt;"Chancho")),NOT(AND(MOVIMIENTOS!$B216="SALDO INICIAL",MOVIMIENTOS!$C216="Chancho"))),IF(MOVIMIENTOS!$B216="SALDO INICIAL","APERTURA ("&amp;MOVIMIENTOS!$C216&amp;")",IF(MOVIMIENTOS!$B216="COMPRA","INGRESO (compra)",IF(MOVIMIENTOS!$B216="PROCESO","CHANCHO (proceso)",IF(MOVIMIENTOS!$B216="ENVÍO A SUPESA","ENVÍO cal. "&amp;MOVIMIENTOS!$C216,IF(MOVIMIENTOS!$B216="VENTA CHANCHO","VENTA CHANCHO",IF(MOVIMIENTOS!$B216="VENTA","VENTA cal. "&amp;MOVIMIENTOS!$C216,IF(MOVIMIENTOS!$B216="REGALO","REGALO "&amp;MOVIMIENTOS!$C216,IF(MOVIMIENTOS!$B216="RECHAZO","RECHAZO cal. "&amp;MOVIMIENTOS!$C216&amp;" (va a reproceso)",IF(MOVIMIENTOS!$B216="DEVOLUCIÓN","DEVOLUCIÓN cal. "&amp;MOVIMIENTOS!$C216&amp;" (regresa intacta)",IF(MOVIMIENTOS!$B216="TRASIEGO","TRASIEGO cal. "&amp;MOVIMIENTOS!$C216,MOVIMIENTOS!$B216)))))))))),"")</f>
        <v/>
      </c>
      <c r="M217" s="48" t="str">
        <f aca="false">IF(AND(AND(MOVIMIENTOS!$B216&lt;&gt;"",NOT(AND(MOVIMIENTOS!$B216="PROCESO",MOVIMIENTOS!$C216&lt;&gt;"Chancho")),NOT(AND(MOVIMIENTOS!$B216="SALDO INICIAL",MOVIMIENTOS!$C216="Chancho"))),OR(MOVIMIENTOS!$B216="SALDO INICIAL",MOVIMIENTOS!$B216="COMPRA",MOVIMIENTOS!$B216="REPROCESO",MOVIMIENTOS!$B216="DEVOLUCIÓN",AND(MOVIMIENTOS!$B216="AJUSTE",MOVIMIENTOS!$C216&lt;&gt;"Chancho",N(MOVIMIENTOS!$F216)&gt;=0))),N(MOVIMIENTOS!$F216),"")</f>
        <v/>
      </c>
      <c r="N217" s="48" t="str">
        <f aca="false">IF(AND(AND(MOVIMIENTOS!$B216&lt;&gt;"",NOT(AND(MOVIMIENTOS!$B216="PROCESO",MOVIMIENTOS!$C216&lt;&gt;"Chancho")),NOT(AND(MOVIMIENTOS!$B216="SALDO INICIAL",MOVIMIENTOS!$C216="Chancho"))),OR(MOVIMIENTOS!$B216="ENVÍO A SUPESA",MOVIMIENTOS!$B216="MALOGRADO",MOVIMIENTOS!$B216="OTRA SALIDA",MOVIMIENTOS!$B216="TRASIEGO",AND(MOVIMIENTOS!$B216="PROCESO",MOVIMIENTOS!$C216="Chancho"),AND(MOVIMIENTOS!$B216="REGALO",MOVIMIENTOS!$C216&lt;&gt;"Chancho"),AND(MOVIMIENTOS!$B216="VENTA",MOVIMIENTOS!$C216&lt;&gt;"Chancho"),AND(MOVIMIENTOS!$B216="AJUSTE",MOVIMIENTOS!$C216&lt;&gt;"Chancho",N(MOVIMIENTOS!$F216)&lt;0))),IF(MOVIMIENTOS!$B216="AJUSTE",-N(MOVIMIENTOS!$F216),N(MOVIMIENTOS!$F216)),"")</f>
        <v/>
      </c>
      <c r="O217" s="48" t="str">
        <f aca="false">IF(AND(MOVIMIENTOS!$B216&lt;&gt;"",NOT(AND(MOVIMIENTOS!$B216="PROCESO",MOVIMIENTOS!$C216&lt;&gt;"Chancho")),NOT(AND(MOVIMIENTOS!$B216="SALDO INICIAL",MOVIMIENTOS!$C216="Chancho"))),IF(MOVIMIENTOS!$B216="RECHAZO",MOVIMIENTOS!$E216&amp;" jabas rechazadas · van a reproceso",IF(MOVIMIENTOS!$B216="REPROCESO",MOVIMIENTOS!$E216&amp;" kg recuperados (merma del día: "&amp;TEXT(SUMPRODUCT((MOVIMIENTOS!$A$5:$A$400=MOVIMIENTOS!$A216)*(MOVIMIENTOS!$B$5:$B$400="RECHAZO")*(MOVIMIENTOS!$D$5:$D$400="jabas")*MOVIMIENTOS!$E$5:$E$400*IFERROR(_xlfn.SWITCH(MOVIMIENTOS!$C$5:$C$400,"A",15,"P",18,"C",17,"M",17,0),0))-SUMPRODUCT((MOVIMIENTOS!$A$5:$A$400=MOVIMIENTOS!$A216)*(MOVIMIENTOS!$B$5:$B$400="REPROCESO")*MOVIMIENTOS!$I$5:$I$400),"+#,##0;-#,##0;0")&amp;" kg)",TRIM(IF(MOVIMIENTOS!$G216&lt;&gt;"",MOVIMIENTOS!$G216&amp;"  ","")&amp;IF(N(MOVIMIENTOS!$D216)&gt;0,MOVIMIENTOS!$D216&amp;" "&amp;MOVIMIENTOS!$D216,"")))),"")</f>
        <v/>
      </c>
      <c r="P217" s="48" t="n">
        <f aca="false">N(P216)+N(M217)-N(N217)</f>
        <v>-290.5</v>
      </c>
      <c r="Q217" s="48"/>
      <c r="R217" s="48"/>
      <c r="S217" s="48"/>
      <c r="T217" s="48"/>
    </row>
    <row r="218" customFormat="false" ht="15" hidden="false" customHeight="true" outlineLevel="0" collapsed="false">
      <c r="A218" s="51" t="str">
        <f aca="false">IFERROR(INDEX(K$6:K$401,MATCH(ROW()-5,J$6:J$401,0)),"")</f>
        <v/>
      </c>
      <c r="B218" s="56" t="str">
        <f aca="false">IFERROR(INDEX(L$6:L$401,MATCH(ROW()-5,J$6:J$401,0)),"")</f>
        <v/>
      </c>
      <c r="C218" s="52" t="str">
        <f aca="false">IFERROR(INDEX(M$6:M$401,MATCH(ROW()-5,J$6:J$401,0)),"")</f>
        <v/>
      </c>
      <c r="D218" s="52" t="str">
        <f aca="false">IFERROR(INDEX(N$6:N$401,MATCH(ROW()-5,J$6:J$401,0)),"")</f>
        <v/>
      </c>
      <c r="E218" s="56" t="str">
        <f aca="false">IFERROR(INDEX(O$6:O$401,MATCH(ROW()-5,J$6:J$401,0)),"")</f>
        <v/>
      </c>
      <c r="F218" s="52" t="str">
        <f aca="false">IFERROR(INDEX(P$6:P$401,MATCH(ROW()-5,J$6:J$401,0)),"")</f>
        <v/>
      </c>
      <c r="G218" s="48"/>
      <c r="H218" s="48"/>
      <c r="I218" s="48"/>
      <c r="J218" s="48" t="str">
        <f aca="false">IF(AND(MOVIMIENTOS!$B217&lt;&gt;"",NOT(AND(MOVIMIENTOS!$B217="PROCESO",MOVIMIENTOS!$C217&lt;&gt;"Chancho")),NOT(AND(MOVIMIENTOS!$B217="SALDO INICIAL",MOVIMIENTOS!$C217="Chancho"))),COUNT(J$6:J217)+1,"")</f>
        <v/>
      </c>
      <c r="K218" s="48" t="str">
        <f aca="false">IF(AND(MOVIMIENTOS!$B217&lt;&gt;"",NOT(AND(MOVIMIENTOS!$B217="PROCESO",MOVIMIENTOS!$C217&lt;&gt;"Chancho")),NOT(AND(MOVIMIENTOS!$B217="SALDO INICIAL",MOVIMIENTOS!$C217="Chancho"))),MOVIMIENTOS!$A217,"")</f>
        <v/>
      </c>
      <c r="L218" s="48" t="str">
        <f aca="false">IF(AND(MOVIMIENTOS!$B217&lt;&gt;"",NOT(AND(MOVIMIENTOS!$B217="PROCESO",MOVIMIENTOS!$C217&lt;&gt;"Chancho")),NOT(AND(MOVIMIENTOS!$B217="SALDO INICIAL",MOVIMIENTOS!$C217="Chancho"))),IF(MOVIMIENTOS!$B217="SALDO INICIAL","APERTURA ("&amp;MOVIMIENTOS!$C217&amp;")",IF(MOVIMIENTOS!$B217="COMPRA","INGRESO (compra)",IF(MOVIMIENTOS!$B217="PROCESO","CHANCHO (proceso)",IF(MOVIMIENTOS!$B217="ENVÍO A SUPESA","ENVÍO cal. "&amp;MOVIMIENTOS!$C217,IF(MOVIMIENTOS!$B217="VENTA CHANCHO","VENTA CHANCHO",IF(MOVIMIENTOS!$B217="VENTA","VENTA cal. "&amp;MOVIMIENTOS!$C217,IF(MOVIMIENTOS!$B217="REGALO","REGALO "&amp;MOVIMIENTOS!$C217,IF(MOVIMIENTOS!$B217="RECHAZO","RECHAZO cal. "&amp;MOVIMIENTOS!$C217&amp;" (va a reproceso)",IF(MOVIMIENTOS!$B217="DEVOLUCIÓN","DEVOLUCIÓN cal. "&amp;MOVIMIENTOS!$C217&amp;" (regresa intacta)",IF(MOVIMIENTOS!$B217="TRASIEGO","TRASIEGO cal. "&amp;MOVIMIENTOS!$C217,MOVIMIENTOS!$B217)))))))))),"")</f>
        <v/>
      </c>
      <c r="M218" s="48" t="str">
        <f aca="false">IF(AND(AND(MOVIMIENTOS!$B217&lt;&gt;"",NOT(AND(MOVIMIENTOS!$B217="PROCESO",MOVIMIENTOS!$C217&lt;&gt;"Chancho")),NOT(AND(MOVIMIENTOS!$B217="SALDO INICIAL",MOVIMIENTOS!$C217="Chancho"))),OR(MOVIMIENTOS!$B217="SALDO INICIAL",MOVIMIENTOS!$B217="COMPRA",MOVIMIENTOS!$B217="REPROCESO",MOVIMIENTOS!$B217="DEVOLUCIÓN",AND(MOVIMIENTOS!$B217="AJUSTE",MOVIMIENTOS!$C217&lt;&gt;"Chancho",N(MOVIMIENTOS!$F217)&gt;=0))),N(MOVIMIENTOS!$F217),"")</f>
        <v/>
      </c>
      <c r="N218" s="48" t="str">
        <f aca="false">IF(AND(AND(MOVIMIENTOS!$B217&lt;&gt;"",NOT(AND(MOVIMIENTOS!$B217="PROCESO",MOVIMIENTOS!$C217&lt;&gt;"Chancho")),NOT(AND(MOVIMIENTOS!$B217="SALDO INICIAL",MOVIMIENTOS!$C217="Chancho"))),OR(MOVIMIENTOS!$B217="ENVÍO A SUPESA",MOVIMIENTOS!$B217="MALOGRADO",MOVIMIENTOS!$B217="OTRA SALIDA",MOVIMIENTOS!$B217="TRASIEGO",AND(MOVIMIENTOS!$B217="PROCESO",MOVIMIENTOS!$C217="Chancho"),AND(MOVIMIENTOS!$B217="REGALO",MOVIMIENTOS!$C217&lt;&gt;"Chancho"),AND(MOVIMIENTOS!$B217="VENTA",MOVIMIENTOS!$C217&lt;&gt;"Chancho"),AND(MOVIMIENTOS!$B217="AJUSTE",MOVIMIENTOS!$C217&lt;&gt;"Chancho",N(MOVIMIENTOS!$F217)&lt;0))),IF(MOVIMIENTOS!$B217="AJUSTE",-N(MOVIMIENTOS!$F217),N(MOVIMIENTOS!$F217)),"")</f>
        <v/>
      </c>
      <c r="O218" s="48" t="str">
        <f aca="false">IF(AND(MOVIMIENTOS!$B217&lt;&gt;"",NOT(AND(MOVIMIENTOS!$B217="PROCESO",MOVIMIENTOS!$C217&lt;&gt;"Chancho")),NOT(AND(MOVIMIENTOS!$B217="SALDO INICIAL",MOVIMIENTOS!$C217="Chancho"))),IF(MOVIMIENTOS!$B217="RECHAZO",MOVIMIENTOS!$E217&amp;" jabas rechazadas · van a reproceso",IF(MOVIMIENTOS!$B217="REPROCESO",MOVIMIENTOS!$E217&amp;" kg recuperados (merma del día: "&amp;TEXT(SUMPRODUCT((MOVIMIENTOS!$A$5:$A$400=MOVIMIENTOS!$A217)*(MOVIMIENTOS!$B$5:$B$400="RECHAZO")*(MOVIMIENTOS!$D$5:$D$400="jabas")*MOVIMIENTOS!$E$5:$E$400*IFERROR(_xlfn.SWITCH(MOVIMIENTOS!$C$5:$C$400,"A",15,"P",18,"C",17,"M",17,0),0))-SUMPRODUCT((MOVIMIENTOS!$A$5:$A$400=MOVIMIENTOS!$A217)*(MOVIMIENTOS!$B$5:$B$400="REPROCESO")*MOVIMIENTOS!$I$5:$I$400),"+#,##0;-#,##0;0")&amp;" kg)",TRIM(IF(MOVIMIENTOS!$G217&lt;&gt;"",MOVIMIENTOS!$G217&amp;"  ","")&amp;IF(N(MOVIMIENTOS!$D217)&gt;0,MOVIMIENTOS!$D217&amp;" "&amp;MOVIMIENTOS!$D217,"")))),"")</f>
        <v/>
      </c>
      <c r="P218" s="48" t="n">
        <f aca="false">N(P217)+N(M218)-N(N218)</f>
        <v>-290.5</v>
      </c>
      <c r="Q218" s="48"/>
      <c r="R218" s="48"/>
      <c r="S218" s="48"/>
      <c r="T218" s="48"/>
    </row>
    <row r="219" customFormat="false" ht="15" hidden="false" customHeight="true" outlineLevel="0" collapsed="false">
      <c r="A219" s="51" t="str">
        <f aca="false">IFERROR(INDEX(K$6:K$401,MATCH(ROW()-5,J$6:J$401,0)),"")</f>
        <v/>
      </c>
      <c r="B219" s="56" t="str">
        <f aca="false">IFERROR(INDEX(L$6:L$401,MATCH(ROW()-5,J$6:J$401,0)),"")</f>
        <v/>
      </c>
      <c r="C219" s="52" t="str">
        <f aca="false">IFERROR(INDEX(M$6:M$401,MATCH(ROW()-5,J$6:J$401,0)),"")</f>
        <v/>
      </c>
      <c r="D219" s="52" t="str">
        <f aca="false">IFERROR(INDEX(N$6:N$401,MATCH(ROW()-5,J$6:J$401,0)),"")</f>
        <v/>
      </c>
      <c r="E219" s="56" t="str">
        <f aca="false">IFERROR(INDEX(O$6:O$401,MATCH(ROW()-5,J$6:J$401,0)),"")</f>
        <v/>
      </c>
      <c r="F219" s="52" t="str">
        <f aca="false">IFERROR(INDEX(P$6:P$401,MATCH(ROW()-5,J$6:J$401,0)),"")</f>
        <v/>
      </c>
      <c r="G219" s="48"/>
      <c r="H219" s="48"/>
      <c r="I219" s="48"/>
      <c r="J219" s="48" t="str">
        <f aca="false">IF(AND(MOVIMIENTOS!$B218&lt;&gt;"",NOT(AND(MOVIMIENTOS!$B218="PROCESO",MOVIMIENTOS!$C218&lt;&gt;"Chancho")),NOT(AND(MOVIMIENTOS!$B218="SALDO INICIAL",MOVIMIENTOS!$C218="Chancho"))),COUNT(J$6:J218)+1,"")</f>
        <v/>
      </c>
      <c r="K219" s="48" t="str">
        <f aca="false">IF(AND(MOVIMIENTOS!$B218&lt;&gt;"",NOT(AND(MOVIMIENTOS!$B218="PROCESO",MOVIMIENTOS!$C218&lt;&gt;"Chancho")),NOT(AND(MOVIMIENTOS!$B218="SALDO INICIAL",MOVIMIENTOS!$C218="Chancho"))),MOVIMIENTOS!$A218,"")</f>
        <v/>
      </c>
      <c r="L219" s="48" t="str">
        <f aca="false">IF(AND(MOVIMIENTOS!$B218&lt;&gt;"",NOT(AND(MOVIMIENTOS!$B218="PROCESO",MOVIMIENTOS!$C218&lt;&gt;"Chancho")),NOT(AND(MOVIMIENTOS!$B218="SALDO INICIAL",MOVIMIENTOS!$C218="Chancho"))),IF(MOVIMIENTOS!$B218="SALDO INICIAL","APERTURA ("&amp;MOVIMIENTOS!$C218&amp;")",IF(MOVIMIENTOS!$B218="COMPRA","INGRESO (compra)",IF(MOVIMIENTOS!$B218="PROCESO","CHANCHO (proceso)",IF(MOVIMIENTOS!$B218="ENVÍO A SUPESA","ENVÍO cal. "&amp;MOVIMIENTOS!$C218,IF(MOVIMIENTOS!$B218="VENTA CHANCHO","VENTA CHANCHO",IF(MOVIMIENTOS!$B218="VENTA","VENTA cal. "&amp;MOVIMIENTOS!$C218,IF(MOVIMIENTOS!$B218="REGALO","REGALO "&amp;MOVIMIENTOS!$C218,IF(MOVIMIENTOS!$B218="RECHAZO","RECHAZO cal. "&amp;MOVIMIENTOS!$C218&amp;" (va a reproceso)",IF(MOVIMIENTOS!$B218="DEVOLUCIÓN","DEVOLUCIÓN cal. "&amp;MOVIMIENTOS!$C218&amp;" (regresa intacta)",IF(MOVIMIENTOS!$B218="TRASIEGO","TRASIEGO cal. "&amp;MOVIMIENTOS!$C218,MOVIMIENTOS!$B218)))))))))),"")</f>
        <v/>
      </c>
      <c r="M219" s="48" t="str">
        <f aca="false">IF(AND(AND(MOVIMIENTOS!$B218&lt;&gt;"",NOT(AND(MOVIMIENTOS!$B218="PROCESO",MOVIMIENTOS!$C218&lt;&gt;"Chancho")),NOT(AND(MOVIMIENTOS!$B218="SALDO INICIAL",MOVIMIENTOS!$C218="Chancho"))),OR(MOVIMIENTOS!$B218="SALDO INICIAL",MOVIMIENTOS!$B218="COMPRA",MOVIMIENTOS!$B218="REPROCESO",MOVIMIENTOS!$B218="DEVOLUCIÓN",AND(MOVIMIENTOS!$B218="AJUSTE",MOVIMIENTOS!$C218&lt;&gt;"Chancho",N(MOVIMIENTOS!$F218)&gt;=0))),N(MOVIMIENTOS!$F218),"")</f>
        <v/>
      </c>
      <c r="N219" s="48" t="str">
        <f aca="false">IF(AND(AND(MOVIMIENTOS!$B218&lt;&gt;"",NOT(AND(MOVIMIENTOS!$B218="PROCESO",MOVIMIENTOS!$C218&lt;&gt;"Chancho")),NOT(AND(MOVIMIENTOS!$B218="SALDO INICIAL",MOVIMIENTOS!$C218="Chancho"))),OR(MOVIMIENTOS!$B218="ENVÍO A SUPESA",MOVIMIENTOS!$B218="MALOGRADO",MOVIMIENTOS!$B218="OTRA SALIDA",MOVIMIENTOS!$B218="TRASIEGO",AND(MOVIMIENTOS!$B218="PROCESO",MOVIMIENTOS!$C218="Chancho"),AND(MOVIMIENTOS!$B218="REGALO",MOVIMIENTOS!$C218&lt;&gt;"Chancho"),AND(MOVIMIENTOS!$B218="VENTA",MOVIMIENTOS!$C218&lt;&gt;"Chancho"),AND(MOVIMIENTOS!$B218="AJUSTE",MOVIMIENTOS!$C218&lt;&gt;"Chancho",N(MOVIMIENTOS!$F218)&lt;0))),IF(MOVIMIENTOS!$B218="AJUSTE",-N(MOVIMIENTOS!$F218),N(MOVIMIENTOS!$F218)),"")</f>
        <v/>
      </c>
      <c r="O219" s="48" t="str">
        <f aca="false">IF(AND(MOVIMIENTOS!$B218&lt;&gt;"",NOT(AND(MOVIMIENTOS!$B218="PROCESO",MOVIMIENTOS!$C218&lt;&gt;"Chancho")),NOT(AND(MOVIMIENTOS!$B218="SALDO INICIAL",MOVIMIENTOS!$C218="Chancho"))),IF(MOVIMIENTOS!$B218="RECHAZO",MOVIMIENTOS!$E218&amp;" jabas rechazadas · van a reproceso",IF(MOVIMIENTOS!$B218="REPROCESO",MOVIMIENTOS!$E218&amp;" kg recuperados (merma del día: "&amp;TEXT(SUMPRODUCT((MOVIMIENTOS!$A$5:$A$400=MOVIMIENTOS!$A218)*(MOVIMIENTOS!$B$5:$B$400="RECHAZO")*(MOVIMIENTOS!$D$5:$D$400="jabas")*MOVIMIENTOS!$E$5:$E$400*IFERROR(_xlfn.SWITCH(MOVIMIENTOS!$C$5:$C$400,"A",15,"P",18,"C",17,"M",17,0),0))-SUMPRODUCT((MOVIMIENTOS!$A$5:$A$400=MOVIMIENTOS!$A218)*(MOVIMIENTOS!$B$5:$B$400="REPROCESO")*MOVIMIENTOS!$I$5:$I$400),"+#,##0;-#,##0;0")&amp;" kg)",TRIM(IF(MOVIMIENTOS!$G218&lt;&gt;"",MOVIMIENTOS!$G218&amp;"  ","")&amp;IF(N(MOVIMIENTOS!$D218)&gt;0,MOVIMIENTOS!$D218&amp;" "&amp;MOVIMIENTOS!$D218,"")))),"")</f>
        <v/>
      </c>
      <c r="P219" s="48" t="n">
        <f aca="false">N(P218)+N(M219)-N(N219)</f>
        <v>-290.5</v>
      </c>
      <c r="Q219" s="48"/>
      <c r="R219" s="48"/>
      <c r="S219" s="48"/>
      <c r="T219" s="48"/>
    </row>
    <row r="220" customFormat="false" ht="15" hidden="false" customHeight="true" outlineLevel="0" collapsed="false">
      <c r="A220" s="51" t="str">
        <f aca="false">IFERROR(INDEX(K$6:K$401,MATCH(ROW()-5,J$6:J$401,0)),"")</f>
        <v/>
      </c>
      <c r="B220" s="56" t="str">
        <f aca="false">IFERROR(INDEX(L$6:L$401,MATCH(ROW()-5,J$6:J$401,0)),"")</f>
        <v/>
      </c>
      <c r="C220" s="52" t="str">
        <f aca="false">IFERROR(INDEX(M$6:M$401,MATCH(ROW()-5,J$6:J$401,0)),"")</f>
        <v/>
      </c>
      <c r="D220" s="52" t="str">
        <f aca="false">IFERROR(INDEX(N$6:N$401,MATCH(ROW()-5,J$6:J$401,0)),"")</f>
        <v/>
      </c>
      <c r="E220" s="56" t="str">
        <f aca="false">IFERROR(INDEX(O$6:O$401,MATCH(ROW()-5,J$6:J$401,0)),"")</f>
        <v/>
      </c>
      <c r="F220" s="52" t="str">
        <f aca="false">IFERROR(INDEX(P$6:P$401,MATCH(ROW()-5,J$6:J$401,0)),"")</f>
        <v/>
      </c>
      <c r="G220" s="48"/>
      <c r="H220" s="48"/>
      <c r="I220" s="48"/>
      <c r="J220" s="48" t="str">
        <f aca="false">IF(AND(MOVIMIENTOS!$B219&lt;&gt;"",NOT(AND(MOVIMIENTOS!$B219="PROCESO",MOVIMIENTOS!$C219&lt;&gt;"Chancho")),NOT(AND(MOVIMIENTOS!$B219="SALDO INICIAL",MOVIMIENTOS!$C219="Chancho"))),COUNT(J$6:J219)+1,"")</f>
        <v/>
      </c>
      <c r="K220" s="48" t="str">
        <f aca="false">IF(AND(MOVIMIENTOS!$B219&lt;&gt;"",NOT(AND(MOVIMIENTOS!$B219="PROCESO",MOVIMIENTOS!$C219&lt;&gt;"Chancho")),NOT(AND(MOVIMIENTOS!$B219="SALDO INICIAL",MOVIMIENTOS!$C219="Chancho"))),MOVIMIENTOS!$A219,"")</f>
        <v/>
      </c>
      <c r="L220" s="48" t="str">
        <f aca="false">IF(AND(MOVIMIENTOS!$B219&lt;&gt;"",NOT(AND(MOVIMIENTOS!$B219="PROCESO",MOVIMIENTOS!$C219&lt;&gt;"Chancho")),NOT(AND(MOVIMIENTOS!$B219="SALDO INICIAL",MOVIMIENTOS!$C219="Chancho"))),IF(MOVIMIENTOS!$B219="SALDO INICIAL","APERTURA ("&amp;MOVIMIENTOS!$C219&amp;")",IF(MOVIMIENTOS!$B219="COMPRA","INGRESO (compra)",IF(MOVIMIENTOS!$B219="PROCESO","CHANCHO (proceso)",IF(MOVIMIENTOS!$B219="ENVÍO A SUPESA","ENVÍO cal. "&amp;MOVIMIENTOS!$C219,IF(MOVIMIENTOS!$B219="VENTA CHANCHO","VENTA CHANCHO",IF(MOVIMIENTOS!$B219="VENTA","VENTA cal. "&amp;MOVIMIENTOS!$C219,IF(MOVIMIENTOS!$B219="REGALO","REGALO "&amp;MOVIMIENTOS!$C219,IF(MOVIMIENTOS!$B219="RECHAZO","RECHAZO cal. "&amp;MOVIMIENTOS!$C219&amp;" (va a reproceso)",IF(MOVIMIENTOS!$B219="DEVOLUCIÓN","DEVOLUCIÓN cal. "&amp;MOVIMIENTOS!$C219&amp;" (regresa intacta)",IF(MOVIMIENTOS!$B219="TRASIEGO","TRASIEGO cal. "&amp;MOVIMIENTOS!$C219,MOVIMIENTOS!$B219)))))))))),"")</f>
        <v/>
      </c>
      <c r="M220" s="48" t="str">
        <f aca="false">IF(AND(AND(MOVIMIENTOS!$B219&lt;&gt;"",NOT(AND(MOVIMIENTOS!$B219="PROCESO",MOVIMIENTOS!$C219&lt;&gt;"Chancho")),NOT(AND(MOVIMIENTOS!$B219="SALDO INICIAL",MOVIMIENTOS!$C219="Chancho"))),OR(MOVIMIENTOS!$B219="SALDO INICIAL",MOVIMIENTOS!$B219="COMPRA",MOVIMIENTOS!$B219="REPROCESO",MOVIMIENTOS!$B219="DEVOLUCIÓN",AND(MOVIMIENTOS!$B219="AJUSTE",MOVIMIENTOS!$C219&lt;&gt;"Chancho",N(MOVIMIENTOS!$F219)&gt;=0))),N(MOVIMIENTOS!$F219),"")</f>
        <v/>
      </c>
      <c r="N220" s="48" t="str">
        <f aca="false">IF(AND(AND(MOVIMIENTOS!$B219&lt;&gt;"",NOT(AND(MOVIMIENTOS!$B219="PROCESO",MOVIMIENTOS!$C219&lt;&gt;"Chancho")),NOT(AND(MOVIMIENTOS!$B219="SALDO INICIAL",MOVIMIENTOS!$C219="Chancho"))),OR(MOVIMIENTOS!$B219="ENVÍO A SUPESA",MOVIMIENTOS!$B219="MALOGRADO",MOVIMIENTOS!$B219="OTRA SALIDA",MOVIMIENTOS!$B219="TRASIEGO",AND(MOVIMIENTOS!$B219="PROCESO",MOVIMIENTOS!$C219="Chancho"),AND(MOVIMIENTOS!$B219="REGALO",MOVIMIENTOS!$C219&lt;&gt;"Chancho"),AND(MOVIMIENTOS!$B219="VENTA",MOVIMIENTOS!$C219&lt;&gt;"Chancho"),AND(MOVIMIENTOS!$B219="AJUSTE",MOVIMIENTOS!$C219&lt;&gt;"Chancho",N(MOVIMIENTOS!$F219)&lt;0))),IF(MOVIMIENTOS!$B219="AJUSTE",-N(MOVIMIENTOS!$F219),N(MOVIMIENTOS!$F219)),"")</f>
        <v/>
      </c>
      <c r="O220" s="48" t="str">
        <f aca="false">IF(AND(MOVIMIENTOS!$B219&lt;&gt;"",NOT(AND(MOVIMIENTOS!$B219="PROCESO",MOVIMIENTOS!$C219&lt;&gt;"Chancho")),NOT(AND(MOVIMIENTOS!$B219="SALDO INICIAL",MOVIMIENTOS!$C219="Chancho"))),IF(MOVIMIENTOS!$B219="RECHAZO",MOVIMIENTOS!$E219&amp;" jabas rechazadas · van a reproceso",IF(MOVIMIENTOS!$B219="REPROCESO",MOVIMIENTOS!$E219&amp;" kg recuperados (merma del día: "&amp;TEXT(SUMPRODUCT((MOVIMIENTOS!$A$5:$A$400=MOVIMIENTOS!$A219)*(MOVIMIENTOS!$B$5:$B$400="RECHAZO")*(MOVIMIENTOS!$D$5:$D$400="jabas")*MOVIMIENTOS!$E$5:$E$400*IFERROR(_xlfn.SWITCH(MOVIMIENTOS!$C$5:$C$400,"A",15,"P",18,"C",17,"M",17,0),0))-SUMPRODUCT((MOVIMIENTOS!$A$5:$A$400=MOVIMIENTOS!$A219)*(MOVIMIENTOS!$B$5:$B$400="REPROCESO")*MOVIMIENTOS!$I$5:$I$400),"+#,##0;-#,##0;0")&amp;" kg)",TRIM(IF(MOVIMIENTOS!$G219&lt;&gt;"",MOVIMIENTOS!$G219&amp;"  ","")&amp;IF(N(MOVIMIENTOS!$D219)&gt;0,MOVIMIENTOS!$D219&amp;" "&amp;MOVIMIENTOS!$D219,"")))),"")</f>
        <v/>
      </c>
      <c r="P220" s="48" t="n">
        <f aca="false">N(P219)+N(M220)-N(N220)</f>
        <v>-290.5</v>
      </c>
      <c r="Q220" s="48"/>
      <c r="R220" s="48"/>
      <c r="S220" s="48"/>
      <c r="T220" s="48"/>
    </row>
    <row r="221" customFormat="false" ht="15" hidden="false" customHeight="true" outlineLevel="0" collapsed="false">
      <c r="A221" s="51" t="str">
        <f aca="false">IFERROR(INDEX(K$6:K$401,MATCH(ROW()-5,J$6:J$401,0)),"")</f>
        <v/>
      </c>
      <c r="B221" s="56" t="str">
        <f aca="false">IFERROR(INDEX(L$6:L$401,MATCH(ROW()-5,J$6:J$401,0)),"")</f>
        <v/>
      </c>
      <c r="C221" s="52" t="str">
        <f aca="false">IFERROR(INDEX(M$6:M$401,MATCH(ROW()-5,J$6:J$401,0)),"")</f>
        <v/>
      </c>
      <c r="D221" s="52" t="str">
        <f aca="false">IFERROR(INDEX(N$6:N$401,MATCH(ROW()-5,J$6:J$401,0)),"")</f>
        <v/>
      </c>
      <c r="E221" s="56" t="str">
        <f aca="false">IFERROR(INDEX(O$6:O$401,MATCH(ROW()-5,J$6:J$401,0)),"")</f>
        <v/>
      </c>
      <c r="F221" s="52" t="str">
        <f aca="false">IFERROR(INDEX(P$6:P$401,MATCH(ROW()-5,J$6:J$401,0)),"")</f>
        <v/>
      </c>
      <c r="G221" s="48"/>
      <c r="H221" s="48"/>
      <c r="I221" s="48"/>
      <c r="J221" s="48" t="str">
        <f aca="false">IF(AND(MOVIMIENTOS!$B220&lt;&gt;"",NOT(AND(MOVIMIENTOS!$B220="PROCESO",MOVIMIENTOS!$C220&lt;&gt;"Chancho")),NOT(AND(MOVIMIENTOS!$B220="SALDO INICIAL",MOVIMIENTOS!$C220="Chancho"))),COUNT(J$6:J220)+1,"")</f>
        <v/>
      </c>
      <c r="K221" s="48" t="str">
        <f aca="false">IF(AND(MOVIMIENTOS!$B220&lt;&gt;"",NOT(AND(MOVIMIENTOS!$B220="PROCESO",MOVIMIENTOS!$C220&lt;&gt;"Chancho")),NOT(AND(MOVIMIENTOS!$B220="SALDO INICIAL",MOVIMIENTOS!$C220="Chancho"))),MOVIMIENTOS!$A220,"")</f>
        <v/>
      </c>
      <c r="L221" s="48" t="str">
        <f aca="false">IF(AND(MOVIMIENTOS!$B220&lt;&gt;"",NOT(AND(MOVIMIENTOS!$B220="PROCESO",MOVIMIENTOS!$C220&lt;&gt;"Chancho")),NOT(AND(MOVIMIENTOS!$B220="SALDO INICIAL",MOVIMIENTOS!$C220="Chancho"))),IF(MOVIMIENTOS!$B220="SALDO INICIAL","APERTURA ("&amp;MOVIMIENTOS!$C220&amp;")",IF(MOVIMIENTOS!$B220="COMPRA","INGRESO (compra)",IF(MOVIMIENTOS!$B220="PROCESO","CHANCHO (proceso)",IF(MOVIMIENTOS!$B220="ENVÍO A SUPESA","ENVÍO cal. "&amp;MOVIMIENTOS!$C220,IF(MOVIMIENTOS!$B220="VENTA CHANCHO","VENTA CHANCHO",IF(MOVIMIENTOS!$B220="VENTA","VENTA cal. "&amp;MOVIMIENTOS!$C220,IF(MOVIMIENTOS!$B220="REGALO","REGALO "&amp;MOVIMIENTOS!$C220,IF(MOVIMIENTOS!$B220="RECHAZO","RECHAZO cal. "&amp;MOVIMIENTOS!$C220&amp;" (va a reproceso)",IF(MOVIMIENTOS!$B220="DEVOLUCIÓN","DEVOLUCIÓN cal. "&amp;MOVIMIENTOS!$C220&amp;" (regresa intacta)",IF(MOVIMIENTOS!$B220="TRASIEGO","TRASIEGO cal. "&amp;MOVIMIENTOS!$C220,MOVIMIENTOS!$B220)))))))))),"")</f>
        <v/>
      </c>
      <c r="M221" s="48" t="str">
        <f aca="false">IF(AND(AND(MOVIMIENTOS!$B220&lt;&gt;"",NOT(AND(MOVIMIENTOS!$B220="PROCESO",MOVIMIENTOS!$C220&lt;&gt;"Chancho")),NOT(AND(MOVIMIENTOS!$B220="SALDO INICIAL",MOVIMIENTOS!$C220="Chancho"))),OR(MOVIMIENTOS!$B220="SALDO INICIAL",MOVIMIENTOS!$B220="COMPRA",MOVIMIENTOS!$B220="REPROCESO",MOVIMIENTOS!$B220="DEVOLUCIÓN",AND(MOVIMIENTOS!$B220="AJUSTE",MOVIMIENTOS!$C220&lt;&gt;"Chancho",N(MOVIMIENTOS!$F220)&gt;=0))),N(MOVIMIENTOS!$F220),"")</f>
        <v/>
      </c>
      <c r="N221" s="48" t="str">
        <f aca="false">IF(AND(AND(MOVIMIENTOS!$B220&lt;&gt;"",NOT(AND(MOVIMIENTOS!$B220="PROCESO",MOVIMIENTOS!$C220&lt;&gt;"Chancho")),NOT(AND(MOVIMIENTOS!$B220="SALDO INICIAL",MOVIMIENTOS!$C220="Chancho"))),OR(MOVIMIENTOS!$B220="ENVÍO A SUPESA",MOVIMIENTOS!$B220="MALOGRADO",MOVIMIENTOS!$B220="OTRA SALIDA",MOVIMIENTOS!$B220="TRASIEGO",AND(MOVIMIENTOS!$B220="PROCESO",MOVIMIENTOS!$C220="Chancho"),AND(MOVIMIENTOS!$B220="REGALO",MOVIMIENTOS!$C220&lt;&gt;"Chancho"),AND(MOVIMIENTOS!$B220="VENTA",MOVIMIENTOS!$C220&lt;&gt;"Chancho"),AND(MOVIMIENTOS!$B220="AJUSTE",MOVIMIENTOS!$C220&lt;&gt;"Chancho",N(MOVIMIENTOS!$F220)&lt;0))),IF(MOVIMIENTOS!$B220="AJUSTE",-N(MOVIMIENTOS!$F220),N(MOVIMIENTOS!$F220)),"")</f>
        <v/>
      </c>
      <c r="O221" s="48" t="str">
        <f aca="false">IF(AND(MOVIMIENTOS!$B220&lt;&gt;"",NOT(AND(MOVIMIENTOS!$B220="PROCESO",MOVIMIENTOS!$C220&lt;&gt;"Chancho")),NOT(AND(MOVIMIENTOS!$B220="SALDO INICIAL",MOVIMIENTOS!$C220="Chancho"))),IF(MOVIMIENTOS!$B220="RECHAZO",MOVIMIENTOS!$E220&amp;" jabas rechazadas · van a reproceso",IF(MOVIMIENTOS!$B220="REPROCESO",MOVIMIENTOS!$E220&amp;" kg recuperados (merma del día: "&amp;TEXT(SUMPRODUCT((MOVIMIENTOS!$A$5:$A$400=MOVIMIENTOS!$A220)*(MOVIMIENTOS!$B$5:$B$400="RECHAZO")*(MOVIMIENTOS!$D$5:$D$400="jabas")*MOVIMIENTOS!$E$5:$E$400*IFERROR(_xlfn.SWITCH(MOVIMIENTOS!$C$5:$C$400,"A",15,"P",18,"C",17,"M",17,0),0))-SUMPRODUCT((MOVIMIENTOS!$A$5:$A$400=MOVIMIENTOS!$A220)*(MOVIMIENTOS!$B$5:$B$400="REPROCESO")*MOVIMIENTOS!$I$5:$I$400),"+#,##0;-#,##0;0")&amp;" kg)",TRIM(IF(MOVIMIENTOS!$G220&lt;&gt;"",MOVIMIENTOS!$G220&amp;"  ","")&amp;IF(N(MOVIMIENTOS!$D220)&gt;0,MOVIMIENTOS!$D220&amp;" "&amp;MOVIMIENTOS!$D220,"")))),"")</f>
        <v/>
      </c>
      <c r="P221" s="48" t="n">
        <f aca="false">N(P220)+N(M221)-N(N221)</f>
        <v>-290.5</v>
      </c>
      <c r="Q221" s="48"/>
      <c r="R221" s="48"/>
      <c r="S221" s="48"/>
      <c r="T221" s="48"/>
    </row>
    <row r="222" customFormat="false" ht="15" hidden="false" customHeight="true" outlineLevel="0" collapsed="false">
      <c r="A222" s="51" t="str">
        <f aca="false">IFERROR(INDEX(K$6:K$401,MATCH(ROW()-5,J$6:J$401,0)),"")</f>
        <v/>
      </c>
      <c r="B222" s="56" t="str">
        <f aca="false">IFERROR(INDEX(L$6:L$401,MATCH(ROW()-5,J$6:J$401,0)),"")</f>
        <v/>
      </c>
      <c r="C222" s="52" t="str">
        <f aca="false">IFERROR(INDEX(M$6:M$401,MATCH(ROW()-5,J$6:J$401,0)),"")</f>
        <v/>
      </c>
      <c r="D222" s="52" t="str">
        <f aca="false">IFERROR(INDEX(N$6:N$401,MATCH(ROW()-5,J$6:J$401,0)),"")</f>
        <v/>
      </c>
      <c r="E222" s="56" t="str">
        <f aca="false">IFERROR(INDEX(O$6:O$401,MATCH(ROW()-5,J$6:J$401,0)),"")</f>
        <v/>
      </c>
      <c r="F222" s="52" t="str">
        <f aca="false">IFERROR(INDEX(P$6:P$401,MATCH(ROW()-5,J$6:J$401,0)),"")</f>
        <v/>
      </c>
      <c r="G222" s="48"/>
      <c r="H222" s="48"/>
      <c r="I222" s="48"/>
      <c r="J222" s="48" t="str">
        <f aca="false">IF(AND(MOVIMIENTOS!$B221&lt;&gt;"",NOT(AND(MOVIMIENTOS!$B221="PROCESO",MOVIMIENTOS!$C221&lt;&gt;"Chancho")),NOT(AND(MOVIMIENTOS!$B221="SALDO INICIAL",MOVIMIENTOS!$C221="Chancho"))),COUNT(J$6:J221)+1,"")</f>
        <v/>
      </c>
      <c r="K222" s="48" t="str">
        <f aca="false">IF(AND(MOVIMIENTOS!$B221&lt;&gt;"",NOT(AND(MOVIMIENTOS!$B221="PROCESO",MOVIMIENTOS!$C221&lt;&gt;"Chancho")),NOT(AND(MOVIMIENTOS!$B221="SALDO INICIAL",MOVIMIENTOS!$C221="Chancho"))),MOVIMIENTOS!$A221,"")</f>
        <v/>
      </c>
      <c r="L222" s="48" t="str">
        <f aca="false">IF(AND(MOVIMIENTOS!$B221&lt;&gt;"",NOT(AND(MOVIMIENTOS!$B221="PROCESO",MOVIMIENTOS!$C221&lt;&gt;"Chancho")),NOT(AND(MOVIMIENTOS!$B221="SALDO INICIAL",MOVIMIENTOS!$C221="Chancho"))),IF(MOVIMIENTOS!$B221="SALDO INICIAL","APERTURA ("&amp;MOVIMIENTOS!$C221&amp;")",IF(MOVIMIENTOS!$B221="COMPRA","INGRESO (compra)",IF(MOVIMIENTOS!$B221="PROCESO","CHANCHO (proceso)",IF(MOVIMIENTOS!$B221="ENVÍO A SUPESA","ENVÍO cal. "&amp;MOVIMIENTOS!$C221,IF(MOVIMIENTOS!$B221="VENTA CHANCHO","VENTA CHANCHO",IF(MOVIMIENTOS!$B221="VENTA","VENTA cal. "&amp;MOVIMIENTOS!$C221,IF(MOVIMIENTOS!$B221="REGALO","REGALO "&amp;MOVIMIENTOS!$C221,IF(MOVIMIENTOS!$B221="RECHAZO","RECHAZO cal. "&amp;MOVIMIENTOS!$C221&amp;" (va a reproceso)",IF(MOVIMIENTOS!$B221="DEVOLUCIÓN","DEVOLUCIÓN cal. "&amp;MOVIMIENTOS!$C221&amp;" (regresa intacta)",IF(MOVIMIENTOS!$B221="TRASIEGO","TRASIEGO cal. "&amp;MOVIMIENTOS!$C221,MOVIMIENTOS!$B221)))))))))),"")</f>
        <v/>
      </c>
      <c r="M222" s="48" t="str">
        <f aca="false">IF(AND(AND(MOVIMIENTOS!$B221&lt;&gt;"",NOT(AND(MOVIMIENTOS!$B221="PROCESO",MOVIMIENTOS!$C221&lt;&gt;"Chancho")),NOT(AND(MOVIMIENTOS!$B221="SALDO INICIAL",MOVIMIENTOS!$C221="Chancho"))),OR(MOVIMIENTOS!$B221="SALDO INICIAL",MOVIMIENTOS!$B221="COMPRA",MOVIMIENTOS!$B221="REPROCESO",MOVIMIENTOS!$B221="DEVOLUCIÓN",AND(MOVIMIENTOS!$B221="AJUSTE",MOVIMIENTOS!$C221&lt;&gt;"Chancho",N(MOVIMIENTOS!$F221)&gt;=0))),N(MOVIMIENTOS!$F221),"")</f>
        <v/>
      </c>
      <c r="N222" s="48" t="str">
        <f aca="false">IF(AND(AND(MOVIMIENTOS!$B221&lt;&gt;"",NOT(AND(MOVIMIENTOS!$B221="PROCESO",MOVIMIENTOS!$C221&lt;&gt;"Chancho")),NOT(AND(MOVIMIENTOS!$B221="SALDO INICIAL",MOVIMIENTOS!$C221="Chancho"))),OR(MOVIMIENTOS!$B221="ENVÍO A SUPESA",MOVIMIENTOS!$B221="MALOGRADO",MOVIMIENTOS!$B221="OTRA SALIDA",MOVIMIENTOS!$B221="TRASIEGO",AND(MOVIMIENTOS!$B221="PROCESO",MOVIMIENTOS!$C221="Chancho"),AND(MOVIMIENTOS!$B221="REGALO",MOVIMIENTOS!$C221&lt;&gt;"Chancho"),AND(MOVIMIENTOS!$B221="VENTA",MOVIMIENTOS!$C221&lt;&gt;"Chancho"),AND(MOVIMIENTOS!$B221="AJUSTE",MOVIMIENTOS!$C221&lt;&gt;"Chancho",N(MOVIMIENTOS!$F221)&lt;0))),IF(MOVIMIENTOS!$B221="AJUSTE",-N(MOVIMIENTOS!$F221),N(MOVIMIENTOS!$F221)),"")</f>
        <v/>
      </c>
      <c r="O222" s="48" t="str">
        <f aca="false">IF(AND(MOVIMIENTOS!$B221&lt;&gt;"",NOT(AND(MOVIMIENTOS!$B221="PROCESO",MOVIMIENTOS!$C221&lt;&gt;"Chancho")),NOT(AND(MOVIMIENTOS!$B221="SALDO INICIAL",MOVIMIENTOS!$C221="Chancho"))),IF(MOVIMIENTOS!$B221="RECHAZO",MOVIMIENTOS!$E221&amp;" jabas rechazadas · van a reproceso",IF(MOVIMIENTOS!$B221="REPROCESO",MOVIMIENTOS!$E221&amp;" kg recuperados (merma del día: "&amp;TEXT(SUMPRODUCT((MOVIMIENTOS!$A$5:$A$400=MOVIMIENTOS!$A221)*(MOVIMIENTOS!$B$5:$B$400="RECHAZO")*(MOVIMIENTOS!$D$5:$D$400="jabas")*MOVIMIENTOS!$E$5:$E$400*IFERROR(_xlfn.SWITCH(MOVIMIENTOS!$C$5:$C$400,"A",15,"P",18,"C",17,"M",17,0),0))-SUMPRODUCT((MOVIMIENTOS!$A$5:$A$400=MOVIMIENTOS!$A221)*(MOVIMIENTOS!$B$5:$B$400="REPROCESO")*MOVIMIENTOS!$I$5:$I$400),"+#,##0;-#,##0;0")&amp;" kg)",TRIM(IF(MOVIMIENTOS!$G221&lt;&gt;"",MOVIMIENTOS!$G221&amp;"  ","")&amp;IF(N(MOVIMIENTOS!$D221)&gt;0,MOVIMIENTOS!$D221&amp;" "&amp;MOVIMIENTOS!$D221,"")))),"")</f>
        <v/>
      </c>
      <c r="P222" s="48" t="n">
        <f aca="false">N(P221)+N(M222)-N(N222)</f>
        <v>-290.5</v>
      </c>
      <c r="Q222" s="48"/>
      <c r="R222" s="48"/>
      <c r="S222" s="48"/>
      <c r="T222" s="48"/>
    </row>
    <row r="223" customFormat="false" ht="15" hidden="false" customHeight="true" outlineLevel="0" collapsed="false">
      <c r="A223" s="51" t="str">
        <f aca="false">IFERROR(INDEX(K$6:K$401,MATCH(ROW()-5,J$6:J$401,0)),"")</f>
        <v/>
      </c>
      <c r="B223" s="56" t="str">
        <f aca="false">IFERROR(INDEX(L$6:L$401,MATCH(ROW()-5,J$6:J$401,0)),"")</f>
        <v/>
      </c>
      <c r="C223" s="52" t="str">
        <f aca="false">IFERROR(INDEX(M$6:M$401,MATCH(ROW()-5,J$6:J$401,0)),"")</f>
        <v/>
      </c>
      <c r="D223" s="52" t="str">
        <f aca="false">IFERROR(INDEX(N$6:N$401,MATCH(ROW()-5,J$6:J$401,0)),"")</f>
        <v/>
      </c>
      <c r="E223" s="56" t="str">
        <f aca="false">IFERROR(INDEX(O$6:O$401,MATCH(ROW()-5,J$6:J$401,0)),"")</f>
        <v/>
      </c>
      <c r="F223" s="52" t="str">
        <f aca="false">IFERROR(INDEX(P$6:P$401,MATCH(ROW()-5,J$6:J$401,0)),"")</f>
        <v/>
      </c>
      <c r="G223" s="48"/>
      <c r="H223" s="48"/>
      <c r="I223" s="48"/>
      <c r="J223" s="48" t="str">
        <f aca="false">IF(AND(MOVIMIENTOS!$B222&lt;&gt;"",NOT(AND(MOVIMIENTOS!$B222="PROCESO",MOVIMIENTOS!$C222&lt;&gt;"Chancho")),NOT(AND(MOVIMIENTOS!$B222="SALDO INICIAL",MOVIMIENTOS!$C222="Chancho"))),COUNT(J$6:J222)+1,"")</f>
        <v/>
      </c>
      <c r="K223" s="48" t="str">
        <f aca="false">IF(AND(MOVIMIENTOS!$B222&lt;&gt;"",NOT(AND(MOVIMIENTOS!$B222="PROCESO",MOVIMIENTOS!$C222&lt;&gt;"Chancho")),NOT(AND(MOVIMIENTOS!$B222="SALDO INICIAL",MOVIMIENTOS!$C222="Chancho"))),MOVIMIENTOS!$A222,"")</f>
        <v/>
      </c>
      <c r="L223" s="48" t="str">
        <f aca="false">IF(AND(MOVIMIENTOS!$B222&lt;&gt;"",NOT(AND(MOVIMIENTOS!$B222="PROCESO",MOVIMIENTOS!$C222&lt;&gt;"Chancho")),NOT(AND(MOVIMIENTOS!$B222="SALDO INICIAL",MOVIMIENTOS!$C222="Chancho"))),IF(MOVIMIENTOS!$B222="SALDO INICIAL","APERTURA ("&amp;MOVIMIENTOS!$C222&amp;")",IF(MOVIMIENTOS!$B222="COMPRA","INGRESO (compra)",IF(MOVIMIENTOS!$B222="PROCESO","CHANCHO (proceso)",IF(MOVIMIENTOS!$B222="ENVÍO A SUPESA","ENVÍO cal. "&amp;MOVIMIENTOS!$C222,IF(MOVIMIENTOS!$B222="VENTA CHANCHO","VENTA CHANCHO",IF(MOVIMIENTOS!$B222="VENTA","VENTA cal. "&amp;MOVIMIENTOS!$C222,IF(MOVIMIENTOS!$B222="REGALO","REGALO "&amp;MOVIMIENTOS!$C222,IF(MOVIMIENTOS!$B222="RECHAZO","RECHAZO cal. "&amp;MOVIMIENTOS!$C222&amp;" (va a reproceso)",IF(MOVIMIENTOS!$B222="DEVOLUCIÓN","DEVOLUCIÓN cal. "&amp;MOVIMIENTOS!$C222&amp;" (regresa intacta)",IF(MOVIMIENTOS!$B222="TRASIEGO","TRASIEGO cal. "&amp;MOVIMIENTOS!$C222,MOVIMIENTOS!$B222)))))))))),"")</f>
        <v/>
      </c>
      <c r="M223" s="48" t="str">
        <f aca="false">IF(AND(AND(MOVIMIENTOS!$B222&lt;&gt;"",NOT(AND(MOVIMIENTOS!$B222="PROCESO",MOVIMIENTOS!$C222&lt;&gt;"Chancho")),NOT(AND(MOVIMIENTOS!$B222="SALDO INICIAL",MOVIMIENTOS!$C222="Chancho"))),OR(MOVIMIENTOS!$B222="SALDO INICIAL",MOVIMIENTOS!$B222="COMPRA",MOVIMIENTOS!$B222="REPROCESO",MOVIMIENTOS!$B222="DEVOLUCIÓN",AND(MOVIMIENTOS!$B222="AJUSTE",MOVIMIENTOS!$C222&lt;&gt;"Chancho",N(MOVIMIENTOS!$F222)&gt;=0))),N(MOVIMIENTOS!$F222),"")</f>
        <v/>
      </c>
      <c r="N223" s="48" t="str">
        <f aca="false">IF(AND(AND(MOVIMIENTOS!$B222&lt;&gt;"",NOT(AND(MOVIMIENTOS!$B222="PROCESO",MOVIMIENTOS!$C222&lt;&gt;"Chancho")),NOT(AND(MOVIMIENTOS!$B222="SALDO INICIAL",MOVIMIENTOS!$C222="Chancho"))),OR(MOVIMIENTOS!$B222="ENVÍO A SUPESA",MOVIMIENTOS!$B222="MALOGRADO",MOVIMIENTOS!$B222="OTRA SALIDA",MOVIMIENTOS!$B222="TRASIEGO",AND(MOVIMIENTOS!$B222="PROCESO",MOVIMIENTOS!$C222="Chancho"),AND(MOVIMIENTOS!$B222="REGALO",MOVIMIENTOS!$C222&lt;&gt;"Chancho"),AND(MOVIMIENTOS!$B222="VENTA",MOVIMIENTOS!$C222&lt;&gt;"Chancho"),AND(MOVIMIENTOS!$B222="AJUSTE",MOVIMIENTOS!$C222&lt;&gt;"Chancho",N(MOVIMIENTOS!$F222)&lt;0))),IF(MOVIMIENTOS!$B222="AJUSTE",-N(MOVIMIENTOS!$F222),N(MOVIMIENTOS!$F222)),"")</f>
        <v/>
      </c>
      <c r="O223" s="48" t="str">
        <f aca="false">IF(AND(MOVIMIENTOS!$B222&lt;&gt;"",NOT(AND(MOVIMIENTOS!$B222="PROCESO",MOVIMIENTOS!$C222&lt;&gt;"Chancho")),NOT(AND(MOVIMIENTOS!$B222="SALDO INICIAL",MOVIMIENTOS!$C222="Chancho"))),IF(MOVIMIENTOS!$B222="RECHAZO",MOVIMIENTOS!$E222&amp;" jabas rechazadas · van a reproceso",IF(MOVIMIENTOS!$B222="REPROCESO",MOVIMIENTOS!$E222&amp;" kg recuperados (merma del día: "&amp;TEXT(SUMPRODUCT((MOVIMIENTOS!$A$5:$A$400=MOVIMIENTOS!$A222)*(MOVIMIENTOS!$B$5:$B$400="RECHAZO")*(MOVIMIENTOS!$D$5:$D$400="jabas")*MOVIMIENTOS!$E$5:$E$400*IFERROR(_xlfn.SWITCH(MOVIMIENTOS!$C$5:$C$400,"A",15,"P",18,"C",17,"M",17,0),0))-SUMPRODUCT((MOVIMIENTOS!$A$5:$A$400=MOVIMIENTOS!$A222)*(MOVIMIENTOS!$B$5:$B$400="REPROCESO")*MOVIMIENTOS!$I$5:$I$400),"+#,##0;-#,##0;0")&amp;" kg)",TRIM(IF(MOVIMIENTOS!$G222&lt;&gt;"",MOVIMIENTOS!$G222&amp;"  ","")&amp;IF(N(MOVIMIENTOS!$D222)&gt;0,MOVIMIENTOS!$D222&amp;" "&amp;MOVIMIENTOS!$D222,"")))),"")</f>
        <v/>
      </c>
      <c r="P223" s="48" t="n">
        <f aca="false">N(P222)+N(M223)-N(N223)</f>
        <v>-290.5</v>
      </c>
      <c r="Q223" s="48"/>
      <c r="R223" s="48"/>
      <c r="S223" s="48"/>
      <c r="T223" s="48"/>
    </row>
    <row r="224" customFormat="false" ht="15" hidden="false" customHeight="true" outlineLevel="0" collapsed="false">
      <c r="A224" s="51" t="str">
        <f aca="false">IFERROR(INDEX(K$6:K$401,MATCH(ROW()-5,J$6:J$401,0)),"")</f>
        <v/>
      </c>
      <c r="B224" s="56" t="str">
        <f aca="false">IFERROR(INDEX(L$6:L$401,MATCH(ROW()-5,J$6:J$401,0)),"")</f>
        <v/>
      </c>
      <c r="C224" s="52" t="str">
        <f aca="false">IFERROR(INDEX(M$6:M$401,MATCH(ROW()-5,J$6:J$401,0)),"")</f>
        <v/>
      </c>
      <c r="D224" s="52" t="str">
        <f aca="false">IFERROR(INDEX(N$6:N$401,MATCH(ROW()-5,J$6:J$401,0)),"")</f>
        <v/>
      </c>
      <c r="E224" s="56" t="str">
        <f aca="false">IFERROR(INDEX(O$6:O$401,MATCH(ROW()-5,J$6:J$401,0)),"")</f>
        <v/>
      </c>
      <c r="F224" s="52" t="str">
        <f aca="false">IFERROR(INDEX(P$6:P$401,MATCH(ROW()-5,J$6:J$401,0)),"")</f>
        <v/>
      </c>
      <c r="G224" s="48"/>
      <c r="H224" s="48"/>
      <c r="I224" s="48"/>
      <c r="J224" s="48" t="str">
        <f aca="false">IF(AND(MOVIMIENTOS!$B223&lt;&gt;"",NOT(AND(MOVIMIENTOS!$B223="PROCESO",MOVIMIENTOS!$C223&lt;&gt;"Chancho")),NOT(AND(MOVIMIENTOS!$B223="SALDO INICIAL",MOVIMIENTOS!$C223="Chancho"))),COUNT(J$6:J223)+1,"")</f>
        <v/>
      </c>
      <c r="K224" s="48" t="str">
        <f aca="false">IF(AND(MOVIMIENTOS!$B223&lt;&gt;"",NOT(AND(MOVIMIENTOS!$B223="PROCESO",MOVIMIENTOS!$C223&lt;&gt;"Chancho")),NOT(AND(MOVIMIENTOS!$B223="SALDO INICIAL",MOVIMIENTOS!$C223="Chancho"))),MOVIMIENTOS!$A223,"")</f>
        <v/>
      </c>
      <c r="L224" s="48" t="str">
        <f aca="false">IF(AND(MOVIMIENTOS!$B223&lt;&gt;"",NOT(AND(MOVIMIENTOS!$B223="PROCESO",MOVIMIENTOS!$C223&lt;&gt;"Chancho")),NOT(AND(MOVIMIENTOS!$B223="SALDO INICIAL",MOVIMIENTOS!$C223="Chancho"))),IF(MOVIMIENTOS!$B223="SALDO INICIAL","APERTURA ("&amp;MOVIMIENTOS!$C223&amp;")",IF(MOVIMIENTOS!$B223="COMPRA","INGRESO (compra)",IF(MOVIMIENTOS!$B223="PROCESO","CHANCHO (proceso)",IF(MOVIMIENTOS!$B223="ENVÍO A SUPESA","ENVÍO cal. "&amp;MOVIMIENTOS!$C223,IF(MOVIMIENTOS!$B223="VENTA CHANCHO","VENTA CHANCHO",IF(MOVIMIENTOS!$B223="VENTA","VENTA cal. "&amp;MOVIMIENTOS!$C223,IF(MOVIMIENTOS!$B223="REGALO","REGALO "&amp;MOVIMIENTOS!$C223,IF(MOVIMIENTOS!$B223="RECHAZO","RECHAZO cal. "&amp;MOVIMIENTOS!$C223&amp;" (va a reproceso)",IF(MOVIMIENTOS!$B223="DEVOLUCIÓN","DEVOLUCIÓN cal. "&amp;MOVIMIENTOS!$C223&amp;" (regresa intacta)",IF(MOVIMIENTOS!$B223="TRASIEGO","TRASIEGO cal. "&amp;MOVIMIENTOS!$C223,MOVIMIENTOS!$B223)))))))))),"")</f>
        <v/>
      </c>
      <c r="M224" s="48" t="str">
        <f aca="false">IF(AND(AND(MOVIMIENTOS!$B223&lt;&gt;"",NOT(AND(MOVIMIENTOS!$B223="PROCESO",MOVIMIENTOS!$C223&lt;&gt;"Chancho")),NOT(AND(MOVIMIENTOS!$B223="SALDO INICIAL",MOVIMIENTOS!$C223="Chancho"))),OR(MOVIMIENTOS!$B223="SALDO INICIAL",MOVIMIENTOS!$B223="COMPRA",MOVIMIENTOS!$B223="REPROCESO",MOVIMIENTOS!$B223="DEVOLUCIÓN",AND(MOVIMIENTOS!$B223="AJUSTE",MOVIMIENTOS!$C223&lt;&gt;"Chancho",N(MOVIMIENTOS!$F223)&gt;=0))),N(MOVIMIENTOS!$F223),"")</f>
        <v/>
      </c>
      <c r="N224" s="48" t="str">
        <f aca="false">IF(AND(AND(MOVIMIENTOS!$B223&lt;&gt;"",NOT(AND(MOVIMIENTOS!$B223="PROCESO",MOVIMIENTOS!$C223&lt;&gt;"Chancho")),NOT(AND(MOVIMIENTOS!$B223="SALDO INICIAL",MOVIMIENTOS!$C223="Chancho"))),OR(MOVIMIENTOS!$B223="ENVÍO A SUPESA",MOVIMIENTOS!$B223="MALOGRADO",MOVIMIENTOS!$B223="OTRA SALIDA",MOVIMIENTOS!$B223="TRASIEGO",AND(MOVIMIENTOS!$B223="PROCESO",MOVIMIENTOS!$C223="Chancho"),AND(MOVIMIENTOS!$B223="REGALO",MOVIMIENTOS!$C223&lt;&gt;"Chancho"),AND(MOVIMIENTOS!$B223="VENTA",MOVIMIENTOS!$C223&lt;&gt;"Chancho"),AND(MOVIMIENTOS!$B223="AJUSTE",MOVIMIENTOS!$C223&lt;&gt;"Chancho",N(MOVIMIENTOS!$F223)&lt;0))),IF(MOVIMIENTOS!$B223="AJUSTE",-N(MOVIMIENTOS!$F223),N(MOVIMIENTOS!$F223)),"")</f>
        <v/>
      </c>
      <c r="O224" s="48" t="str">
        <f aca="false">IF(AND(MOVIMIENTOS!$B223&lt;&gt;"",NOT(AND(MOVIMIENTOS!$B223="PROCESO",MOVIMIENTOS!$C223&lt;&gt;"Chancho")),NOT(AND(MOVIMIENTOS!$B223="SALDO INICIAL",MOVIMIENTOS!$C223="Chancho"))),IF(MOVIMIENTOS!$B223="RECHAZO",MOVIMIENTOS!$E223&amp;" jabas rechazadas · van a reproceso",IF(MOVIMIENTOS!$B223="REPROCESO",MOVIMIENTOS!$E223&amp;" kg recuperados (merma del día: "&amp;TEXT(SUMPRODUCT((MOVIMIENTOS!$A$5:$A$400=MOVIMIENTOS!$A223)*(MOVIMIENTOS!$B$5:$B$400="RECHAZO")*(MOVIMIENTOS!$D$5:$D$400="jabas")*MOVIMIENTOS!$E$5:$E$400*IFERROR(_xlfn.SWITCH(MOVIMIENTOS!$C$5:$C$400,"A",15,"P",18,"C",17,"M",17,0),0))-SUMPRODUCT((MOVIMIENTOS!$A$5:$A$400=MOVIMIENTOS!$A223)*(MOVIMIENTOS!$B$5:$B$400="REPROCESO")*MOVIMIENTOS!$I$5:$I$400),"+#,##0;-#,##0;0")&amp;" kg)",TRIM(IF(MOVIMIENTOS!$G223&lt;&gt;"",MOVIMIENTOS!$G223&amp;"  ","")&amp;IF(N(MOVIMIENTOS!$D223)&gt;0,MOVIMIENTOS!$D223&amp;" "&amp;MOVIMIENTOS!$D223,"")))),"")</f>
        <v/>
      </c>
      <c r="P224" s="48" t="n">
        <f aca="false">N(P223)+N(M224)-N(N224)</f>
        <v>-290.5</v>
      </c>
      <c r="Q224" s="48"/>
      <c r="R224" s="48"/>
      <c r="S224" s="48"/>
      <c r="T224" s="48"/>
    </row>
    <row r="225" customFormat="false" ht="15" hidden="false" customHeight="true" outlineLevel="0" collapsed="false">
      <c r="A225" s="51" t="str">
        <f aca="false">IFERROR(INDEX(K$6:K$401,MATCH(ROW()-5,J$6:J$401,0)),"")</f>
        <v/>
      </c>
      <c r="B225" s="56" t="str">
        <f aca="false">IFERROR(INDEX(L$6:L$401,MATCH(ROW()-5,J$6:J$401,0)),"")</f>
        <v/>
      </c>
      <c r="C225" s="52" t="str">
        <f aca="false">IFERROR(INDEX(M$6:M$401,MATCH(ROW()-5,J$6:J$401,0)),"")</f>
        <v/>
      </c>
      <c r="D225" s="52" t="str">
        <f aca="false">IFERROR(INDEX(N$6:N$401,MATCH(ROW()-5,J$6:J$401,0)),"")</f>
        <v/>
      </c>
      <c r="E225" s="56" t="str">
        <f aca="false">IFERROR(INDEX(O$6:O$401,MATCH(ROW()-5,J$6:J$401,0)),"")</f>
        <v/>
      </c>
      <c r="F225" s="52" t="str">
        <f aca="false">IFERROR(INDEX(P$6:P$401,MATCH(ROW()-5,J$6:J$401,0)),"")</f>
        <v/>
      </c>
      <c r="G225" s="48"/>
      <c r="H225" s="48"/>
      <c r="I225" s="48"/>
      <c r="J225" s="48" t="str">
        <f aca="false">IF(AND(MOVIMIENTOS!$B224&lt;&gt;"",NOT(AND(MOVIMIENTOS!$B224="PROCESO",MOVIMIENTOS!$C224&lt;&gt;"Chancho")),NOT(AND(MOVIMIENTOS!$B224="SALDO INICIAL",MOVIMIENTOS!$C224="Chancho"))),COUNT(J$6:J224)+1,"")</f>
        <v/>
      </c>
      <c r="K225" s="48" t="str">
        <f aca="false">IF(AND(MOVIMIENTOS!$B224&lt;&gt;"",NOT(AND(MOVIMIENTOS!$B224="PROCESO",MOVIMIENTOS!$C224&lt;&gt;"Chancho")),NOT(AND(MOVIMIENTOS!$B224="SALDO INICIAL",MOVIMIENTOS!$C224="Chancho"))),MOVIMIENTOS!$A224,"")</f>
        <v/>
      </c>
      <c r="L225" s="48" t="str">
        <f aca="false">IF(AND(MOVIMIENTOS!$B224&lt;&gt;"",NOT(AND(MOVIMIENTOS!$B224="PROCESO",MOVIMIENTOS!$C224&lt;&gt;"Chancho")),NOT(AND(MOVIMIENTOS!$B224="SALDO INICIAL",MOVIMIENTOS!$C224="Chancho"))),IF(MOVIMIENTOS!$B224="SALDO INICIAL","APERTURA ("&amp;MOVIMIENTOS!$C224&amp;")",IF(MOVIMIENTOS!$B224="COMPRA","INGRESO (compra)",IF(MOVIMIENTOS!$B224="PROCESO","CHANCHO (proceso)",IF(MOVIMIENTOS!$B224="ENVÍO A SUPESA","ENVÍO cal. "&amp;MOVIMIENTOS!$C224,IF(MOVIMIENTOS!$B224="VENTA CHANCHO","VENTA CHANCHO",IF(MOVIMIENTOS!$B224="VENTA","VENTA cal. "&amp;MOVIMIENTOS!$C224,IF(MOVIMIENTOS!$B224="REGALO","REGALO "&amp;MOVIMIENTOS!$C224,IF(MOVIMIENTOS!$B224="RECHAZO","RECHAZO cal. "&amp;MOVIMIENTOS!$C224&amp;" (va a reproceso)",IF(MOVIMIENTOS!$B224="DEVOLUCIÓN","DEVOLUCIÓN cal. "&amp;MOVIMIENTOS!$C224&amp;" (regresa intacta)",IF(MOVIMIENTOS!$B224="TRASIEGO","TRASIEGO cal. "&amp;MOVIMIENTOS!$C224,MOVIMIENTOS!$B224)))))))))),"")</f>
        <v/>
      </c>
      <c r="M225" s="48" t="str">
        <f aca="false">IF(AND(AND(MOVIMIENTOS!$B224&lt;&gt;"",NOT(AND(MOVIMIENTOS!$B224="PROCESO",MOVIMIENTOS!$C224&lt;&gt;"Chancho")),NOT(AND(MOVIMIENTOS!$B224="SALDO INICIAL",MOVIMIENTOS!$C224="Chancho"))),OR(MOVIMIENTOS!$B224="SALDO INICIAL",MOVIMIENTOS!$B224="COMPRA",MOVIMIENTOS!$B224="REPROCESO",MOVIMIENTOS!$B224="DEVOLUCIÓN",AND(MOVIMIENTOS!$B224="AJUSTE",MOVIMIENTOS!$C224&lt;&gt;"Chancho",N(MOVIMIENTOS!$F224)&gt;=0))),N(MOVIMIENTOS!$F224),"")</f>
        <v/>
      </c>
      <c r="N225" s="48" t="str">
        <f aca="false">IF(AND(AND(MOVIMIENTOS!$B224&lt;&gt;"",NOT(AND(MOVIMIENTOS!$B224="PROCESO",MOVIMIENTOS!$C224&lt;&gt;"Chancho")),NOT(AND(MOVIMIENTOS!$B224="SALDO INICIAL",MOVIMIENTOS!$C224="Chancho"))),OR(MOVIMIENTOS!$B224="ENVÍO A SUPESA",MOVIMIENTOS!$B224="MALOGRADO",MOVIMIENTOS!$B224="OTRA SALIDA",MOVIMIENTOS!$B224="TRASIEGO",AND(MOVIMIENTOS!$B224="PROCESO",MOVIMIENTOS!$C224="Chancho"),AND(MOVIMIENTOS!$B224="REGALO",MOVIMIENTOS!$C224&lt;&gt;"Chancho"),AND(MOVIMIENTOS!$B224="VENTA",MOVIMIENTOS!$C224&lt;&gt;"Chancho"),AND(MOVIMIENTOS!$B224="AJUSTE",MOVIMIENTOS!$C224&lt;&gt;"Chancho",N(MOVIMIENTOS!$F224)&lt;0))),IF(MOVIMIENTOS!$B224="AJUSTE",-N(MOVIMIENTOS!$F224),N(MOVIMIENTOS!$F224)),"")</f>
        <v/>
      </c>
      <c r="O225" s="48" t="str">
        <f aca="false">IF(AND(MOVIMIENTOS!$B224&lt;&gt;"",NOT(AND(MOVIMIENTOS!$B224="PROCESO",MOVIMIENTOS!$C224&lt;&gt;"Chancho")),NOT(AND(MOVIMIENTOS!$B224="SALDO INICIAL",MOVIMIENTOS!$C224="Chancho"))),IF(MOVIMIENTOS!$B224="RECHAZO",MOVIMIENTOS!$E224&amp;" jabas rechazadas · van a reproceso",IF(MOVIMIENTOS!$B224="REPROCESO",MOVIMIENTOS!$E224&amp;" kg recuperados (merma del día: "&amp;TEXT(SUMPRODUCT((MOVIMIENTOS!$A$5:$A$400=MOVIMIENTOS!$A224)*(MOVIMIENTOS!$B$5:$B$400="RECHAZO")*(MOVIMIENTOS!$D$5:$D$400="jabas")*MOVIMIENTOS!$E$5:$E$400*IFERROR(_xlfn.SWITCH(MOVIMIENTOS!$C$5:$C$400,"A",15,"P",18,"C",17,"M",17,0),0))-SUMPRODUCT((MOVIMIENTOS!$A$5:$A$400=MOVIMIENTOS!$A224)*(MOVIMIENTOS!$B$5:$B$400="REPROCESO")*MOVIMIENTOS!$I$5:$I$400),"+#,##0;-#,##0;0")&amp;" kg)",TRIM(IF(MOVIMIENTOS!$G224&lt;&gt;"",MOVIMIENTOS!$G224&amp;"  ","")&amp;IF(N(MOVIMIENTOS!$D224)&gt;0,MOVIMIENTOS!$D224&amp;" "&amp;MOVIMIENTOS!$D224,"")))),"")</f>
        <v/>
      </c>
      <c r="P225" s="48" t="n">
        <f aca="false">N(P224)+N(M225)-N(N225)</f>
        <v>-290.5</v>
      </c>
      <c r="Q225" s="48"/>
      <c r="R225" s="48"/>
      <c r="S225" s="48"/>
      <c r="T225" s="48"/>
    </row>
    <row r="226" customFormat="false" ht="15" hidden="false" customHeight="true" outlineLevel="0" collapsed="false">
      <c r="A226" s="51" t="str">
        <f aca="false">IFERROR(INDEX(K$6:K$401,MATCH(ROW()-5,J$6:J$401,0)),"")</f>
        <v/>
      </c>
      <c r="B226" s="56" t="str">
        <f aca="false">IFERROR(INDEX(L$6:L$401,MATCH(ROW()-5,J$6:J$401,0)),"")</f>
        <v/>
      </c>
      <c r="C226" s="52" t="str">
        <f aca="false">IFERROR(INDEX(M$6:M$401,MATCH(ROW()-5,J$6:J$401,0)),"")</f>
        <v/>
      </c>
      <c r="D226" s="52" t="str">
        <f aca="false">IFERROR(INDEX(N$6:N$401,MATCH(ROW()-5,J$6:J$401,0)),"")</f>
        <v/>
      </c>
      <c r="E226" s="56" t="str">
        <f aca="false">IFERROR(INDEX(O$6:O$401,MATCH(ROW()-5,J$6:J$401,0)),"")</f>
        <v/>
      </c>
      <c r="F226" s="52" t="str">
        <f aca="false">IFERROR(INDEX(P$6:P$401,MATCH(ROW()-5,J$6:J$401,0)),"")</f>
        <v/>
      </c>
      <c r="G226" s="48"/>
      <c r="H226" s="48"/>
      <c r="I226" s="48"/>
      <c r="J226" s="48" t="str">
        <f aca="false">IF(AND(MOVIMIENTOS!$B225&lt;&gt;"",NOT(AND(MOVIMIENTOS!$B225="PROCESO",MOVIMIENTOS!$C225&lt;&gt;"Chancho")),NOT(AND(MOVIMIENTOS!$B225="SALDO INICIAL",MOVIMIENTOS!$C225="Chancho"))),COUNT(J$6:J225)+1,"")</f>
        <v/>
      </c>
      <c r="K226" s="48" t="str">
        <f aca="false">IF(AND(MOVIMIENTOS!$B225&lt;&gt;"",NOT(AND(MOVIMIENTOS!$B225="PROCESO",MOVIMIENTOS!$C225&lt;&gt;"Chancho")),NOT(AND(MOVIMIENTOS!$B225="SALDO INICIAL",MOVIMIENTOS!$C225="Chancho"))),MOVIMIENTOS!$A225,"")</f>
        <v/>
      </c>
      <c r="L226" s="48" t="str">
        <f aca="false">IF(AND(MOVIMIENTOS!$B225&lt;&gt;"",NOT(AND(MOVIMIENTOS!$B225="PROCESO",MOVIMIENTOS!$C225&lt;&gt;"Chancho")),NOT(AND(MOVIMIENTOS!$B225="SALDO INICIAL",MOVIMIENTOS!$C225="Chancho"))),IF(MOVIMIENTOS!$B225="SALDO INICIAL","APERTURA ("&amp;MOVIMIENTOS!$C225&amp;")",IF(MOVIMIENTOS!$B225="COMPRA","INGRESO (compra)",IF(MOVIMIENTOS!$B225="PROCESO","CHANCHO (proceso)",IF(MOVIMIENTOS!$B225="ENVÍO A SUPESA","ENVÍO cal. "&amp;MOVIMIENTOS!$C225,IF(MOVIMIENTOS!$B225="VENTA CHANCHO","VENTA CHANCHO",IF(MOVIMIENTOS!$B225="VENTA","VENTA cal. "&amp;MOVIMIENTOS!$C225,IF(MOVIMIENTOS!$B225="REGALO","REGALO "&amp;MOVIMIENTOS!$C225,IF(MOVIMIENTOS!$B225="RECHAZO","RECHAZO cal. "&amp;MOVIMIENTOS!$C225&amp;" (va a reproceso)",IF(MOVIMIENTOS!$B225="DEVOLUCIÓN","DEVOLUCIÓN cal. "&amp;MOVIMIENTOS!$C225&amp;" (regresa intacta)",IF(MOVIMIENTOS!$B225="TRASIEGO","TRASIEGO cal. "&amp;MOVIMIENTOS!$C225,MOVIMIENTOS!$B225)))))))))),"")</f>
        <v/>
      </c>
      <c r="M226" s="48" t="str">
        <f aca="false">IF(AND(AND(MOVIMIENTOS!$B225&lt;&gt;"",NOT(AND(MOVIMIENTOS!$B225="PROCESO",MOVIMIENTOS!$C225&lt;&gt;"Chancho")),NOT(AND(MOVIMIENTOS!$B225="SALDO INICIAL",MOVIMIENTOS!$C225="Chancho"))),OR(MOVIMIENTOS!$B225="SALDO INICIAL",MOVIMIENTOS!$B225="COMPRA",MOVIMIENTOS!$B225="REPROCESO",MOVIMIENTOS!$B225="DEVOLUCIÓN",AND(MOVIMIENTOS!$B225="AJUSTE",MOVIMIENTOS!$C225&lt;&gt;"Chancho",N(MOVIMIENTOS!$F225)&gt;=0))),N(MOVIMIENTOS!$F225),"")</f>
        <v/>
      </c>
      <c r="N226" s="48" t="str">
        <f aca="false">IF(AND(AND(MOVIMIENTOS!$B225&lt;&gt;"",NOT(AND(MOVIMIENTOS!$B225="PROCESO",MOVIMIENTOS!$C225&lt;&gt;"Chancho")),NOT(AND(MOVIMIENTOS!$B225="SALDO INICIAL",MOVIMIENTOS!$C225="Chancho"))),OR(MOVIMIENTOS!$B225="ENVÍO A SUPESA",MOVIMIENTOS!$B225="MALOGRADO",MOVIMIENTOS!$B225="OTRA SALIDA",MOVIMIENTOS!$B225="TRASIEGO",AND(MOVIMIENTOS!$B225="PROCESO",MOVIMIENTOS!$C225="Chancho"),AND(MOVIMIENTOS!$B225="REGALO",MOVIMIENTOS!$C225&lt;&gt;"Chancho"),AND(MOVIMIENTOS!$B225="VENTA",MOVIMIENTOS!$C225&lt;&gt;"Chancho"),AND(MOVIMIENTOS!$B225="AJUSTE",MOVIMIENTOS!$C225&lt;&gt;"Chancho",N(MOVIMIENTOS!$F225)&lt;0))),IF(MOVIMIENTOS!$B225="AJUSTE",-N(MOVIMIENTOS!$F225),N(MOVIMIENTOS!$F225)),"")</f>
        <v/>
      </c>
      <c r="O226" s="48" t="str">
        <f aca="false">IF(AND(MOVIMIENTOS!$B225&lt;&gt;"",NOT(AND(MOVIMIENTOS!$B225="PROCESO",MOVIMIENTOS!$C225&lt;&gt;"Chancho")),NOT(AND(MOVIMIENTOS!$B225="SALDO INICIAL",MOVIMIENTOS!$C225="Chancho"))),IF(MOVIMIENTOS!$B225="RECHAZO",MOVIMIENTOS!$E225&amp;" jabas rechazadas · van a reproceso",IF(MOVIMIENTOS!$B225="REPROCESO",MOVIMIENTOS!$E225&amp;" kg recuperados (merma del día: "&amp;TEXT(SUMPRODUCT((MOVIMIENTOS!$A$5:$A$400=MOVIMIENTOS!$A225)*(MOVIMIENTOS!$B$5:$B$400="RECHAZO")*(MOVIMIENTOS!$D$5:$D$400="jabas")*MOVIMIENTOS!$E$5:$E$400*IFERROR(_xlfn.SWITCH(MOVIMIENTOS!$C$5:$C$400,"A",15,"P",18,"C",17,"M",17,0),0))-SUMPRODUCT((MOVIMIENTOS!$A$5:$A$400=MOVIMIENTOS!$A225)*(MOVIMIENTOS!$B$5:$B$400="REPROCESO")*MOVIMIENTOS!$I$5:$I$400),"+#,##0;-#,##0;0")&amp;" kg)",TRIM(IF(MOVIMIENTOS!$G225&lt;&gt;"",MOVIMIENTOS!$G225&amp;"  ","")&amp;IF(N(MOVIMIENTOS!$D225)&gt;0,MOVIMIENTOS!$D225&amp;" "&amp;MOVIMIENTOS!$D225,"")))),"")</f>
        <v/>
      </c>
      <c r="P226" s="48" t="n">
        <f aca="false">N(P225)+N(M226)-N(N226)</f>
        <v>-290.5</v>
      </c>
      <c r="Q226" s="48"/>
      <c r="R226" s="48"/>
      <c r="S226" s="48"/>
      <c r="T226" s="48"/>
    </row>
    <row r="227" customFormat="false" ht="15" hidden="false" customHeight="true" outlineLevel="0" collapsed="false">
      <c r="A227" s="51" t="str">
        <f aca="false">IFERROR(INDEX(K$6:K$401,MATCH(ROW()-5,J$6:J$401,0)),"")</f>
        <v/>
      </c>
      <c r="B227" s="56" t="str">
        <f aca="false">IFERROR(INDEX(L$6:L$401,MATCH(ROW()-5,J$6:J$401,0)),"")</f>
        <v/>
      </c>
      <c r="C227" s="52" t="str">
        <f aca="false">IFERROR(INDEX(M$6:M$401,MATCH(ROW()-5,J$6:J$401,0)),"")</f>
        <v/>
      </c>
      <c r="D227" s="52" t="str">
        <f aca="false">IFERROR(INDEX(N$6:N$401,MATCH(ROW()-5,J$6:J$401,0)),"")</f>
        <v/>
      </c>
      <c r="E227" s="56" t="str">
        <f aca="false">IFERROR(INDEX(O$6:O$401,MATCH(ROW()-5,J$6:J$401,0)),"")</f>
        <v/>
      </c>
      <c r="F227" s="52" t="str">
        <f aca="false">IFERROR(INDEX(P$6:P$401,MATCH(ROW()-5,J$6:J$401,0)),"")</f>
        <v/>
      </c>
      <c r="G227" s="48"/>
      <c r="H227" s="48"/>
      <c r="I227" s="48"/>
      <c r="J227" s="48" t="str">
        <f aca="false">IF(AND(MOVIMIENTOS!$B226&lt;&gt;"",NOT(AND(MOVIMIENTOS!$B226="PROCESO",MOVIMIENTOS!$C226&lt;&gt;"Chancho")),NOT(AND(MOVIMIENTOS!$B226="SALDO INICIAL",MOVIMIENTOS!$C226="Chancho"))),COUNT(J$6:J226)+1,"")</f>
        <v/>
      </c>
      <c r="K227" s="48" t="str">
        <f aca="false">IF(AND(MOVIMIENTOS!$B226&lt;&gt;"",NOT(AND(MOVIMIENTOS!$B226="PROCESO",MOVIMIENTOS!$C226&lt;&gt;"Chancho")),NOT(AND(MOVIMIENTOS!$B226="SALDO INICIAL",MOVIMIENTOS!$C226="Chancho"))),MOVIMIENTOS!$A226,"")</f>
        <v/>
      </c>
      <c r="L227" s="48" t="str">
        <f aca="false">IF(AND(MOVIMIENTOS!$B226&lt;&gt;"",NOT(AND(MOVIMIENTOS!$B226="PROCESO",MOVIMIENTOS!$C226&lt;&gt;"Chancho")),NOT(AND(MOVIMIENTOS!$B226="SALDO INICIAL",MOVIMIENTOS!$C226="Chancho"))),IF(MOVIMIENTOS!$B226="SALDO INICIAL","APERTURA ("&amp;MOVIMIENTOS!$C226&amp;")",IF(MOVIMIENTOS!$B226="COMPRA","INGRESO (compra)",IF(MOVIMIENTOS!$B226="PROCESO","CHANCHO (proceso)",IF(MOVIMIENTOS!$B226="ENVÍO A SUPESA","ENVÍO cal. "&amp;MOVIMIENTOS!$C226,IF(MOVIMIENTOS!$B226="VENTA CHANCHO","VENTA CHANCHO",IF(MOVIMIENTOS!$B226="VENTA","VENTA cal. "&amp;MOVIMIENTOS!$C226,IF(MOVIMIENTOS!$B226="REGALO","REGALO "&amp;MOVIMIENTOS!$C226,IF(MOVIMIENTOS!$B226="RECHAZO","RECHAZO cal. "&amp;MOVIMIENTOS!$C226&amp;" (va a reproceso)",IF(MOVIMIENTOS!$B226="DEVOLUCIÓN","DEVOLUCIÓN cal. "&amp;MOVIMIENTOS!$C226&amp;" (regresa intacta)",IF(MOVIMIENTOS!$B226="TRASIEGO","TRASIEGO cal. "&amp;MOVIMIENTOS!$C226,MOVIMIENTOS!$B226)))))))))),"")</f>
        <v/>
      </c>
      <c r="M227" s="48" t="str">
        <f aca="false">IF(AND(AND(MOVIMIENTOS!$B226&lt;&gt;"",NOT(AND(MOVIMIENTOS!$B226="PROCESO",MOVIMIENTOS!$C226&lt;&gt;"Chancho")),NOT(AND(MOVIMIENTOS!$B226="SALDO INICIAL",MOVIMIENTOS!$C226="Chancho"))),OR(MOVIMIENTOS!$B226="SALDO INICIAL",MOVIMIENTOS!$B226="COMPRA",MOVIMIENTOS!$B226="REPROCESO",MOVIMIENTOS!$B226="DEVOLUCIÓN",AND(MOVIMIENTOS!$B226="AJUSTE",MOVIMIENTOS!$C226&lt;&gt;"Chancho",N(MOVIMIENTOS!$F226)&gt;=0))),N(MOVIMIENTOS!$F226),"")</f>
        <v/>
      </c>
      <c r="N227" s="48" t="str">
        <f aca="false">IF(AND(AND(MOVIMIENTOS!$B226&lt;&gt;"",NOT(AND(MOVIMIENTOS!$B226="PROCESO",MOVIMIENTOS!$C226&lt;&gt;"Chancho")),NOT(AND(MOVIMIENTOS!$B226="SALDO INICIAL",MOVIMIENTOS!$C226="Chancho"))),OR(MOVIMIENTOS!$B226="ENVÍO A SUPESA",MOVIMIENTOS!$B226="MALOGRADO",MOVIMIENTOS!$B226="OTRA SALIDA",MOVIMIENTOS!$B226="TRASIEGO",AND(MOVIMIENTOS!$B226="PROCESO",MOVIMIENTOS!$C226="Chancho"),AND(MOVIMIENTOS!$B226="REGALO",MOVIMIENTOS!$C226&lt;&gt;"Chancho"),AND(MOVIMIENTOS!$B226="VENTA",MOVIMIENTOS!$C226&lt;&gt;"Chancho"),AND(MOVIMIENTOS!$B226="AJUSTE",MOVIMIENTOS!$C226&lt;&gt;"Chancho",N(MOVIMIENTOS!$F226)&lt;0))),IF(MOVIMIENTOS!$B226="AJUSTE",-N(MOVIMIENTOS!$F226),N(MOVIMIENTOS!$F226)),"")</f>
        <v/>
      </c>
      <c r="O227" s="48" t="str">
        <f aca="false">IF(AND(MOVIMIENTOS!$B226&lt;&gt;"",NOT(AND(MOVIMIENTOS!$B226="PROCESO",MOVIMIENTOS!$C226&lt;&gt;"Chancho")),NOT(AND(MOVIMIENTOS!$B226="SALDO INICIAL",MOVIMIENTOS!$C226="Chancho"))),IF(MOVIMIENTOS!$B226="RECHAZO",MOVIMIENTOS!$E226&amp;" jabas rechazadas · van a reproceso",IF(MOVIMIENTOS!$B226="REPROCESO",MOVIMIENTOS!$E226&amp;" kg recuperados (merma del día: "&amp;TEXT(SUMPRODUCT((MOVIMIENTOS!$A$5:$A$400=MOVIMIENTOS!$A226)*(MOVIMIENTOS!$B$5:$B$400="RECHAZO")*(MOVIMIENTOS!$D$5:$D$400="jabas")*MOVIMIENTOS!$E$5:$E$400*IFERROR(_xlfn.SWITCH(MOVIMIENTOS!$C$5:$C$400,"A",15,"P",18,"C",17,"M",17,0),0))-SUMPRODUCT((MOVIMIENTOS!$A$5:$A$400=MOVIMIENTOS!$A226)*(MOVIMIENTOS!$B$5:$B$400="REPROCESO")*MOVIMIENTOS!$I$5:$I$400),"+#,##0;-#,##0;0")&amp;" kg)",TRIM(IF(MOVIMIENTOS!$G226&lt;&gt;"",MOVIMIENTOS!$G226&amp;"  ","")&amp;IF(N(MOVIMIENTOS!$D226)&gt;0,MOVIMIENTOS!$D226&amp;" "&amp;MOVIMIENTOS!$D226,"")))),"")</f>
        <v/>
      </c>
      <c r="P227" s="48" t="n">
        <f aca="false">N(P226)+N(M227)-N(N227)</f>
        <v>-290.5</v>
      </c>
      <c r="Q227" s="48"/>
      <c r="R227" s="48"/>
      <c r="S227" s="48"/>
      <c r="T227" s="48"/>
    </row>
    <row r="228" customFormat="false" ht="15" hidden="false" customHeight="true" outlineLevel="0" collapsed="false">
      <c r="A228" s="51" t="str">
        <f aca="false">IFERROR(INDEX(K$6:K$401,MATCH(ROW()-5,J$6:J$401,0)),"")</f>
        <v/>
      </c>
      <c r="B228" s="56" t="str">
        <f aca="false">IFERROR(INDEX(L$6:L$401,MATCH(ROW()-5,J$6:J$401,0)),"")</f>
        <v/>
      </c>
      <c r="C228" s="52" t="str">
        <f aca="false">IFERROR(INDEX(M$6:M$401,MATCH(ROW()-5,J$6:J$401,0)),"")</f>
        <v/>
      </c>
      <c r="D228" s="52" t="str">
        <f aca="false">IFERROR(INDEX(N$6:N$401,MATCH(ROW()-5,J$6:J$401,0)),"")</f>
        <v/>
      </c>
      <c r="E228" s="56" t="str">
        <f aca="false">IFERROR(INDEX(O$6:O$401,MATCH(ROW()-5,J$6:J$401,0)),"")</f>
        <v/>
      </c>
      <c r="F228" s="52" t="str">
        <f aca="false">IFERROR(INDEX(P$6:P$401,MATCH(ROW()-5,J$6:J$401,0)),"")</f>
        <v/>
      </c>
      <c r="G228" s="48"/>
      <c r="H228" s="48"/>
      <c r="I228" s="48"/>
      <c r="J228" s="48" t="str">
        <f aca="false">IF(AND(MOVIMIENTOS!$B227&lt;&gt;"",NOT(AND(MOVIMIENTOS!$B227="PROCESO",MOVIMIENTOS!$C227&lt;&gt;"Chancho")),NOT(AND(MOVIMIENTOS!$B227="SALDO INICIAL",MOVIMIENTOS!$C227="Chancho"))),COUNT(J$6:J227)+1,"")</f>
        <v/>
      </c>
      <c r="K228" s="48" t="str">
        <f aca="false">IF(AND(MOVIMIENTOS!$B227&lt;&gt;"",NOT(AND(MOVIMIENTOS!$B227="PROCESO",MOVIMIENTOS!$C227&lt;&gt;"Chancho")),NOT(AND(MOVIMIENTOS!$B227="SALDO INICIAL",MOVIMIENTOS!$C227="Chancho"))),MOVIMIENTOS!$A227,"")</f>
        <v/>
      </c>
      <c r="L228" s="48" t="str">
        <f aca="false">IF(AND(MOVIMIENTOS!$B227&lt;&gt;"",NOT(AND(MOVIMIENTOS!$B227="PROCESO",MOVIMIENTOS!$C227&lt;&gt;"Chancho")),NOT(AND(MOVIMIENTOS!$B227="SALDO INICIAL",MOVIMIENTOS!$C227="Chancho"))),IF(MOVIMIENTOS!$B227="SALDO INICIAL","APERTURA ("&amp;MOVIMIENTOS!$C227&amp;")",IF(MOVIMIENTOS!$B227="COMPRA","INGRESO (compra)",IF(MOVIMIENTOS!$B227="PROCESO","CHANCHO (proceso)",IF(MOVIMIENTOS!$B227="ENVÍO A SUPESA","ENVÍO cal. "&amp;MOVIMIENTOS!$C227,IF(MOVIMIENTOS!$B227="VENTA CHANCHO","VENTA CHANCHO",IF(MOVIMIENTOS!$B227="VENTA","VENTA cal. "&amp;MOVIMIENTOS!$C227,IF(MOVIMIENTOS!$B227="REGALO","REGALO "&amp;MOVIMIENTOS!$C227,IF(MOVIMIENTOS!$B227="RECHAZO","RECHAZO cal. "&amp;MOVIMIENTOS!$C227&amp;" (va a reproceso)",IF(MOVIMIENTOS!$B227="DEVOLUCIÓN","DEVOLUCIÓN cal. "&amp;MOVIMIENTOS!$C227&amp;" (regresa intacta)",IF(MOVIMIENTOS!$B227="TRASIEGO","TRASIEGO cal. "&amp;MOVIMIENTOS!$C227,MOVIMIENTOS!$B227)))))))))),"")</f>
        <v/>
      </c>
      <c r="M228" s="48" t="str">
        <f aca="false">IF(AND(AND(MOVIMIENTOS!$B227&lt;&gt;"",NOT(AND(MOVIMIENTOS!$B227="PROCESO",MOVIMIENTOS!$C227&lt;&gt;"Chancho")),NOT(AND(MOVIMIENTOS!$B227="SALDO INICIAL",MOVIMIENTOS!$C227="Chancho"))),OR(MOVIMIENTOS!$B227="SALDO INICIAL",MOVIMIENTOS!$B227="COMPRA",MOVIMIENTOS!$B227="REPROCESO",MOVIMIENTOS!$B227="DEVOLUCIÓN",AND(MOVIMIENTOS!$B227="AJUSTE",MOVIMIENTOS!$C227&lt;&gt;"Chancho",N(MOVIMIENTOS!$F227)&gt;=0))),N(MOVIMIENTOS!$F227),"")</f>
        <v/>
      </c>
      <c r="N228" s="48" t="str">
        <f aca="false">IF(AND(AND(MOVIMIENTOS!$B227&lt;&gt;"",NOT(AND(MOVIMIENTOS!$B227="PROCESO",MOVIMIENTOS!$C227&lt;&gt;"Chancho")),NOT(AND(MOVIMIENTOS!$B227="SALDO INICIAL",MOVIMIENTOS!$C227="Chancho"))),OR(MOVIMIENTOS!$B227="ENVÍO A SUPESA",MOVIMIENTOS!$B227="MALOGRADO",MOVIMIENTOS!$B227="OTRA SALIDA",MOVIMIENTOS!$B227="TRASIEGO",AND(MOVIMIENTOS!$B227="PROCESO",MOVIMIENTOS!$C227="Chancho"),AND(MOVIMIENTOS!$B227="REGALO",MOVIMIENTOS!$C227&lt;&gt;"Chancho"),AND(MOVIMIENTOS!$B227="VENTA",MOVIMIENTOS!$C227&lt;&gt;"Chancho"),AND(MOVIMIENTOS!$B227="AJUSTE",MOVIMIENTOS!$C227&lt;&gt;"Chancho",N(MOVIMIENTOS!$F227)&lt;0))),IF(MOVIMIENTOS!$B227="AJUSTE",-N(MOVIMIENTOS!$F227),N(MOVIMIENTOS!$F227)),"")</f>
        <v/>
      </c>
      <c r="O228" s="48" t="str">
        <f aca="false">IF(AND(MOVIMIENTOS!$B227&lt;&gt;"",NOT(AND(MOVIMIENTOS!$B227="PROCESO",MOVIMIENTOS!$C227&lt;&gt;"Chancho")),NOT(AND(MOVIMIENTOS!$B227="SALDO INICIAL",MOVIMIENTOS!$C227="Chancho"))),IF(MOVIMIENTOS!$B227="RECHAZO",MOVIMIENTOS!$E227&amp;" jabas rechazadas · van a reproceso",IF(MOVIMIENTOS!$B227="REPROCESO",MOVIMIENTOS!$E227&amp;" kg recuperados (merma del día: "&amp;TEXT(SUMPRODUCT((MOVIMIENTOS!$A$5:$A$400=MOVIMIENTOS!$A227)*(MOVIMIENTOS!$B$5:$B$400="RECHAZO")*(MOVIMIENTOS!$D$5:$D$400="jabas")*MOVIMIENTOS!$E$5:$E$400*IFERROR(_xlfn.SWITCH(MOVIMIENTOS!$C$5:$C$400,"A",15,"P",18,"C",17,"M",17,0),0))-SUMPRODUCT((MOVIMIENTOS!$A$5:$A$400=MOVIMIENTOS!$A227)*(MOVIMIENTOS!$B$5:$B$400="REPROCESO")*MOVIMIENTOS!$I$5:$I$400),"+#,##0;-#,##0;0")&amp;" kg)",TRIM(IF(MOVIMIENTOS!$G227&lt;&gt;"",MOVIMIENTOS!$G227&amp;"  ","")&amp;IF(N(MOVIMIENTOS!$D227)&gt;0,MOVIMIENTOS!$D227&amp;" "&amp;MOVIMIENTOS!$D227,"")))),"")</f>
        <v/>
      </c>
      <c r="P228" s="48" t="n">
        <f aca="false">N(P227)+N(M228)-N(N228)</f>
        <v>-290.5</v>
      </c>
      <c r="Q228" s="48"/>
      <c r="R228" s="48"/>
      <c r="S228" s="48"/>
      <c r="T228" s="48"/>
    </row>
    <row r="229" customFormat="false" ht="15" hidden="false" customHeight="true" outlineLevel="0" collapsed="false">
      <c r="A229" s="51" t="str">
        <f aca="false">IFERROR(INDEX(K$6:K$401,MATCH(ROW()-5,J$6:J$401,0)),"")</f>
        <v/>
      </c>
      <c r="B229" s="56" t="str">
        <f aca="false">IFERROR(INDEX(L$6:L$401,MATCH(ROW()-5,J$6:J$401,0)),"")</f>
        <v/>
      </c>
      <c r="C229" s="52" t="str">
        <f aca="false">IFERROR(INDEX(M$6:M$401,MATCH(ROW()-5,J$6:J$401,0)),"")</f>
        <v/>
      </c>
      <c r="D229" s="52" t="str">
        <f aca="false">IFERROR(INDEX(N$6:N$401,MATCH(ROW()-5,J$6:J$401,0)),"")</f>
        <v/>
      </c>
      <c r="E229" s="56" t="str">
        <f aca="false">IFERROR(INDEX(O$6:O$401,MATCH(ROW()-5,J$6:J$401,0)),"")</f>
        <v/>
      </c>
      <c r="F229" s="52" t="str">
        <f aca="false">IFERROR(INDEX(P$6:P$401,MATCH(ROW()-5,J$6:J$401,0)),"")</f>
        <v/>
      </c>
      <c r="G229" s="48"/>
      <c r="H229" s="48"/>
      <c r="I229" s="48"/>
      <c r="J229" s="48" t="str">
        <f aca="false">IF(AND(MOVIMIENTOS!$B228&lt;&gt;"",NOT(AND(MOVIMIENTOS!$B228="PROCESO",MOVIMIENTOS!$C228&lt;&gt;"Chancho")),NOT(AND(MOVIMIENTOS!$B228="SALDO INICIAL",MOVIMIENTOS!$C228="Chancho"))),COUNT(J$6:J228)+1,"")</f>
        <v/>
      </c>
      <c r="K229" s="48" t="str">
        <f aca="false">IF(AND(MOVIMIENTOS!$B228&lt;&gt;"",NOT(AND(MOVIMIENTOS!$B228="PROCESO",MOVIMIENTOS!$C228&lt;&gt;"Chancho")),NOT(AND(MOVIMIENTOS!$B228="SALDO INICIAL",MOVIMIENTOS!$C228="Chancho"))),MOVIMIENTOS!$A228,"")</f>
        <v/>
      </c>
      <c r="L229" s="48" t="str">
        <f aca="false">IF(AND(MOVIMIENTOS!$B228&lt;&gt;"",NOT(AND(MOVIMIENTOS!$B228="PROCESO",MOVIMIENTOS!$C228&lt;&gt;"Chancho")),NOT(AND(MOVIMIENTOS!$B228="SALDO INICIAL",MOVIMIENTOS!$C228="Chancho"))),IF(MOVIMIENTOS!$B228="SALDO INICIAL","APERTURA ("&amp;MOVIMIENTOS!$C228&amp;")",IF(MOVIMIENTOS!$B228="COMPRA","INGRESO (compra)",IF(MOVIMIENTOS!$B228="PROCESO","CHANCHO (proceso)",IF(MOVIMIENTOS!$B228="ENVÍO A SUPESA","ENVÍO cal. "&amp;MOVIMIENTOS!$C228,IF(MOVIMIENTOS!$B228="VENTA CHANCHO","VENTA CHANCHO",IF(MOVIMIENTOS!$B228="VENTA","VENTA cal. "&amp;MOVIMIENTOS!$C228,IF(MOVIMIENTOS!$B228="REGALO","REGALO "&amp;MOVIMIENTOS!$C228,IF(MOVIMIENTOS!$B228="RECHAZO","RECHAZO cal. "&amp;MOVIMIENTOS!$C228&amp;" (va a reproceso)",IF(MOVIMIENTOS!$B228="DEVOLUCIÓN","DEVOLUCIÓN cal. "&amp;MOVIMIENTOS!$C228&amp;" (regresa intacta)",IF(MOVIMIENTOS!$B228="TRASIEGO","TRASIEGO cal. "&amp;MOVIMIENTOS!$C228,MOVIMIENTOS!$B228)))))))))),"")</f>
        <v/>
      </c>
      <c r="M229" s="48" t="str">
        <f aca="false">IF(AND(AND(MOVIMIENTOS!$B228&lt;&gt;"",NOT(AND(MOVIMIENTOS!$B228="PROCESO",MOVIMIENTOS!$C228&lt;&gt;"Chancho")),NOT(AND(MOVIMIENTOS!$B228="SALDO INICIAL",MOVIMIENTOS!$C228="Chancho"))),OR(MOVIMIENTOS!$B228="SALDO INICIAL",MOVIMIENTOS!$B228="COMPRA",MOVIMIENTOS!$B228="REPROCESO",MOVIMIENTOS!$B228="DEVOLUCIÓN",AND(MOVIMIENTOS!$B228="AJUSTE",MOVIMIENTOS!$C228&lt;&gt;"Chancho",N(MOVIMIENTOS!$F228)&gt;=0))),N(MOVIMIENTOS!$F228),"")</f>
        <v/>
      </c>
      <c r="N229" s="48" t="str">
        <f aca="false">IF(AND(AND(MOVIMIENTOS!$B228&lt;&gt;"",NOT(AND(MOVIMIENTOS!$B228="PROCESO",MOVIMIENTOS!$C228&lt;&gt;"Chancho")),NOT(AND(MOVIMIENTOS!$B228="SALDO INICIAL",MOVIMIENTOS!$C228="Chancho"))),OR(MOVIMIENTOS!$B228="ENVÍO A SUPESA",MOVIMIENTOS!$B228="MALOGRADO",MOVIMIENTOS!$B228="OTRA SALIDA",MOVIMIENTOS!$B228="TRASIEGO",AND(MOVIMIENTOS!$B228="PROCESO",MOVIMIENTOS!$C228="Chancho"),AND(MOVIMIENTOS!$B228="REGALO",MOVIMIENTOS!$C228&lt;&gt;"Chancho"),AND(MOVIMIENTOS!$B228="VENTA",MOVIMIENTOS!$C228&lt;&gt;"Chancho"),AND(MOVIMIENTOS!$B228="AJUSTE",MOVIMIENTOS!$C228&lt;&gt;"Chancho",N(MOVIMIENTOS!$F228)&lt;0))),IF(MOVIMIENTOS!$B228="AJUSTE",-N(MOVIMIENTOS!$F228),N(MOVIMIENTOS!$F228)),"")</f>
        <v/>
      </c>
      <c r="O229" s="48" t="str">
        <f aca="false">IF(AND(MOVIMIENTOS!$B228&lt;&gt;"",NOT(AND(MOVIMIENTOS!$B228="PROCESO",MOVIMIENTOS!$C228&lt;&gt;"Chancho")),NOT(AND(MOVIMIENTOS!$B228="SALDO INICIAL",MOVIMIENTOS!$C228="Chancho"))),IF(MOVIMIENTOS!$B228="RECHAZO",MOVIMIENTOS!$E228&amp;" jabas rechazadas · van a reproceso",IF(MOVIMIENTOS!$B228="REPROCESO",MOVIMIENTOS!$E228&amp;" kg recuperados (merma del día: "&amp;TEXT(SUMPRODUCT((MOVIMIENTOS!$A$5:$A$400=MOVIMIENTOS!$A228)*(MOVIMIENTOS!$B$5:$B$400="RECHAZO")*(MOVIMIENTOS!$D$5:$D$400="jabas")*MOVIMIENTOS!$E$5:$E$400*IFERROR(_xlfn.SWITCH(MOVIMIENTOS!$C$5:$C$400,"A",15,"P",18,"C",17,"M",17,0),0))-SUMPRODUCT((MOVIMIENTOS!$A$5:$A$400=MOVIMIENTOS!$A228)*(MOVIMIENTOS!$B$5:$B$400="REPROCESO")*MOVIMIENTOS!$I$5:$I$400),"+#,##0;-#,##0;0")&amp;" kg)",TRIM(IF(MOVIMIENTOS!$G228&lt;&gt;"",MOVIMIENTOS!$G228&amp;"  ","")&amp;IF(N(MOVIMIENTOS!$D228)&gt;0,MOVIMIENTOS!$D228&amp;" "&amp;MOVIMIENTOS!$D228,"")))),"")</f>
        <v/>
      </c>
      <c r="P229" s="48" t="n">
        <f aca="false">N(P228)+N(M229)-N(N229)</f>
        <v>-290.5</v>
      </c>
      <c r="Q229" s="48"/>
      <c r="R229" s="48"/>
      <c r="S229" s="48"/>
      <c r="T229" s="48"/>
    </row>
    <row r="230" customFormat="false" ht="15" hidden="false" customHeight="true" outlineLevel="0" collapsed="false">
      <c r="A230" s="51" t="str">
        <f aca="false">IFERROR(INDEX(K$6:K$401,MATCH(ROW()-5,J$6:J$401,0)),"")</f>
        <v/>
      </c>
      <c r="B230" s="56" t="str">
        <f aca="false">IFERROR(INDEX(L$6:L$401,MATCH(ROW()-5,J$6:J$401,0)),"")</f>
        <v/>
      </c>
      <c r="C230" s="52" t="str">
        <f aca="false">IFERROR(INDEX(M$6:M$401,MATCH(ROW()-5,J$6:J$401,0)),"")</f>
        <v/>
      </c>
      <c r="D230" s="52" t="str">
        <f aca="false">IFERROR(INDEX(N$6:N$401,MATCH(ROW()-5,J$6:J$401,0)),"")</f>
        <v/>
      </c>
      <c r="E230" s="56" t="str">
        <f aca="false">IFERROR(INDEX(O$6:O$401,MATCH(ROW()-5,J$6:J$401,0)),"")</f>
        <v/>
      </c>
      <c r="F230" s="52" t="str">
        <f aca="false">IFERROR(INDEX(P$6:P$401,MATCH(ROW()-5,J$6:J$401,0)),"")</f>
        <v/>
      </c>
      <c r="G230" s="48"/>
      <c r="H230" s="48"/>
      <c r="I230" s="48"/>
      <c r="J230" s="48" t="str">
        <f aca="false">IF(AND(MOVIMIENTOS!$B229&lt;&gt;"",NOT(AND(MOVIMIENTOS!$B229="PROCESO",MOVIMIENTOS!$C229&lt;&gt;"Chancho")),NOT(AND(MOVIMIENTOS!$B229="SALDO INICIAL",MOVIMIENTOS!$C229="Chancho"))),COUNT(J$6:J229)+1,"")</f>
        <v/>
      </c>
      <c r="K230" s="48" t="str">
        <f aca="false">IF(AND(MOVIMIENTOS!$B229&lt;&gt;"",NOT(AND(MOVIMIENTOS!$B229="PROCESO",MOVIMIENTOS!$C229&lt;&gt;"Chancho")),NOT(AND(MOVIMIENTOS!$B229="SALDO INICIAL",MOVIMIENTOS!$C229="Chancho"))),MOVIMIENTOS!$A229,"")</f>
        <v/>
      </c>
      <c r="L230" s="48" t="str">
        <f aca="false">IF(AND(MOVIMIENTOS!$B229&lt;&gt;"",NOT(AND(MOVIMIENTOS!$B229="PROCESO",MOVIMIENTOS!$C229&lt;&gt;"Chancho")),NOT(AND(MOVIMIENTOS!$B229="SALDO INICIAL",MOVIMIENTOS!$C229="Chancho"))),IF(MOVIMIENTOS!$B229="SALDO INICIAL","APERTURA ("&amp;MOVIMIENTOS!$C229&amp;")",IF(MOVIMIENTOS!$B229="COMPRA","INGRESO (compra)",IF(MOVIMIENTOS!$B229="PROCESO","CHANCHO (proceso)",IF(MOVIMIENTOS!$B229="ENVÍO A SUPESA","ENVÍO cal. "&amp;MOVIMIENTOS!$C229,IF(MOVIMIENTOS!$B229="VENTA CHANCHO","VENTA CHANCHO",IF(MOVIMIENTOS!$B229="VENTA","VENTA cal. "&amp;MOVIMIENTOS!$C229,IF(MOVIMIENTOS!$B229="REGALO","REGALO "&amp;MOVIMIENTOS!$C229,IF(MOVIMIENTOS!$B229="RECHAZO","RECHAZO cal. "&amp;MOVIMIENTOS!$C229&amp;" (va a reproceso)",IF(MOVIMIENTOS!$B229="DEVOLUCIÓN","DEVOLUCIÓN cal. "&amp;MOVIMIENTOS!$C229&amp;" (regresa intacta)",IF(MOVIMIENTOS!$B229="TRASIEGO","TRASIEGO cal. "&amp;MOVIMIENTOS!$C229,MOVIMIENTOS!$B229)))))))))),"")</f>
        <v/>
      </c>
      <c r="M230" s="48" t="str">
        <f aca="false">IF(AND(AND(MOVIMIENTOS!$B229&lt;&gt;"",NOT(AND(MOVIMIENTOS!$B229="PROCESO",MOVIMIENTOS!$C229&lt;&gt;"Chancho")),NOT(AND(MOVIMIENTOS!$B229="SALDO INICIAL",MOVIMIENTOS!$C229="Chancho"))),OR(MOVIMIENTOS!$B229="SALDO INICIAL",MOVIMIENTOS!$B229="COMPRA",MOVIMIENTOS!$B229="REPROCESO",MOVIMIENTOS!$B229="DEVOLUCIÓN",AND(MOVIMIENTOS!$B229="AJUSTE",MOVIMIENTOS!$C229&lt;&gt;"Chancho",N(MOVIMIENTOS!$F229)&gt;=0))),N(MOVIMIENTOS!$F229),"")</f>
        <v/>
      </c>
      <c r="N230" s="48" t="str">
        <f aca="false">IF(AND(AND(MOVIMIENTOS!$B229&lt;&gt;"",NOT(AND(MOVIMIENTOS!$B229="PROCESO",MOVIMIENTOS!$C229&lt;&gt;"Chancho")),NOT(AND(MOVIMIENTOS!$B229="SALDO INICIAL",MOVIMIENTOS!$C229="Chancho"))),OR(MOVIMIENTOS!$B229="ENVÍO A SUPESA",MOVIMIENTOS!$B229="MALOGRADO",MOVIMIENTOS!$B229="OTRA SALIDA",MOVIMIENTOS!$B229="TRASIEGO",AND(MOVIMIENTOS!$B229="PROCESO",MOVIMIENTOS!$C229="Chancho"),AND(MOVIMIENTOS!$B229="REGALO",MOVIMIENTOS!$C229&lt;&gt;"Chancho"),AND(MOVIMIENTOS!$B229="VENTA",MOVIMIENTOS!$C229&lt;&gt;"Chancho"),AND(MOVIMIENTOS!$B229="AJUSTE",MOVIMIENTOS!$C229&lt;&gt;"Chancho",N(MOVIMIENTOS!$F229)&lt;0))),IF(MOVIMIENTOS!$B229="AJUSTE",-N(MOVIMIENTOS!$F229),N(MOVIMIENTOS!$F229)),"")</f>
        <v/>
      </c>
      <c r="O230" s="48" t="str">
        <f aca="false">IF(AND(MOVIMIENTOS!$B229&lt;&gt;"",NOT(AND(MOVIMIENTOS!$B229="PROCESO",MOVIMIENTOS!$C229&lt;&gt;"Chancho")),NOT(AND(MOVIMIENTOS!$B229="SALDO INICIAL",MOVIMIENTOS!$C229="Chancho"))),IF(MOVIMIENTOS!$B229="RECHAZO",MOVIMIENTOS!$E229&amp;" jabas rechazadas · van a reproceso",IF(MOVIMIENTOS!$B229="REPROCESO",MOVIMIENTOS!$E229&amp;" kg recuperados (merma del día: "&amp;TEXT(SUMPRODUCT((MOVIMIENTOS!$A$5:$A$400=MOVIMIENTOS!$A229)*(MOVIMIENTOS!$B$5:$B$400="RECHAZO")*(MOVIMIENTOS!$D$5:$D$400="jabas")*MOVIMIENTOS!$E$5:$E$400*IFERROR(_xlfn.SWITCH(MOVIMIENTOS!$C$5:$C$400,"A",15,"P",18,"C",17,"M",17,0),0))-SUMPRODUCT((MOVIMIENTOS!$A$5:$A$400=MOVIMIENTOS!$A229)*(MOVIMIENTOS!$B$5:$B$400="REPROCESO")*MOVIMIENTOS!$I$5:$I$400),"+#,##0;-#,##0;0")&amp;" kg)",TRIM(IF(MOVIMIENTOS!$G229&lt;&gt;"",MOVIMIENTOS!$G229&amp;"  ","")&amp;IF(N(MOVIMIENTOS!$D229)&gt;0,MOVIMIENTOS!$D229&amp;" "&amp;MOVIMIENTOS!$D229,"")))),"")</f>
        <v/>
      </c>
      <c r="P230" s="48" t="n">
        <f aca="false">N(P229)+N(M230)-N(N230)</f>
        <v>-290.5</v>
      </c>
      <c r="Q230" s="48"/>
      <c r="R230" s="48"/>
      <c r="S230" s="48"/>
      <c r="T230" s="48"/>
    </row>
    <row r="231" customFormat="false" ht="15" hidden="false" customHeight="true" outlineLevel="0" collapsed="false">
      <c r="A231" s="51" t="str">
        <f aca="false">IFERROR(INDEX(K$6:K$401,MATCH(ROW()-5,J$6:J$401,0)),"")</f>
        <v/>
      </c>
      <c r="B231" s="56" t="str">
        <f aca="false">IFERROR(INDEX(L$6:L$401,MATCH(ROW()-5,J$6:J$401,0)),"")</f>
        <v/>
      </c>
      <c r="C231" s="52" t="str">
        <f aca="false">IFERROR(INDEX(M$6:M$401,MATCH(ROW()-5,J$6:J$401,0)),"")</f>
        <v/>
      </c>
      <c r="D231" s="52" t="str">
        <f aca="false">IFERROR(INDEX(N$6:N$401,MATCH(ROW()-5,J$6:J$401,0)),"")</f>
        <v/>
      </c>
      <c r="E231" s="56" t="str">
        <f aca="false">IFERROR(INDEX(O$6:O$401,MATCH(ROW()-5,J$6:J$401,0)),"")</f>
        <v/>
      </c>
      <c r="F231" s="52" t="str">
        <f aca="false">IFERROR(INDEX(P$6:P$401,MATCH(ROW()-5,J$6:J$401,0)),"")</f>
        <v/>
      </c>
      <c r="G231" s="48"/>
      <c r="H231" s="48"/>
      <c r="I231" s="48"/>
      <c r="J231" s="48" t="str">
        <f aca="false">IF(AND(MOVIMIENTOS!$B230&lt;&gt;"",NOT(AND(MOVIMIENTOS!$B230="PROCESO",MOVIMIENTOS!$C230&lt;&gt;"Chancho")),NOT(AND(MOVIMIENTOS!$B230="SALDO INICIAL",MOVIMIENTOS!$C230="Chancho"))),COUNT(J$6:J230)+1,"")</f>
        <v/>
      </c>
      <c r="K231" s="48" t="str">
        <f aca="false">IF(AND(MOVIMIENTOS!$B230&lt;&gt;"",NOT(AND(MOVIMIENTOS!$B230="PROCESO",MOVIMIENTOS!$C230&lt;&gt;"Chancho")),NOT(AND(MOVIMIENTOS!$B230="SALDO INICIAL",MOVIMIENTOS!$C230="Chancho"))),MOVIMIENTOS!$A230,"")</f>
        <v/>
      </c>
      <c r="L231" s="48" t="str">
        <f aca="false">IF(AND(MOVIMIENTOS!$B230&lt;&gt;"",NOT(AND(MOVIMIENTOS!$B230="PROCESO",MOVIMIENTOS!$C230&lt;&gt;"Chancho")),NOT(AND(MOVIMIENTOS!$B230="SALDO INICIAL",MOVIMIENTOS!$C230="Chancho"))),IF(MOVIMIENTOS!$B230="SALDO INICIAL","APERTURA ("&amp;MOVIMIENTOS!$C230&amp;")",IF(MOVIMIENTOS!$B230="COMPRA","INGRESO (compra)",IF(MOVIMIENTOS!$B230="PROCESO","CHANCHO (proceso)",IF(MOVIMIENTOS!$B230="ENVÍO A SUPESA","ENVÍO cal. "&amp;MOVIMIENTOS!$C230,IF(MOVIMIENTOS!$B230="VENTA CHANCHO","VENTA CHANCHO",IF(MOVIMIENTOS!$B230="VENTA","VENTA cal. "&amp;MOVIMIENTOS!$C230,IF(MOVIMIENTOS!$B230="REGALO","REGALO "&amp;MOVIMIENTOS!$C230,IF(MOVIMIENTOS!$B230="RECHAZO","RECHAZO cal. "&amp;MOVIMIENTOS!$C230&amp;" (va a reproceso)",IF(MOVIMIENTOS!$B230="DEVOLUCIÓN","DEVOLUCIÓN cal. "&amp;MOVIMIENTOS!$C230&amp;" (regresa intacta)",IF(MOVIMIENTOS!$B230="TRASIEGO","TRASIEGO cal. "&amp;MOVIMIENTOS!$C230,MOVIMIENTOS!$B230)))))))))),"")</f>
        <v/>
      </c>
      <c r="M231" s="48" t="str">
        <f aca="false">IF(AND(AND(MOVIMIENTOS!$B230&lt;&gt;"",NOT(AND(MOVIMIENTOS!$B230="PROCESO",MOVIMIENTOS!$C230&lt;&gt;"Chancho")),NOT(AND(MOVIMIENTOS!$B230="SALDO INICIAL",MOVIMIENTOS!$C230="Chancho"))),OR(MOVIMIENTOS!$B230="SALDO INICIAL",MOVIMIENTOS!$B230="COMPRA",MOVIMIENTOS!$B230="REPROCESO",MOVIMIENTOS!$B230="DEVOLUCIÓN",AND(MOVIMIENTOS!$B230="AJUSTE",MOVIMIENTOS!$C230&lt;&gt;"Chancho",N(MOVIMIENTOS!$F230)&gt;=0))),N(MOVIMIENTOS!$F230),"")</f>
        <v/>
      </c>
      <c r="N231" s="48" t="str">
        <f aca="false">IF(AND(AND(MOVIMIENTOS!$B230&lt;&gt;"",NOT(AND(MOVIMIENTOS!$B230="PROCESO",MOVIMIENTOS!$C230&lt;&gt;"Chancho")),NOT(AND(MOVIMIENTOS!$B230="SALDO INICIAL",MOVIMIENTOS!$C230="Chancho"))),OR(MOVIMIENTOS!$B230="ENVÍO A SUPESA",MOVIMIENTOS!$B230="MALOGRADO",MOVIMIENTOS!$B230="OTRA SALIDA",MOVIMIENTOS!$B230="TRASIEGO",AND(MOVIMIENTOS!$B230="PROCESO",MOVIMIENTOS!$C230="Chancho"),AND(MOVIMIENTOS!$B230="REGALO",MOVIMIENTOS!$C230&lt;&gt;"Chancho"),AND(MOVIMIENTOS!$B230="VENTA",MOVIMIENTOS!$C230&lt;&gt;"Chancho"),AND(MOVIMIENTOS!$B230="AJUSTE",MOVIMIENTOS!$C230&lt;&gt;"Chancho",N(MOVIMIENTOS!$F230)&lt;0))),IF(MOVIMIENTOS!$B230="AJUSTE",-N(MOVIMIENTOS!$F230),N(MOVIMIENTOS!$F230)),"")</f>
        <v/>
      </c>
      <c r="O231" s="48" t="str">
        <f aca="false">IF(AND(MOVIMIENTOS!$B230&lt;&gt;"",NOT(AND(MOVIMIENTOS!$B230="PROCESO",MOVIMIENTOS!$C230&lt;&gt;"Chancho")),NOT(AND(MOVIMIENTOS!$B230="SALDO INICIAL",MOVIMIENTOS!$C230="Chancho"))),IF(MOVIMIENTOS!$B230="RECHAZO",MOVIMIENTOS!$E230&amp;" jabas rechazadas · van a reproceso",IF(MOVIMIENTOS!$B230="REPROCESO",MOVIMIENTOS!$E230&amp;" kg recuperados (merma del día: "&amp;TEXT(SUMPRODUCT((MOVIMIENTOS!$A$5:$A$400=MOVIMIENTOS!$A230)*(MOVIMIENTOS!$B$5:$B$400="RECHAZO")*(MOVIMIENTOS!$D$5:$D$400="jabas")*MOVIMIENTOS!$E$5:$E$400*IFERROR(_xlfn.SWITCH(MOVIMIENTOS!$C$5:$C$400,"A",15,"P",18,"C",17,"M",17,0),0))-SUMPRODUCT((MOVIMIENTOS!$A$5:$A$400=MOVIMIENTOS!$A230)*(MOVIMIENTOS!$B$5:$B$400="REPROCESO")*MOVIMIENTOS!$I$5:$I$400),"+#,##0;-#,##0;0")&amp;" kg)",TRIM(IF(MOVIMIENTOS!$G230&lt;&gt;"",MOVIMIENTOS!$G230&amp;"  ","")&amp;IF(N(MOVIMIENTOS!$D230)&gt;0,MOVIMIENTOS!$D230&amp;" "&amp;MOVIMIENTOS!$D230,"")))),"")</f>
        <v/>
      </c>
      <c r="P231" s="48" t="n">
        <f aca="false">N(P230)+N(M231)-N(N231)</f>
        <v>-290.5</v>
      </c>
      <c r="Q231" s="48"/>
      <c r="R231" s="48"/>
      <c r="S231" s="48"/>
      <c r="T231" s="48"/>
    </row>
    <row r="232" customFormat="false" ht="15" hidden="false" customHeight="true" outlineLevel="0" collapsed="false">
      <c r="A232" s="51" t="str">
        <f aca="false">IFERROR(INDEX(K$6:K$401,MATCH(ROW()-5,J$6:J$401,0)),"")</f>
        <v/>
      </c>
      <c r="B232" s="56" t="str">
        <f aca="false">IFERROR(INDEX(L$6:L$401,MATCH(ROW()-5,J$6:J$401,0)),"")</f>
        <v/>
      </c>
      <c r="C232" s="52" t="str">
        <f aca="false">IFERROR(INDEX(M$6:M$401,MATCH(ROW()-5,J$6:J$401,0)),"")</f>
        <v/>
      </c>
      <c r="D232" s="52" t="str">
        <f aca="false">IFERROR(INDEX(N$6:N$401,MATCH(ROW()-5,J$6:J$401,0)),"")</f>
        <v/>
      </c>
      <c r="E232" s="56" t="str">
        <f aca="false">IFERROR(INDEX(O$6:O$401,MATCH(ROW()-5,J$6:J$401,0)),"")</f>
        <v/>
      </c>
      <c r="F232" s="52" t="str">
        <f aca="false">IFERROR(INDEX(P$6:P$401,MATCH(ROW()-5,J$6:J$401,0)),"")</f>
        <v/>
      </c>
      <c r="G232" s="48"/>
      <c r="H232" s="48"/>
      <c r="I232" s="48"/>
      <c r="J232" s="48" t="str">
        <f aca="false">IF(AND(MOVIMIENTOS!$B231&lt;&gt;"",NOT(AND(MOVIMIENTOS!$B231="PROCESO",MOVIMIENTOS!$C231&lt;&gt;"Chancho")),NOT(AND(MOVIMIENTOS!$B231="SALDO INICIAL",MOVIMIENTOS!$C231="Chancho"))),COUNT(J$6:J231)+1,"")</f>
        <v/>
      </c>
      <c r="K232" s="48" t="str">
        <f aca="false">IF(AND(MOVIMIENTOS!$B231&lt;&gt;"",NOT(AND(MOVIMIENTOS!$B231="PROCESO",MOVIMIENTOS!$C231&lt;&gt;"Chancho")),NOT(AND(MOVIMIENTOS!$B231="SALDO INICIAL",MOVIMIENTOS!$C231="Chancho"))),MOVIMIENTOS!$A231,"")</f>
        <v/>
      </c>
      <c r="L232" s="48" t="str">
        <f aca="false">IF(AND(MOVIMIENTOS!$B231&lt;&gt;"",NOT(AND(MOVIMIENTOS!$B231="PROCESO",MOVIMIENTOS!$C231&lt;&gt;"Chancho")),NOT(AND(MOVIMIENTOS!$B231="SALDO INICIAL",MOVIMIENTOS!$C231="Chancho"))),IF(MOVIMIENTOS!$B231="SALDO INICIAL","APERTURA ("&amp;MOVIMIENTOS!$C231&amp;")",IF(MOVIMIENTOS!$B231="COMPRA","INGRESO (compra)",IF(MOVIMIENTOS!$B231="PROCESO","CHANCHO (proceso)",IF(MOVIMIENTOS!$B231="ENVÍO A SUPESA","ENVÍO cal. "&amp;MOVIMIENTOS!$C231,IF(MOVIMIENTOS!$B231="VENTA CHANCHO","VENTA CHANCHO",IF(MOVIMIENTOS!$B231="VENTA","VENTA cal. "&amp;MOVIMIENTOS!$C231,IF(MOVIMIENTOS!$B231="REGALO","REGALO "&amp;MOVIMIENTOS!$C231,IF(MOVIMIENTOS!$B231="RECHAZO","RECHAZO cal. "&amp;MOVIMIENTOS!$C231&amp;" (va a reproceso)",IF(MOVIMIENTOS!$B231="DEVOLUCIÓN","DEVOLUCIÓN cal. "&amp;MOVIMIENTOS!$C231&amp;" (regresa intacta)",IF(MOVIMIENTOS!$B231="TRASIEGO","TRASIEGO cal. "&amp;MOVIMIENTOS!$C231,MOVIMIENTOS!$B231)))))))))),"")</f>
        <v/>
      </c>
      <c r="M232" s="48" t="str">
        <f aca="false">IF(AND(AND(MOVIMIENTOS!$B231&lt;&gt;"",NOT(AND(MOVIMIENTOS!$B231="PROCESO",MOVIMIENTOS!$C231&lt;&gt;"Chancho")),NOT(AND(MOVIMIENTOS!$B231="SALDO INICIAL",MOVIMIENTOS!$C231="Chancho"))),OR(MOVIMIENTOS!$B231="SALDO INICIAL",MOVIMIENTOS!$B231="COMPRA",MOVIMIENTOS!$B231="REPROCESO",MOVIMIENTOS!$B231="DEVOLUCIÓN",AND(MOVIMIENTOS!$B231="AJUSTE",MOVIMIENTOS!$C231&lt;&gt;"Chancho",N(MOVIMIENTOS!$F231)&gt;=0))),N(MOVIMIENTOS!$F231),"")</f>
        <v/>
      </c>
      <c r="N232" s="48" t="str">
        <f aca="false">IF(AND(AND(MOVIMIENTOS!$B231&lt;&gt;"",NOT(AND(MOVIMIENTOS!$B231="PROCESO",MOVIMIENTOS!$C231&lt;&gt;"Chancho")),NOT(AND(MOVIMIENTOS!$B231="SALDO INICIAL",MOVIMIENTOS!$C231="Chancho"))),OR(MOVIMIENTOS!$B231="ENVÍO A SUPESA",MOVIMIENTOS!$B231="MALOGRADO",MOVIMIENTOS!$B231="OTRA SALIDA",MOVIMIENTOS!$B231="TRASIEGO",AND(MOVIMIENTOS!$B231="PROCESO",MOVIMIENTOS!$C231="Chancho"),AND(MOVIMIENTOS!$B231="REGALO",MOVIMIENTOS!$C231&lt;&gt;"Chancho"),AND(MOVIMIENTOS!$B231="VENTA",MOVIMIENTOS!$C231&lt;&gt;"Chancho"),AND(MOVIMIENTOS!$B231="AJUSTE",MOVIMIENTOS!$C231&lt;&gt;"Chancho",N(MOVIMIENTOS!$F231)&lt;0))),IF(MOVIMIENTOS!$B231="AJUSTE",-N(MOVIMIENTOS!$F231),N(MOVIMIENTOS!$F231)),"")</f>
        <v/>
      </c>
      <c r="O232" s="48" t="str">
        <f aca="false">IF(AND(MOVIMIENTOS!$B231&lt;&gt;"",NOT(AND(MOVIMIENTOS!$B231="PROCESO",MOVIMIENTOS!$C231&lt;&gt;"Chancho")),NOT(AND(MOVIMIENTOS!$B231="SALDO INICIAL",MOVIMIENTOS!$C231="Chancho"))),IF(MOVIMIENTOS!$B231="RECHAZO",MOVIMIENTOS!$E231&amp;" jabas rechazadas · van a reproceso",IF(MOVIMIENTOS!$B231="REPROCESO",MOVIMIENTOS!$E231&amp;" kg recuperados (merma del día: "&amp;TEXT(SUMPRODUCT((MOVIMIENTOS!$A$5:$A$400=MOVIMIENTOS!$A231)*(MOVIMIENTOS!$B$5:$B$400="RECHAZO")*(MOVIMIENTOS!$D$5:$D$400="jabas")*MOVIMIENTOS!$E$5:$E$400*IFERROR(_xlfn.SWITCH(MOVIMIENTOS!$C$5:$C$400,"A",15,"P",18,"C",17,"M",17,0),0))-SUMPRODUCT((MOVIMIENTOS!$A$5:$A$400=MOVIMIENTOS!$A231)*(MOVIMIENTOS!$B$5:$B$400="REPROCESO")*MOVIMIENTOS!$I$5:$I$400),"+#,##0;-#,##0;0")&amp;" kg)",TRIM(IF(MOVIMIENTOS!$G231&lt;&gt;"",MOVIMIENTOS!$G231&amp;"  ","")&amp;IF(N(MOVIMIENTOS!$D231)&gt;0,MOVIMIENTOS!$D231&amp;" "&amp;MOVIMIENTOS!$D231,"")))),"")</f>
        <v/>
      </c>
      <c r="P232" s="48" t="n">
        <f aca="false">N(P231)+N(M232)-N(N232)</f>
        <v>-290.5</v>
      </c>
      <c r="Q232" s="48"/>
      <c r="R232" s="48"/>
      <c r="S232" s="48"/>
      <c r="T232" s="48"/>
    </row>
    <row r="233" customFormat="false" ht="15" hidden="false" customHeight="true" outlineLevel="0" collapsed="false">
      <c r="A233" s="51" t="str">
        <f aca="false">IFERROR(INDEX(K$6:K$401,MATCH(ROW()-5,J$6:J$401,0)),"")</f>
        <v/>
      </c>
      <c r="B233" s="56" t="str">
        <f aca="false">IFERROR(INDEX(L$6:L$401,MATCH(ROW()-5,J$6:J$401,0)),"")</f>
        <v/>
      </c>
      <c r="C233" s="52" t="str">
        <f aca="false">IFERROR(INDEX(M$6:M$401,MATCH(ROW()-5,J$6:J$401,0)),"")</f>
        <v/>
      </c>
      <c r="D233" s="52" t="str">
        <f aca="false">IFERROR(INDEX(N$6:N$401,MATCH(ROW()-5,J$6:J$401,0)),"")</f>
        <v/>
      </c>
      <c r="E233" s="56" t="str">
        <f aca="false">IFERROR(INDEX(O$6:O$401,MATCH(ROW()-5,J$6:J$401,0)),"")</f>
        <v/>
      </c>
      <c r="F233" s="52" t="str">
        <f aca="false">IFERROR(INDEX(P$6:P$401,MATCH(ROW()-5,J$6:J$401,0)),"")</f>
        <v/>
      </c>
      <c r="G233" s="48"/>
      <c r="H233" s="48"/>
      <c r="I233" s="48"/>
      <c r="J233" s="48" t="str">
        <f aca="false">IF(AND(MOVIMIENTOS!$B232&lt;&gt;"",NOT(AND(MOVIMIENTOS!$B232="PROCESO",MOVIMIENTOS!$C232&lt;&gt;"Chancho")),NOT(AND(MOVIMIENTOS!$B232="SALDO INICIAL",MOVIMIENTOS!$C232="Chancho"))),COUNT(J$6:J232)+1,"")</f>
        <v/>
      </c>
      <c r="K233" s="48" t="str">
        <f aca="false">IF(AND(MOVIMIENTOS!$B232&lt;&gt;"",NOT(AND(MOVIMIENTOS!$B232="PROCESO",MOVIMIENTOS!$C232&lt;&gt;"Chancho")),NOT(AND(MOVIMIENTOS!$B232="SALDO INICIAL",MOVIMIENTOS!$C232="Chancho"))),MOVIMIENTOS!$A232,"")</f>
        <v/>
      </c>
      <c r="L233" s="48" t="str">
        <f aca="false">IF(AND(MOVIMIENTOS!$B232&lt;&gt;"",NOT(AND(MOVIMIENTOS!$B232="PROCESO",MOVIMIENTOS!$C232&lt;&gt;"Chancho")),NOT(AND(MOVIMIENTOS!$B232="SALDO INICIAL",MOVIMIENTOS!$C232="Chancho"))),IF(MOVIMIENTOS!$B232="SALDO INICIAL","APERTURA ("&amp;MOVIMIENTOS!$C232&amp;")",IF(MOVIMIENTOS!$B232="COMPRA","INGRESO (compra)",IF(MOVIMIENTOS!$B232="PROCESO","CHANCHO (proceso)",IF(MOVIMIENTOS!$B232="ENVÍO A SUPESA","ENVÍO cal. "&amp;MOVIMIENTOS!$C232,IF(MOVIMIENTOS!$B232="VENTA CHANCHO","VENTA CHANCHO",IF(MOVIMIENTOS!$B232="VENTA","VENTA cal. "&amp;MOVIMIENTOS!$C232,IF(MOVIMIENTOS!$B232="REGALO","REGALO "&amp;MOVIMIENTOS!$C232,IF(MOVIMIENTOS!$B232="RECHAZO","RECHAZO cal. "&amp;MOVIMIENTOS!$C232&amp;" (va a reproceso)",IF(MOVIMIENTOS!$B232="DEVOLUCIÓN","DEVOLUCIÓN cal. "&amp;MOVIMIENTOS!$C232&amp;" (regresa intacta)",IF(MOVIMIENTOS!$B232="TRASIEGO","TRASIEGO cal. "&amp;MOVIMIENTOS!$C232,MOVIMIENTOS!$B232)))))))))),"")</f>
        <v/>
      </c>
      <c r="M233" s="48" t="str">
        <f aca="false">IF(AND(AND(MOVIMIENTOS!$B232&lt;&gt;"",NOT(AND(MOVIMIENTOS!$B232="PROCESO",MOVIMIENTOS!$C232&lt;&gt;"Chancho")),NOT(AND(MOVIMIENTOS!$B232="SALDO INICIAL",MOVIMIENTOS!$C232="Chancho"))),OR(MOVIMIENTOS!$B232="SALDO INICIAL",MOVIMIENTOS!$B232="COMPRA",MOVIMIENTOS!$B232="REPROCESO",MOVIMIENTOS!$B232="DEVOLUCIÓN",AND(MOVIMIENTOS!$B232="AJUSTE",MOVIMIENTOS!$C232&lt;&gt;"Chancho",N(MOVIMIENTOS!$F232)&gt;=0))),N(MOVIMIENTOS!$F232),"")</f>
        <v/>
      </c>
      <c r="N233" s="48" t="str">
        <f aca="false">IF(AND(AND(MOVIMIENTOS!$B232&lt;&gt;"",NOT(AND(MOVIMIENTOS!$B232="PROCESO",MOVIMIENTOS!$C232&lt;&gt;"Chancho")),NOT(AND(MOVIMIENTOS!$B232="SALDO INICIAL",MOVIMIENTOS!$C232="Chancho"))),OR(MOVIMIENTOS!$B232="ENVÍO A SUPESA",MOVIMIENTOS!$B232="MALOGRADO",MOVIMIENTOS!$B232="OTRA SALIDA",MOVIMIENTOS!$B232="TRASIEGO",AND(MOVIMIENTOS!$B232="PROCESO",MOVIMIENTOS!$C232="Chancho"),AND(MOVIMIENTOS!$B232="REGALO",MOVIMIENTOS!$C232&lt;&gt;"Chancho"),AND(MOVIMIENTOS!$B232="VENTA",MOVIMIENTOS!$C232&lt;&gt;"Chancho"),AND(MOVIMIENTOS!$B232="AJUSTE",MOVIMIENTOS!$C232&lt;&gt;"Chancho",N(MOVIMIENTOS!$F232)&lt;0))),IF(MOVIMIENTOS!$B232="AJUSTE",-N(MOVIMIENTOS!$F232),N(MOVIMIENTOS!$F232)),"")</f>
        <v/>
      </c>
      <c r="O233" s="48" t="str">
        <f aca="false">IF(AND(MOVIMIENTOS!$B232&lt;&gt;"",NOT(AND(MOVIMIENTOS!$B232="PROCESO",MOVIMIENTOS!$C232&lt;&gt;"Chancho")),NOT(AND(MOVIMIENTOS!$B232="SALDO INICIAL",MOVIMIENTOS!$C232="Chancho"))),IF(MOVIMIENTOS!$B232="RECHAZO",MOVIMIENTOS!$E232&amp;" jabas rechazadas · van a reproceso",IF(MOVIMIENTOS!$B232="REPROCESO",MOVIMIENTOS!$E232&amp;" kg recuperados (merma del día: "&amp;TEXT(SUMPRODUCT((MOVIMIENTOS!$A$5:$A$400=MOVIMIENTOS!$A232)*(MOVIMIENTOS!$B$5:$B$400="RECHAZO")*(MOVIMIENTOS!$D$5:$D$400="jabas")*MOVIMIENTOS!$E$5:$E$400*IFERROR(_xlfn.SWITCH(MOVIMIENTOS!$C$5:$C$400,"A",15,"P",18,"C",17,"M",17,0),0))-SUMPRODUCT((MOVIMIENTOS!$A$5:$A$400=MOVIMIENTOS!$A232)*(MOVIMIENTOS!$B$5:$B$400="REPROCESO")*MOVIMIENTOS!$I$5:$I$400),"+#,##0;-#,##0;0")&amp;" kg)",TRIM(IF(MOVIMIENTOS!$G232&lt;&gt;"",MOVIMIENTOS!$G232&amp;"  ","")&amp;IF(N(MOVIMIENTOS!$D232)&gt;0,MOVIMIENTOS!$D232&amp;" "&amp;MOVIMIENTOS!$D232,"")))),"")</f>
        <v/>
      </c>
      <c r="P233" s="48" t="n">
        <f aca="false">N(P232)+N(M233)-N(N233)</f>
        <v>-290.5</v>
      </c>
      <c r="Q233" s="48"/>
      <c r="R233" s="48"/>
      <c r="S233" s="48"/>
      <c r="T233" s="48"/>
    </row>
    <row r="234" customFormat="false" ht="15" hidden="false" customHeight="true" outlineLevel="0" collapsed="false">
      <c r="A234" s="51" t="str">
        <f aca="false">IFERROR(INDEX(K$6:K$401,MATCH(ROW()-5,J$6:J$401,0)),"")</f>
        <v/>
      </c>
      <c r="B234" s="56" t="str">
        <f aca="false">IFERROR(INDEX(L$6:L$401,MATCH(ROW()-5,J$6:J$401,0)),"")</f>
        <v/>
      </c>
      <c r="C234" s="52" t="str">
        <f aca="false">IFERROR(INDEX(M$6:M$401,MATCH(ROW()-5,J$6:J$401,0)),"")</f>
        <v/>
      </c>
      <c r="D234" s="52" t="str">
        <f aca="false">IFERROR(INDEX(N$6:N$401,MATCH(ROW()-5,J$6:J$401,0)),"")</f>
        <v/>
      </c>
      <c r="E234" s="56" t="str">
        <f aca="false">IFERROR(INDEX(O$6:O$401,MATCH(ROW()-5,J$6:J$401,0)),"")</f>
        <v/>
      </c>
      <c r="F234" s="52" t="str">
        <f aca="false">IFERROR(INDEX(P$6:P$401,MATCH(ROW()-5,J$6:J$401,0)),"")</f>
        <v/>
      </c>
      <c r="G234" s="48"/>
      <c r="H234" s="48"/>
      <c r="I234" s="48"/>
      <c r="J234" s="48" t="str">
        <f aca="false">IF(AND(MOVIMIENTOS!$B233&lt;&gt;"",NOT(AND(MOVIMIENTOS!$B233="PROCESO",MOVIMIENTOS!$C233&lt;&gt;"Chancho")),NOT(AND(MOVIMIENTOS!$B233="SALDO INICIAL",MOVIMIENTOS!$C233="Chancho"))),COUNT(J$6:J233)+1,"")</f>
        <v/>
      </c>
      <c r="K234" s="48" t="str">
        <f aca="false">IF(AND(MOVIMIENTOS!$B233&lt;&gt;"",NOT(AND(MOVIMIENTOS!$B233="PROCESO",MOVIMIENTOS!$C233&lt;&gt;"Chancho")),NOT(AND(MOVIMIENTOS!$B233="SALDO INICIAL",MOVIMIENTOS!$C233="Chancho"))),MOVIMIENTOS!$A233,"")</f>
        <v/>
      </c>
      <c r="L234" s="48" t="str">
        <f aca="false">IF(AND(MOVIMIENTOS!$B233&lt;&gt;"",NOT(AND(MOVIMIENTOS!$B233="PROCESO",MOVIMIENTOS!$C233&lt;&gt;"Chancho")),NOT(AND(MOVIMIENTOS!$B233="SALDO INICIAL",MOVIMIENTOS!$C233="Chancho"))),IF(MOVIMIENTOS!$B233="SALDO INICIAL","APERTURA ("&amp;MOVIMIENTOS!$C233&amp;")",IF(MOVIMIENTOS!$B233="COMPRA","INGRESO (compra)",IF(MOVIMIENTOS!$B233="PROCESO","CHANCHO (proceso)",IF(MOVIMIENTOS!$B233="ENVÍO A SUPESA","ENVÍO cal. "&amp;MOVIMIENTOS!$C233,IF(MOVIMIENTOS!$B233="VENTA CHANCHO","VENTA CHANCHO",IF(MOVIMIENTOS!$B233="VENTA","VENTA cal. "&amp;MOVIMIENTOS!$C233,IF(MOVIMIENTOS!$B233="REGALO","REGALO "&amp;MOVIMIENTOS!$C233,IF(MOVIMIENTOS!$B233="RECHAZO","RECHAZO cal. "&amp;MOVIMIENTOS!$C233&amp;" (va a reproceso)",IF(MOVIMIENTOS!$B233="DEVOLUCIÓN","DEVOLUCIÓN cal. "&amp;MOVIMIENTOS!$C233&amp;" (regresa intacta)",IF(MOVIMIENTOS!$B233="TRASIEGO","TRASIEGO cal. "&amp;MOVIMIENTOS!$C233,MOVIMIENTOS!$B233)))))))))),"")</f>
        <v/>
      </c>
      <c r="M234" s="48" t="str">
        <f aca="false">IF(AND(AND(MOVIMIENTOS!$B233&lt;&gt;"",NOT(AND(MOVIMIENTOS!$B233="PROCESO",MOVIMIENTOS!$C233&lt;&gt;"Chancho")),NOT(AND(MOVIMIENTOS!$B233="SALDO INICIAL",MOVIMIENTOS!$C233="Chancho"))),OR(MOVIMIENTOS!$B233="SALDO INICIAL",MOVIMIENTOS!$B233="COMPRA",MOVIMIENTOS!$B233="REPROCESO",MOVIMIENTOS!$B233="DEVOLUCIÓN",AND(MOVIMIENTOS!$B233="AJUSTE",MOVIMIENTOS!$C233&lt;&gt;"Chancho",N(MOVIMIENTOS!$F233)&gt;=0))),N(MOVIMIENTOS!$F233),"")</f>
        <v/>
      </c>
      <c r="N234" s="48" t="str">
        <f aca="false">IF(AND(AND(MOVIMIENTOS!$B233&lt;&gt;"",NOT(AND(MOVIMIENTOS!$B233="PROCESO",MOVIMIENTOS!$C233&lt;&gt;"Chancho")),NOT(AND(MOVIMIENTOS!$B233="SALDO INICIAL",MOVIMIENTOS!$C233="Chancho"))),OR(MOVIMIENTOS!$B233="ENVÍO A SUPESA",MOVIMIENTOS!$B233="MALOGRADO",MOVIMIENTOS!$B233="OTRA SALIDA",MOVIMIENTOS!$B233="TRASIEGO",AND(MOVIMIENTOS!$B233="PROCESO",MOVIMIENTOS!$C233="Chancho"),AND(MOVIMIENTOS!$B233="REGALO",MOVIMIENTOS!$C233&lt;&gt;"Chancho"),AND(MOVIMIENTOS!$B233="VENTA",MOVIMIENTOS!$C233&lt;&gt;"Chancho"),AND(MOVIMIENTOS!$B233="AJUSTE",MOVIMIENTOS!$C233&lt;&gt;"Chancho",N(MOVIMIENTOS!$F233)&lt;0))),IF(MOVIMIENTOS!$B233="AJUSTE",-N(MOVIMIENTOS!$F233),N(MOVIMIENTOS!$F233)),"")</f>
        <v/>
      </c>
      <c r="O234" s="48" t="str">
        <f aca="false">IF(AND(MOVIMIENTOS!$B233&lt;&gt;"",NOT(AND(MOVIMIENTOS!$B233="PROCESO",MOVIMIENTOS!$C233&lt;&gt;"Chancho")),NOT(AND(MOVIMIENTOS!$B233="SALDO INICIAL",MOVIMIENTOS!$C233="Chancho"))),IF(MOVIMIENTOS!$B233="RECHAZO",MOVIMIENTOS!$E233&amp;" jabas rechazadas · van a reproceso",IF(MOVIMIENTOS!$B233="REPROCESO",MOVIMIENTOS!$E233&amp;" kg recuperados (merma del día: "&amp;TEXT(SUMPRODUCT((MOVIMIENTOS!$A$5:$A$400=MOVIMIENTOS!$A233)*(MOVIMIENTOS!$B$5:$B$400="RECHAZO")*(MOVIMIENTOS!$D$5:$D$400="jabas")*MOVIMIENTOS!$E$5:$E$400*IFERROR(_xlfn.SWITCH(MOVIMIENTOS!$C$5:$C$400,"A",15,"P",18,"C",17,"M",17,0),0))-SUMPRODUCT((MOVIMIENTOS!$A$5:$A$400=MOVIMIENTOS!$A233)*(MOVIMIENTOS!$B$5:$B$400="REPROCESO")*MOVIMIENTOS!$I$5:$I$400),"+#,##0;-#,##0;0")&amp;" kg)",TRIM(IF(MOVIMIENTOS!$G233&lt;&gt;"",MOVIMIENTOS!$G233&amp;"  ","")&amp;IF(N(MOVIMIENTOS!$D233)&gt;0,MOVIMIENTOS!$D233&amp;" "&amp;MOVIMIENTOS!$D233,"")))),"")</f>
        <v/>
      </c>
      <c r="P234" s="48" t="n">
        <f aca="false">N(P233)+N(M234)-N(N234)</f>
        <v>-290.5</v>
      </c>
      <c r="Q234" s="48"/>
      <c r="R234" s="48"/>
      <c r="S234" s="48"/>
      <c r="T234" s="48"/>
    </row>
    <row r="235" customFormat="false" ht="15" hidden="false" customHeight="true" outlineLevel="0" collapsed="false">
      <c r="A235" s="51" t="str">
        <f aca="false">IFERROR(INDEX(K$6:K$401,MATCH(ROW()-5,J$6:J$401,0)),"")</f>
        <v/>
      </c>
      <c r="B235" s="56" t="str">
        <f aca="false">IFERROR(INDEX(L$6:L$401,MATCH(ROW()-5,J$6:J$401,0)),"")</f>
        <v/>
      </c>
      <c r="C235" s="52" t="str">
        <f aca="false">IFERROR(INDEX(M$6:M$401,MATCH(ROW()-5,J$6:J$401,0)),"")</f>
        <v/>
      </c>
      <c r="D235" s="52" t="str">
        <f aca="false">IFERROR(INDEX(N$6:N$401,MATCH(ROW()-5,J$6:J$401,0)),"")</f>
        <v/>
      </c>
      <c r="E235" s="56" t="str">
        <f aca="false">IFERROR(INDEX(O$6:O$401,MATCH(ROW()-5,J$6:J$401,0)),"")</f>
        <v/>
      </c>
      <c r="F235" s="52" t="str">
        <f aca="false">IFERROR(INDEX(P$6:P$401,MATCH(ROW()-5,J$6:J$401,0)),"")</f>
        <v/>
      </c>
      <c r="G235" s="48"/>
      <c r="H235" s="48"/>
      <c r="I235" s="48"/>
      <c r="J235" s="48" t="str">
        <f aca="false">IF(AND(MOVIMIENTOS!$B234&lt;&gt;"",NOT(AND(MOVIMIENTOS!$B234="PROCESO",MOVIMIENTOS!$C234&lt;&gt;"Chancho")),NOT(AND(MOVIMIENTOS!$B234="SALDO INICIAL",MOVIMIENTOS!$C234="Chancho"))),COUNT(J$6:J234)+1,"")</f>
        <v/>
      </c>
      <c r="K235" s="48" t="str">
        <f aca="false">IF(AND(MOVIMIENTOS!$B234&lt;&gt;"",NOT(AND(MOVIMIENTOS!$B234="PROCESO",MOVIMIENTOS!$C234&lt;&gt;"Chancho")),NOT(AND(MOVIMIENTOS!$B234="SALDO INICIAL",MOVIMIENTOS!$C234="Chancho"))),MOVIMIENTOS!$A234,"")</f>
        <v/>
      </c>
      <c r="L235" s="48" t="str">
        <f aca="false">IF(AND(MOVIMIENTOS!$B234&lt;&gt;"",NOT(AND(MOVIMIENTOS!$B234="PROCESO",MOVIMIENTOS!$C234&lt;&gt;"Chancho")),NOT(AND(MOVIMIENTOS!$B234="SALDO INICIAL",MOVIMIENTOS!$C234="Chancho"))),IF(MOVIMIENTOS!$B234="SALDO INICIAL","APERTURA ("&amp;MOVIMIENTOS!$C234&amp;")",IF(MOVIMIENTOS!$B234="COMPRA","INGRESO (compra)",IF(MOVIMIENTOS!$B234="PROCESO","CHANCHO (proceso)",IF(MOVIMIENTOS!$B234="ENVÍO A SUPESA","ENVÍO cal. "&amp;MOVIMIENTOS!$C234,IF(MOVIMIENTOS!$B234="VENTA CHANCHO","VENTA CHANCHO",IF(MOVIMIENTOS!$B234="VENTA","VENTA cal. "&amp;MOVIMIENTOS!$C234,IF(MOVIMIENTOS!$B234="REGALO","REGALO "&amp;MOVIMIENTOS!$C234,IF(MOVIMIENTOS!$B234="RECHAZO","RECHAZO cal. "&amp;MOVIMIENTOS!$C234&amp;" (va a reproceso)",IF(MOVIMIENTOS!$B234="DEVOLUCIÓN","DEVOLUCIÓN cal. "&amp;MOVIMIENTOS!$C234&amp;" (regresa intacta)",IF(MOVIMIENTOS!$B234="TRASIEGO","TRASIEGO cal. "&amp;MOVIMIENTOS!$C234,MOVIMIENTOS!$B234)))))))))),"")</f>
        <v/>
      </c>
      <c r="M235" s="48" t="str">
        <f aca="false">IF(AND(AND(MOVIMIENTOS!$B234&lt;&gt;"",NOT(AND(MOVIMIENTOS!$B234="PROCESO",MOVIMIENTOS!$C234&lt;&gt;"Chancho")),NOT(AND(MOVIMIENTOS!$B234="SALDO INICIAL",MOVIMIENTOS!$C234="Chancho"))),OR(MOVIMIENTOS!$B234="SALDO INICIAL",MOVIMIENTOS!$B234="COMPRA",MOVIMIENTOS!$B234="REPROCESO",MOVIMIENTOS!$B234="DEVOLUCIÓN",AND(MOVIMIENTOS!$B234="AJUSTE",MOVIMIENTOS!$C234&lt;&gt;"Chancho",N(MOVIMIENTOS!$F234)&gt;=0))),N(MOVIMIENTOS!$F234),"")</f>
        <v/>
      </c>
      <c r="N235" s="48" t="str">
        <f aca="false">IF(AND(AND(MOVIMIENTOS!$B234&lt;&gt;"",NOT(AND(MOVIMIENTOS!$B234="PROCESO",MOVIMIENTOS!$C234&lt;&gt;"Chancho")),NOT(AND(MOVIMIENTOS!$B234="SALDO INICIAL",MOVIMIENTOS!$C234="Chancho"))),OR(MOVIMIENTOS!$B234="ENVÍO A SUPESA",MOVIMIENTOS!$B234="MALOGRADO",MOVIMIENTOS!$B234="OTRA SALIDA",MOVIMIENTOS!$B234="TRASIEGO",AND(MOVIMIENTOS!$B234="PROCESO",MOVIMIENTOS!$C234="Chancho"),AND(MOVIMIENTOS!$B234="REGALO",MOVIMIENTOS!$C234&lt;&gt;"Chancho"),AND(MOVIMIENTOS!$B234="VENTA",MOVIMIENTOS!$C234&lt;&gt;"Chancho"),AND(MOVIMIENTOS!$B234="AJUSTE",MOVIMIENTOS!$C234&lt;&gt;"Chancho",N(MOVIMIENTOS!$F234)&lt;0))),IF(MOVIMIENTOS!$B234="AJUSTE",-N(MOVIMIENTOS!$F234),N(MOVIMIENTOS!$F234)),"")</f>
        <v/>
      </c>
      <c r="O235" s="48" t="str">
        <f aca="false">IF(AND(MOVIMIENTOS!$B234&lt;&gt;"",NOT(AND(MOVIMIENTOS!$B234="PROCESO",MOVIMIENTOS!$C234&lt;&gt;"Chancho")),NOT(AND(MOVIMIENTOS!$B234="SALDO INICIAL",MOVIMIENTOS!$C234="Chancho"))),IF(MOVIMIENTOS!$B234="RECHAZO",MOVIMIENTOS!$E234&amp;" jabas rechazadas · van a reproceso",IF(MOVIMIENTOS!$B234="REPROCESO",MOVIMIENTOS!$E234&amp;" kg recuperados (merma del día: "&amp;TEXT(SUMPRODUCT((MOVIMIENTOS!$A$5:$A$400=MOVIMIENTOS!$A234)*(MOVIMIENTOS!$B$5:$B$400="RECHAZO")*(MOVIMIENTOS!$D$5:$D$400="jabas")*MOVIMIENTOS!$E$5:$E$400*IFERROR(_xlfn.SWITCH(MOVIMIENTOS!$C$5:$C$400,"A",15,"P",18,"C",17,"M",17,0),0))-SUMPRODUCT((MOVIMIENTOS!$A$5:$A$400=MOVIMIENTOS!$A234)*(MOVIMIENTOS!$B$5:$B$400="REPROCESO")*MOVIMIENTOS!$I$5:$I$400),"+#,##0;-#,##0;0")&amp;" kg)",TRIM(IF(MOVIMIENTOS!$G234&lt;&gt;"",MOVIMIENTOS!$G234&amp;"  ","")&amp;IF(N(MOVIMIENTOS!$D234)&gt;0,MOVIMIENTOS!$D234&amp;" "&amp;MOVIMIENTOS!$D234,"")))),"")</f>
        <v/>
      </c>
      <c r="P235" s="48" t="n">
        <f aca="false">N(P234)+N(M235)-N(N235)</f>
        <v>-290.5</v>
      </c>
      <c r="Q235" s="48"/>
      <c r="R235" s="48"/>
      <c r="S235" s="48"/>
      <c r="T235" s="48"/>
    </row>
    <row r="236" customFormat="false" ht="15" hidden="false" customHeight="true" outlineLevel="0" collapsed="false">
      <c r="A236" s="51" t="str">
        <f aca="false">IFERROR(INDEX(K$6:K$401,MATCH(ROW()-5,J$6:J$401,0)),"")</f>
        <v/>
      </c>
      <c r="B236" s="56" t="str">
        <f aca="false">IFERROR(INDEX(L$6:L$401,MATCH(ROW()-5,J$6:J$401,0)),"")</f>
        <v/>
      </c>
      <c r="C236" s="52" t="str">
        <f aca="false">IFERROR(INDEX(M$6:M$401,MATCH(ROW()-5,J$6:J$401,0)),"")</f>
        <v/>
      </c>
      <c r="D236" s="52" t="str">
        <f aca="false">IFERROR(INDEX(N$6:N$401,MATCH(ROW()-5,J$6:J$401,0)),"")</f>
        <v/>
      </c>
      <c r="E236" s="56" t="str">
        <f aca="false">IFERROR(INDEX(O$6:O$401,MATCH(ROW()-5,J$6:J$401,0)),"")</f>
        <v/>
      </c>
      <c r="F236" s="52" t="str">
        <f aca="false">IFERROR(INDEX(P$6:P$401,MATCH(ROW()-5,J$6:J$401,0)),"")</f>
        <v/>
      </c>
      <c r="G236" s="48"/>
      <c r="H236" s="48"/>
      <c r="I236" s="48"/>
      <c r="J236" s="48" t="str">
        <f aca="false">IF(AND(MOVIMIENTOS!$B235&lt;&gt;"",NOT(AND(MOVIMIENTOS!$B235="PROCESO",MOVIMIENTOS!$C235&lt;&gt;"Chancho")),NOT(AND(MOVIMIENTOS!$B235="SALDO INICIAL",MOVIMIENTOS!$C235="Chancho"))),COUNT(J$6:J235)+1,"")</f>
        <v/>
      </c>
      <c r="K236" s="48" t="str">
        <f aca="false">IF(AND(MOVIMIENTOS!$B235&lt;&gt;"",NOT(AND(MOVIMIENTOS!$B235="PROCESO",MOVIMIENTOS!$C235&lt;&gt;"Chancho")),NOT(AND(MOVIMIENTOS!$B235="SALDO INICIAL",MOVIMIENTOS!$C235="Chancho"))),MOVIMIENTOS!$A235,"")</f>
        <v/>
      </c>
      <c r="L236" s="48" t="str">
        <f aca="false">IF(AND(MOVIMIENTOS!$B235&lt;&gt;"",NOT(AND(MOVIMIENTOS!$B235="PROCESO",MOVIMIENTOS!$C235&lt;&gt;"Chancho")),NOT(AND(MOVIMIENTOS!$B235="SALDO INICIAL",MOVIMIENTOS!$C235="Chancho"))),IF(MOVIMIENTOS!$B235="SALDO INICIAL","APERTURA ("&amp;MOVIMIENTOS!$C235&amp;")",IF(MOVIMIENTOS!$B235="COMPRA","INGRESO (compra)",IF(MOVIMIENTOS!$B235="PROCESO","CHANCHO (proceso)",IF(MOVIMIENTOS!$B235="ENVÍO A SUPESA","ENVÍO cal. "&amp;MOVIMIENTOS!$C235,IF(MOVIMIENTOS!$B235="VENTA CHANCHO","VENTA CHANCHO",IF(MOVIMIENTOS!$B235="VENTA","VENTA cal. "&amp;MOVIMIENTOS!$C235,IF(MOVIMIENTOS!$B235="REGALO","REGALO "&amp;MOVIMIENTOS!$C235,IF(MOVIMIENTOS!$B235="RECHAZO","RECHAZO cal. "&amp;MOVIMIENTOS!$C235&amp;" (va a reproceso)",IF(MOVIMIENTOS!$B235="DEVOLUCIÓN","DEVOLUCIÓN cal. "&amp;MOVIMIENTOS!$C235&amp;" (regresa intacta)",IF(MOVIMIENTOS!$B235="TRASIEGO","TRASIEGO cal. "&amp;MOVIMIENTOS!$C235,MOVIMIENTOS!$B235)))))))))),"")</f>
        <v/>
      </c>
      <c r="M236" s="48" t="str">
        <f aca="false">IF(AND(AND(MOVIMIENTOS!$B235&lt;&gt;"",NOT(AND(MOVIMIENTOS!$B235="PROCESO",MOVIMIENTOS!$C235&lt;&gt;"Chancho")),NOT(AND(MOVIMIENTOS!$B235="SALDO INICIAL",MOVIMIENTOS!$C235="Chancho"))),OR(MOVIMIENTOS!$B235="SALDO INICIAL",MOVIMIENTOS!$B235="COMPRA",MOVIMIENTOS!$B235="REPROCESO",MOVIMIENTOS!$B235="DEVOLUCIÓN",AND(MOVIMIENTOS!$B235="AJUSTE",MOVIMIENTOS!$C235&lt;&gt;"Chancho",N(MOVIMIENTOS!$F235)&gt;=0))),N(MOVIMIENTOS!$F235),"")</f>
        <v/>
      </c>
      <c r="N236" s="48" t="str">
        <f aca="false">IF(AND(AND(MOVIMIENTOS!$B235&lt;&gt;"",NOT(AND(MOVIMIENTOS!$B235="PROCESO",MOVIMIENTOS!$C235&lt;&gt;"Chancho")),NOT(AND(MOVIMIENTOS!$B235="SALDO INICIAL",MOVIMIENTOS!$C235="Chancho"))),OR(MOVIMIENTOS!$B235="ENVÍO A SUPESA",MOVIMIENTOS!$B235="MALOGRADO",MOVIMIENTOS!$B235="OTRA SALIDA",MOVIMIENTOS!$B235="TRASIEGO",AND(MOVIMIENTOS!$B235="PROCESO",MOVIMIENTOS!$C235="Chancho"),AND(MOVIMIENTOS!$B235="REGALO",MOVIMIENTOS!$C235&lt;&gt;"Chancho"),AND(MOVIMIENTOS!$B235="VENTA",MOVIMIENTOS!$C235&lt;&gt;"Chancho"),AND(MOVIMIENTOS!$B235="AJUSTE",MOVIMIENTOS!$C235&lt;&gt;"Chancho",N(MOVIMIENTOS!$F235)&lt;0))),IF(MOVIMIENTOS!$B235="AJUSTE",-N(MOVIMIENTOS!$F235),N(MOVIMIENTOS!$F235)),"")</f>
        <v/>
      </c>
      <c r="O236" s="48" t="str">
        <f aca="false">IF(AND(MOVIMIENTOS!$B235&lt;&gt;"",NOT(AND(MOVIMIENTOS!$B235="PROCESO",MOVIMIENTOS!$C235&lt;&gt;"Chancho")),NOT(AND(MOVIMIENTOS!$B235="SALDO INICIAL",MOVIMIENTOS!$C235="Chancho"))),IF(MOVIMIENTOS!$B235="RECHAZO",MOVIMIENTOS!$E235&amp;" jabas rechazadas · van a reproceso",IF(MOVIMIENTOS!$B235="REPROCESO",MOVIMIENTOS!$E235&amp;" kg recuperados (merma del día: "&amp;TEXT(SUMPRODUCT((MOVIMIENTOS!$A$5:$A$400=MOVIMIENTOS!$A235)*(MOVIMIENTOS!$B$5:$B$400="RECHAZO")*(MOVIMIENTOS!$D$5:$D$400="jabas")*MOVIMIENTOS!$E$5:$E$400*IFERROR(_xlfn.SWITCH(MOVIMIENTOS!$C$5:$C$400,"A",15,"P",18,"C",17,"M",17,0),0))-SUMPRODUCT((MOVIMIENTOS!$A$5:$A$400=MOVIMIENTOS!$A235)*(MOVIMIENTOS!$B$5:$B$400="REPROCESO")*MOVIMIENTOS!$I$5:$I$400),"+#,##0;-#,##0;0")&amp;" kg)",TRIM(IF(MOVIMIENTOS!$G235&lt;&gt;"",MOVIMIENTOS!$G235&amp;"  ","")&amp;IF(N(MOVIMIENTOS!$D235)&gt;0,MOVIMIENTOS!$D235&amp;" "&amp;MOVIMIENTOS!$D235,"")))),"")</f>
        <v/>
      </c>
      <c r="P236" s="48" t="n">
        <f aca="false">N(P235)+N(M236)-N(N236)</f>
        <v>-290.5</v>
      </c>
      <c r="Q236" s="48"/>
      <c r="R236" s="48"/>
      <c r="S236" s="48"/>
      <c r="T236" s="48"/>
    </row>
    <row r="237" customFormat="false" ht="15" hidden="false" customHeight="true" outlineLevel="0" collapsed="false">
      <c r="A237" s="51" t="str">
        <f aca="false">IFERROR(INDEX(K$6:K$401,MATCH(ROW()-5,J$6:J$401,0)),"")</f>
        <v/>
      </c>
      <c r="B237" s="56" t="str">
        <f aca="false">IFERROR(INDEX(L$6:L$401,MATCH(ROW()-5,J$6:J$401,0)),"")</f>
        <v/>
      </c>
      <c r="C237" s="52" t="str">
        <f aca="false">IFERROR(INDEX(M$6:M$401,MATCH(ROW()-5,J$6:J$401,0)),"")</f>
        <v/>
      </c>
      <c r="D237" s="52" t="str">
        <f aca="false">IFERROR(INDEX(N$6:N$401,MATCH(ROW()-5,J$6:J$401,0)),"")</f>
        <v/>
      </c>
      <c r="E237" s="56" t="str">
        <f aca="false">IFERROR(INDEX(O$6:O$401,MATCH(ROW()-5,J$6:J$401,0)),"")</f>
        <v/>
      </c>
      <c r="F237" s="52" t="str">
        <f aca="false">IFERROR(INDEX(P$6:P$401,MATCH(ROW()-5,J$6:J$401,0)),"")</f>
        <v/>
      </c>
      <c r="G237" s="48"/>
      <c r="H237" s="48"/>
      <c r="I237" s="48"/>
      <c r="J237" s="48" t="str">
        <f aca="false">IF(AND(MOVIMIENTOS!$B236&lt;&gt;"",NOT(AND(MOVIMIENTOS!$B236="PROCESO",MOVIMIENTOS!$C236&lt;&gt;"Chancho")),NOT(AND(MOVIMIENTOS!$B236="SALDO INICIAL",MOVIMIENTOS!$C236="Chancho"))),COUNT(J$6:J236)+1,"")</f>
        <v/>
      </c>
      <c r="K237" s="48" t="str">
        <f aca="false">IF(AND(MOVIMIENTOS!$B236&lt;&gt;"",NOT(AND(MOVIMIENTOS!$B236="PROCESO",MOVIMIENTOS!$C236&lt;&gt;"Chancho")),NOT(AND(MOVIMIENTOS!$B236="SALDO INICIAL",MOVIMIENTOS!$C236="Chancho"))),MOVIMIENTOS!$A236,"")</f>
        <v/>
      </c>
      <c r="L237" s="48" t="str">
        <f aca="false">IF(AND(MOVIMIENTOS!$B236&lt;&gt;"",NOT(AND(MOVIMIENTOS!$B236="PROCESO",MOVIMIENTOS!$C236&lt;&gt;"Chancho")),NOT(AND(MOVIMIENTOS!$B236="SALDO INICIAL",MOVIMIENTOS!$C236="Chancho"))),IF(MOVIMIENTOS!$B236="SALDO INICIAL","APERTURA ("&amp;MOVIMIENTOS!$C236&amp;")",IF(MOVIMIENTOS!$B236="COMPRA","INGRESO (compra)",IF(MOVIMIENTOS!$B236="PROCESO","CHANCHO (proceso)",IF(MOVIMIENTOS!$B236="ENVÍO A SUPESA","ENVÍO cal. "&amp;MOVIMIENTOS!$C236,IF(MOVIMIENTOS!$B236="VENTA CHANCHO","VENTA CHANCHO",IF(MOVIMIENTOS!$B236="VENTA","VENTA cal. "&amp;MOVIMIENTOS!$C236,IF(MOVIMIENTOS!$B236="REGALO","REGALO "&amp;MOVIMIENTOS!$C236,IF(MOVIMIENTOS!$B236="RECHAZO","RECHAZO cal. "&amp;MOVIMIENTOS!$C236&amp;" (va a reproceso)",IF(MOVIMIENTOS!$B236="DEVOLUCIÓN","DEVOLUCIÓN cal. "&amp;MOVIMIENTOS!$C236&amp;" (regresa intacta)",IF(MOVIMIENTOS!$B236="TRASIEGO","TRASIEGO cal. "&amp;MOVIMIENTOS!$C236,MOVIMIENTOS!$B236)))))))))),"")</f>
        <v/>
      </c>
      <c r="M237" s="48" t="str">
        <f aca="false">IF(AND(AND(MOVIMIENTOS!$B236&lt;&gt;"",NOT(AND(MOVIMIENTOS!$B236="PROCESO",MOVIMIENTOS!$C236&lt;&gt;"Chancho")),NOT(AND(MOVIMIENTOS!$B236="SALDO INICIAL",MOVIMIENTOS!$C236="Chancho"))),OR(MOVIMIENTOS!$B236="SALDO INICIAL",MOVIMIENTOS!$B236="COMPRA",MOVIMIENTOS!$B236="REPROCESO",MOVIMIENTOS!$B236="DEVOLUCIÓN",AND(MOVIMIENTOS!$B236="AJUSTE",MOVIMIENTOS!$C236&lt;&gt;"Chancho",N(MOVIMIENTOS!$F236)&gt;=0))),N(MOVIMIENTOS!$F236),"")</f>
        <v/>
      </c>
      <c r="N237" s="48" t="str">
        <f aca="false">IF(AND(AND(MOVIMIENTOS!$B236&lt;&gt;"",NOT(AND(MOVIMIENTOS!$B236="PROCESO",MOVIMIENTOS!$C236&lt;&gt;"Chancho")),NOT(AND(MOVIMIENTOS!$B236="SALDO INICIAL",MOVIMIENTOS!$C236="Chancho"))),OR(MOVIMIENTOS!$B236="ENVÍO A SUPESA",MOVIMIENTOS!$B236="MALOGRADO",MOVIMIENTOS!$B236="OTRA SALIDA",MOVIMIENTOS!$B236="TRASIEGO",AND(MOVIMIENTOS!$B236="PROCESO",MOVIMIENTOS!$C236="Chancho"),AND(MOVIMIENTOS!$B236="REGALO",MOVIMIENTOS!$C236&lt;&gt;"Chancho"),AND(MOVIMIENTOS!$B236="VENTA",MOVIMIENTOS!$C236&lt;&gt;"Chancho"),AND(MOVIMIENTOS!$B236="AJUSTE",MOVIMIENTOS!$C236&lt;&gt;"Chancho",N(MOVIMIENTOS!$F236)&lt;0))),IF(MOVIMIENTOS!$B236="AJUSTE",-N(MOVIMIENTOS!$F236),N(MOVIMIENTOS!$F236)),"")</f>
        <v/>
      </c>
      <c r="O237" s="48" t="str">
        <f aca="false">IF(AND(MOVIMIENTOS!$B236&lt;&gt;"",NOT(AND(MOVIMIENTOS!$B236="PROCESO",MOVIMIENTOS!$C236&lt;&gt;"Chancho")),NOT(AND(MOVIMIENTOS!$B236="SALDO INICIAL",MOVIMIENTOS!$C236="Chancho"))),IF(MOVIMIENTOS!$B236="RECHAZO",MOVIMIENTOS!$E236&amp;" jabas rechazadas · van a reproceso",IF(MOVIMIENTOS!$B236="REPROCESO",MOVIMIENTOS!$E236&amp;" kg recuperados (merma del día: "&amp;TEXT(SUMPRODUCT((MOVIMIENTOS!$A$5:$A$400=MOVIMIENTOS!$A236)*(MOVIMIENTOS!$B$5:$B$400="RECHAZO")*(MOVIMIENTOS!$D$5:$D$400="jabas")*MOVIMIENTOS!$E$5:$E$400*IFERROR(_xlfn.SWITCH(MOVIMIENTOS!$C$5:$C$400,"A",15,"P",18,"C",17,"M",17,0),0))-SUMPRODUCT((MOVIMIENTOS!$A$5:$A$400=MOVIMIENTOS!$A236)*(MOVIMIENTOS!$B$5:$B$400="REPROCESO")*MOVIMIENTOS!$I$5:$I$400),"+#,##0;-#,##0;0")&amp;" kg)",TRIM(IF(MOVIMIENTOS!$G236&lt;&gt;"",MOVIMIENTOS!$G236&amp;"  ","")&amp;IF(N(MOVIMIENTOS!$D236)&gt;0,MOVIMIENTOS!$D236&amp;" "&amp;MOVIMIENTOS!$D236,"")))),"")</f>
        <v/>
      </c>
      <c r="P237" s="48" t="n">
        <f aca="false">N(P236)+N(M237)-N(N237)</f>
        <v>-290.5</v>
      </c>
      <c r="Q237" s="48"/>
      <c r="R237" s="48"/>
      <c r="S237" s="48"/>
      <c r="T237" s="48"/>
    </row>
    <row r="238" customFormat="false" ht="15" hidden="false" customHeight="true" outlineLevel="0" collapsed="false">
      <c r="A238" s="51" t="str">
        <f aca="false">IFERROR(INDEX(K$6:K$401,MATCH(ROW()-5,J$6:J$401,0)),"")</f>
        <v/>
      </c>
      <c r="B238" s="56" t="str">
        <f aca="false">IFERROR(INDEX(L$6:L$401,MATCH(ROW()-5,J$6:J$401,0)),"")</f>
        <v/>
      </c>
      <c r="C238" s="52" t="str">
        <f aca="false">IFERROR(INDEX(M$6:M$401,MATCH(ROW()-5,J$6:J$401,0)),"")</f>
        <v/>
      </c>
      <c r="D238" s="52" t="str">
        <f aca="false">IFERROR(INDEX(N$6:N$401,MATCH(ROW()-5,J$6:J$401,0)),"")</f>
        <v/>
      </c>
      <c r="E238" s="56" t="str">
        <f aca="false">IFERROR(INDEX(O$6:O$401,MATCH(ROW()-5,J$6:J$401,0)),"")</f>
        <v/>
      </c>
      <c r="F238" s="52" t="str">
        <f aca="false">IFERROR(INDEX(P$6:P$401,MATCH(ROW()-5,J$6:J$401,0)),"")</f>
        <v/>
      </c>
      <c r="G238" s="48"/>
      <c r="H238" s="48"/>
      <c r="I238" s="48"/>
      <c r="J238" s="48" t="str">
        <f aca="false">IF(AND(MOVIMIENTOS!$B237&lt;&gt;"",NOT(AND(MOVIMIENTOS!$B237="PROCESO",MOVIMIENTOS!$C237&lt;&gt;"Chancho")),NOT(AND(MOVIMIENTOS!$B237="SALDO INICIAL",MOVIMIENTOS!$C237="Chancho"))),COUNT(J$6:J237)+1,"")</f>
        <v/>
      </c>
      <c r="K238" s="48" t="str">
        <f aca="false">IF(AND(MOVIMIENTOS!$B237&lt;&gt;"",NOT(AND(MOVIMIENTOS!$B237="PROCESO",MOVIMIENTOS!$C237&lt;&gt;"Chancho")),NOT(AND(MOVIMIENTOS!$B237="SALDO INICIAL",MOVIMIENTOS!$C237="Chancho"))),MOVIMIENTOS!$A237,"")</f>
        <v/>
      </c>
      <c r="L238" s="48" t="str">
        <f aca="false">IF(AND(MOVIMIENTOS!$B237&lt;&gt;"",NOT(AND(MOVIMIENTOS!$B237="PROCESO",MOVIMIENTOS!$C237&lt;&gt;"Chancho")),NOT(AND(MOVIMIENTOS!$B237="SALDO INICIAL",MOVIMIENTOS!$C237="Chancho"))),IF(MOVIMIENTOS!$B237="SALDO INICIAL","APERTURA ("&amp;MOVIMIENTOS!$C237&amp;")",IF(MOVIMIENTOS!$B237="COMPRA","INGRESO (compra)",IF(MOVIMIENTOS!$B237="PROCESO","CHANCHO (proceso)",IF(MOVIMIENTOS!$B237="ENVÍO A SUPESA","ENVÍO cal. "&amp;MOVIMIENTOS!$C237,IF(MOVIMIENTOS!$B237="VENTA CHANCHO","VENTA CHANCHO",IF(MOVIMIENTOS!$B237="VENTA","VENTA cal. "&amp;MOVIMIENTOS!$C237,IF(MOVIMIENTOS!$B237="REGALO","REGALO "&amp;MOVIMIENTOS!$C237,IF(MOVIMIENTOS!$B237="RECHAZO","RECHAZO cal. "&amp;MOVIMIENTOS!$C237&amp;" (va a reproceso)",IF(MOVIMIENTOS!$B237="DEVOLUCIÓN","DEVOLUCIÓN cal. "&amp;MOVIMIENTOS!$C237&amp;" (regresa intacta)",IF(MOVIMIENTOS!$B237="TRASIEGO","TRASIEGO cal. "&amp;MOVIMIENTOS!$C237,MOVIMIENTOS!$B237)))))))))),"")</f>
        <v/>
      </c>
      <c r="M238" s="48" t="str">
        <f aca="false">IF(AND(AND(MOVIMIENTOS!$B237&lt;&gt;"",NOT(AND(MOVIMIENTOS!$B237="PROCESO",MOVIMIENTOS!$C237&lt;&gt;"Chancho")),NOT(AND(MOVIMIENTOS!$B237="SALDO INICIAL",MOVIMIENTOS!$C237="Chancho"))),OR(MOVIMIENTOS!$B237="SALDO INICIAL",MOVIMIENTOS!$B237="COMPRA",MOVIMIENTOS!$B237="REPROCESO",MOVIMIENTOS!$B237="DEVOLUCIÓN",AND(MOVIMIENTOS!$B237="AJUSTE",MOVIMIENTOS!$C237&lt;&gt;"Chancho",N(MOVIMIENTOS!$F237)&gt;=0))),N(MOVIMIENTOS!$F237),"")</f>
        <v/>
      </c>
      <c r="N238" s="48" t="str">
        <f aca="false">IF(AND(AND(MOVIMIENTOS!$B237&lt;&gt;"",NOT(AND(MOVIMIENTOS!$B237="PROCESO",MOVIMIENTOS!$C237&lt;&gt;"Chancho")),NOT(AND(MOVIMIENTOS!$B237="SALDO INICIAL",MOVIMIENTOS!$C237="Chancho"))),OR(MOVIMIENTOS!$B237="ENVÍO A SUPESA",MOVIMIENTOS!$B237="MALOGRADO",MOVIMIENTOS!$B237="OTRA SALIDA",MOVIMIENTOS!$B237="TRASIEGO",AND(MOVIMIENTOS!$B237="PROCESO",MOVIMIENTOS!$C237="Chancho"),AND(MOVIMIENTOS!$B237="REGALO",MOVIMIENTOS!$C237&lt;&gt;"Chancho"),AND(MOVIMIENTOS!$B237="VENTA",MOVIMIENTOS!$C237&lt;&gt;"Chancho"),AND(MOVIMIENTOS!$B237="AJUSTE",MOVIMIENTOS!$C237&lt;&gt;"Chancho",N(MOVIMIENTOS!$F237)&lt;0))),IF(MOVIMIENTOS!$B237="AJUSTE",-N(MOVIMIENTOS!$F237),N(MOVIMIENTOS!$F237)),"")</f>
        <v/>
      </c>
      <c r="O238" s="48" t="str">
        <f aca="false">IF(AND(MOVIMIENTOS!$B237&lt;&gt;"",NOT(AND(MOVIMIENTOS!$B237="PROCESO",MOVIMIENTOS!$C237&lt;&gt;"Chancho")),NOT(AND(MOVIMIENTOS!$B237="SALDO INICIAL",MOVIMIENTOS!$C237="Chancho"))),IF(MOVIMIENTOS!$B237="RECHAZO",MOVIMIENTOS!$E237&amp;" jabas rechazadas · van a reproceso",IF(MOVIMIENTOS!$B237="REPROCESO",MOVIMIENTOS!$E237&amp;" kg recuperados (merma del día: "&amp;TEXT(SUMPRODUCT((MOVIMIENTOS!$A$5:$A$400=MOVIMIENTOS!$A237)*(MOVIMIENTOS!$B$5:$B$400="RECHAZO")*(MOVIMIENTOS!$D$5:$D$400="jabas")*MOVIMIENTOS!$E$5:$E$400*IFERROR(_xlfn.SWITCH(MOVIMIENTOS!$C$5:$C$400,"A",15,"P",18,"C",17,"M",17,0),0))-SUMPRODUCT((MOVIMIENTOS!$A$5:$A$400=MOVIMIENTOS!$A237)*(MOVIMIENTOS!$B$5:$B$400="REPROCESO")*MOVIMIENTOS!$I$5:$I$400),"+#,##0;-#,##0;0")&amp;" kg)",TRIM(IF(MOVIMIENTOS!$G237&lt;&gt;"",MOVIMIENTOS!$G237&amp;"  ","")&amp;IF(N(MOVIMIENTOS!$D237)&gt;0,MOVIMIENTOS!$D237&amp;" "&amp;MOVIMIENTOS!$D237,"")))),"")</f>
        <v/>
      </c>
      <c r="P238" s="48" t="n">
        <f aca="false">N(P237)+N(M238)-N(N238)</f>
        <v>-290.5</v>
      </c>
      <c r="Q238" s="48"/>
      <c r="R238" s="48"/>
      <c r="S238" s="48"/>
      <c r="T238" s="48"/>
    </row>
    <row r="239" customFormat="false" ht="15" hidden="false" customHeight="true" outlineLevel="0" collapsed="false">
      <c r="A239" s="51" t="str">
        <f aca="false">IFERROR(INDEX(K$6:K$401,MATCH(ROW()-5,J$6:J$401,0)),"")</f>
        <v/>
      </c>
      <c r="B239" s="56" t="str">
        <f aca="false">IFERROR(INDEX(L$6:L$401,MATCH(ROW()-5,J$6:J$401,0)),"")</f>
        <v/>
      </c>
      <c r="C239" s="52" t="str">
        <f aca="false">IFERROR(INDEX(M$6:M$401,MATCH(ROW()-5,J$6:J$401,0)),"")</f>
        <v/>
      </c>
      <c r="D239" s="52" t="str">
        <f aca="false">IFERROR(INDEX(N$6:N$401,MATCH(ROW()-5,J$6:J$401,0)),"")</f>
        <v/>
      </c>
      <c r="E239" s="56" t="str">
        <f aca="false">IFERROR(INDEX(O$6:O$401,MATCH(ROW()-5,J$6:J$401,0)),"")</f>
        <v/>
      </c>
      <c r="F239" s="52" t="str">
        <f aca="false">IFERROR(INDEX(P$6:P$401,MATCH(ROW()-5,J$6:J$401,0)),"")</f>
        <v/>
      </c>
      <c r="G239" s="48"/>
      <c r="H239" s="48"/>
      <c r="I239" s="48"/>
      <c r="J239" s="48" t="str">
        <f aca="false">IF(AND(MOVIMIENTOS!$B238&lt;&gt;"",NOT(AND(MOVIMIENTOS!$B238="PROCESO",MOVIMIENTOS!$C238&lt;&gt;"Chancho")),NOT(AND(MOVIMIENTOS!$B238="SALDO INICIAL",MOVIMIENTOS!$C238="Chancho"))),COUNT(J$6:J238)+1,"")</f>
        <v/>
      </c>
      <c r="K239" s="48" t="str">
        <f aca="false">IF(AND(MOVIMIENTOS!$B238&lt;&gt;"",NOT(AND(MOVIMIENTOS!$B238="PROCESO",MOVIMIENTOS!$C238&lt;&gt;"Chancho")),NOT(AND(MOVIMIENTOS!$B238="SALDO INICIAL",MOVIMIENTOS!$C238="Chancho"))),MOVIMIENTOS!$A238,"")</f>
        <v/>
      </c>
      <c r="L239" s="48" t="str">
        <f aca="false">IF(AND(MOVIMIENTOS!$B238&lt;&gt;"",NOT(AND(MOVIMIENTOS!$B238="PROCESO",MOVIMIENTOS!$C238&lt;&gt;"Chancho")),NOT(AND(MOVIMIENTOS!$B238="SALDO INICIAL",MOVIMIENTOS!$C238="Chancho"))),IF(MOVIMIENTOS!$B238="SALDO INICIAL","APERTURA ("&amp;MOVIMIENTOS!$C238&amp;")",IF(MOVIMIENTOS!$B238="COMPRA","INGRESO (compra)",IF(MOVIMIENTOS!$B238="PROCESO","CHANCHO (proceso)",IF(MOVIMIENTOS!$B238="ENVÍO A SUPESA","ENVÍO cal. "&amp;MOVIMIENTOS!$C238,IF(MOVIMIENTOS!$B238="VENTA CHANCHO","VENTA CHANCHO",IF(MOVIMIENTOS!$B238="VENTA","VENTA cal. "&amp;MOVIMIENTOS!$C238,IF(MOVIMIENTOS!$B238="REGALO","REGALO "&amp;MOVIMIENTOS!$C238,IF(MOVIMIENTOS!$B238="RECHAZO","RECHAZO cal. "&amp;MOVIMIENTOS!$C238&amp;" (va a reproceso)",IF(MOVIMIENTOS!$B238="DEVOLUCIÓN","DEVOLUCIÓN cal. "&amp;MOVIMIENTOS!$C238&amp;" (regresa intacta)",IF(MOVIMIENTOS!$B238="TRASIEGO","TRASIEGO cal. "&amp;MOVIMIENTOS!$C238,MOVIMIENTOS!$B238)))))))))),"")</f>
        <v/>
      </c>
      <c r="M239" s="48" t="str">
        <f aca="false">IF(AND(AND(MOVIMIENTOS!$B238&lt;&gt;"",NOT(AND(MOVIMIENTOS!$B238="PROCESO",MOVIMIENTOS!$C238&lt;&gt;"Chancho")),NOT(AND(MOVIMIENTOS!$B238="SALDO INICIAL",MOVIMIENTOS!$C238="Chancho"))),OR(MOVIMIENTOS!$B238="SALDO INICIAL",MOVIMIENTOS!$B238="COMPRA",MOVIMIENTOS!$B238="REPROCESO",MOVIMIENTOS!$B238="DEVOLUCIÓN",AND(MOVIMIENTOS!$B238="AJUSTE",MOVIMIENTOS!$C238&lt;&gt;"Chancho",N(MOVIMIENTOS!$F238)&gt;=0))),N(MOVIMIENTOS!$F238),"")</f>
        <v/>
      </c>
      <c r="N239" s="48" t="str">
        <f aca="false">IF(AND(AND(MOVIMIENTOS!$B238&lt;&gt;"",NOT(AND(MOVIMIENTOS!$B238="PROCESO",MOVIMIENTOS!$C238&lt;&gt;"Chancho")),NOT(AND(MOVIMIENTOS!$B238="SALDO INICIAL",MOVIMIENTOS!$C238="Chancho"))),OR(MOVIMIENTOS!$B238="ENVÍO A SUPESA",MOVIMIENTOS!$B238="MALOGRADO",MOVIMIENTOS!$B238="OTRA SALIDA",MOVIMIENTOS!$B238="TRASIEGO",AND(MOVIMIENTOS!$B238="PROCESO",MOVIMIENTOS!$C238="Chancho"),AND(MOVIMIENTOS!$B238="REGALO",MOVIMIENTOS!$C238&lt;&gt;"Chancho"),AND(MOVIMIENTOS!$B238="VENTA",MOVIMIENTOS!$C238&lt;&gt;"Chancho"),AND(MOVIMIENTOS!$B238="AJUSTE",MOVIMIENTOS!$C238&lt;&gt;"Chancho",N(MOVIMIENTOS!$F238)&lt;0))),IF(MOVIMIENTOS!$B238="AJUSTE",-N(MOVIMIENTOS!$F238),N(MOVIMIENTOS!$F238)),"")</f>
        <v/>
      </c>
      <c r="O239" s="48" t="str">
        <f aca="false">IF(AND(MOVIMIENTOS!$B238&lt;&gt;"",NOT(AND(MOVIMIENTOS!$B238="PROCESO",MOVIMIENTOS!$C238&lt;&gt;"Chancho")),NOT(AND(MOVIMIENTOS!$B238="SALDO INICIAL",MOVIMIENTOS!$C238="Chancho"))),IF(MOVIMIENTOS!$B238="RECHAZO",MOVIMIENTOS!$E238&amp;" jabas rechazadas · van a reproceso",IF(MOVIMIENTOS!$B238="REPROCESO",MOVIMIENTOS!$E238&amp;" kg recuperados (merma del día: "&amp;TEXT(SUMPRODUCT((MOVIMIENTOS!$A$5:$A$400=MOVIMIENTOS!$A238)*(MOVIMIENTOS!$B$5:$B$400="RECHAZO")*(MOVIMIENTOS!$D$5:$D$400="jabas")*MOVIMIENTOS!$E$5:$E$400*IFERROR(_xlfn.SWITCH(MOVIMIENTOS!$C$5:$C$400,"A",15,"P",18,"C",17,"M",17,0),0))-SUMPRODUCT((MOVIMIENTOS!$A$5:$A$400=MOVIMIENTOS!$A238)*(MOVIMIENTOS!$B$5:$B$400="REPROCESO")*MOVIMIENTOS!$I$5:$I$400),"+#,##0;-#,##0;0")&amp;" kg)",TRIM(IF(MOVIMIENTOS!$G238&lt;&gt;"",MOVIMIENTOS!$G238&amp;"  ","")&amp;IF(N(MOVIMIENTOS!$D238)&gt;0,MOVIMIENTOS!$D238&amp;" "&amp;MOVIMIENTOS!$D238,"")))),"")</f>
        <v/>
      </c>
      <c r="P239" s="48" t="n">
        <f aca="false">N(P238)+N(M239)-N(N239)</f>
        <v>-290.5</v>
      </c>
      <c r="Q239" s="48"/>
      <c r="R239" s="48"/>
      <c r="S239" s="48"/>
      <c r="T239" s="48"/>
    </row>
    <row r="240" customFormat="false" ht="15" hidden="false" customHeight="true" outlineLevel="0" collapsed="false">
      <c r="A240" s="51" t="str">
        <f aca="false">IFERROR(INDEX(K$6:K$401,MATCH(ROW()-5,J$6:J$401,0)),"")</f>
        <v/>
      </c>
      <c r="B240" s="56" t="str">
        <f aca="false">IFERROR(INDEX(L$6:L$401,MATCH(ROW()-5,J$6:J$401,0)),"")</f>
        <v/>
      </c>
      <c r="C240" s="52" t="str">
        <f aca="false">IFERROR(INDEX(M$6:M$401,MATCH(ROW()-5,J$6:J$401,0)),"")</f>
        <v/>
      </c>
      <c r="D240" s="52" t="str">
        <f aca="false">IFERROR(INDEX(N$6:N$401,MATCH(ROW()-5,J$6:J$401,0)),"")</f>
        <v/>
      </c>
      <c r="E240" s="56" t="str">
        <f aca="false">IFERROR(INDEX(O$6:O$401,MATCH(ROW()-5,J$6:J$401,0)),"")</f>
        <v/>
      </c>
      <c r="F240" s="52" t="str">
        <f aca="false">IFERROR(INDEX(P$6:P$401,MATCH(ROW()-5,J$6:J$401,0)),"")</f>
        <v/>
      </c>
      <c r="G240" s="48"/>
      <c r="H240" s="48"/>
      <c r="I240" s="48"/>
      <c r="J240" s="48" t="str">
        <f aca="false">IF(AND(MOVIMIENTOS!$B239&lt;&gt;"",NOT(AND(MOVIMIENTOS!$B239="PROCESO",MOVIMIENTOS!$C239&lt;&gt;"Chancho")),NOT(AND(MOVIMIENTOS!$B239="SALDO INICIAL",MOVIMIENTOS!$C239="Chancho"))),COUNT(J$6:J239)+1,"")</f>
        <v/>
      </c>
      <c r="K240" s="48" t="str">
        <f aca="false">IF(AND(MOVIMIENTOS!$B239&lt;&gt;"",NOT(AND(MOVIMIENTOS!$B239="PROCESO",MOVIMIENTOS!$C239&lt;&gt;"Chancho")),NOT(AND(MOVIMIENTOS!$B239="SALDO INICIAL",MOVIMIENTOS!$C239="Chancho"))),MOVIMIENTOS!$A239,"")</f>
        <v/>
      </c>
      <c r="L240" s="48" t="str">
        <f aca="false">IF(AND(MOVIMIENTOS!$B239&lt;&gt;"",NOT(AND(MOVIMIENTOS!$B239="PROCESO",MOVIMIENTOS!$C239&lt;&gt;"Chancho")),NOT(AND(MOVIMIENTOS!$B239="SALDO INICIAL",MOVIMIENTOS!$C239="Chancho"))),IF(MOVIMIENTOS!$B239="SALDO INICIAL","APERTURA ("&amp;MOVIMIENTOS!$C239&amp;")",IF(MOVIMIENTOS!$B239="COMPRA","INGRESO (compra)",IF(MOVIMIENTOS!$B239="PROCESO","CHANCHO (proceso)",IF(MOVIMIENTOS!$B239="ENVÍO A SUPESA","ENVÍO cal. "&amp;MOVIMIENTOS!$C239,IF(MOVIMIENTOS!$B239="VENTA CHANCHO","VENTA CHANCHO",IF(MOVIMIENTOS!$B239="VENTA","VENTA cal. "&amp;MOVIMIENTOS!$C239,IF(MOVIMIENTOS!$B239="REGALO","REGALO "&amp;MOVIMIENTOS!$C239,IF(MOVIMIENTOS!$B239="RECHAZO","RECHAZO cal. "&amp;MOVIMIENTOS!$C239&amp;" (va a reproceso)",IF(MOVIMIENTOS!$B239="DEVOLUCIÓN","DEVOLUCIÓN cal. "&amp;MOVIMIENTOS!$C239&amp;" (regresa intacta)",IF(MOVIMIENTOS!$B239="TRASIEGO","TRASIEGO cal. "&amp;MOVIMIENTOS!$C239,MOVIMIENTOS!$B239)))))))))),"")</f>
        <v/>
      </c>
      <c r="M240" s="48" t="str">
        <f aca="false">IF(AND(AND(MOVIMIENTOS!$B239&lt;&gt;"",NOT(AND(MOVIMIENTOS!$B239="PROCESO",MOVIMIENTOS!$C239&lt;&gt;"Chancho")),NOT(AND(MOVIMIENTOS!$B239="SALDO INICIAL",MOVIMIENTOS!$C239="Chancho"))),OR(MOVIMIENTOS!$B239="SALDO INICIAL",MOVIMIENTOS!$B239="COMPRA",MOVIMIENTOS!$B239="REPROCESO",MOVIMIENTOS!$B239="DEVOLUCIÓN",AND(MOVIMIENTOS!$B239="AJUSTE",MOVIMIENTOS!$C239&lt;&gt;"Chancho",N(MOVIMIENTOS!$F239)&gt;=0))),N(MOVIMIENTOS!$F239),"")</f>
        <v/>
      </c>
      <c r="N240" s="48" t="str">
        <f aca="false">IF(AND(AND(MOVIMIENTOS!$B239&lt;&gt;"",NOT(AND(MOVIMIENTOS!$B239="PROCESO",MOVIMIENTOS!$C239&lt;&gt;"Chancho")),NOT(AND(MOVIMIENTOS!$B239="SALDO INICIAL",MOVIMIENTOS!$C239="Chancho"))),OR(MOVIMIENTOS!$B239="ENVÍO A SUPESA",MOVIMIENTOS!$B239="MALOGRADO",MOVIMIENTOS!$B239="OTRA SALIDA",MOVIMIENTOS!$B239="TRASIEGO",AND(MOVIMIENTOS!$B239="PROCESO",MOVIMIENTOS!$C239="Chancho"),AND(MOVIMIENTOS!$B239="REGALO",MOVIMIENTOS!$C239&lt;&gt;"Chancho"),AND(MOVIMIENTOS!$B239="VENTA",MOVIMIENTOS!$C239&lt;&gt;"Chancho"),AND(MOVIMIENTOS!$B239="AJUSTE",MOVIMIENTOS!$C239&lt;&gt;"Chancho",N(MOVIMIENTOS!$F239)&lt;0))),IF(MOVIMIENTOS!$B239="AJUSTE",-N(MOVIMIENTOS!$F239),N(MOVIMIENTOS!$F239)),"")</f>
        <v/>
      </c>
      <c r="O240" s="48" t="str">
        <f aca="false">IF(AND(MOVIMIENTOS!$B239&lt;&gt;"",NOT(AND(MOVIMIENTOS!$B239="PROCESO",MOVIMIENTOS!$C239&lt;&gt;"Chancho")),NOT(AND(MOVIMIENTOS!$B239="SALDO INICIAL",MOVIMIENTOS!$C239="Chancho"))),IF(MOVIMIENTOS!$B239="RECHAZO",MOVIMIENTOS!$E239&amp;" jabas rechazadas · van a reproceso",IF(MOVIMIENTOS!$B239="REPROCESO",MOVIMIENTOS!$E239&amp;" kg recuperados (merma del día: "&amp;TEXT(SUMPRODUCT((MOVIMIENTOS!$A$5:$A$400=MOVIMIENTOS!$A239)*(MOVIMIENTOS!$B$5:$B$400="RECHAZO")*(MOVIMIENTOS!$D$5:$D$400="jabas")*MOVIMIENTOS!$E$5:$E$400*IFERROR(_xlfn.SWITCH(MOVIMIENTOS!$C$5:$C$400,"A",15,"P",18,"C",17,"M",17,0),0))-SUMPRODUCT((MOVIMIENTOS!$A$5:$A$400=MOVIMIENTOS!$A239)*(MOVIMIENTOS!$B$5:$B$400="REPROCESO")*MOVIMIENTOS!$I$5:$I$400),"+#,##0;-#,##0;0")&amp;" kg)",TRIM(IF(MOVIMIENTOS!$G239&lt;&gt;"",MOVIMIENTOS!$G239&amp;"  ","")&amp;IF(N(MOVIMIENTOS!$D239)&gt;0,MOVIMIENTOS!$D239&amp;" "&amp;MOVIMIENTOS!$D239,"")))),"")</f>
        <v/>
      </c>
      <c r="P240" s="48" t="n">
        <f aca="false">N(P239)+N(M240)-N(N240)</f>
        <v>-290.5</v>
      </c>
      <c r="Q240" s="48"/>
      <c r="R240" s="48"/>
      <c r="S240" s="48"/>
      <c r="T240" s="48"/>
    </row>
    <row r="241" customFormat="false" ht="15" hidden="false" customHeight="true" outlineLevel="0" collapsed="false">
      <c r="A241" s="51" t="str">
        <f aca="false">IFERROR(INDEX(K$6:K$401,MATCH(ROW()-5,J$6:J$401,0)),"")</f>
        <v/>
      </c>
      <c r="B241" s="56" t="str">
        <f aca="false">IFERROR(INDEX(L$6:L$401,MATCH(ROW()-5,J$6:J$401,0)),"")</f>
        <v/>
      </c>
      <c r="C241" s="52" t="str">
        <f aca="false">IFERROR(INDEX(M$6:M$401,MATCH(ROW()-5,J$6:J$401,0)),"")</f>
        <v/>
      </c>
      <c r="D241" s="52" t="str">
        <f aca="false">IFERROR(INDEX(N$6:N$401,MATCH(ROW()-5,J$6:J$401,0)),"")</f>
        <v/>
      </c>
      <c r="E241" s="56" t="str">
        <f aca="false">IFERROR(INDEX(O$6:O$401,MATCH(ROW()-5,J$6:J$401,0)),"")</f>
        <v/>
      </c>
      <c r="F241" s="52" t="str">
        <f aca="false">IFERROR(INDEX(P$6:P$401,MATCH(ROW()-5,J$6:J$401,0)),"")</f>
        <v/>
      </c>
      <c r="G241" s="48"/>
      <c r="H241" s="48"/>
      <c r="I241" s="48"/>
      <c r="J241" s="48" t="str">
        <f aca="false">IF(AND(MOVIMIENTOS!$B240&lt;&gt;"",NOT(AND(MOVIMIENTOS!$B240="PROCESO",MOVIMIENTOS!$C240&lt;&gt;"Chancho")),NOT(AND(MOVIMIENTOS!$B240="SALDO INICIAL",MOVIMIENTOS!$C240="Chancho"))),COUNT(J$6:J240)+1,"")</f>
        <v/>
      </c>
      <c r="K241" s="48" t="str">
        <f aca="false">IF(AND(MOVIMIENTOS!$B240&lt;&gt;"",NOT(AND(MOVIMIENTOS!$B240="PROCESO",MOVIMIENTOS!$C240&lt;&gt;"Chancho")),NOT(AND(MOVIMIENTOS!$B240="SALDO INICIAL",MOVIMIENTOS!$C240="Chancho"))),MOVIMIENTOS!$A240,"")</f>
        <v/>
      </c>
      <c r="L241" s="48" t="str">
        <f aca="false">IF(AND(MOVIMIENTOS!$B240&lt;&gt;"",NOT(AND(MOVIMIENTOS!$B240="PROCESO",MOVIMIENTOS!$C240&lt;&gt;"Chancho")),NOT(AND(MOVIMIENTOS!$B240="SALDO INICIAL",MOVIMIENTOS!$C240="Chancho"))),IF(MOVIMIENTOS!$B240="SALDO INICIAL","APERTURA ("&amp;MOVIMIENTOS!$C240&amp;")",IF(MOVIMIENTOS!$B240="COMPRA","INGRESO (compra)",IF(MOVIMIENTOS!$B240="PROCESO","CHANCHO (proceso)",IF(MOVIMIENTOS!$B240="ENVÍO A SUPESA","ENVÍO cal. "&amp;MOVIMIENTOS!$C240,IF(MOVIMIENTOS!$B240="VENTA CHANCHO","VENTA CHANCHO",IF(MOVIMIENTOS!$B240="VENTA","VENTA cal. "&amp;MOVIMIENTOS!$C240,IF(MOVIMIENTOS!$B240="REGALO","REGALO "&amp;MOVIMIENTOS!$C240,IF(MOVIMIENTOS!$B240="RECHAZO","RECHAZO cal. "&amp;MOVIMIENTOS!$C240&amp;" (va a reproceso)",IF(MOVIMIENTOS!$B240="DEVOLUCIÓN","DEVOLUCIÓN cal. "&amp;MOVIMIENTOS!$C240&amp;" (regresa intacta)",IF(MOVIMIENTOS!$B240="TRASIEGO","TRASIEGO cal. "&amp;MOVIMIENTOS!$C240,MOVIMIENTOS!$B240)))))))))),"")</f>
        <v/>
      </c>
      <c r="M241" s="48" t="str">
        <f aca="false">IF(AND(AND(MOVIMIENTOS!$B240&lt;&gt;"",NOT(AND(MOVIMIENTOS!$B240="PROCESO",MOVIMIENTOS!$C240&lt;&gt;"Chancho")),NOT(AND(MOVIMIENTOS!$B240="SALDO INICIAL",MOVIMIENTOS!$C240="Chancho"))),OR(MOVIMIENTOS!$B240="SALDO INICIAL",MOVIMIENTOS!$B240="COMPRA",MOVIMIENTOS!$B240="REPROCESO",MOVIMIENTOS!$B240="DEVOLUCIÓN",AND(MOVIMIENTOS!$B240="AJUSTE",MOVIMIENTOS!$C240&lt;&gt;"Chancho",N(MOVIMIENTOS!$F240)&gt;=0))),N(MOVIMIENTOS!$F240),"")</f>
        <v/>
      </c>
      <c r="N241" s="48" t="str">
        <f aca="false">IF(AND(AND(MOVIMIENTOS!$B240&lt;&gt;"",NOT(AND(MOVIMIENTOS!$B240="PROCESO",MOVIMIENTOS!$C240&lt;&gt;"Chancho")),NOT(AND(MOVIMIENTOS!$B240="SALDO INICIAL",MOVIMIENTOS!$C240="Chancho"))),OR(MOVIMIENTOS!$B240="ENVÍO A SUPESA",MOVIMIENTOS!$B240="MALOGRADO",MOVIMIENTOS!$B240="OTRA SALIDA",MOVIMIENTOS!$B240="TRASIEGO",AND(MOVIMIENTOS!$B240="PROCESO",MOVIMIENTOS!$C240="Chancho"),AND(MOVIMIENTOS!$B240="REGALO",MOVIMIENTOS!$C240&lt;&gt;"Chancho"),AND(MOVIMIENTOS!$B240="VENTA",MOVIMIENTOS!$C240&lt;&gt;"Chancho"),AND(MOVIMIENTOS!$B240="AJUSTE",MOVIMIENTOS!$C240&lt;&gt;"Chancho",N(MOVIMIENTOS!$F240)&lt;0))),IF(MOVIMIENTOS!$B240="AJUSTE",-N(MOVIMIENTOS!$F240),N(MOVIMIENTOS!$F240)),"")</f>
        <v/>
      </c>
      <c r="O241" s="48" t="str">
        <f aca="false">IF(AND(MOVIMIENTOS!$B240&lt;&gt;"",NOT(AND(MOVIMIENTOS!$B240="PROCESO",MOVIMIENTOS!$C240&lt;&gt;"Chancho")),NOT(AND(MOVIMIENTOS!$B240="SALDO INICIAL",MOVIMIENTOS!$C240="Chancho"))),IF(MOVIMIENTOS!$B240="RECHAZO",MOVIMIENTOS!$E240&amp;" jabas rechazadas · van a reproceso",IF(MOVIMIENTOS!$B240="REPROCESO",MOVIMIENTOS!$E240&amp;" kg recuperados (merma del día: "&amp;TEXT(SUMPRODUCT((MOVIMIENTOS!$A$5:$A$400=MOVIMIENTOS!$A240)*(MOVIMIENTOS!$B$5:$B$400="RECHAZO")*(MOVIMIENTOS!$D$5:$D$400="jabas")*MOVIMIENTOS!$E$5:$E$400*IFERROR(_xlfn.SWITCH(MOVIMIENTOS!$C$5:$C$400,"A",15,"P",18,"C",17,"M",17,0),0))-SUMPRODUCT((MOVIMIENTOS!$A$5:$A$400=MOVIMIENTOS!$A240)*(MOVIMIENTOS!$B$5:$B$400="REPROCESO")*MOVIMIENTOS!$I$5:$I$400),"+#,##0;-#,##0;0")&amp;" kg)",TRIM(IF(MOVIMIENTOS!$G240&lt;&gt;"",MOVIMIENTOS!$G240&amp;"  ","")&amp;IF(N(MOVIMIENTOS!$D240)&gt;0,MOVIMIENTOS!$D240&amp;" "&amp;MOVIMIENTOS!$D240,"")))),"")</f>
        <v/>
      </c>
      <c r="P241" s="48" t="n">
        <f aca="false">N(P240)+N(M241)-N(N241)</f>
        <v>-290.5</v>
      </c>
      <c r="Q241" s="48"/>
      <c r="R241" s="48"/>
      <c r="S241" s="48"/>
      <c r="T241" s="48"/>
    </row>
    <row r="242" customFormat="false" ht="15" hidden="false" customHeight="true" outlineLevel="0" collapsed="false">
      <c r="A242" s="51" t="str">
        <f aca="false">IFERROR(INDEX(K$6:K$401,MATCH(ROW()-5,J$6:J$401,0)),"")</f>
        <v/>
      </c>
      <c r="B242" s="56" t="str">
        <f aca="false">IFERROR(INDEX(L$6:L$401,MATCH(ROW()-5,J$6:J$401,0)),"")</f>
        <v/>
      </c>
      <c r="C242" s="52" t="str">
        <f aca="false">IFERROR(INDEX(M$6:M$401,MATCH(ROW()-5,J$6:J$401,0)),"")</f>
        <v/>
      </c>
      <c r="D242" s="52" t="str">
        <f aca="false">IFERROR(INDEX(N$6:N$401,MATCH(ROW()-5,J$6:J$401,0)),"")</f>
        <v/>
      </c>
      <c r="E242" s="56" t="str">
        <f aca="false">IFERROR(INDEX(O$6:O$401,MATCH(ROW()-5,J$6:J$401,0)),"")</f>
        <v/>
      </c>
      <c r="F242" s="52" t="str">
        <f aca="false">IFERROR(INDEX(P$6:P$401,MATCH(ROW()-5,J$6:J$401,0)),"")</f>
        <v/>
      </c>
      <c r="G242" s="48"/>
      <c r="H242" s="48"/>
      <c r="I242" s="48"/>
      <c r="J242" s="48" t="str">
        <f aca="false">IF(AND(MOVIMIENTOS!$B241&lt;&gt;"",NOT(AND(MOVIMIENTOS!$B241="PROCESO",MOVIMIENTOS!$C241&lt;&gt;"Chancho")),NOT(AND(MOVIMIENTOS!$B241="SALDO INICIAL",MOVIMIENTOS!$C241="Chancho"))),COUNT(J$6:J241)+1,"")</f>
        <v/>
      </c>
      <c r="K242" s="48" t="str">
        <f aca="false">IF(AND(MOVIMIENTOS!$B241&lt;&gt;"",NOT(AND(MOVIMIENTOS!$B241="PROCESO",MOVIMIENTOS!$C241&lt;&gt;"Chancho")),NOT(AND(MOVIMIENTOS!$B241="SALDO INICIAL",MOVIMIENTOS!$C241="Chancho"))),MOVIMIENTOS!$A241,"")</f>
        <v/>
      </c>
      <c r="L242" s="48" t="str">
        <f aca="false">IF(AND(MOVIMIENTOS!$B241&lt;&gt;"",NOT(AND(MOVIMIENTOS!$B241="PROCESO",MOVIMIENTOS!$C241&lt;&gt;"Chancho")),NOT(AND(MOVIMIENTOS!$B241="SALDO INICIAL",MOVIMIENTOS!$C241="Chancho"))),IF(MOVIMIENTOS!$B241="SALDO INICIAL","APERTURA ("&amp;MOVIMIENTOS!$C241&amp;")",IF(MOVIMIENTOS!$B241="COMPRA","INGRESO (compra)",IF(MOVIMIENTOS!$B241="PROCESO","CHANCHO (proceso)",IF(MOVIMIENTOS!$B241="ENVÍO A SUPESA","ENVÍO cal. "&amp;MOVIMIENTOS!$C241,IF(MOVIMIENTOS!$B241="VENTA CHANCHO","VENTA CHANCHO",IF(MOVIMIENTOS!$B241="VENTA","VENTA cal. "&amp;MOVIMIENTOS!$C241,IF(MOVIMIENTOS!$B241="REGALO","REGALO "&amp;MOVIMIENTOS!$C241,IF(MOVIMIENTOS!$B241="RECHAZO","RECHAZO cal. "&amp;MOVIMIENTOS!$C241&amp;" (va a reproceso)",IF(MOVIMIENTOS!$B241="DEVOLUCIÓN","DEVOLUCIÓN cal. "&amp;MOVIMIENTOS!$C241&amp;" (regresa intacta)",IF(MOVIMIENTOS!$B241="TRASIEGO","TRASIEGO cal. "&amp;MOVIMIENTOS!$C241,MOVIMIENTOS!$B241)))))))))),"")</f>
        <v/>
      </c>
      <c r="M242" s="48" t="str">
        <f aca="false">IF(AND(AND(MOVIMIENTOS!$B241&lt;&gt;"",NOT(AND(MOVIMIENTOS!$B241="PROCESO",MOVIMIENTOS!$C241&lt;&gt;"Chancho")),NOT(AND(MOVIMIENTOS!$B241="SALDO INICIAL",MOVIMIENTOS!$C241="Chancho"))),OR(MOVIMIENTOS!$B241="SALDO INICIAL",MOVIMIENTOS!$B241="COMPRA",MOVIMIENTOS!$B241="REPROCESO",MOVIMIENTOS!$B241="DEVOLUCIÓN",AND(MOVIMIENTOS!$B241="AJUSTE",MOVIMIENTOS!$C241&lt;&gt;"Chancho",N(MOVIMIENTOS!$F241)&gt;=0))),N(MOVIMIENTOS!$F241),"")</f>
        <v/>
      </c>
      <c r="N242" s="48" t="str">
        <f aca="false">IF(AND(AND(MOVIMIENTOS!$B241&lt;&gt;"",NOT(AND(MOVIMIENTOS!$B241="PROCESO",MOVIMIENTOS!$C241&lt;&gt;"Chancho")),NOT(AND(MOVIMIENTOS!$B241="SALDO INICIAL",MOVIMIENTOS!$C241="Chancho"))),OR(MOVIMIENTOS!$B241="ENVÍO A SUPESA",MOVIMIENTOS!$B241="MALOGRADO",MOVIMIENTOS!$B241="OTRA SALIDA",MOVIMIENTOS!$B241="TRASIEGO",AND(MOVIMIENTOS!$B241="PROCESO",MOVIMIENTOS!$C241="Chancho"),AND(MOVIMIENTOS!$B241="REGALO",MOVIMIENTOS!$C241&lt;&gt;"Chancho"),AND(MOVIMIENTOS!$B241="VENTA",MOVIMIENTOS!$C241&lt;&gt;"Chancho"),AND(MOVIMIENTOS!$B241="AJUSTE",MOVIMIENTOS!$C241&lt;&gt;"Chancho",N(MOVIMIENTOS!$F241)&lt;0))),IF(MOVIMIENTOS!$B241="AJUSTE",-N(MOVIMIENTOS!$F241),N(MOVIMIENTOS!$F241)),"")</f>
        <v/>
      </c>
      <c r="O242" s="48" t="str">
        <f aca="false">IF(AND(MOVIMIENTOS!$B241&lt;&gt;"",NOT(AND(MOVIMIENTOS!$B241="PROCESO",MOVIMIENTOS!$C241&lt;&gt;"Chancho")),NOT(AND(MOVIMIENTOS!$B241="SALDO INICIAL",MOVIMIENTOS!$C241="Chancho"))),IF(MOVIMIENTOS!$B241="RECHAZO",MOVIMIENTOS!$E241&amp;" jabas rechazadas · van a reproceso",IF(MOVIMIENTOS!$B241="REPROCESO",MOVIMIENTOS!$E241&amp;" kg recuperados (merma del día: "&amp;TEXT(SUMPRODUCT((MOVIMIENTOS!$A$5:$A$400=MOVIMIENTOS!$A241)*(MOVIMIENTOS!$B$5:$B$400="RECHAZO")*(MOVIMIENTOS!$D$5:$D$400="jabas")*MOVIMIENTOS!$E$5:$E$400*IFERROR(_xlfn.SWITCH(MOVIMIENTOS!$C$5:$C$400,"A",15,"P",18,"C",17,"M",17,0),0))-SUMPRODUCT((MOVIMIENTOS!$A$5:$A$400=MOVIMIENTOS!$A241)*(MOVIMIENTOS!$B$5:$B$400="REPROCESO")*MOVIMIENTOS!$I$5:$I$400),"+#,##0;-#,##0;0")&amp;" kg)",TRIM(IF(MOVIMIENTOS!$G241&lt;&gt;"",MOVIMIENTOS!$G241&amp;"  ","")&amp;IF(N(MOVIMIENTOS!$D241)&gt;0,MOVIMIENTOS!$D241&amp;" "&amp;MOVIMIENTOS!$D241,"")))),"")</f>
        <v/>
      </c>
      <c r="P242" s="48" t="n">
        <f aca="false">N(P241)+N(M242)-N(N242)</f>
        <v>-290.5</v>
      </c>
      <c r="Q242" s="48"/>
      <c r="R242" s="48"/>
      <c r="S242" s="48"/>
      <c r="T242" s="48"/>
    </row>
    <row r="243" customFormat="false" ht="15" hidden="false" customHeight="true" outlineLevel="0" collapsed="false">
      <c r="A243" s="51" t="str">
        <f aca="false">IFERROR(INDEX(K$6:K$401,MATCH(ROW()-5,J$6:J$401,0)),"")</f>
        <v/>
      </c>
      <c r="B243" s="56" t="str">
        <f aca="false">IFERROR(INDEX(L$6:L$401,MATCH(ROW()-5,J$6:J$401,0)),"")</f>
        <v/>
      </c>
      <c r="C243" s="52" t="str">
        <f aca="false">IFERROR(INDEX(M$6:M$401,MATCH(ROW()-5,J$6:J$401,0)),"")</f>
        <v/>
      </c>
      <c r="D243" s="52" t="str">
        <f aca="false">IFERROR(INDEX(N$6:N$401,MATCH(ROW()-5,J$6:J$401,0)),"")</f>
        <v/>
      </c>
      <c r="E243" s="56" t="str">
        <f aca="false">IFERROR(INDEX(O$6:O$401,MATCH(ROW()-5,J$6:J$401,0)),"")</f>
        <v/>
      </c>
      <c r="F243" s="52" t="str">
        <f aca="false">IFERROR(INDEX(P$6:P$401,MATCH(ROW()-5,J$6:J$401,0)),"")</f>
        <v/>
      </c>
      <c r="G243" s="48"/>
      <c r="H243" s="48"/>
      <c r="I243" s="48"/>
      <c r="J243" s="48" t="str">
        <f aca="false">IF(AND(MOVIMIENTOS!$B242&lt;&gt;"",NOT(AND(MOVIMIENTOS!$B242="PROCESO",MOVIMIENTOS!$C242&lt;&gt;"Chancho")),NOT(AND(MOVIMIENTOS!$B242="SALDO INICIAL",MOVIMIENTOS!$C242="Chancho"))),COUNT(J$6:J242)+1,"")</f>
        <v/>
      </c>
      <c r="K243" s="48" t="str">
        <f aca="false">IF(AND(MOVIMIENTOS!$B242&lt;&gt;"",NOT(AND(MOVIMIENTOS!$B242="PROCESO",MOVIMIENTOS!$C242&lt;&gt;"Chancho")),NOT(AND(MOVIMIENTOS!$B242="SALDO INICIAL",MOVIMIENTOS!$C242="Chancho"))),MOVIMIENTOS!$A242,"")</f>
        <v/>
      </c>
      <c r="L243" s="48" t="str">
        <f aca="false">IF(AND(MOVIMIENTOS!$B242&lt;&gt;"",NOT(AND(MOVIMIENTOS!$B242="PROCESO",MOVIMIENTOS!$C242&lt;&gt;"Chancho")),NOT(AND(MOVIMIENTOS!$B242="SALDO INICIAL",MOVIMIENTOS!$C242="Chancho"))),IF(MOVIMIENTOS!$B242="SALDO INICIAL","APERTURA ("&amp;MOVIMIENTOS!$C242&amp;")",IF(MOVIMIENTOS!$B242="COMPRA","INGRESO (compra)",IF(MOVIMIENTOS!$B242="PROCESO","CHANCHO (proceso)",IF(MOVIMIENTOS!$B242="ENVÍO A SUPESA","ENVÍO cal. "&amp;MOVIMIENTOS!$C242,IF(MOVIMIENTOS!$B242="VENTA CHANCHO","VENTA CHANCHO",IF(MOVIMIENTOS!$B242="VENTA","VENTA cal. "&amp;MOVIMIENTOS!$C242,IF(MOVIMIENTOS!$B242="REGALO","REGALO "&amp;MOVIMIENTOS!$C242,IF(MOVIMIENTOS!$B242="RECHAZO","RECHAZO cal. "&amp;MOVIMIENTOS!$C242&amp;" (va a reproceso)",IF(MOVIMIENTOS!$B242="DEVOLUCIÓN","DEVOLUCIÓN cal. "&amp;MOVIMIENTOS!$C242&amp;" (regresa intacta)",IF(MOVIMIENTOS!$B242="TRASIEGO","TRASIEGO cal. "&amp;MOVIMIENTOS!$C242,MOVIMIENTOS!$B242)))))))))),"")</f>
        <v/>
      </c>
      <c r="M243" s="48" t="str">
        <f aca="false">IF(AND(AND(MOVIMIENTOS!$B242&lt;&gt;"",NOT(AND(MOVIMIENTOS!$B242="PROCESO",MOVIMIENTOS!$C242&lt;&gt;"Chancho")),NOT(AND(MOVIMIENTOS!$B242="SALDO INICIAL",MOVIMIENTOS!$C242="Chancho"))),OR(MOVIMIENTOS!$B242="SALDO INICIAL",MOVIMIENTOS!$B242="COMPRA",MOVIMIENTOS!$B242="REPROCESO",MOVIMIENTOS!$B242="DEVOLUCIÓN",AND(MOVIMIENTOS!$B242="AJUSTE",MOVIMIENTOS!$C242&lt;&gt;"Chancho",N(MOVIMIENTOS!$F242)&gt;=0))),N(MOVIMIENTOS!$F242),"")</f>
        <v/>
      </c>
      <c r="N243" s="48" t="str">
        <f aca="false">IF(AND(AND(MOVIMIENTOS!$B242&lt;&gt;"",NOT(AND(MOVIMIENTOS!$B242="PROCESO",MOVIMIENTOS!$C242&lt;&gt;"Chancho")),NOT(AND(MOVIMIENTOS!$B242="SALDO INICIAL",MOVIMIENTOS!$C242="Chancho"))),OR(MOVIMIENTOS!$B242="ENVÍO A SUPESA",MOVIMIENTOS!$B242="MALOGRADO",MOVIMIENTOS!$B242="OTRA SALIDA",MOVIMIENTOS!$B242="TRASIEGO",AND(MOVIMIENTOS!$B242="PROCESO",MOVIMIENTOS!$C242="Chancho"),AND(MOVIMIENTOS!$B242="REGALO",MOVIMIENTOS!$C242&lt;&gt;"Chancho"),AND(MOVIMIENTOS!$B242="VENTA",MOVIMIENTOS!$C242&lt;&gt;"Chancho"),AND(MOVIMIENTOS!$B242="AJUSTE",MOVIMIENTOS!$C242&lt;&gt;"Chancho",N(MOVIMIENTOS!$F242)&lt;0))),IF(MOVIMIENTOS!$B242="AJUSTE",-N(MOVIMIENTOS!$F242),N(MOVIMIENTOS!$F242)),"")</f>
        <v/>
      </c>
      <c r="O243" s="48" t="str">
        <f aca="false">IF(AND(MOVIMIENTOS!$B242&lt;&gt;"",NOT(AND(MOVIMIENTOS!$B242="PROCESO",MOVIMIENTOS!$C242&lt;&gt;"Chancho")),NOT(AND(MOVIMIENTOS!$B242="SALDO INICIAL",MOVIMIENTOS!$C242="Chancho"))),IF(MOVIMIENTOS!$B242="RECHAZO",MOVIMIENTOS!$E242&amp;" jabas rechazadas · van a reproceso",IF(MOVIMIENTOS!$B242="REPROCESO",MOVIMIENTOS!$E242&amp;" kg recuperados (merma del día: "&amp;TEXT(SUMPRODUCT((MOVIMIENTOS!$A$5:$A$400=MOVIMIENTOS!$A242)*(MOVIMIENTOS!$B$5:$B$400="RECHAZO")*(MOVIMIENTOS!$D$5:$D$400="jabas")*MOVIMIENTOS!$E$5:$E$400*IFERROR(_xlfn.SWITCH(MOVIMIENTOS!$C$5:$C$400,"A",15,"P",18,"C",17,"M",17,0),0))-SUMPRODUCT((MOVIMIENTOS!$A$5:$A$400=MOVIMIENTOS!$A242)*(MOVIMIENTOS!$B$5:$B$400="REPROCESO")*MOVIMIENTOS!$I$5:$I$400),"+#,##0;-#,##0;0")&amp;" kg)",TRIM(IF(MOVIMIENTOS!$G242&lt;&gt;"",MOVIMIENTOS!$G242&amp;"  ","")&amp;IF(N(MOVIMIENTOS!$D242)&gt;0,MOVIMIENTOS!$D242&amp;" "&amp;MOVIMIENTOS!$D242,"")))),"")</f>
        <v/>
      </c>
      <c r="P243" s="48" t="n">
        <f aca="false">N(P242)+N(M243)-N(N243)</f>
        <v>-290.5</v>
      </c>
      <c r="Q243" s="48"/>
      <c r="R243" s="48"/>
      <c r="S243" s="48"/>
      <c r="T243" s="48"/>
    </row>
    <row r="244" customFormat="false" ht="15" hidden="false" customHeight="true" outlineLevel="0" collapsed="false">
      <c r="A244" s="51" t="str">
        <f aca="false">IFERROR(INDEX(K$6:K$401,MATCH(ROW()-5,J$6:J$401,0)),"")</f>
        <v/>
      </c>
      <c r="B244" s="56" t="str">
        <f aca="false">IFERROR(INDEX(L$6:L$401,MATCH(ROW()-5,J$6:J$401,0)),"")</f>
        <v/>
      </c>
      <c r="C244" s="52" t="str">
        <f aca="false">IFERROR(INDEX(M$6:M$401,MATCH(ROW()-5,J$6:J$401,0)),"")</f>
        <v/>
      </c>
      <c r="D244" s="52" t="str">
        <f aca="false">IFERROR(INDEX(N$6:N$401,MATCH(ROW()-5,J$6:J$401,0)),"")</f>
        <v/>
      </c>
      <c r="E244" s="56" t="str">
        <f aca="false">IFERROR(INDEX(O$6:O$401,MATCH(ROW()-5,J$6:J$401,0)),"")</f>
        <v/>
      </c>
      <c r="F244" s="52" t="str">
        <f aca="false">IFERROR(INDEX(P$6:P$401,MATCH(ROW()-5,J$6:J$401,0)),"")</f>
        <v/>
      </c>
      <c r="G244" s="48"/>
      <c r="H244" s="48"/>
      <c r="I244" s="48"/>
      <c r="J244" s="48" t="str">
        <f aca="false">IF(AND(MOVIMIENTOS!$B243&lt;&gt;"",NOT(AND(MOVIMIENTOS!$B243="PROCESO",MOVIMIENTOS!$C243&lt;&gt;"Chancho")),NOT(AND(MOVIMIENTOS!$B243="SALDO INICIAL",MOVIMIENTOS!$C243="Chancho"))),COUNT(J$6:J243)+1,"")</f>
        <v/>
      </c>
      <c r="K244" s="48" t="str">
        <f aca="false">IF(AND(MOVIMIENTOS!$B243&lt;&gt;"",NOT(AND(MOVIMIENTOS!$B243="PROCESO",MOVIMIENTOS!$C243&lt;&gt;"Chancho")),NOT(AND(MOVIMIENTOS!$B243="SALDO INICIAL",MOVIMIENTOS!$C243="Chancho"))),MOVIMIENTOS!$A243,"")</f>
        <v/>
      </c>
      <c r="L244" s="48" t="str">
        <f aca="false">IF(AND(MOVIMIENTOS!$B243&lt;&gt;"",NOT(AND(MOVIMIENTOS!$B243="PROCESO",MOVIMIENTOS!$C243&lt;&gt;"Chancho")),NOT(AND(MOVIMIENTOS!$B243="SALDO INICIAL",MOVIMIENTOS!$C243="Chancho"))),IF(MOVIMIENTOS!$B243="SALDO INICIAL","APERTURA ("&amp;MOVIMIENTOS!$C243&amp;")",IF(MOVIMIENTOS!$B243="COMPRA","INGRESO (compra)",IF(MOVIMIENTOS!$B243="PROCESO","CHANCHO (proceso)",IF(MOVIMIENTOS!$B243="ENVÍO A SUPESA","ENVÍO cal. "&amp;MOVIMIENTOS!$C243,IF(MOVIMIENTOS!$B243="VENTA CHANCHO","VENTA CHANCHO",IF(MOVIMIENTOS!$B243="VENTA","VENTA cal. "&amp;MOVIMIENTOS!$C243,IF(MOVIMIENTOS!$B243="REGALO","REGALO "&amp;MOVIMIENTOS!$C243,IF(MOVIMIENTOS!$B243="RECHAZO","RECHAZO cal. "&amp;MOVIMIENTOS!$C243&amp;" (va a reproceso)",IF(MOVIMIENTOS!$B243="DEVOLUCIÓN","DEVOLUCIÓN cal. "&amp;MOVIMIENTOS!$C243&amp;" (regresa intacta)",IF(MOVIMIENTOS!$B243="TRASIEGO","TRASIEGO cal. "&amp;MOVIMIENTOS!$C243,MOVIMIENTOS!$B243)))))))))),"")</f>
        <v/>
      </c>
      <c r="M244" s="48" t="str">
        <f aca="false">IF(AND(AND(MOVIMIENTOS!$B243&lt;&gt;"",NOT(AND(MOVIMIENTOS!$B243="PROCESO",MOVIMIENTOS!$C243&lt;&gt;"Chancho")),NOT(AND(MOVIMIENTOS!$B243="SALDO INICIAL",MOVIMIENTOS!$C243="Chancho"))),OR(MOVIMIENTOS!$B243="SALDO INICIAL",MOVIMIENTOS!$B243="COMPRA",MOVIMIENTOS!$B243="REPROCESO",MOVIMIENTOS!$B243="DEVOLUCIÓN",AND(MOVIMIENTOS!$B243="AJUSTE",MOVIMIENTOS!$C243&lt;&gt;"Chancho",N(MOVIMIENTOS!$F243)&gt;=0))),N(MOVIMIENTOS!$F243),"")</f>
        <v/>
      </c>
      <c r="N244" s="48" t="str">
        <f aca="false">IF(AND(AND(MOVIMIENTOS!$B243&lt;&gt;"",NOT(AND(MOVIMIENTOS!$B243="PROCESO",MOVIMIENTOS!$C243&lt;&gt;"Chancho")),NOT(AND(MOVIMIENTOS!$B243="SALDO INICIAL",MOVIMIENTOS!$C243="Chancho"))),OR(MOVIMIENTOS!$B243="ENVÍO A SUPESA",MOVIMIENTOS!$B243="MALOGRADO",MOVIMIENTOS!$B243="OTRA SALIDA",MOVIMIENTOS!$B243="TRASIEGO",AND(MOVIMIENTOS!$B243="PROCESO",MOVIMIENTOS!$C243="Chancho"),AND(MOVIMIENTOS!$B243="REGALO",MOVIMIENTOS!$C243&lt;&gt;"Chancho"),AND(MOVIMIENTOS!$B243="VENTA",MOVIMIENTOS!$C243&lt;&gt;"Chancho"),AND(MOVIMIENTOS!$B243="AJUSTE",MOVIMIENTOS!$C243&lt;&gt;"Chancho",N(MOVIMIENTOS!$F243)&lt;0))),IF(MOVIMIENTOS!$B243="AJUSTE",-N(MOVIMIENTOS!$F243),N(MOVIMIENTOS!$F243)),"")</f>
        <v/>
      </c>
      <c r="O244" s="48" t="str">
        <f aca="false">IF(AND(MOVIMIENTOS!$B243&lt;&gt;"",NOT(AND(MOVIMIENTOS!$B243="PROCESO",MOVIMIENTOS!$C243&lt;&gt;"Chancho")),NOT(AND(MOVIMIENTOS!$B243="SALDO INICIAL",MOVIMIENTOS!$C243="Chancho"))),IF(MOVIMIENTOS!$B243="RECHAZO",MOVIMIENTOS!$E243&amp;" jabas rechazadas · van a reproceso",IF(MOVIMIENTOS!$B243="REPROCESO",MOVIMIENTOS!$E243&amp;" kg recuperados (merma del día: "&amp;TEXT(SUMPRODUCT((MOVIMIENTOS!$A$5:$A$400=MOVIMIENTOS!$A243)*(MOVIMIENTOS!$B$5:$B$400="RECHAZO")*(MOVIMIENTOS!$D$5:$D$400="jabas")*MOVIMIENTOS!$E$5:$E$400*IFERROR(_xlfn.SWITCH(MOVIMIENTOS!$C$5:$C$400,"A",15,"P",18,"C",17,"M",17,0),0))-SUMPRODUCT((MOVIMIENTOS!$A$5:$A$400=MOVIMIENTOS!$A243)*(MOVIMIENTOS!$B$5:$B$400="REPROCESO")*MOVIMIENTOS!$I$5:$I$400),"+#,##0;-#,##0;0")&amp;" kg)",TRIM(IF(MOVIMIENTOS!$G243&lt;&gt;"",MOVIMIENTOS!$G243&amp;"  ","")&amp;IF(N(MOVIMIENTOS!$D243)&gt;0,MOVIMIENTOS!$D243&amp;" "&amp;MOVIMIENTOS!$D243,"")))),"")</f>
        <v/>
      </c>
      <c r="P244" s="48" t="n">
        <f aca="false">N(P243)+N(M244)-N(N244)</f>
        <v>-290.5</v>
      </c>
      <c r="Q244" s="48"/>
      <c r="R244" s="48"/>
      <c r="S244" s="48"/>
      <c r="T244" s="48"/>
    </row>
    <row r="245" customFormat="false" ht="15" hidden="false" customHeight="true" outlineLevel="0" collapsed="false">
      <c r="A245" s="51" t="str">
        <f aca="false">IFERROR(INDEX(K$6:K$401,MATCH(ROW()-5,J$6:J$401,0)),"")</f>
        <v/>
      </c>
      <c r="B245" s="56" t="str">
        <f aca="false">IFERROR(INDEX(L$6:L$401,MATCH(ROW()-5,J$6:J$401,0)),"")</f>
        <v/>
      </c>
      <c r="C245" s="52" t="str">
        <f aca="false">IFERROR(INDEX(M$6:M$401,MATCH(ROW()-5,J$6:J$401,0)),"")</f>
        <v/>
      </c>
      <c r="D245" s="52" t="str">
        <f aca="false">IFERROR(INDEX(N$6:N$401,MATCH(ROW()-5,J$6:J$401,0)),"")</f>
        <v/>
      </c>
      <c r="E245" s="56" t="str">
        <f aca="false">IFERROR(INDEX(O$6:O$401,MATCH(ROW()-5,J$6:J$401,0)),"")</f>
        <v/>
      </c>
      <c r="F245" s="52" t="str">
        <f aca="false">IFERROR(INDEX(P$6:P$401,MATCH(ROW()-5,J$6:J$401,0)),"")</f>
        <v/>
      </c>
      <c r="G245" s="48"/>
      <c r="H245" s="48"/>
      <c r="I245" s="48"/>
      <c r="J245" s="48" t="str">
        <f aca="false">IF(AND(MOVIMIENTOS!$B244&lt;&gt;"",NOT(AND(MOVIMIENTOS!$B244="PROCESO",MOVIMIENTOS!$C244&lt;&gt;"Chancho")),NOT(AND(MOVIMIENTOS!$B244="SALDO INICIAL",MOVIMIENTOS!$C244="Chancho"))),COUNT(J$6:J244)+1,"")</f>
        <v/>
      </c>
      <c r="K245" s="48" t="str">
        <f aca="false">IF(AND(MOVIMIENTOS!$B244&lt;&gt;"",NOT(AND(MOVIMIENTOS!$B244="PROCESO",MOVIMIENTOS!$C244&lt;&gt;"Chancho")),NOT(AND(MOVIMIENTOS!$B244="SALDO INICIAL",MOVIMIENTOS!$C244="Chancho"))),MOVIMIENTOS!$A244,"")</f>
        <v/>
      </c>
      <c r="L245" s="48" t="str">
        <f aca="false">IF(AND(MOVIMIENTOS!$B244&lt;&gt;"",NOT(AND(MOVIMIENTOS!$B244="PROCESO",MOVIMIENTOS!$C244&lt;&gt;"Chancho")),NOT(AND(MOVIMIENTOS!$B244="SALDO INICIAL",MOVIMIENTOS!$C244="Chancho"))),IF(MOVIMIENTOS!$B244="SALDO INICIAL","APERTURA ("&amp;MOVIMIENTOS!$C244&amp;")",IF(MOVIMIENTOS!$B244="COMPRA","INGRESO (compra)",IF(MOVIMIENTOS!$B244="PROCESO","CHANCHO (proceso)",IF(MOVIMIENTOS!$B244="ENVÍO A SUPESA","ENVÍO cal. "&amp;MOVIMIENTOS!$C244,IF(MOVIMIENTOS!$B244="VENTA CHANCHO","VENTA CHANCHO",IF(MOVIMIENTOS!$B244="VENTA","VENTA cal. "&amp;MOVIMIENTOS!$C244,IF(MOVIMIENTOS!$B244="REGALO","REGALO "&amp;MOVIMIENTOS!$C244,IF(MOVIMIENTOS!$B244="RECHAZO","RECHAZO cal. "&amp;MOVIMIENTOS!$C244&amp;" (va a reproceso)",IF(MOVIMIENTOS!$B244="DEVOLUCIÓN","DEVOLUCIÓN cal. "&amp;MOVIMIENTOS!$C244&amp;" (regresa intacta)",IF(MOVIMIENTOS!$B244="TRASIEGO","TRASIEGO cal. "&amp;MOVIMIENTOS!$C244,MOVIMIENTOS!$B244)))))))))),"")</f>
        <v/>
      </c>
      <c r="M245" s="48" t="str">
        <f aca="false">IF(AND(AND(MOVIMIENTOS!$B244&lt;&gt;"",NOT(AND(MOVIMIENTOS!$B244="PROCESO",MOVIMIENTOS!$C244&lt;&gt;"Chancho")),NOT(AND(MOVIMIENTOS!$B244="SALDO INICIAL",MOVIMIENTOS!$C244="Chancho"))),OR(MOVIMIENTOS!$B244="SALDO INICIAL",MOVIMIENTOS!$B244="COMPRA",MOVIMIENTOS!$B244="REPROCESO",MOVIMIENTOS!$B244="DEVOLUCIÓN",AND(MOVIMIENTOS!$B244="AJUSTE",MOVIMIENTOS!$C244&lt;&gt;"Chancho",N(MOVIMIENTOS!$F244)&gt;=0))),N(MOVIMIENTOS!$F244),"")</f>
        <v/>
      </c>
      <c r="N245" s="48" t="str">
        <f aca="false">IF(AND(AND(MOVIMIENTOS!$B244&lt;&gt;"",NOT(AND(MOVIMIENTOS!$B244="PROCESO",MOVIMIENTOS!$C244&lt;&gt;"Chancho")),NOT(AND(MOVIMIENTOS!$B244="SALDO INICIAL",MOVIMIENTOS!$C244="Chancho"))),OR(MOVIMIENTOS!$B244="ENVÍO A SUPESA",MOVIMIENTOS!$B244="MALOGRADO",MOVIMIENTOS!$B244="OTRA SALIDA",MOVIMIENTOS!$B244="TRASIEGO",AND(MOVIMIENTOS!$B244="PROCESO",MOVIMIENTOS!$C244="Chancho"),AND(MOVIMIENTOS!$B244="REGALO",MOVIMIENTOS!$C244&lt;&gt;"Chancho"),AND(MOVIMIENTOS!$B244="VENTA",MOVIMIENTOS!$C244&lt;&gt;"Chancho"),AND(MOVIMIENTOS!$B244="AJUSTE",MOVIMIENTOS!$C244&lt;&gt;"Chancho",N(MOVIMIENTOS!$F244)&lt;0))),IF(MOVIMIENTOS!$B244="AJUSTE",-N(MOVIMIENTOS!$F244),N(MOVIMIENTOS!$F244)),"")</f>
        <v/>
      </c>
      <c r="O245" s="48" t="str">
        <f aca="false">IF(AND(MOVIMIENTOS!$B244&lt;&gt;"",NOT(AND(MOVIMIENTOS!$B244="PROCESO",MOVIMIENTOS!$C244&lt;&gt;"Chancho")),NOT(AND(MOVIMIENTOS!$B244="SALDO INICIAL",MOVIMIENTOS!$C244="Chancho"))),IF(MOVIMIENTOS!$B244="RECHAZO",MOVIMIENTOS!$E244&amp;" jabas rechazadas · van a reproceso",IF(MOVIMIENTOS!$B244="REPROCESO",MOVIMIENTOS!$E244&amp;" kg recuperados (merma del día: "&amp;TEXT(SUMPRODUCT((MOVIMIENTOS!$A$5:$A$400=MOVIMIENTOS!$A244)*(MOVIMIENTOS!$B$5:$B$400="RECHAZO")*(MOVIMIENTOS!$D$5:$D$400="jabas")*MOVIMIENTOS!$E$5:$E$400*IFERROR(_xlfn.SWITCH(MOVIMIENTOS!$C$5:$C$400,"A",15,"P",18,"C",17,"M",17,0),0))-SUMPRODUCT((MOVIMIENTOS!$A$5:$A$400=MOVIMIENTOS!$A244)*(MOVIMIENTOS!$B$5:$B$400="REPROCESO")*MOVIMIENTOS!$I$5:$I$400),"+#,##0;-#,##0;0")&amp;" kg)",TRIM(IF(MOVIMIENTOS!$G244&lt;&gt;"",MOVIMIENTOS!$G244&amp;"  ","")&amp;IF(N(MOVIMIENTOS!$D244)&gt;0,MOVIMIENTOS!$D244&amp;" "&amp;MOVIMIENTOS!$D244,"")))),"")</f>
        <v/>
      </c>
      <c r="P245" s="48" t="n">
        <f aca="false">N(P244)+N(M245)-N(N245)</f>
        <v>-290.5</v>
      </c>
      <c r="Q245" s="48"/>
      <c r="R245" s="48"/>
      <c r="S245" s="48"/>
      <c r="T245" s="48"/>
    </row>
    <row r="246" customFormat="false" ht="15" hidden="false" customHeight="true" outlineLevel="0" collapsed="false">
      <c r="A246" s="51" t="str">
        <f aca="false">IFERROR(INDEX(K$6:K$401,MATCH(ROW()-5,J$6:J$401,0)),"")</f>
        <v/>
      </c>
      <c r="B246" s="56" t="str">
        <f aca="false">IFERROR(INDEX(L$6:L$401,MATCH(ROW()-5,J$6:J$401,0)),"")</f>
        <v/>
      </c>
      <c r="C246" s="52" t="str">
        <f aca="false">IFERROR(INDEX(M$6:M$401,MATCH(ROW()-5,J$6:J$401,0)),"")</f>
        <v/>
      </c>
      <c r="D246" s="52" t="str">
        <f aca="false">IFERROR(INDEX(N$6:N$401,MATCH(ROW()-5,J$6:J$401,0)),"")</f>
        <v/>
      </c>
      <c r="E246" s="56" t="str">
        <f aca="false">IFERROR(INDEX(O$6:O$401,MATCH(ROW()-5,J$6:J$401,0)),"")</f>
        <v/>
      </c>
      <c r="F246" s="52" t="str">
        <f aca="false">IFERROR(INDEX(P$6:P$401,MATCH(ROW()-5,J$6:J$401,0)),"")</f>
        <v/>
      </c>
      <c r="G246" s="48"/>
      <c r="H246" s="48"/>
      <c r="I246" s="48"/>
      <c r="J246" s="48" t="str">
        <f aca="false">IF(AND(MOVIMIENTOS!$B245&lt;&gt;"",NOT(AND(MOVIMIENTOS!$B245="PROCESO",MOVIMIENTOS!$C245&lt;&gt;"Chancho")),NOT(AND(MOVIMIENTOS!$B245="SALDO INICIAL",MOVIMIENTOS!$C245="Chancho"))),COUNT(J$6:J245)+1,"")</f>
        <v/>
      </c>
      <c r="K246" s="48" t="str">
        <f aca="false">IF(AND(MOVIMIENTOS!$B245&lt;&gt;"",NOT(AND(MOVIMIENTOS!$B245="PROCESO",MOVIMIENTOS!$C245&lt;&gt;"Chancho")),NOT(AND(MOVIMIENTOS!$B245="SALDO INICIAL",MOVIMIENTOS!$C245="Chancho"))),MOVIMIENTOS!$A245,"")</f>
        <v/>
      </c>
      <c r="L246" s="48" t="str">
        <f aca="false">IF(AND(MOVIMIENTOS!$B245&lt;&gt;"",NOT(AND(MOVIMIENTOS!$B245="PROCESO",MOVIMIENTOS!$C245&lt;&gt;"Chancho")),NOT(AND(MOVIMIENTOS!$B245="SALDO INICIAL",MOVIMIENTOS!$C245="Chancho"))),IF(MOVIMIENTOS!$B245="SALDO INICIAL","APERTURA ("&amp;MOVIMIENTOS!$C245&amp;")",IF(MOVIMIENTOS!$B245="COMPRA","INGRESO (compra)",IF(MOVIMIENTOS!$B245="PROCESO","CHANCHO (proceso)",IF(MOVIMIENTOS!$B245="ENVÍO A SUPESA","ENVÍO cal. "&amp;MOVIMIENTOS!$C245,IF(MOVIMIENTOS!$B245="VENTA CHANCHO","VENTA CHANCHO",IF(MOVIMIENTOS!$B245="VENTA","VENTA cal. "&amp;MOVIMIENTOS!$C245,IF(MOVIMIENTOS!$B245="REGALO","REGALO "&amp;MOVIMIENTOS!$C245,IF(MOVIMIENTOS!$B245="RECHAZO","RECHAZO cal. "&amp;MOVIMIENTOS!$C245&amp;" (va a reproceso)",IF(MOVIMIENTOS!$B245="DEVOLUCIÓN","DEVOLUCIÓN cal. "&amp;MOVIMIENTOS!$C245&amp;" (regresa intacta)",IF(MOVIMIENTOS!$B245="TRASIEGO","TRASIEGO cal. "&amp;MOVIMIENTOS!$C245,MOVIMIENTOS!$B245)))))))))),"")</f>
        <v/>
      </c>
      <c r="M246" s="48" t="str">
        <f aca="false">IF(AND(AND(MOVIMIENTOS!$B245&lt;&gt;"",NOT(AND(MOVIMIENTOS!$B245="PROCESO",MOVIMIENTOS!$C245&lt;&gt;"Chancho")),NOT(AND(MOVIMIENTOS!$B245="SALDO INICIAL",MOVIMIENTOS!$C245="Chancho"))),OR(MOVIMIENTOS!$B245="SALDO INICIAL",MOVIMIENTOS!$B245="COMPRA",MOVIMIENTOS!$B245="REPROCESO",MOVIMIENTOS!$B245="DEVOLUCIÓN",AND(MOVIMIENTOS!$B245="AJUSTE",MOVIMIENTOS!$C245&lt;&gt;"Chancho",N(MOVIMIENTOS!$F245)&gt;=0))),N(MOVIMIENTOS!$F245),"")</f>
        <v/>
      </c>
      <c r="N246" s="48" t="str">
        <f aca="false">IF(AND(AND(MOVIMIENTOS!$B245&lt;&gt;"",NOT(AND(MOVIMIENTOS!$B245="PROCESO",MOVIMIENTOS!$C245&lt;&gt;"Chancho")),NOT(AND(MOVIMIENTOS!$B245="SALDO INICIAL",MOVIMIENTOS!$C245="Chancho"))),OR(MOVIMIENTOS!$B245="ENVÍO A SUPESA",MOVIMIENTOS!$B245="MALOGRADO",MOVIMIENTOS!$B245="OTRA SALIDA",MOVIMIENTOS!$B245="TRASIEGO",AND(MOVIMIENTOS!$B245="PROCESO",MOVIMIENTOS!$C245="Chancho"),AND(MOVIMIENTOS!$B245="REGALO",MOVIMIENTOS!$C245&lt;&gt;"Chancho"),AND(MOVIMIENTOS!$B245="VENTA",MOVIMIENTOS!$C245&lt;&gt;"Chancho"),AND(MOVIMIENTOS!$B245="AJUSTE",MOVIMIENTOS!$C245&lt;&gt;"Chancho",N(MOVIMIENTOS!$F245)&lt;0))),IF(MOVIMIENTOS!$B245="AJUSTE",-N(MOVIMIENTOS!$F245),N(MOVIMIENTOS!$F245)),"")</f>
        <v/>
      </c>
      <c r="O246" s="48" t="str">
        <f aca="false">IF(AND(MOVIMIENTOS!$B245&lt;&gt;"",NOT(AND(MOVIMIENTOS!$B245="PROCESO",MOVIMIENTOS!$C245&lt;&gt;"Chancho")),NOT(AND(MOVIMIENTOS!$B245="SALDO INICIAL",MOVIMIENTOS!$C245="Chancho"))),IF(MOVIMIENTOS!$B245="RECHAZO",MOVIMIENTOS!$E245&amp;" jabas rechazadas · van a reproceso",IF(MOVIMIENTOS!$B245="REPROCESO",MOVIMIENTOS!$E245&amp;" kg recuperados (merma del día: "&amp;TEXT(SUMPRODUCT((MOVIMIENTOS!$A$5:$A$400=MOVIMIENTOS!$A245)*(MOVIMIENTOS!$B$5:$B$400="RECHAZO")*(MOVIMIENTOS!$D$5:$D$400="jabas")*MOVIMIENTOS!$E$5:$E$400*IFERROR(_xlfn.SWITCH(MOVIMIENTOS!$C$5:$C$400,"A",15,"P",18,"C",17,"M",17,0),0))-SUMPRODUCT((MOVIMIENTOS!$A$5:$A$400=MOVIMIENTOS!$A245)*(MOVIMIENTOS!$B$5:$B$400="REPROCESO")*MOVIMIENTOS!$I$5:$I$400),"+#,##0;-#,##0;0")&amp;" kg)",TRIM(IF(MOVIMIENTOS!$G245&lt;&gt;"",MOVIMIENTOS!$G245&amp;"  ","")&amp;IF(N(MOVIMIENTOS!$D245)&gt;0,MOVIMIENTOS!$D245&amp;" "&amp;MOVIMIENTOS!$D245,"")))),"")</f>
        <v/>
      </c>
      <c r="P246" s="48" t="n">
        <f aca="false">N(P245)+N(M246)-N(N246)</f>
        <v>-290.5</v>
      </c>
      <c r="Q246" s="48"/>
      <c r="R246" s="48"/>
      <c r="S246" s="48"/>
      <c r="T246" s="48"/>
    </row>
    <row r="247" customFormat="false" ht="15" hidden="false" customHeight="true" outlineLevel="0" collapsed="false">
      <c r="A247" s="51" t="str">
        <f aca="false">IFERROR(INDEX(K$6:K$401,MATCH(ROW()-5,J$6:J$401,0)),"")</f>
        <v/>
      </c>
      <c r="B247" s="56" t="str">
        <f aca="false">IFERROR(INDEX(L$6:L$401,MATCH(ROW()-5,J$6:J$401,0)),"")</f>
        <v/>
      </c>
      <c r="C247" s="52" t="str">
        <f aca="false">IFERROR(INDEX(M$6:M$401,MATCH(ROW()-5,J$6:J$401,0)),"")</f>
        <v/>
      </c>
      <c r="D247" s="52" t="str">
        <f aca="false">IFERROR(INDEX(N$6:N$401,MATCH(ROW()-5,J$6:J$401,0)),"")</f>
        <v/>
      </c>
      <c r="E247" s="56" t="str">
        <f aca="false">IFERROR(INDEX(O$6:O$401,MATCH(ROW()-5,J$6:J$401,0)),"")</f>
        <v/>
      </c>
      <c r="F247" s="52" t="str">
        <f aca="false">IFERROR(INDEX(P$6:P$401,MATCH(ROW()-5,J$6:J$401,0)),"")</f>
        <v/>
      </c>
      <c r="G247" s="48"/>
      <c r="H247" s="48"/>
      <c r="I247" s="48"/>
      <c r="J247" s="48" t="str">
        <f aca="false">IF(AND(MOVIMIENTOS!$B246&lt;&gt;"",NOT(AND(MOVIMIENTOS!$B246="PROCESO",MOVIMIENTOS!$C246&lt;&gt;"Chancho")),NOT(AND(MOVIMIENTOS!$B246="SALDO INICIAL",MOVIMIENTOS!$C246="Chancho"))),COUNT(J$6:J246)+1,"")</f>
        <v/>
      </c>
      <c r="K247" s="48" t="str">
        <f aca="false">IF(AND(MOVIMIENTOS!$B246&lt;&gt;"",NOT(AND(MOVIMIENTOS!$B246="PROCESO",MOVIMIENTOS!$C246&lt;&gt;"Chancho")),NOT(AND(MOVIMIENTOS!$B246="SALDO INICIAL",MOVIMIENTOS!$C246="Chancho"))),MOVIMIENTOS!$A246,"")</f>
        <v/>
      </c>
      <c r="L247" s="48" t="str">
        <f aca="false">IF(AND(MOVIMIENTOS!$B246&lt;&gt;"",NOT(AND(MOVIMIENTOS!$B246="PROCESO",MOVIMIENTOS!$C246&lt;&gt;"Chancho")),NOT(AND(MOVIMIENTOS!$B246="SALDO INICIAL",MOVIMIENTOS!$C246="Chancho"))),IF(MOVIMIENTOS!$B246="SALDO INICIAL","APERTURA ("&amp;MOVIMIENTOS!$C246&amp;")",IF(MOVIMIENTOS!$B246="COMPRA","INGRESO (compra)",IF(MOVIMIENTOS!$B246="PROCESO","CHANCHO (proceso)",IF(MOVIMIENTOS!$B246="ENVÍO A SUPESA","ENVÍO cal. "&amp;MOVIMIENTOS!$C246,IF(MOVIMIENTOS!$B246="VENTA CHANCHO","VENTA CHANCHO",IF(MOVIMIENTOS!$B246="VENTA","VENTA cal. "&amp;MOVIMIENTOS!$C246,IF(MOVIMIENTOS!$B246="REGALO","REGALO "&amp;MOVIMIENTOS!$C246,IF(MOVIMIENTOS!$B246="RECHAZO","RECHAZO cal. "&amp;MOVIMIENTOS!$C246&amp;" (va a reproceso)",IF(MOVIMIENTOS!$B246="DEVOLUCIÓN","DEVOLUCIÓN cal. "&amp;MOVIMIENTOS!$C246&amp;" (regresa intacta)",IF(MOVIMIENTOS!$B246="TRASIEGO","TRASIEGO cal. "&amp;MOVIMIENTOS!$C246,MOVIMIENTOS!$B246)))))))))),"")</f>
        <v/>
      </c>
      <c r="M247" s="48" t="str">
        <f aca="false">IF(AND(AND(MOVIMIENTOS!$B246&lt;&gt;"",NOT(AND(MOVIMIENTOS!$B246="PROCESO",MOVIMIENTOS!$C246&lt;&gt;"Chancho")),NOT(AND(MOVIMIENTOS!$B246="SALDO INICIAL",MOVIMIENTOS!$C246="Chancho"))),OR(MOVIMIENTOS!$B246="SALDO INICIAL",MOVIMIENTOS!$B246="COMPRA",MOVIMIENTOS!$B246="REPROCESO",MOVIMIENTOS!$B246="DEVOLUCIÓN",AND(MOVIMIENTOS!$B246="AJUSTE",MOVIMIENTOS!$C246&lt;&gt;"Chancho",N(MOVIMIENTOS!$F246)&gt;=0))),N(MOVIMIENTOS!$F246),"")</f>
        <v/>
      </c>
      <c r="N247" s="48" t="str">
        <f aca="false">IF(AND(AND(MOVIMIENTOS!$B246&lt;&gt;"",NOT(AND(MOVIMIENTOS!$B246="PROCESO",MOVIMIENTOS!$C246&lt;&gt;"Chancho")),NOT(AND(MOVIMIENTOS!$B246="SALDO INICIAL",MOVIMIENTOS!$C246="Chancho"))),OR(MOVIMIENTOS!$B246="ENVÍO A SUPESA",MOVIMIENTOS!$B246="MALOGRADO",MOVIMIENTOS!$B246="OTRA SALIDA",MOVIMIENTOS!$B246="TRASIEGO",AND(MOVIMIENTOS!$B246="PROCESO",MOVIMIENTOS!$C246="Chancho"),AND(MOVIMIENTOS!$B246="REGALO",MOVIMIENTOS!$C246&lt;&gt;"Chancho"),AND(MOVIMIENTOS!$B246="VENTA",MOVIMIENTOS!$C246&lt;&gt;"Chancho"),AND(MOVIMIENTOS!$B246="AJUSTE",MOVIMIENTOS!$C246&lt;&gt;"Chancho",N(MOVIMIENTOS!$F246)&lt;0))),IF(MOVIMIENTOS!$B246="AJUSTE",-N(MOVIMIENTOS!$F246),N(MOVIMIENTOS!$F246)),"")</f>
        <v/>
      </c>
      <c r="O247" s="48" t="str">
        <f aca="false">IF(AND(MOVIMIENTOS!$B246&lt;&gt;"",NOT(AND(MOVIMIENTOS!$B246="PROCESO",MOVIMIENTOS!$C246&lt;&gt;"Chancho")),NOT(AND(MOVIMIENTOS!$B246="SALDO INICIAL",MOVIMIENTOS!$C246="Chancho"))),IF(MOVIMIENTOS!$B246="RECHAZO",MOVIMIENTOS!$E246&amp;" jabas rechazadas · van a reproceso",IF(MOVIMIENTOS!$B246="REPROCESO",MOVIMIENTOS!$E246&amp;" kg recuperados (merma del día: "&amp;TEXT(SUMPRODUCT((MOVIMIENTOS!$A$5:$A$400=MOVIMIENTOS!$A246)*(MOVIMIENTOS!$B$5:$B$400="RECHAZO")*(MOVIMIENTOS!$D$5:$D$400="jabas")*MOVIMIENTOS!$E$5:$E$400*IFERROR(_xlfn.SWITCH(MOVIMIENTOS!$C$5:$C$400,"A",15,"P",18,"C",17,"M",17,0),0))-SUMPRODUCT((MOVIMIENTOS!$A$5:$A$400=MOVIMIENTOS!$A246)*(MOVIMIENTOS!$B$5:$B$400="REPROCESO")*MOVIMIENTOS!$I$5:$I$400),"+#,##0;-#,##0;0")&amp;" kg)",TRIM(IF(MOVIMIENTOS!$G246&lt;&gt;"",MOVIMIENTOS!$G246&amp;"  ","")&amp;IF(N(MOVIMIENTOS!$D246)&gt;0,MOVIMIENTOS!$D246&amp;" "&amp;MOVIMIENTOS!$D246,"")))),"")</f>
        <v/>
      </c>
      <c r="P247" s="48" t="n">
        <f aca="false">N(P246)+N(M247)-N(N247)</f>
        <v>-290.5</v>
      </c>
      <c r="Q247" s="48"/>
      <c r="R247" s="48"/>
      <c r="S247" s="48"/>
      <c r="T247" s="48"/>
    </row>
    <row r="248" customFormat="false" ht="15" hidden="false" customHeight="true" outlineLevel="0" collapsed="false">
      <c r="A248" s="51" t="str">
        <f aca="false">IFERROR(INDEX(K$6:K$401,MATCH(ROW()-5,J$6:J$401,0)),"")</f>
        <v/>
      </c>
      <c r="B248" s="56" t="str">
        <f aca="false">IFERROR(INDEX(L$6:L$401,MATCH(ROW()-5,J$6:J$401,0)),"")</f>
        <v/>
      </c>
      <c r="C248" s="52" t="str">
        <f aca="false">IFERROR(INDEX(M$6:M$401,MATCH(ROW()-5,J$6:J$401,0)),"")</f>
        <v/>
      </c>
      <c r="D248" s="52" t="str">
        <f aca="false">IFERROR(INDEX(N$6:N$401,MATCH(ROW()-5,J$6:J$401,0)),"")</f>
        <v/>
      </c>
      <c r="E248" s="56" t="str">
        <f aca="false">IFERROR(INDEX(O$6:O$401,MATCH(ROW()-5,J$6:J$401,0)),"")</f>
        <v/>
      </c>
      <c r="F248" s="52" t="str">
        <f aca="false">IFERROR(INDEX(P$6:P$401,MATCH(ROW()-5,J$6:J$401,0)),"")</f>
        <v/>
      </c>
      <c r="G248" s="48"/>
      <c r="H248" s="48"/>
      <c r="I248" s="48"/>
      <c r="J248" s="48" t="str">
        <f aca="false">IF(AND(MOVIMIENTOS!$B247&lt;&gt;"",NOT(AND(MOVIMIENTOS!$B247="PROCESO",MOVIMIENTOS!$C247&lt;&gt;"Chancho")),NOT(AND(MOVIMIENTOS!$B247="SALDO INICIAL",MOVIMIENTOS!$C247="Chancho"))),COUNT(J$6:J247)+1,"")</f>
        <v/>
      </c>
      <c r="K248" s="48" t="str">
        <f aca="false">IF(AND(MOVIMIENTOS!$B247&lt;&gt;"",NOT(AND(MOVIMIENTOS!$B247="PROCESO",MOVIMIENTOS!$C247&lt;&gt;"Chancho")),NOT(AND(MOVIMIENTOS!$B247="SALDO INICIAL",MOVIMIENTOS!$C247="Chancho"))),MOVIMIENTOS!$A247,"")</f>
        <v/>
      </c>
      <c r="L248" s="48" t="str">
        <f aca="false">IF(AND(MOVIMIENTOS!$B247&lt;&gt;"",NOT(AND(MOVIMIENTOS!$B247="PROCESO",MOVIMIENTOS!$C247&lt;&gt;"Chancho")),NOT(AND(MOVIMIENTOS!$B247="SALDO INICIAL",MOVIMIENTOS!$C247="Chancho"))),IF(MOVIMIENTOS!$B247="SALDO INICIAL","APERTURA ("&amp;MOVIMIENTOS!$C247&amp;")",IF(MOVIMIENTOS!$B247="COMPRA","INGRESO (compra)",IF(MOVIMIENTOS!$B247="PROCESO","CHANCHO (proceso)",IF(MOVIMIENTOS!$B247="ENVÍO A SUPESA","ENVÍO cal. "&amp;MOVIMIENTOS!$C247,IF(MOVIMIENTOS!$B247="VENTA CHANCHO","VENTA CHANCHO",IF(MOVIMIENTOS!$B247="VENTA","VENTA cal. "&amp;MOVIMIENTOS!$C247,IF(MOVIMIENTOS!$B247="REGALO","REGALO "&amp;MOVIMIENTOS!$C247,IF(MOVIMIENTOS!$B247="RECHAZO","RECHAZO cal. "&amp;MOVIMIENTOS!$C247&amp;" (va a reproceso)",IF(MOVIMIENTOS!$B247="DEVOLUCIÓN","DEVOLUCIÓN cal. "&amp;MOVIMIENTOS!$C247&amp;" (regresa intacta)",IF(MOVIMIENTOS!$B247="TRASIEGO","TRASIEGO cal. "&amp;MOVIMIENTOS!$C247,MOVIMIENTOS!$B247)))))))))),"")</f>
        <v/>
      </c>
      <c r="M248" s="48" t="str">
        <f aca="false">IF(AND(AND(MOVIMIENTOS!$B247&lt;&gt;"",NOT(AND(MOVIMIENTOS!$B247="PROCESO",MOVIMIENTOS!$C247&lt;&gt;"Chancho")),NOT(AND(MOVIMIENTOS!$B247="SALDO INICIAL",MOVIMIENTOS!$C247="Chancho"))),OR(MOVIMIENTOS!$B247="SALDO INICIAL",MOVIMIENTOS!$B247="COMPRA",MOVIMIENTOS!$B247="REPROCESO",MOVIMIENTOS!$B247="DEVOLUCIÓN",AND(MOVIMIENTOS!$B247="AJUSTE",MOVIMIENTOS!$C247&lt;&gt;"Chancho",N(MOVIMIENTOS!$F247)&gt;=0))),N(MOVIMIENTOS!$F247),"")</f>
        <v/>
      </c>
      <c r="N248" s="48" t="str">
        <f aca="false">IF(AND(AND(MOVIMIENTOS!$B247&lt;&gt;"",NOT(AND(MOVIMIENTOS!$B247="PROCESO",MOVIMIENTOS!$C247&lt;&gt;"Chancho")),NOT(AND(MOVIMIENTOS!$B247="SALDO INICIAL",MOVIMIENTOS!$C247="Chancho"))),OR(MOVIMIENTOS!$B247="ENVÍO A SUPESA",MOVIMIENTOS!$B247="MALOGRADO",MOVIMIENTOS!$B247="OTRA SALIDA",MOVIMIENTOS!$B247="TRASIEGO",AND(MOVIMIENTOS!$B247="PROCESO",MOVIMIENTOS!$C247="Chancho"),AND(MOVIMIENTOS!$B247="REGALO",MOVIMIENTOS!$C247&lt;&gt;"Chancho"),AND(MOVIMIENTOS!$B247="VENTA",MOVIMIENTOS!$C247&lt;&gt;"Chancho"),AND(MOVIMIENTOS!$B247="AJUSTE",MOVIMIENTOS!$C247&lt;&gt;"Chancho",N(MOVIMIENTOS!$F247)&lt;0))),IF(MOVIMIENTOS!$B247="AJUSTE",-N(MOVIMIENTOS!$F247),N(MOVIMIENTOS!$F247)),"")</f>
        <v/>
      </c>
      <c r="O248" s="48" t="str">
        <f aca="false">IF(AND(MOVIMIENTOS!$B247&lt;&gt;"",NOT(AND(MOVIMIENTOS!$B247="PROCESO",MOVIMIENTOS!$C247&lt;&gt;"Chancho")),NOT(AND(MOVIMIENTOS!$B247="SALDO INICIAL",MOVIMIENTOS!$C247="Chancho"))),IF(MOVIMIENTOS!$B247="RECHAZO",MOVIMIENTOS!$E247&amp;" jabas rechazadas · van a reproceso",IF(MOVIMIENTOS!$B247="REPROCESO",MOVIMIENTOS!$E247&amp;" kg recuperados (merma del día: "&amp;TEXT(SUMPRODUCT((MOVIMIENTOS!$A$5:$A$400=MOVIMIENTOS!$A247)*(MOVIMIENTOS!$B$5:$B$400="RECHAZO")*(MOVIMIENTOS!$D$5:$D$400="jabas")*MOVIMIENTOS!$E$5:$E$400*IFERROR(_xlfn.SWITCH(MOVIMIENTOS!$C$5:$C$400,"A",15,"P",18,"C",17,"M",17,0),0))-SUMPRODUCT((MOVIMIENTOS!$A$5:$A$400=MOVIMIENTOS!$A247)*(MOVIMIENTOS!$B$5:$B$400="REPROCESO")*MOVIMIENTOS!$I$5:$I$400),"+#,##0;-#,##0;0")&amp;" kg)",TRIM(IF(MOVIMIENTOS!$G247&lt;&gt;"",MOVIMIENTOS!$G247&amp;"  ","")&amp;IF(N(MOVIMIENTOS!$D247)&gt;0,MOVIMIENTOS!$D247&amp;" "&amp;MOVIMIENTOS!$D247,"")))),"")</f>
        <v/>
      </c>
      <c r="P248" s="48" t="n">
        <f aca="false">N(P247)+N(M248)-N(N248)</f>
        <v>-290.5</v>
      </c>
      <c r="Q248" s="48"/>
      <c r="R248" s="48"/>
      <c r="S248" s="48"/>
      <c r="T248" s="48"/>
    </row>
    <row r="249" customFormat="false" ht="15" hidden="false" customHeight="true" outlineLevel="0" collapsed="false">
      <c r="A249" s="51" t="str">
        <f aca="false">IFERROR(INDEX(K$6:K$401,MATCH(ROW()-5,J$6:J$401,0)),"")</f>
        <v/>
      </c>
      <c r="B249" s="56" t="str">
        <f aca="false">IFERROR(INDEX(L$6:L$401,MATCH(ROW()-5,J$6:J$401,0)),"")</f>
        <v/>
      </c>
      <c r="C249" s="52" t="str">
        <f aca="false">IFERROR(INDEX(M$6:M$401,MATCH(ROW()-5,J$6:J$401,0)),"")</f>
        <v/>
      </c>
      <c r="D249" s="52" t="str">
        <f aca="false">IFERROR(INDEX(N$6:N$401,MATCH(ROW()-5,J$6:J$401,0)),"")</f>
        <v/>
      </c>
      <c r="E249" s="56" t="str">
        <f aca="false">IFERROR(INDEX(O$6:O$401,MATCH(ROW()-5,J$6:J$401,0)),"")</f>
        <v/>
      </c>
      <c r="F249" s="52" t="str">
        <f aca="false">IFERROR(INDEX(P$6:P$401,MATCH(ROW()-5,J$6:J$401,0)),"")</f>
        <v/>
      </c>
      <c r="G249" s="48"/>
      <c r="H249" s="48"/>
      <c r="I249" s="48"/>
      <c r="J249" s="48" t="str">
        <f aca="false">IF(AND(MOVIMIENTOS!$B248&lt;&gt;"",NOT(AND(MOVIMIENTOS!$B248="PROCESO",MOVIMIENTOS!$C248&lt;&gt;"Chancho")),NOT(AND(MOVIMIENTOS!$B248="SALDO INICIAL",MOVIMIENTOS!$C248="Chancho"))),COUNT(J$6:J248)+1,"")</f>
        <v/>
      </c>
      <c r="K249" s="48" t="str">
        <f aca="false">IF(AND(MOVIMIENTOS!$B248&lt;&gt;"",NOT(AND(MOVIMIENTOS!$B248="PROCESO",MOVIMIENTOS!$C248&lt;&gt;"Chancho")),NOT(AND(MOVIMIENTOS!$B248="SALDO INICIAL",MOVIMIENTOS!$C248="Chancho"))),MOVIMIENTOS!$A248,"")</f>
        <v/>
      </c>
      <c r="L249" s="48" t="str">
        <f aca="false">IF(AND(MOVIMIENTOS!$B248&lt;&gt;"",NOT(AND(MOVIMIENTOS!$B248="PROCESO",MOVIMIENTOS!$C248&lt;&gt;"Chancho")),NOT(AND(MOVIMIENTOS!$B248="SALDO INICIAL",MOVIMIENTOS!$C248="Chancho"))),IF(MOVIMIENTOS!$B248="SALDO INICIAL","APERTURA ("&amp;MOVIMIENTOS!$C248&amp;")",IF(MOVIMIENTOS!$B248="COMPRA","INGRESO (compra)",IF(MOVIMIENTOS!$B248="PROCESO","CHANCHO (proceso)",IF(MOVIMIENTOS!$B248="ENVÍO A SUPESA","ENVÍO cal. "&amp;MOVIMIENTOS!$C248,IF(MOVIMIENTOS!$B248="VENTA CHANCHO","VENTA CHANCHO",IF(MOVIMIENTOS!$B248="VENTA","VENTA cal. "&amp;MOVIMIENTOS!$C248,IF(MOVIMIENTOS!$B248="REGALO","REGALO "&amp;MOVIMIENTOS!$C248,IF(MOVIMIENTOS!$B248="RECHAZO","RECHAZO cal. "&amp;MOVIMIENTOS!$C248&amp;" (va a reproceso)",IF(MOVIMIENTOS!$B248="DEVOLUCIÓN","DEVOLUCIÓN cal. "&amp;MOVIMIENTOS!$C248&amp;" (regresa intacta)",IF(MOVIMIENTOS!$B248="TRASIEGO","TRASIEGO cal. "&amp;MOVIMIENTOS!$C248,MOVIMIENTOS!$B248)))))))))),"")</f>
        <v/>
      </c>
      <c r="M249" s="48" t="str">
        <f aca="false">IF(AND(AND(MOVIMIENTOS!$B248&lt;&gt;"",NOT(AND(MOVIMIENTOS!$B248="PROCESO",MOVIMIENTOS!$C248&lt;&gt;"Chancho")),NOT(AND(MOVIMIENTOS!$B248="SALDO INICIAL",MOVIMIENTOS!$C248="Chancho"))),OR(MOVIMIENTOS!$B248="SALDO INICIAL",MOVIMIENTOS!$B248="COMPRA",MOVIMIENTOS!$B248="REPROCESO",MOVIMIENTOS!$B248="DEVOLUCIÓN",AND(MOVIMIENTOS!$B248="AJUSTE",MOVIMIENTOS!$C248&lt;&gt;"Chancho",N(MOVIMIENTOS!$F248)&gt;=0))),N(MOVIMIENTOS!$F248),"")</f>
        <v/>
      </c>
      <c r="N249" s="48" t="str">
        <f aca="false">IF(AND(AND(MOVIMIENTOS!$B248&lt;&gt;"",NOT(AND(MOVIMIENTOS!$B248="PROCESO",MOVIMIENTOS!$C248&lt;&gt;"Chancho")),NOT(AND(MOVIMIENTOS!$B248="SALDO INICIAL",MOVIMIENTOS!$C248="Chancho"))),OR(MOVIMIENTOS!$B248="ENVÍO A SUPESA",MOVIMIENTOS!$B248="MALOGRADO",MOVIMIENTOS!$B248="OTRA SALIDA",MOVIMIENTOS!$B248="TRASIEGO",AND(MOVIMIENTOS!$B248="PROCESO",MOVIMIENTOS!$C248="Chancho"),AND(MOVIMIENTOS!$B248="REGALO",MOVIMIENTOS!$C248&lt;&gt;"Chancho"),AND(MOVIMIENTOS!$B248="VENTA",MOVIMIENTOS!$C248&lt;&gt;"Chancho"),AND(MOVIMIENTOS!$B248="AJUSTE",MOVIMIENTOS!$C248&lt;&gt;"Chancho",N(MOVIMIENTOS!$F248)&lt;0))),IF(MOVIMIENTOS!$B248="AJUSTE",-N(MOVIMIENTOS!$F248),N(MOVIMIENTOS!$F248)),"")</f>
        <v/>
      </c>
      <c r="O249" s="48" t="str">
        <f aca="false">IF(AND(MOVIMIENTOS!$B248&lt;&gt;"",NOT(AND(MOVIMIENTOS!$B248="PROCESO",MOVIMIENTOS!$C248&lt;&gt;"Chancho")),NOT(AND(MOVIMIENTOS!$B248="SALDO INICIAL",MOVIMIENTOS!$C248="Chancho"))),IF(MOVIMIENTOS!$B248="RECHAZO",MOVIMIENTOS!$E248&amp;" jabas rechazadas · van a reproceso",IF(MOVIMIENTOS!$B248="REPROCESO",MOVIMIENTOS!$E248&amp;" kg recuperados (merma del día: "&amp;TEXT(SUMPRODUCT((MOVIMIENTOS!$A$5:$A$400=MOVIMIENTOS!$A248)*(MOVIMIENTOS!$B$5:$B$400="RECHAZO")*(MOVIMIENTOS!$D$5:$D$400="jabas")*MOVIMIENTOS!$E$5:$E$400*IFERROR(_xlfn.SWITCH(MOVIMIENTOS!$C$5:$C$400,"A",15,"P",18,"C",17,"M",17,0),0))-SUMPRODUCT((MOVIMIENTOS!$A$5:$A$400=MOVIMIENTOS!$A248)*(MOVIMIENTOS!$B$5:$B$400="REPROCESO")*MOVIMIENTOS!$I$5:$I$400),"+#,##0;-#,##0;0")&amp;" kg)",TRIM(IF(MOVIMIENTOS!$G248&lt;&gt;"",MOVIMIENTOS!$G248&amp;"  ","")&amp;IF(N(MOVIMIENTOS!$D248)&gt;0,MOVIMIENTOS!$D248&amp;" "&amp;MOVIMIENTOS!$D248,"")))),"")</f>
        <v/>
      </c>
      <c r="P249" s="48" t="n">
        <f aca="false">N(P248)+N(M249)-N(N249)</f>
        <v>-290.5</v>
      </c>
      <c r="Q249" s="48"/>
      <c r="R249" s="48"/>
      <c r="S249" s="48"/>
      <c r="T249" s="48"/>
    </row>
    <row r="250" customFormat="false" ht="15" hidden="false" customHeight="true" outlineLevel="0" collapsed="false">
      <c r="A250" s="51" t="str">
        <f aca="false">IFERROR(INDEX(K$6:K$401,MATCH(ROW()-5,J$6:J$401,0)),"")</f>
        <v/>
      </c>
      <c r="B250" s="56" t="str">
        <f aca="false">IFERROR(INDEX(L$6:L$401,MATCH(ROW()-5,J$6:J$401,0)),"")</f>
        <v/>
      </c>
      <c r="C250" s="52" t="str">
        <f aca="false">IFERROR(INDEX(M$6:M$401,MATCH(ROW()-5,J$6:J$401,0)),"")</f>
        <v/>
      </c>
      <c r="D250" s="52" t="str">
        <f aca="false">IFERROR(INDEX(N$6:N$401,MATCH(ROW()-5,J$6:J$401,0)),"")</f>
        <v/>
      </c>
      <c r="E250" s="56" t="str">
        <f aca="false">IFERROR(INDEX(O$6:O$401,MATCH(ROW()-5,J$6:J$401,0)),"")</f>
        <v/>
      </c>
      <c r="F250" s="52" t="str">
        <f aca="false">IFERROR(INDEX(P$6:P$401,MATCH(ROW()-5,J$6:J$401,0)),"")</f>
        <v/>
      </c>
      <c r="G250" s="48"/>
      <c r="H250" s="48"/>
      <c r="I250" s="48"/>
      <c r="J250" s="48" t="str">
        <f aca="false">IF(AND(MOVIMIENTOS!$B249&lt;&gt;"",NOT(AND(MOVIMIENTOS!$B249="PROCESO",MOVIMIENTOS!$C249&lt;&gt;"Chancho")),NOT(AND(MOVIMIENTOS!$B249="SALDO INICIAL",MOVIMIENTOS!$C249="Chancho"))),COUNT(J$6:J249)+1,"")</f>
        <v/>
      </c>
      <c r="K250" s="48" t="str">
        <f aca="false">IF(AND(MOVIMIENTOS!$B249&lt;&gt;"",NOT(AND(MOVIMIENTOS!$B249="PROCESO",MOVIMIENTOS!$C249&lt;&gt;"Chancho")),NOT(AND(MOVIMIENTOS!$B249="SALDO INICIAL",MOVIMIENTOS!$C249="Chancho"))),MOVIMIENTOS!$A249,"")</f>
        <v/>
      </c>
      <c r="L250" s="48" t="str">
        <f aca="false">IF(AND(MOVIMIENTOS!$B249&lt;&gt;"",NOT(AND(MOVIMIENTOS!$B249="PROCESO",MOVIMIENTOS!$C249&lt;&gt;"Chancho")),NOT(AND(MOVIMIENTOS!$B249="SALDO INICIAL",MOVIMIENTOS!$C249="Chancho"))),IF(MOVIMIENTOS!$B249="SALDO INICIAL","APERTURA ("&amp;MOVIMIENTOS!$C249&amp;")",IF(MOVIMIENTOS!$B249="COMPRA","INGRESO (compra)",IF(MOVIMIENTOS!$B249="PROCESO","CHANCHO (proceso)",IF(MOVIMIENTOS!$B249="ENVÍO A SUPESA","ENVÍO cal. "&amp;MOVIMIENTOS!$C249,IF(MOVIMIENTOS!$B249="VENTA CHANCHO","VENTA CHANCHO",IF(MOVIMIENTOS!$B249="VENTA","VENTA cal. "&amp;MOVIMIENTOS!$C249,IF(MOVIMIENTOS!$B249="REGALO","REGALO "&amp;MOVIMIENTOS!$C249,IF(MOVIMIENTOS!$B249="RECHAZO","RECHAZO cal. "&amp;MOVIMIENTOS!$C249&amp;" (va a reproceso)",IF(MOVIMIENTOS!$B249="DEVOLUCIÓN","DEVOLUCIÓN cal. "&amp;MOVIMIENTOS!$C249&amp;" (regresa intacta)",IF(MOVIMIENTOS!$B249="TRASIEGO","TRASIEGO cal. "&amp;MOVIMIENTOS!$C249,MOVIMIENTOS!$B249)))))))))),"")</f>
        <v/>
      </c>
      <c r="M250" s="48" t="str">
        <f aca="false">IF(AND(AND(MOVIMIENTOS!$B249&lt;&gt;"",NOT(AND(MOVIMIENTOS!$B249="PROCESO",MOVIMIENTOS!$C249&lt;&gt;"Chancho")),NOT(AND(MOVIMIENTOS!$B249="SALDO INICIAL",MOVIMIENTOS!$C249="Chancho"))),OR(MOVIMIENTOS!$B249="SALDO INICIAL",MOVIMIENTOS!$B249="COMPRA",MOVIMIENTOS!$B249="REPROCESO",MOVIMIENTOS!$B249="DEVOLUCIÓN",AND(MOVIMIENTOS!$B249="AJUSTE",MOVIMIENTOS!$C249&lt;&gt;"Chancho",N(MOVIMIENTOS!$F249)&gt;=0))),N(MOVIMIENTOS!$F249),"")</f>
        <v/>
      </c>
      <c r="N250" s="48" t="str">
        <f aca="false">IF(AND(AND(MOVIMIENTOS!$B249&lt;&gt;"",NOT(AND(MOVIMIENTOS!$B249="PROCESO",MOVIMIENTOS!$C249&lt;&gt;"Chancho")),NOT(AND(MOVIMIENTOS!$B249="SALDO INICIAL",MOVIMIENTOS!$C249="Chancho"))),OR(MOVIMIENTOS!$B249="ENVÍO A SUPESA",MOVIMIENTOS!$B249="MALOGRADO",MOVIMIENTOS!$B249="OTRA SALIDA",MOVIMIENTOS!$B249="TRASIEGO",AND(MOVIMIENTOS!$B249="PROCESO",MOVIMIENTOS!$C249="Chancho"),AND(MOVIMIENTOS!$B249="REGALO",MOVIMIENTOS!$C249&lt;&gt;"Chancho"),AND(MOVIMIENTOS!$B249="VENTA",MOVIMIENTOS!$C249&lt;&gt;"Chancho"),AND(MOVIMIENTOS!$B249="AJUSTE",MOVIMIENTOS!$C249&lt;&gt;"Chancho",N(MOVIMIENTOS!$F249)&lt;0))),IF(MOVIMIENTOS!$B249="AJUSTE",-N(MOVIMIENTOS!$F249),N(MOVIMIENTOS!$F249)),"")</f>
        <v/>
      </c>
      <c r="O250" s="48" t="str">
        <f aca="false">IF(AND(MOVIMIENTOS!$B249&lt;&gt;"",NOT(AND(MOVIMIENTOS!$B249="PROCESO",MOVIMIENTOS!$C249&lt;&gt;"Chancho")),NOT(AND(MOVIMIENTOS!$B249="SALDO INICIAL",MOVIMIENTOS!$C249="Chancho"))),IF(MOVIMIENTOS!$B249="RECHAZO",MOVIMIENTOS!$E249&amp;" jabas rechazadas · van a reproceso",IF(MOVIMIENTOS!$B249="REPROCESO",MOVIMIENTOS!$E249&amp;" kg recuperados (merma del día: "&amp;TEXT(SUMPRODUCT((MOVIMIENTOS!$A$5:$A$400=MOVIMIENTOS!$A249)*(MOVIMIENTOS!$B$5:$B$400="RECHAZO")*(MOVIMIENTOS!$D$5:$D$400="jabas")*MOVIMIENTOS!$E$5:$E$400*IFERROR(_xlfn.SWITCH(MOVIMIENTOS!$C$5:$C$400,"A",15,"P",18,"C",17,"M",17,0),0))-SUMPRODUCT((MOVIMIENTOS!$A$5:$A$400=MOVIMIENTOS!$A249)*(MOVIMIENTOS!$B$5:$B$400="REPROCESO")*MOVIMIENTOS!$I$5:$I$400),"+#,##0;-#,##0;0")&amp;" kg)",TRIM(IF(MOVIMIENTOS!$G249&lt;&gt;"",MOVIMIENTOS!$G249&amp;"  ","")&amp;IF(N(MOVIMIENTOS!$D249)&gt;0,MOVIMIENTOS!$D249&amp;" "&amp;MOVIMIENTOS!$D249,"")))),"")</f>
        <v/>
      </c>
      <c r="P250" s="48" t="n">
        <f aca="false">N(P249)+N(M250)-N(N250)</f>
        <v>-290.5</v>
      </c>
      <c r="Q250" s="48"/>
      <c r="R250" s="48"/>
      <c r="S250" s="48"/>
      <c r="T250" s="48"/>
    </row>
    <row r="251" customFormat="false" ht="15" hidden="false" customHeight="true" outlineLevel="0" collapsed="false">
      <c r="A251" s="51" t="str">
        <f aca="false">IFERROR(INDEX(K$6:K$401,MATCH(ROW()-5,J$6:J$401,0)),"")</f>
        <v/>
      </c>
      <c r="B251" s="56" t="str">
        <f aca="false">IFERROR(INDEX(L$6:L$401,MATCH(ROW()-5,J$6:J$401,0)),"")</f>
        <v/>
      </c>
      <c r="C251" s="52" t="str">
        <f aca="false">IFERROR(INDEX(M$6:M$401,MATCH(ROW()-5,J$6:J$401,0)),"")</f>
        <v/>
      </c>
      <c r="D251" s="52" t="str">
        <f aca="false">IFERROR(INDEX(N$6:N$401,MATCH(ROW()-5,J$6:J$401,0)),"")</f>
        <v/>
      </c>
      <c r="E251" s="56" t="str">
        <f aca="false">IFERROR(INDEX(O$6:O$401,MATCH(ROW()-5,J$6:J$401,0)),"")</f>
        <v/>
      </c>
      <c r="F251" s="52" t="str">
        <f aca="false">IFERROR(INDEX(P$6:P$401,MATCH(ROW()-5,J$6:J$401,0)),"")</f>
        <v/>
      </c>
      <c r="G251" s="48"/>
      <c r="H251" s="48"/>
      <c r="I251" s="48"/>
      <c r="J251" s="48" t="str">
        <f aca="false">IF(AND(MOVIMIENTOS!$B250&lt;&gt;"",NOT(AND(MOVIMIENTOS!$B250="PROCESO",MOVIMIENTOS!$C250&lt;&gt;"Chancho")),NOT(AND(MOVIMIENTOS!$B250="SALDO INICIAL",MOVIMIENTOS!$C250="Chancho"))),COUNT(J$6:J250)+1,"")</f>
        <v/>
      </c>
      <c r="K251" s="48" t="str">
        <f aca="false">IF(AND(MOVIMIENTOS!$B250&lt;&gt;"",NOT(AND(MOVIMIENTOS!$B250="PROCESO",MOVIMIENTOS!$C250&lt;&gt;"Chancho")),NOT(AND(MOVIMIENTOS!$B250="SALDO INICIAL",MOVIMIENTOS!$C250="Chancho"))),MOVIMIENTOS!$A250,"")</f>
        <v/>
      </c>
      <c r="L251" s="48" t="str">
        <f aca="false">IF(AND(MOVIMIENTOS!$B250&lt;&gt;"",NOT(AND(MOVIMIENTOS!$B250="PROCESO",MOVIMIENTOS!$C250&lt;&gt;"Chancho")),NOT(AND(MOVIMIENTOS!$B250="SALDO INICIAL",MOVIMIENTOS!$C250="Chancho"))),IF(MOVIMIENTOS!$B250="SALDO INICIAL","APERTURA ("&amp;MOVIMIENTOS!$C250&amp;")",IF(MOVIMIENTOS!$B250="COMPRA","INGRESO (compra)",IF(MOVIMIENTOS!$B250="PROCESO","CHANCHO (proceso)",IF(MOVIMIENTOS!$B250="ENVÍO A SUPESA","ENVÍO cal. "&amp;MOVIMIENTOS!$C250,IF(MOVIMIENTOS!$B250="VENTA CHANCHO","VENTA CHANCHO",IF(MOVIMIENTOS!$B250="VENTA","VENTA cal. "&amp;MOVIMIENTOS!$C250,IF(MOVIMIENTOS!$B250="REGALO","REGALO "&amp;MOVIMIENTOS!$C250,IF(MOVIMIENTOS!$B250="RECHAZO","RECHAZO cal. "&amp;MOVIMIENTOS!$C250&amp;" (va a reproceso)",IF(MOVIMIENTOS!$B250="DEVOLUCIÓN","DEVOLUCIÓN cal. "&amp;MOVIMIENTOS!$C250&amp;" (regresa intacta)",IF(MOVIMIENTOS!$B250="TRASIEGO","TRASIEGO cal. "&amp;MOVIMIENTOS!$C250,MOVIMIENTOS!$B250)))))))))),"")</f>
        <v/>
      </c>
      <c r="M251" s="48" t="str">
        <f aca="false">IF(AND(AND(MOVIMIENTOS!$B250&lt;&gt;"",NOT(AND(MOVIMIENTOS!$B250="PROCESO",MOVIMIENTOS!$C250&lt;&gt;"Chancho")),NOT(AND(MOVIMIENTOS!$B250="SALDO INICIAL",MOVIMIENTOS!$C250="Chancho"))),OR(MOVIMIENTOS!$B250="SALDO INICIAL",MOVIMIENTOS!$B250="COMPRA",MOVIMIENTOS!$B250="REPROCESO",MOVIMIENTOS!$B250="DEVOLUCIÓN",AND(MOVIMIENTOS!$B250="AJUSTE",MOVIMIENTOS!$C250&lt;&gt;"Chancho",N(MOVIMIENTOS!$F250)&gt;=0))),N(MOVIMIENTOS!$F250),"")</f>
        <v/>
      </c>
      <c r="N251" s="48" t="str">
        <f aca="false">IF(AND(AND(MOVIMIENTOS!$B250&lt;&gt;"",NOT(AND(MOVIMIENTOS!$B250="PROCESO",MOVIMIENTOS!$C250&lt;&gt;"Chancho")),NOT(AND(MOVIMIENTOS!$B250="SALDO INICIAL",MOVIMIENTOS!$C250="Chancho"))),OR(MOVIMIENTOS!$B250="ENVÍO A SUPESA",MOVIMIENTOS!$B250="MALOGRADO",MOVIMIENTOS!$B250="OTRA SALIDA",MOVIMIENTOS!$B250="TRASIEGO",AND(MOVIMIENTOS!$B250="PROCESO",MOVIMIENTOS!$C250="Chancho"),AND(MOVIMIENTOS!$B250="REGALO",MOVIMIENTOS!$C250&lt;&gt;"Chancho"),AND(MOVIMIENTOS!$B250="VENTA",MOVIMIENTOS!$C250&lt;&gt;"Chancho"),AND(MOVIMIENTOS!$B250="AJUSTE",MOVIMIENTOS!$C250&lt;&gt;"Chancho",N(MOVIMIENTOS!$F250)&lt;0))),IF(MOVIMIENTOS!$B250="AJUSTE",-N(MOVIMIENTOS!$F250),N(MOVIMIENTOS!$F250)),"")</f>
        <v/>
      </c>
      <c r="O251" s="48" t="str">
        <f aca="false">IF(AND(MOVIMIENTOS!$B250&lt;&gt;"",NOT(AND(MOVIMIENTOS!$B250="PROCESO",MOVIMIENTOS!$C250&lt;&gt;"Chancho")),NOT(AND(MOVIMIENTOS!$B250="SALDO INICIAL",MOVIMIENTOS!$C250="Chancho"))),IF(MOVIMIENTOS!$B250="RECHAZO",MOVIMIENTOS!$E250&amp;" jabas rechazadas · van a reproceso",IF(MOVIMIENTOS!$B250="REPROCESO",MOVIMIENTOS!$E250&amp;" kg recuperados (merma del día: "&amp;TEXT(SUMPRODUCT((MOVIMIENTOS!$A$5:$A$400=MOVIMIENTOS!$A250)*(MOVIMIENTOS!$B$5:$B$400="RECHAZO")*(MOVIMIENTOS!$D$5:$D$400="jabas")*MOVIMIENTOS!$E$5:$E$400*IFERROR(_xlfn.SWITCH(MOVIMIENTOS!$C$5:$C$400,"A",15,"P",18,"C",17,"M",17,0),0))-SUMPRODUCT((MOVIMIENTOS!$A$5:$A$400=MOVIMIENTOS!$A250)*(MOVIMIENTOS!$B$5:$B$400="REPROCESO")*MOVIMIENTOS!$I$5:$I$400),"+#,##0;-#,##0;0")&amp;" kg)",TRIM(IF(MOVIMIENTOS!$G250&lt;&gt;"",MOVIMIENTOS!$G250&amp;"  ","")&amp;IF(N(MOVIMIENTOS!$D250)&gt;0,MOVIMIENTOS!$D250&amp;" "&amp;MOVIMIENTOS!$D250,"")))),"")</f>
        <v/>
      </c>
      <c r="P251" s="48" t="n">
        <f aca="false">N(P250)+N(M251)-N(N251)</f>
        <v>-290.5</v>
      </c>
      <c r="Q251" s="48"/>
      <c r="R251" s="48"/>
      <c r="S251" s="48"/>
      <c r="T251" s="48"/>
    </row>
    <row r="252" customFormat="false" ht="15" hidden="false" customHeight="true" outlineLevel="0" collapsed="false">
      <c r="A252" s="51" t="str">
        <f aca="false">IFERROR(INDEX(K$6:K$401,MATCH(ROW()-5,J$6:J$401,0)),"")</f>
        <v/>
      </c>
      <c r="B252" s="56" t="str">
        <f aca="false">IFERROR(INDEX(L$6:L$401,MATCH(ROW()-5,J$6:J$401,0)),"")</f>
        <v/>
      </c>
      <c r="C252" s="52" t="str">
        <f aca="false">IFERROR(INDEX(M$6:M$401,MATCH(ROW()-5,J$6:J$401,0)),"")</f>
        <v/>
      </c>
      <c r="D252" s="52" t="str">
        <f aca="false">IFERROR(INDEX(N$6:N$401,MATCH(ROW()-5,J$6:J$401,0)),"")</f>
        <v/>
      </c>
      <c r="E252" s="56" t="str">
        <f aca="false">IFERROR(INDEX(O$6:O$401,MATCH(ROW()-5,J$6:J$401,0)),"")</f>
        <v/>
      </c>
      <c r="F252" s="52" t="str">
        <f aca="false">IFERROR(INDEX(P$6:P$401,MATCH(ROW()-5,J$6:J$401,0)),"")</f>
        <v/>
      </c>
      <c r="G252" s="48"/>
      <c r="H252" s="48"/>
      <c r="I252" s="48"/>
      <c r="J252" s="48" t="str">
        <f aca="false">IF(AND(MOVIMIENTOS!$B251&lt;&gt;"",NOT(AND(MOVIMIENTOS!$B251="PROCESO",MOVIMIENTOS!$C251&lt;&gt;"Chancho")),NOT(AND(MOVIMIENTOS!$B251="SALDO INICIAL",MOVIMIENTOS!$C251="Chancho"))),COUNT(J$6:J251)+1,"")</f>
        <v/>
      </c>
      <c r="K252" s="48" t="str">
        <f aca="false">IF(AND(MOVIMIENTOS!$B251&lt;&gt;"",NOT(AND(MOVIMIENTOS!$B251="PROCESO",MOVIMIENTOS!$C251&lt;&gt;"Chancho")),NOT(AND(MOVIMIENTOS!$B251="SALDO INICIAL",MOVIMIENTOS!$C251="Chancho"))),MOVIMIENTOS!$A251,"")</f>
        <v/>
      </c>
      <c r="L252" s="48" t="str">
        <f aca="false">IF(AND(MOVIMIENTOS!$B251&lt;&gt;"",NOT(AND(MOVIMIENTOS!$B251="PROCESO",MOVIMIENTOS!$C251&lt;&gt;"Chancho")),NOT(AND(MOVIMIENTOS!$B251="SALDO INICIAL",MOVIMIENTOS!$C251="Chancho"))),IF(MOVIMIENTOS!$B251="SALDO INICIAL","APERTURA ("&amp;MOVIMIENTOS!$C251&amp;")",IF(MOVIMIENTOS!$B251="COMPRA","INGRESO (compra)",IF(MOVIMIENTOS!$B251="PROCESO","CHANCHO (proceso)",IF(MOVIMIENTOS!$B251="ENVÍO A SUPESA","ENVÍO cal. "&amp;MOVIMIENTOS!$C251,IF(MOVIMIENTOS!$B251="VENTA CHANCHO","VENTA CHANCHO",IF(MOVIMIENTOS!$B251="VENTA","VENTA cal. "&amp;MOVIMIENTOS!$C251,IF(MOVIMIENTOS!$B251="REGALO","REGALO "&amp;MOVIMIENTOS!$C251,IF(MOVIMIENTOS!$B251="RECHAZO","RECHAZO cal. "&amp;MOVIMIENTOS!$C251&amp;" (va a reproceso)",IF(MOVIMIENTOS!$B251="DEVOLUCIÓN","DEVOLUCIÓN cal. "&amp;MOVIMIENTOS!$C251&amp;" (regresa intacta)",IF(MOVIMIENTOS!$B251="TRASIEGO","TRASIEGO cal. "&amp;MOVIMIENTOS!$C251,MOVIMIENTOS!$B251)))))))))),"")</f>
        <v/>
      </c>
      <c r="M252" s="48" t="str">
        <f aca="false">IF(AND(AND(MOVIMIENTOS!$B251&lt;&gt;"",NOT(AND(MOVIMIENTOS!$B251="PROCESO",MOVIMIENTOS!$C251&lt;&gt;"Chancho")),NOT(AND(MOVIMIENTOS!$B251="SALDO INICIAL",MOVIMIENTOS!$C251="Chancho"))),OR(MOVIMIENTOS!$B251="SALDO INICIAL",MOVIMIENTOS!$B251="COMPRA",MOVIMIENTOS!$B251="REPROCESO",MOVIMIENTOS!$B251="DEVOLUCIÓN",AND(MOVIMIENTOS!$B251="AJUSTE",MOVIMIENTOS!$C251&lt;&gt;"Chancho",N(MOVIMIENTOS!$F251)&gt;=0))),N(MOVIMIENTOS!$F251),"")</f>
        <v/>
      </c>
      <c r="N252" s="48" t="str">
        <f aca="false">IF(AND(AND(MOVIMIENTOS!$B251&lt;&gt;"",NOT(AND(MOVIMIENTOS!$B251="PROCESO",MOVIMIENTOS!$C251&lt;&gt;"Chancho")),NOT(AND(MOVIMIENTOS!$B251="SALDO INICIAL",MOVIMIENTOS!$C251="Chancho"))),OR(MOVIMIENTOS!$B251="ENVÍO A SUPESA",MOVIMIENTOS!$B251="MALOGRADO",MOVIMIENTOS!$B251="OTRA SALIDA",MOVIMIENTOS!$B251="TRASIEGO",AND(MOVIMIENTOS!$B251="PROCESO",MOVIMIENTOS!$C251="Chancho"),AND(MOVIMIENTOS!$B251="REGALO",MOVIMIENTOS!$C251&lt;&gt;"Chancho"),AND(MOVIMIENTOS!$B251="VENTA",MOVIMIENTOS!$C251&lt;&gt;"Chancho"),AND(MOVIMIENTOS!$B251="AJUSTE",MOVIMIENTOS!$C251&lt;&gt;"Chancho",N(MOVIMIENTOS!$F251)&lt;0))),IF(MOVIMIENTOS!$B251="AJUSTE",-N(MOVIMIENTOS!$F251),N(MOVIMIENTOS!$F251)),"")</f>
        <v/>
      </c>
      <c r="O252" s="48" t="str">
        <f aca="false">IF(AND(MOVIMIENTOS!$B251&lt;&gt;"",NOT(AND(MOVIMIENTOS!$B251="PROCESO",MOVIMIENTOS!$C251&lt;&gt;"Chancho")),NOT(AND(MOVIMIENTOS!$B251="SALDO INICIAL",MOVIMIENTOS!$C251="Chancho"))),IF(MOVIMIENTOS!$B251="RECHAZO",MOVIMIENTOS!$E251&amp;" jabas rechazadas · van a reproceso",IF(MOVIMIENTOS!$B251="REPROCESO",MOVIMIENTOS!$E251&amp;" kg recuperados (merma del día: "&amp;TEXT(SUMPRODUCT((MOVIMIENTOS!$A$5:$A$400=MOVIMIENTOS!$A251)*(MOVIMIENTOS!$B$5:$B$400="RECHAZO")*(MOVIMIENTOS!$D$5:$D$400="jabas")*MOVIMIENTOS!$E$5:$E$400*IFERROR(_xlfn.SWITCH(MOVIMIENTOS!$C$5:$C$400,"A",15,"P",18,"C",17,"M",17,0),0))-SUMPRODUCT((MOVIMIENTOS!$A$5:$A$400=MOVIMIENTOS!$A251)*(MOVIMIENTOS!$B$5:$B$400="REPROCESO")*MOVIMIENTOS!$I$5:$I$400),"+#,##0;-#,##0;0")&amp;" kg)",TRIM(IF(MOVIMIENTOS!$G251&lt;&gt;"",MOVIMIENTOS!$G251&amp;"  ","")&amp;IF(N(MOVIMIENTOS!$D251)&gt;0,MOVIMIENTOS!$D251&amp;" "&amp;MOVIMIENTOS!$D251,"")))),"")</f>
        <v/>
      </c>
      <c r="P252" s="48" t="n">
        <f aca="false">N(P251)+N(M252)-N(N252)</f>
        <v>-290.5</v>
      </c>
      <c r="Q252" s="48"/>
      <c r="R252" s="48"/>
      <c r="S252" s="48"/>
      <c r="T252" s="48"/>
    </row>
    <row r="253" customFormat="false" ht="15" hidden="false" customHeight="true" outlineLevel="0" collapsed="false">
      <c r="A253" s="51" t="str">
        <f aca="false">IFERROR(INDEX(K$6:K$401,MATCH(ROW()-5,J$6:J$401,0)),"")</f>
        <v/>
      </c>
      <c r="B253" s="56" t="str">
        <f aca="false">IFERROR(INDEX(L$6:L$401,MATCH(ROW()-5,J$6:J$401,0)),"")</f>
        <v/>
      </c>
      <c r="C253" s="52" t="str">
        <f aca="false">IFERROR(INDEX(M$6:M$401,MATCH(ROW()-5,J$6:J$401,0)),"")</f>
        <v/>
      </c>
      <c r="D253" s="52" t="str">
        <f aca="false">IFERROR(INDEX(N$6:N$401,MATCH(ROW()-5,J$6:J$401,0)),"")</f>
        <v/>
      </c>
      <c r="E253" s="56" t="str">
        <f aca="false">IFERROR(INDEX(O$6:O$401,MATCH(ROW()-5,J$6:J$401,0)),"")</f>
        <v/>
      </c>
      <c r="F253" s="52" t="str">
        <f aca="false">IFERROR(INDEX(P$6:P$401,MATCH(ROW()-5,J$6:J$401,0)),"")</f>
        <v/>
      </c>
      <c r="G253" s="48"/>
      <c r="H253" s="48"/>
      <c r="I253" s="48"/>
      <c r="J253" s="48" t="str">
        <f aca="false">IF(AND(MOVIMIENTOS!$B252&lt;&gt;"",NOT(AND(MOVIMIENTOS!$B252="PROCESO",MOVIMIENTOS!$C252&lt;&gt;"Chancho")),NOT(AND(MOVIMIENTOS!$B252="SALDO INICIAL",MOVIMIENTOS!$C252="Chancho"))),COUNT(J$6:J252)+1,"")</f>
        <v/>
      </c>
      <c r="K253" s="48" t="str">
        <f aca="false">IF(AND(MOVIMIENTOS!$B252&lt;&gt;"",NOT(AND(MOVIMIENTOS!$B252="PROCESO",MOVIMIENTOS!$C252&lt;&gt;"Chancho")),NOT(AND(MOVIMIENTOS!$B252="SALDO INICIAL",MOVIMIENTOS!$C252="Chancho"))),MOVIMIENTOS!$A252,"")</f>
        <v/>
      </c>
      <c r="L253" s="48" t="str">
        <f aca="false">IF(AND(MOVIMIENTOS!$B252&lt;&gt;"",NOT(AND(MOVIMIENTOS!$B252="PROCESO",MOVIMIENTOS!$C252&lt;&gt;"Chancho")),NOT(AND(MOVIMIENTOS!$B252="SALDO INICIAL",MOVIMIENTOS!$C252="Chancho"))),IF(MOVIMIENTOS!$B252="SALDO INICIAL","APERTURA ("&amp;MOVIMIENTOS!$C252&amp;")",IF(MOVIMIENTOS!$B252="COMPRA","INGRESO (compra)",IF(MOVIMIENTOS!$B252="PROCESO","CHANCHO (proceso)",IF(MOVIMIENTOS!$B252="ENVÍO A SUPESA","ENVÍO cal. "&amp;MOVIMIENTOS!$C252,IF(MOVIMIENTOS!$B252="VENTA CHANCHO","VENTA CHANCHO",IF(MOVIMIENTOS!$B252="VENTA","VENTA cal. "&amp;MOVIMIENTOS!$C252,IF(MOVIMIENTOS!$B252="REGALO","REGALO "&amp;MOVIMIENTOS!$C252,IF(MOVIMIENTOS!$B252="RECHAZO","RECHAZO cal. "&amp;MOVIMIENTOS!$C252&amp;" (va a reproceso)",IF(MOVIMIENTOS!$B252="DEVOLUCIÓN","DEVOLUCIÓN cal. "&amp;MOVIMIENTOS!$C252&amp;" (regresa intacta)",IF(MOVIMIENTOS!$B252="TRASIEGO","TRASIEGO cal. "&amp;MOVIMIENTOS!$C252,MOVIMIENTOS!$B252)))))))))),"")</f>
        <v/>
      </c>
      <c r="M253" s="48" t="str">
        <f aca="false">IF(AND(AND(MOVIMIENTOS!$B252&lt;&gt;"",NOT(AND(MOVIMIENTOS!$B252="PROCESO",MOVIMIENTOS!$C252&lt;&gt;"Chancho")),NOT(AND(MOVIMIENTOS!$B252="SALDO INICIAL",MOVIMIENTOS!$C252="Chancho"))),OR(MOVIMIENTOS!$B252="SALDO INICIAL",MOVIMIENTOS!$B252="COMPRA",MOVIMIENTOS!$B252="REPROCESO",MOVIMIENTOS!$B252="DEVOLUCIÓN",AND(MOVIMIENTOS!$B252="AJUSTE",MOVIMIENTOS!$C252&lt;&gt;"Chancho",N(MOVIMIENTOS!$F252)&gt;=0))),N(MOVIMIENTOS!$F252),"")</f>
        <v/>
      </c>
      <c r="N253" s="48" t="str">
        <f aca="false">IF(AND(AND(MOVIMIENTOS!$B252&lt;&gt;"",NOT(AND(MOVIMIENTOS!$B252="PROCESO",MOVIMIENTOS!$C252&lt;&gt;"Chancho")),NOT(AND(MOVIMIENTOS!$B252="SALDO INICIAL",MOVIMIENTOS!$C252="Chancho"))),OR(MOVIMIENTOS!$B252="ENVÍO A SUPESA",MOVIMIENTOS!$B252="MALOGRADO",MOVIMIENTOS!$B252="OTRA SALIDA",MOVIMIENTOS!$B252="TRASIEGO",AND(MOVIMIENTOS!$B252="PROCESO",MOVIMIENTOS!$C252="Chancho"),AND(MOVIMIENTOS!$B252="REGALO",MOVIMIENTOS!$C252&lt;&gt;"Chancho"),AND(MOVIMIENTOS!$B252="VENTA",MOVIMIENTOS!$C252&lt;&gt;"Chancho"),AND(MOVIMIENTOS!$B252="AJUSTE",MOVIMIENTOS!$C252&lt;&gt;"Chancho",N(MOVIMIENTOS!$F252)&lt;0))),IF(MOVIMIENTOS!$B252="AJUSTE",-N(MOVIMIENTOS!$F252),N(MOVIMIENTOS!$F252)),"")</f>
        <v/>
      </c>
      <c r="O253" s="48" t="str">
        <f aca="false">IF(AND(MOVIMIENTOS!$B252&lt;&gt;"",NOT(AND(MOVIMIENTOS!$B252="PROCESO",MOVIMIENTOS!$C252&lt;&gt;"Chancho")),NOT(AND(MOVIMIENTOS!$B252="SALDO INICIAL",MOVIMIENTOS!$C252="Chancho"))),IF(MOVIMIENTOS!$B252="RECHAZO",MOVIMIENTOS!$E252&amp;" jabas rechazadas · van a reproceso",IF(MOVIMIENTOS!$B252="REPROCESO",MOVIMIENTOS!$E252&amp;" kg recuperados (merma del día: "&amp;TEXT(SUMPRODUCT((MOVIMIENTOS!$A$5:$A$400=MOVIMIENTOS!$A252)*(MOVIMIENTOS!$B$5:$B$400="RECHAZO")*(MOVIMIENTOS!$D$5:$D$400="jabas")*MOVIMIENTOS!$E$5:$E$400*IFERROR(_xlfn.SWITCH(MOVIMIENTOS!$C$5:$C$400,"A",15,"P",18,"C",17,"M",17,0),0))-SUMPRODUCT((MOVIMIENTOS!$A$5:$A$400=MOVIMIENTOS!$A252)*(MOVIMIENTOS!$B$5:$B$400="REPROCESO")*MOVIMIENTOS!$I$5:$I$400),"+#,##0;-#,##0;0")&amp;" kg)",TRIM(IF(MOVIMIENTOS!$G252&lt;&gt;"",MOVIMIENTOS!$G252&amp;"  ","")&amp;IF(N(MOVIMIENTOS!$D252)&gt;0,MOVIMIENTOS!$D252&amp;" "&amp;MOVIMIENTOS!$D252,"")))),"")</f>
        <v/>
      </c>
      <c r="P253" s="48" t="n">
        <f aca="false">N(P252)+N(M253)-N(N253)</f>
        <v>-290.5</v>
      </c>
      <c r="Q253" s="48"/>
      <c r="R253" s="48"/>
      <c r="S253" s="48"/>
      <c r="T253" s="48"/>
    </row>
    <row r="254" customFormat="false" ht="15" hidden="false" customHeight="true" outlineLevel="0" collapsed="false">
      <c r="A254" s="51" t="str">
        <f aca="false">IFERROR(INDEX(K$6:K$401,MATCH(ROW()-5,J$6:J$401,0)),"")</f>
        <v/>
      </c>
      <c r="B254" s="56" t="str">
        <f aca="false">IFERROR(INDEX(L$6:L$401,MATCH(ROW()-5,J$6:J$401,0)),"")</f>
        <v/>
      </c>
      <c r="C254" s="52" t="str">
        <f aca="false">IFERROR(INDEX(M$6:M$401,MATCH(ROW()-5,J$6:J$401,0)),"")</f>
        <v/>
      </c>
      <c r="D254" s="52" t="str">
        <f aca="false">IFERROR(INDEX(N$6:N$401,MATCH(ROW()-5,J$6:J$401,0)),"")</f>
        <v/>
      </c>
      <c r="E254" s="56" t="str">
        <f aca="false">IFERROR(INDEX(O$6:O$401,MATCH(ROW()-5,J$6:J$401,0)),"")</f>
        <v/>
      </c>
      <c r="F254" s="52" t="str">
        <f aca="false">IFERROR(INDEX(P$6:P$401,MATCH(ROW()-5,J$6:J$401,0)),"")</f>
        <v/>
      </c>
      <c r="G254" s="48"/>
      <c r="H254" s="48"/>
      <c r="I254" s="48"/>
      <c r="J254" s="48" t="str">
        <f aca="false">IF(AND(MOVIMIENTOS!$B253&lt;&gt;"",NOT(AND(MOVIMIENTOS!$B253="PROCESO",MOVIMIENTOS!$C253&lt;&gt;"Chancho")),NOT(AND(MOVIMIENTOS!$B253="SALDO INICIAL",MOVIMIENTOS!$C253="Chancho"))),COUNT(J$6:J253)+1,"")</f>
        <v/>
      </c>
      <c r="K254" s="48" t="str">
        <f aca="false">IF(AND(MOVIMIENTOS!$B253&lt;&gt;"",NOT(AND(MOVIMIENTOS!$B253="PROCESO",MOVIMIENTOS!$C253&lt;&gt;"Chancho")),NOT(AND(MOVIMIENTOS!$B253="SALDO INICIAL",MOVIMIENTOS!$C253="Chancho"))),MOVIMIENTOS!$A253,"")</f>
        <v/>
      </c>
      <c r="L254" s="48" t="str">
        <f aca="false">IF(AND(MOVIMIENTOS!$B253&lt;&gt;"",NOT(AND(MOVIMIENTOS!$B253="PROCESO",MOVIMIENTOS!$C253&lt;&gt;"Chancho")),NOT(AND(MOVIMIENTOS!$B253="SALDO INICIAL",MOVIMIENTOS!$C253="Chancho"))),IF(MOVIMIENTOS!$B253="SALDO INICIAL","APERTURA ("&amp;MOVIMIENTOS!$C253&amp;")",IF(MOVIMIENTOS!$B253="COMPRA","INGRESO (compra)",IF(MOVIMIENTOS!$B253="PROCESO","CHANCHO (proceso)",IF(MOVIMIENTOS!$B253="ENVÍO A SUPESA","ENVÍO cal. "&amp;MOVIMIENTOS!$C253,IF(MOVIMIENTOS!$B253="VENTA CHANCHO","VENTA CHANCHO",IF(MOVIMIENTOS!$B253="VENTA","VENTA cal. "&amp;MOVIMIENTOS!$C253,IF(MOVIMIENTOS!$B253="REGALO","REGALO "&amp;MOVIMIENTOS!$C253,IF(MOVIMIENTOS!$B253="RECHAZO","RECHAZO cal. "&amp;MOVIMIENTOS!$C253&amp;" (va a reproceso)",IF(MOVIMIENTOS!$B253="DEVOLUCIÓN","DEVOLUCIÓN cal. "&amp;MOVIMIENTOS!$C253&amp;" (regresa intacta)",IF(MOVIMIENTOS!$B253="TRASIEGO","TRASIEGO cal. "&amp;MOVIMIENTOS!$C253,MOVIMIENTOS!$B253)))))))))),"")</f>
        <v/>
      </c>
      <c r="M254" s="48" t="str">
        <f aca="false">IF(AND(AND(MOVIMIENTOS!$B253&lt;&gt;"",NOT(AND(MOVIMIENTOS!$B253="PROCESO",MOVIMIENTOS!$C253&lt;&gt;"Chancho")),NOT(AND(MOVIMIENTOS!$B253="SALDO INICIAL",MOVIMIENTOS!$C253="Chancho"))),OR(MOVIMIENTOS!$B253="SALDO INICIAL",MOVIMIENTOS!$B253="COMPRA",MOVIMIENTOS!$B253="REPROCESO",MOVIMIENTOS!$B253="DEVOLUCIÓN",AND(MOVIMIENTOS!$B253="AJUSTE",MOVIMIENTOS!$C253&lt;&gt;"Chancho",N(MOVIMIENTOS!$F253)&gt;=0))),N(MOVIMIENTOS!$F253),"")</f>
        <v/>
      </c>
      <c r="N254" s="48" t="str">
        <f aca="false">IF(AND(AND(MOVIMIENTOS!$B253&lt;&gt;"",NOT(AND(MOVIMIENTOS!$B253="PROCESO",MOVIMIENTOS!$C253&lt;&gt;"Chancho")),NOT(AND(MOVIMIENTOS!$B253="SALDO INICIAL",MOVIMIENTOS!$C253="Chancho"))),OR(MOVIMIENTOS!$B253="ENVÍO A SUPESA",MOVIMIENTOS!$B253="MALOGRADO",MOVIMIENTOS!$B253="OTRA SALIDA",MOVIMIENTOS!$B253="TRASIEGO",AND(MOVIMIENTOS!$B253="PROCESO",MOVIMIENTOS!$C253="Chancho"),AND(MOVIMIENTOS!$B253="REGALO",MOVIMIENTOS!$C253&lt;&gt;"Chancho"),AND(MOVIMIENTOS!$B253="VENTA",MOVIMIENTOS!$C253&lt;&gt;"Chancho"),AND(MOVIMIENTOS!$B253="AJUSTE",MOVIMIENTOS!$C253&lt;&gt;"Chancho",N(MOVIMIENTOS!$F253)&lt;0))),IF(MOVIMIENTOS!$B253="AJUSTE",-N(MOVIMIENTOS!$F253),N(MOVIMIENTOS!$F253)),"")</f>
        <v/>
      </c>
      <c r="O254" s="48" t="str">
        <f aca="false">IF(AND(MOVIMIENTOS!$B253&lt;&gt;"",NOT(AND(MOVIMIENTOS!$B253="PROCESO",MOVIMIENTOS!$C253&lt;&gt;"Chancho")),NOT(AND(MOVIMIENTOS!$B253="SALDO INICIAL",MOVIMIENTOS!$C253="Chancho"))),IF(MOVIMIENTOS!$B253="RECHAZO",MOVIMIENTOS!$E253&amp;" jabas rechazadas · van a reproceso",IF(MOVIMIENTOS!$B253="REPROCESO",MOVIMIENTOS!$E253&amp;" kg recuperados (merma del día: "&amp;TEXT(SUMPRODUCT((MOVIMIENTOS!$A$5:$A$400=MOVIMIENTOS!$A253)*(MOVIMIENTOS!$B$5:$B$400="RECHAZO")*(MOVIMIENTOS!$D$5:$D$400="jabas")*MOVIMIENTOS!$E$5:$E$400*IFERROR(_xlfn.SWITCH(MOVIMIENTOS!$C$5:$C$400,"A",15,"P",18,"C",17,"M",17,0),0))-SUMPRODUCT((MOVIMIENTOS!$A$5:$A$400=MOVIMIENTOS!$A253)*(MOVIMIENTOS!$B$5:$B$400="REPROCESO")*MOVIMIENTOS!$I$5:$I$400),"+#,##0;-#,##0;0")&amp;" kg)",TRIM(IF(MOVIMIENTOS!$G253&lt;&gt;"",MOVIMIENTOS!$G253&amp;"  ","")&amp;IF(N(MOVIMIENTOS!$D253)&gt;0,MOVIMIENTOS!$D253&amp;" "&amp;MOVIMIENTOS!$D253,"")))),"")</f>
        <v/>
      </c>
      <c r="P254" s="48" t="n">
        <f aca="false">N(P253)+N(M254)-N(N254)</f>
        <v>-290.5</v>
      </c>
      <c r="Q254" s="48"/>
      <c r="R254" s="48"/>
      <c r="S254" s="48"/>
      <c r="T254" s="48"/>
    </row>
    <row r="255" customFormat="false" ht="15" hidden="false" customHeight="true" outlineLevel="0" collapsed="false">
      <c r="A255" s="51" t="str">
        <f aca="false">IFERROR(INDEX(K$6:K$401,MATCH(ROW()-5,J$6:J$401,0)),"")</f>
        <v/>
      </c>
      <c r="B255" s="56" t="str">
        <f aca="false">IFERROR(INDEX(L$6:L$401,MATCH(ROW()-5,J$6:J$401,0)),"")</f>
        <v/>
      </c>
      <c r="C255" s="52" t="str">
        <f aca="false">IFERROR(INDEX(M$6:M$401,MATCH(ROW()-5,J$6:J$401,0)),"")</f>
        <v/>
      </c>
      <c r="D255" s="52" t="str">
        <f aca="false">IFERROR(INDEX(N$6:N$401,MATCH(ROW()-5,J$6:J$401,0)),"")</f>
        <v/>
      </c>
      <c r="E255" s="56" t="str">
        <f aca="false">IFERROR(INDEX(O$6:O$401,MATCH(ROW()-5,J$6:J$401,0)),"")</f>
        <v/>
      </c>
      <c r="F255" s="52" t="str">
        <f aca="false">IFERROR(INDEX(P$6:P$401,MATCH(ROW()-5,J$6:J$401,0)),"")</f>
        <v/>
      </c>
      <c r="G255" s="48"/>
      <c r="H255" s="48"/>
      <c r="I255" s="48"/>
      <c r="J255" s="48" t="str">
        <f aca="false">IF(AND(MOVIMIENTOS!$B254&lt;&gt;"",NOT(AND(MOVIMIENTOS!$B254="PROCESO",MOVIMIENTOS!$C254&lt;&gt;"Chancho")),NOT(AND(MOVIMIENTOS!$B254="SALDO INICIAL",MOVIMIENTOS!$C254="Chancho"))),COUNT(J$6:J254)+1,"")</f>
        <v/>
      </c>
      <c r="K255" s="48" t="str">
        <f aca="false">IF(AND(MOVIMIENTOS!$B254&lt;&gt;"",NOT(AND(MOVIMIENTOS!$B254="PROCESO",MOVIMIENTOS!$C254&lt;&gt;"Chancho")),NOT(AND(MOVIMIENTOS!$B254="SALDO INICIAL",MOVIMIENTOS!$C254="Chancho"))),MOVIMIENTOS!$A254,"")</f>
        <v/>
      </c>
      <c r="L255" s="48" t="str">
        <f aca="false">IF(AND(MOVIMIENTOS!$B254&lt;&gt;"",NOT(AND(MOVIMIENTOS!$B254="PROCESO",MOVIMIENTOS!$C254&lt;&gt;"Chancho")),NOT(AND(MOVIMIENTOS!$B254="SALDO INICIAL",MOVIMIENTOS!$C254="Chancho"))),IF(MOVIMIENTOS!$B254="SALDO INICIAL","APERTURA ("&amp;MOVIMIENTOS!$C254&amp;")",IF(MOVIMIENTOS!$B254="COMPRA","INGRESO (compra)",IF(MOVIMIENTOS!$B254="PROCESO","CHANCHO (proceso)",IF(MOVIMIENTOS!$B254="ENVÍO A SUPESA","ENVÍO cal. "&amp;MOVIMIENTOS!$C254,IF(MOVIMIENTOS!$B254="VENTA CHANCHO","VENTA CHANCHO",IF(MOVIMIENTOS!$B254="VENTA","VENTA cal. "&amp;MOVIMIENTOS!$C254,IF(MOVIMIENTOS!$B254="REGALO","REGALO "&amp;MOVIMIENTOS!$C254,IF(MOVIMIENTOS!$B254="RECHAZO","RECHAZO cal. "&amp;MOVIMIENTOS!$C254&amp;" (va a reproceso)",IF(MOVIMIENTOS!$B254="DEVOLUCIÓN","DEVOLUCIÓN cal. "&amp;MOVIMIENTOS!$C254&amp;" (regresa intacta)",IF(MOVIMIENTOS!$B254="TRASIEGO","TRASIEGO cal. "&amp;MOVIMIENTOS!$C254,MOVIMIENTOS!$B254)))))))))),"")</f>
        <v/>
      </c>
      <c r="M255" s="48" t="str">
        <f aca="false">IF(AND(AND(MOVIMIENTOS!$B254&lt;&gt;"",NOT(AND(MOVIMIENTOS!$B254="PROCESO",MOVIMIENTOS!$C254&lt;&gt;"Chancho")),NOT(AND(MOVIMIENTOS!$B254="SALDO INICIAL",MOVIMIENTOS!$C254="Chancho"))),OR(MOVIMIENTOS!$B254="SALDO INICIAL",MOVIMIENTOS!$B254="COMPRA",MOVIMIENTOS!$B254="REPROCESO",MOVIMIENTOS!$B254="DEVOLUCIÓN",AND(MOVIMIENTOS!$B254="AJUSTE",MOVIMIENTOS!$C254&lt;&gt;"Chancho",N(MOVIMIENTOS!$F254)&gt;=0))),N(MOVIMIENTOS!$F254),"")</f>
        <v/>
      </c>
      <c r="N255" s="48" t="str">
        <f aca="false">IF(AND(AND(MOVIMIENTOS!$B254&lt;&gt;"",NOT(AND(MOVIMIENTOS!$B254="PROCESO",MOVIMIENTOS!$C254&lt;&gt;"Chancho")),NOT(AND(MOVIMIENTOS!$B254="SALDO INICIAL",MOVIMIENTOS!$C254="Chancho"))),OR(MOVIMIENTOS!$B254="ENVÍO A SUPESA",MOVIMIENTOS!$B254="MALOGRADO",MOVIMIENTOS!$B254="OTRA SALIDA",MOVIMIENTOS!$B254="TRASIEGO",AND(MOVIMIENTOS!$B254="PROCESO",MOVIMIENTOS!$C254="Chancho"),AND(MOVIMIENTOS!$B254="REGALO",MOVIMIENTOS!$C254&lt;&gt;"Chancho"),AND(MOVIMIENTOS!$B254="VENTA",MOVIMIENTOS!$C254&lt;&gt;"Chancho"),AND(MOVIMIENTOS!$B254="AJUSTE",MOVIMIENTOS!$C254&lt;&gt;"Chancho",N(MOVIMIENTOS!$F254)&lt;0))),IF(MOVIMIENTOS!$B254="AJUSTE",-N(MOVIMIENTOS!$F254),N(MOVIMIENTOS!$F254)),"")</f>
        <v/>
      </c>
      <c r="O255" s="48" t="str">
        <f aca="false">IF(AND(MOVIMIENTOS!$B254&lt;&gt;"",NOT(AND(MOVIMIENTOS!$B254="PROCESO",MOVIMIENTOS!$C254&lt;&gt;"Chancho")),NOT(AND(MOVIMIENTOS!$B254="SALDO INICIAL",MOVIMIENTOS!$C254="Chancho"))),IF(MOVIMIENTOS!$B254="RECHAZO",MOVIMIENTOS!$E254&amp;" jabas rechazadas · van a reproceso",IF(MOVIMIENTOS!$B254="REPROCESO",MOVIMIENTOS!$E254&amp;" kg recuperados (merma del día: "&amp;TEXT(SUMPRODUCT((MOVIMIENTOS!$A$5:$A$400=MOVIMIENTOS!$A254)*(MOVIMIENTOS!$B$5:$B$400="RECHAZO")*(MOVIMIENTOS!$D$5:$D$400="jabas")*MOVIMIENTOS!$E$5:$E$400*IFERROR(_xlfn.SWITCH(MOVIMIENTOS!$C$5:$C$400,"A",15,"P",18,"C",17,"M",17,0),0))-SUMPRODUCT((MOVIMIENTOS!$A$5:$A$400=MOVIMIENTOS!$A254)*(MOVIMIENTOS!$B$5:$B$400="REPROCESO")*MOVIMIENTOS!$I$5:$I$400),"+#,##0;-#,##0;0")&amp;" kg)",TRIM(IF(MOVIMIENTOS!$G254&lt;&gt;"",MOVIMIENTOS!$G254&amp;"  ","")&amp;IF(N(MOVIMIENTOS!$D254)&gt;0,MOVIMIENTOS!$D254&amp;" "&amp;MOVIMIENTOS!$D254,"")))),"")</f>
        <v/>
      </c>
      <c r="P255" s="48" t="n">
        <f aca="false">N(P254)+N(M255)-N(N255)</f>
        <v>-290.5</v>
      </c>
      <c r="Q255" s="48"/>
      <c r="R255" s="48"/>
      <c r="S255" s="48"/>
      <c r="T255" s="48"/>
    </row>
    <row r="256" customFormat="false" ht="15" hidden="false" customHeight="true" outlineLevel="0" collapsed="false">
      <c r="A256" s="51" t="str">
        <f aca="false">IFERROR(INDEX(K$6:K$401,MATCH(ROW()-5,J$6:J$401,0)),"")</f>
        <v/>
      </c>
      <c r="B256" s="56" t="str">
        <f aca="false">IFERROR(INDEX(L$6:L$401,MATCH(ROW()-5,J$6:J$401,0)),"")</f>
        <v/>
      </c>
      <c r="C256" s="52" t="str">
        <f aca="false">IFERROR(INDEX(M$6:M$401,MATCH(ROW()-5,J$6:J$401,0)),"")</f>
        <v/>
      </c>
      <c r="D256" s="52" t="str">
        <f aca="false">IFERROR(INDEX(N$6:N$401,MATCH(ROW()-5,J$6:J$401,0)),"")</f>
        <v/>
      </c>
      <c r="E256" s="56" t="str">
        <f aca="false">IFERROR(INDEX(O$6:O$401,MATCH(ROW()-5,J$6:J$401,0)),"")</f>
        <v/>
      </c>
      <c r="F256" s="52" t="str">
        <f aca="false">IFERROR(INDEX(P$6:P$401,MATCH(ROW()-5,J$6:J$401,0)),"")</f>
        <v/>
      </c>
      <c r="G256" s="48"/>
      <c r="H256" s="48"/>
      <c r="I256" s="48"/>
      <c r="J256" s="48" t="str">
        <f aca="false">IF(AND(MOVIMIENTOS!$B255&lt;&gt;"",NOT(AND(MOVIMIENTOS!$B255="PROCESO",MOVIMIENTOS!$C255&lt;&gt;"Chancho")),NOT(AND(MOVIMIENTOS!$B255="SALDO INICIAL",MOVIMIENTOS!$C255="Chancho"))),COUNT(J$6:J255)+1,"")</f>
        <v/>
      </c>
      <c r="K256" s="48" t="str">
        <f aca="false">IF(AND(MOVIMIENTOS!$B255&lt;&gt;"",NOT(AND(MOVIMIENTOS!$B255="PROCESO",MOVIMIENTOS!$C255&lt;&gt;"Chancho")),NOT(AND(MOVIMIENTOS!$B255="SALDO INICIAL",MOVIMIENTOS!$C255="Chancho"))),MOVIMIENTOS!$A255,"")</f>
        <v/>
      </c>
      <c r="L256" s="48" t="str">
        <f aca="false">IF(AND(MOVIMIENTOS!$B255&lt;&gt;"",NOT(AND(MOVIMIENTOS!$B255="PROCESO",MOVIMIENTOS!$C255&lt;&gt;"Chancho")),NOT(AND(MOVIMIENTOS!$B255="SALDO INICIAL",MOVIMIENTOS!$C255="Chancho"))),IF(MOVIMIENTOS!$B255="SALDO INICIAL","APERTURA ("&amp;MOVIMIENTOS!$C255&amp;")",IF(MOVIMIENTOS!$B255="COMPRA","INGRESO (compra)",IF(MOVIMIENTOS!$B255="PROCESO","CHANCHO (proceso)",IF(MOVIMIENTOS!$B255="ENVÍO A SUPESA","ENVÍO cal. "&amp;MOVIMIENTOS!$C255,IF(MOVIMIENTOS!$B255="VENTA CHANCHO","VENTA CHANCHO",IF(MOVIMIENTOS!$B255="VENTA","VENTA cal. "&amp;MOVIMIENTOS!$C255,IF(MOVIMIENTOS!$B255="REGALO","REGALO "&amp;MOVIMIENTOS!$C255,IF(MOVIMIENTOS!$B255="RECHAZO","RECHAZO cal. "&amp;MOVIMIENTOS!$C255&amp;" (va a reproceso)",IF(MOVIMIENTOS!$B255="DEVOLUCIÓN","DEVOLUCIÓN cal. "&amp;MOVIMIENTOS!$C255&amp;" (regresa intacta)",IF(MOVIMIENTOS!$B255="TRASIEGO","TRASIEGO cal. "&amp;MOVIMIENTOS!$C255,MOVIMIENTOS!$B255)))))))))),"")</f>
        <v/>
      </c>
      <c r="M256" s="48" t="str">
        <f aca="false">IF(AND(AND(MOVIMIENTOS!$B255&lt;&gt;"",NOT(AND(MOVIMIENTOS!$B255="PROCESO",MOVIMIENTOS!$C255&lt;&gt;"Chancho")),NOT(AND(MOVIMIENTOS!$B255="SALDO INICIAL",MOVIMIENTOS!$C255="Chancho"))),OR(MOVIMIENTOS!$B255="SALDO INICIAL",MOVIMIENTOS!$B255="COMPRA",MOVIMIENTOS!$B255="REPROCESO",MOVIMIENTOS!$B255="DEVOLUCIÓN",AND(MOVIMIENTOS!$B255="AJUSTE",MOVIMIENTOS!$C255&lt;&gt;"Chancho",N(MOVIMIENTOS!$F255)&gt;=0))),N(MOVIMIENTOS!$F255),"")</f>
        <v/>
      </c>
      <c r="N256" s="48" t="str">
        <f aca="false">IF(AND(AND(MOVIMIENTOS!$B255&lt;&gt;"",NOT(AND(MOVIMIENTOS!$B255="PROCESO",MOVIMIENTOS!$C255&lt;&gt;"Chancho")),NOT(AND(MOVIMIENTOS!$B255="SALDO INICIAL",MOVIMIENTOS!$C255="Chancho"))),OR(MOVIMIENTOS!$B255="ENVÍO A SUPESA",MOVIMIENTOS!$B255="MALOGRADO",MOVIMIENTOS!$B255="OTRA SALIDA",MOVIMIENTOS!$B255="TRASIEGO",AND(MOVIMIENTOS!$B255="PROCESO",MOVIMIENTOS!$C255="Chancho"),AND(MOVIMIENTOS!$B255="REGALO",MOVIMIENTOS!$C255&lt;&gt;"Chancho"),AND(MOVIMIENTOS!$B255="VENTA",MOVIMIENTOS!$C255&lt;&gt;"Chancho"),AND(MOVIMIENTOS!$B255="AJUSTE",MOVIMIENTOS!$C255&lt;&gt;"Chancho",N(MOVIMIENTOS!$F255)&lt;0))),IF(MOVIMIENTOS!$B255="AJUSTE",-N(MOVIMIENTOS!$F255),N(MOVIMIENTOS!$F255)),"")</f>
        <v/>
      </c>
      <c r="O256" s="48" t="str">
        <f aca="false">IF(AND(MOVIMIENTOS!$B255&lt;&gt;"",NOT(AND(MOVIMIENTOS!$B255="PROCESO",MOVIMIENTOS!$C255&lt;&gt;"Chancho")),NOT(AND(MOVIMIENTOS!$B255="SALDO INICIAL",MOVIMIENTOS!$C255="Chancho"))),IF(MOVIMIENTOS!$B255="RECHAZO",MOVIMIENTOS!$E255&amp;" jabas rechazadas · van a reproceso",IF(MOVIMIENTOS!$B255="REPROCESO",MOVIMIENTOS!$E255&amp;" kg recuperados (merma del día: "&amp;TEXT(SUMPRODUCT((MOVIMIENTOS!$A$5:$A$400=MOVIMIENTOS!$A255)*(MOVIMIENTOS!$B$5:$B$400="RECHAZO")*(MOVIMIENTOS!$D$5:$D$400="jabas")*MOVIMIENTOS!$E$5:$E$400*IFERROR(_xlfn.SWITCH(MOVIMIENTOS!$C$5:$C$400,"A",15,"P",18,"C",17,"M",17,0),0))-SUMPRODUCT((MOVIMIENTOS!$A$5:$A$400=MOVIMIENTOS!$A255)*(MOVIMIENTOS!$B$5:$B$400="REPROCESO")*MOVIMIENTOS!$I$5:$I$400),"+#,##0;-#,##0;0")&amp;" kg)",TRIM(IF(MOVIMIENTOS!$G255&lt;&gt;"",MOVIMIENTOS!$G255&amp;"  ","")&amp;IF(N(MOVIMIENTOS!$D255)&gt;0,MOVIMIENTOS!$D255&amp;" "&amp;MOVIMIENTOS!$D255,"")))),"")</f>
        <v/>
      </c>
      <c r="P256" s="48" t="n">
        <f aca="false">N(P255)+N(M256)-N(N256)</f>
        <v>-290.5</v>
      </c>
      <c r="Q256" s="48"/>
      <c r="R256" s="48"/>
      <c r="S256" s="48"/>
      <c r="T256" s="48"/>
    </row>
    <row r="257" customFormat="false" ht="15" hidden="false" customHeight="true" outlineLevel="0" collapsed="false">
      <c r="A257" s="51" t="str">
        <f aca="false">IFERROR(INDEX(K$6:K$401,MATCH(ROW()-5,J$6:J$401,0)),"")</f>
        <v/>
      </c>
      <c r="B257" s="56" t="str">
        <f aca="false">IFERROR(INDEX(L$6:L$401,MATCH(ROW()-5,J$6:J$401,0)),"")</f>
        <v/>
      </c>
      <c r="C257" s="52" t="str">
        <f aca="false">IFERROR(INDEX(M$6:M$401,MATCH(ROW()-5,J$6:J$401,0)),"")</f>
        <v/>
      </c>
      <c r="D257" s="52" t="str">
        <f aca="false">IFERROR(INDEX(N$6:N$401,MATCH(ROW()-5,J$6:J$401,0)),"")</f>
        <v/>
      </c>
      <c r="E257" s="56" t="str">
        <f aca="false">IFERROR(INDEX(O$6:O$401,MATCH(ROW()-5,J$6:J$401,0)),"")</f>
        <v/>
      </c>
      <c r="F257" s="52" t="str">
        <f aca="false">IFERROR(INDEX(P$6:P$401,MATCH(ROW()-5,J$6:J$401,0)),"")</f>
        <v/>
      </c>
      <c r="G257" s="48"/>
      <c r="H257" s="48"/>
      <c r="I257" s="48"/>
      <c r="J257" s="48" t="str">
        <f aca="false">IF(AND(MOVIMIENTOS!$B256&lt;&gt;"",NOT(AND(MOVIMIENTOS!$B256="PROCESO",MOVIMIENTOS!$C256&lt;&gt;"Chancho")),NOT(AND(MOVIMIENTOS!$B256="SALDO INICIAL",MOVIMIENTOS!$C256="Chancho"))),COUNT(J$6:J256)+1,"")</f>
        <v/>
      </c>
      <c r="K257" s="48" t="str">
        <f aca="false">IF(AND(MOVIMIENTOS!$B256&lt;&gt;"",NOT(AND(MOVIMIENTOS!$B256="PROCESO",MOVIMIENTOS!$C256&lt;&gt;"Chancho")),NOT(AND(MOVIMIENTOS!$B256="SALDO INICIAL",MOVIMIENTOS!$C256="Chancho"))),MOVIMIENTOS!$A256,"")</f>
        <v/>
      </c>
      <c r="L257" s="48" t="str">
        <f aca="false">IF(AND(MOVIMIENTOS!$B256&lt;&gt;"",NOT(AND(MOVIMIENTOS!$B256="PROCESO",MOVIMIENTOS!$C256&lt;&gt;"Chancho")),NOT(AND(MOVIMIENTOS!$B256="SALDO INICIAL",MOVIMIENTOS!$C256="Chancho"))),IF(MOVIMIENTOS!$B256="SALDO INICIAL","APERTURA ("&amp;MOVIMIENTOS!$C256&amp;")",IF(MOVIMIENTOS!$B256="COMPRA","INGRESO (compra)",IF(MOVIMIENTOS!$B256="PROCESO","CHANCHO (proceso)",IF(MOVIMIENTOS!$B256="ENVÍO A SUPESA","ENVÍO cal. "&amp;MOVIMIENTOS!$C256,IF(MOVIMIENTOS!$B256="VENTA CHANCHO","VENTA CHANCHO",IF(MOVIMIENTOS!$B256="VENTA","VENTA cal. "&amp;MOVIMIENTOS!$C256,IF(MOVIMIENTOS!$B256="REGALO","REGALO "&amp;MOVIMIENTOS!$C256,IF(MOVIMIENTOS!$B256="RECHAZO","RECHAZO cal. "&amp;MOVIMIENTOS!$C256&amp;" (va a reproceso)",IF(MOVIMIENTOS!$B256="DEVOLUCIÓN","DEVOLUCIÓN cal. "&amp;MOVIMIENTOS!$C256&amp;" (regresa intacta)",IF(MOVIMIENTOS!$B256="TRASIEGO","TRASIEGO cal. "&amp;MOVIMIENTOS!$C256,MOVIMIENTOS!$B256)))))))))),"")</f>
        <v/>
      </c>
      <c r="M257" s="48" t="str">
        <f aca="false">IF(AND(AND(MOVIMIENTOS!$B256&lt;&gt;"",NOT(AND(MOVIMIENTOS!$B256="PROCESO",MOVIMIENTOS!$C256&lt;&gt;"Chancho")),NOT(AND(MOVIMIENTOS!$B256="SALDO INICIAL",MOVIMIENTOS!$C256="Chancho"))),OR(MOVIMIENTOS!$B256="SALDO INICIAL",MOVIMIENTOS!$B256="COMPRA",MOVIMIENTOS!$B256="REPROCESO",MOVIMIENTOS!$B256="DEVOLUCIÓN",AND(MOVIMIENTOS!$B256="AJUSTE",MOVIMIENTOS!$C256&lt;&gt;"Chancho",N(MOVIMIENTOS!$F256)&gt;=0))),N(MOVIMIENTOS!$F256),"")</f>
        <v/>
      </c>
      <c r="N257" s="48" t="str">
        <f aca="false">IF(AND(AND(MOVIMIENTOS!$B256&lt;&gt;"",NOT(AND(MOVIMIENTOS!$B256="PROCESO",MOVIMIENTOS!$C256&lt;&gt;"Chancho")),NOT(AND(MOVIMIENTOS!$B256="SALDO INICIAL",MOVIMIENTOS!$C256="Chancho"))),OR(MOVIMIENTOS!$B256="ENVÍO A SUPESA",MOVIMIENTOS!$B256="MALOGRADO",MOVIMIENTOS!$B256="OTRA SALIDA",MOVIMIENTOS!$B256="TRASIEGO",AND(MOVIMIENTOS!$B256="PROCESO",MOVIMIENTOS!$C256="Chancho"),AND(MOVIMIENTOS!$B256="REGALO",MOVIMIENTOS!$C256&lt;&gt;"Chancho"),AND(MOVIMIENTOS!$B256="VENTA",MOVIMIENTOS!$C256&lt;&gt;"Chancho"),AND(MOVIMIENTOS!$B256="AJUSTE",MOVIMIENTOS!$C256&lt;&gt;"Chancho",N(MOVIMIENTOS!$F256)&lt;0))),IF(MOVIMIENTOS!$B256="AJUSTE",-N(MOVIMIENTOS!$F256),N(MOVIMIENTOS!$F256)),"")</f>
        <v/>
      </c>
      <c r="O257" s="48" t="str">
        <f aca="false">IF(AND(MOVIMIENTOS!$B256&lt;&gt;"",NOT(AND(MOVIMIENTOS!$B256="PROCESO",MOVIMIENTOS!$C256&lt;&gt;"Chancho")),NOT(AND(MOVIMIENTOS!$B256="SALDO INICIAL",MOVIMIENTOS!$C256="Chancho"))),IF(MOVIMIENTOS!$B256="RECHAZO",MOVIMIENTOS!$E256&amp;" jabas rechazadas · van a reproceso",IF(MOVIMIENTOS!$B256="REPROCESO",MOVIMIENTOS!$E256&amp;" kg recuperados (merma del día: "&amp;TEXT(SUMPRODUCT((MOVIMIENTOS!$A$5:$A$400=MOVIMIENTOS!$A256)*(MOVIMIENTOS!$B$5:$B$400="RECHAZO")*(MOVIMIENTOS!$D$5:$D$400="jabas")*MOVIMIENTOS!$E$5:$E$400*IFERROR(_xlfn.SWITCH(MOVIMIENTOS!$C$5:$C$400,"A",15,"P",18,"C",17,"M",17,0),0))-SUMPRODUCT((MOVIMIENTOS!$A$5:$A$400=MOVIMIENTOS!$A256)*(MOVIMIENTOS!$B$5:$B$400="REPROCESO")*MOVIMIENTOS!$I$5:$I$400),"+#,##0;-#,##0;0")&amp;" kg)",TRIM(IF(MOVIMIENTOS!$G256&lt;&gt;"",MOVIMIENTOS!$G256&amp;"  ","")&amp;IF(N(MOVIMIENTOS!$D256)&gt;0,MOVIMIENTOS!$D256&amp;" "&amp;MOVIMIENTOS!$D256,"")))),"")</f>
        <v/>
      </c>
      <c r="P257" s="48" t="n">
        <f aca="false">N(P256)+N(M257)-N(N257)</f>
        <v>-290.5</v>
      </c>
      <c r="Q257" s="48"/>
      <c r="R257" s="48"/>
      <c r="S257" s="48"/>
      <c r="T257" s="48"/>
    </row>
    <row r="258" customFormat="false" ht="15" hidden="false" customHeight="true" outlineLevel="0" collapsed="false">
      <c r="A258" s="51" t="str">
        <f aca="false">IFERROR(INDEX(K$6:K$401,MATCH(ROW()-5,J$6:J$401,0)),"")</f>
        <v/>
      </c>
      <c r="B258" s="56" t="str">
        <f aca="false">IFERROR(INDEX(L$6:L$401,MATCH(ROW()-5,J$6:J$401,0)),"")</f>
        <v/>
      </c>
      <c r="C258" s="52" t="str">
        <f aca="false">IFERROR(INDEX(M$6:M$401,MATCH(ROW()-5,J$6:J$401,0)),"")</f>
        <v/>
      </c>
      <c r="D258" s="52" t="str">
        <f aca="false">IFERROR(INDEX(N$6:N$401,MATCH(ROW()-5,J$6:J$401,0)),"")</f>
        <v/>
      </c>
      <c r="E258" s="56" t="str">
        <f aca="false">IFERROR(INDEX(O$6:O$401,MATCH(ROW()-5,J$6:J$401,0)),"")</f>
        <v/>
      </c>
      <c r="F258" s="52" t="str">
        <f aca="false">IFERROR(INDEX(P$6:P$401,MATCH(ROW()-5,J$6:J$401,0)),"")</f>
        <v/>
      </c>
      <c r="G258" s="48"/>
      <c r="H258" s="48"/>
      <c r="I258" s="48"/>
      <c r="J258" s="48" t="str">
        <f aca="false">IF(AND(MOVIMIENTOS!$B257&lt;&gt;"",NOT(AND(MOVIMIENTOS!$B257="PROCESO",MOVIMIENTOS!$C257&lt;&gt;"Chancho")),NOT(AND(MOVIMIENTOS!$B257="SALDO INICIAL",MOVIMIENTOS!$C257="Chancho"))),COUNT(J$6:J257)+1,"")</f>
        <v/>
      </c>
      <c r="K258" s="48" t="str">
        <f aca="false">IF(AND(MOVIMIENTOS!$B257&lt;&gt;"",NOT(AND(MOVIMIENTOS!$B257="PROCESO",MOVIMIENTOS!$C257&lt;&gt;"Chancho")),NOT(AND(MOVIMIENTOS!$B257="SALDO INICIAL",MOVIMIENTOS!$C257="Chancho"))),MOVIMIENTOS!$A257,"")</f>
        <v/>
      </c>
      <c r="L258" s="48" t="str">
        <f aca="false">IF(AND(MOVIMIENTOS!$B257&lt;&gt;"",NOT(AND(MOVIMIENTOS!$B257="PROCESO",MOVIMIENTOS!$C257&lt;&gt;"Chancho")),NOT(AND(MOVIMIENTOS!$B257="SALDO INICIAL",MOVIMIENTOS!$C257="Chancho"))),IF(MOVIMIENTOS!$B257="SALDO INICIAL","APERTURA ("&amp;MOVIMIENTOS!$C257&amp;")",IF(MOVIMIENTOS!$B257="COMPRA","INGRESO (compra)",IF(MOVIMIENTOS!$B257="PROCESO","CHANCHO (proceso)",IF(MOVIMIENTOS!$B257="ENVÍO A SUPESA","ENVÍO cal. "&amp;MOVIMIENTOS!$C257,IF(MOVIMIENTOS!$B257="VENTA CHANCHO","VENTA CHANCHO",IF(MOVIMIENTOS!$B257="VENTA","VENTA cal. "&amp;MOVIMIENTOS!$C257,IF(MOVIMIENTOS!$B257="REGALO","REGALO "&amp;MOVIMIENTOS!$C257,IF(MOVIMIENTOS!$B257="RECHAZO","RECHAZO cal. "&amp;MOVIMIENTOS!$C257&amp;" (va a reproceso)",IF(MOVIMIENTOS!$B257="DEVOLUCIÓN","DEVOLUCIÓN cal. "&amp;MOVIMIENTOS!$C257&amp;" (regresa intacta)",IF(MOVIMIENTOS!$B257="TRASIEGO","TRASIEGO cal. "&amp;MOVIMIENTOS!$C257,MOVIMIENTOS!$B257)))))))))),"")</f>
        <v/>
      </c>
      <c r="M258" s="48" t="str">
        <f aca="false">IF(AND(AND(MOVIMIENTOS!$B257&lt;&gt;"",NOT(AND(MOVIMIENTOS!$B257="PROCESO",MOVIMIENTOS!$C257&lt;&gt;"Chancho")),NOT(AND(MOVIMIENTOS!$B257="SALDO INICIAL",MOVIMIENTOS!$C257="Chancho"))),OR(MOVIMIENTOS!$B257="SALDO INICIAL",MOVIMIENTOS!$B257="COMPRA",MOVIMIENTOS!$B257="REPROCESO",MOVIMIENTOS!$B257="DEVOLUCIÓN",AND(MOVIMIENTOS!$B257="AJUSTE",MOVIMIENTOS!$C257&lt;&gt;"Chancho",N(MOVIMIENTOS!$F257)&gt;=0))),N(MOVIMIENTOS!$F257),"")</f>
        <v/>
      </c>
      <c r="N258" s="48" t="str">
        <f aca="false">IF(AND(AND(MOVIMIENTOS!$B257&lt;&gt;"",NOT(AND(MOVIMIENTOS!$B257="PROCESO",MOVIMIENTOS!$C257&lt;&gt;"Chancho")),NOT(AND(MOVIMIENTOS!$B257="SALDO INICIAL",MOVIMIENTOS!$C257="Chancho"))),OR(MOVIMIENTOS!$B257="ENVÍO A SUPESA",MOVIMIENTOS!$B257="MALOGRADO",MOVIMIENTOS!$B257="OTRA SALIDA",MOVIMIENTOS!$B257="TRASIEGO",AND(MOVIMIENTOS!$B257="PROCESO",MOVIMIENTOS!$C257="Chancho"),AND(MOVIMIENTOS!$B257="REGALO",MOVIMIENTOS!$C257&lt;&gt;"Chancho"),AND(MOVIMIENTOS!$B257="VENTA",MOVIMIENTOS!$C257&lt;&gt;"Chancho"),AND(MOVIMIENTOS!$B257="AJUSTE",MOVIMIENTOS!$C257&lt;&gt;"Chancho",N(MOVIMIENTOS!$F257)&lt;0))),IF(MOVIMIENTOS!$B257="AJUSTE",-N(MOVIMIENTOS!$F257),N(MOVIMIENTOS!$F257)),"")</f>
        <v/>
      </c>
      <c r="O258" s="48" t="str">
        <f aca="false">IF(AND(MOVIMIENTOS!$B257&lt;&gt;"",NOT(AND(MOVIMIENTOS!$B257="PROCESO",MOVIMIENTOS!$C257&lt;&gt;"Chancho")),NOT(AND(MOVIMIENTOS!$B257="SALDO INICIAL",MOVIMIENTOS!$C257="Chancho"))),IF(MOVIMIENTOS!$B257="RECHAZO",MOVIMIENTOS!$E257&amp;" jabas rechazadas · van a reproceso",IF(MOVIMIENTOS!$B257="REPROCESO",MOVIMIENTOS!$E257&amp;" kg recuperados (merma del día: "&amp;TEXT(SUMPRODUCT((MOVIMIENTOS!$A$5:$A$400=MOVIMIENTOS!$A257)*(MOVIMIENTOS!$B$5:$B$400="RECHAZO")*(MOVIMIENTOS!$D$5:$D$400="jabas")*MOVIMIENTOS!$E$5:$E$400*IFERROR(_xlfn.SWITCH(MOVIMIENTOS!$C$5:$C$400,"A",15,"P",18,"C",17,"M",17,0),0))-SUMPRODUCT((MOVIMIENTOS!$A$5:$A$400=MOVIMIENTOS!$A257)*(MOVIMIENTOS!$B$5:$B$400="REPROCESO")*MOVIMIENTOS!$I$5:$I$400),"+#,##0;-#,##0;0")&amp;" kg)",TRIM(IF(MOVIMIENTOS!$G257&lt;&gt;"",MOVIMIENTOS!$G257&amp;"  ","")&amp;IF(N(MOVIMIENTOS!$D257)&gt;0,MOVIMIENTOS!$D257&amp;" "&amp;MOVIMIENTOS!$D257,"")))),"")</f>
        <v/>
      </c>
      <c r="P258" s="48" t="n">
        <f aca="false">N(P257)+N(M258)-N(N258)</f>
        <v>-290.5</v>
      </c>
      <c r="Q258" s="48"/>
      <c r="R258" s="48"/>
      <c r="S258" s="48"/>
      <c r="T258" s="48"/>
    </row>
    <row r="259" customFormat="false" ht="15" hidden="false" customHeight="true" outlineLevel="0" collapsed="false">
      <c r="A259" s="51" t="str">
        <f aca="false">IFERROR(INDEX(K$6:K$401,MATCH(ROW()-5,J$6:J$401,0)),"")</f>
        <v/>
      </c>
      <c r="B259" s="56" t="str">
        <f aca="false">IFERROR(INDEX(L$6:L$401,MATCH(ROW()-5,J$6:J$401,0)),"")</f>
        <v/>
      </c>
      <c r="C259" s="52" t="str">
        <f aca="false">IFERROR(INDEX(M$6:M$401,MATCH(ROW()-5,J$6:J$401,0)),"")</f>
        <v/>
      </c>
      <c r="D259" s="52" t="str">
        <f aca="false">IFERROR(INDEX(N$6:N$401,MATCH(ROW()-5,J$6:J$401,0)),"")</f>
        <v/>
      </c>
      <c r="E259" s="56" t="str">
        <f aca="false">IFERROR(INDEX(O$6:O$401,MATCH(ROW()-5,J$6:J$401,0)),"")</f>
        <v/>
      </c>
      <c r="F259" s="52" t="str">
        <f aca="false">IFERROR(INDEX(P$6:P$401,MATCH(ROW()-5,J$6:J$401,0)),"")</f>
        <v/>
      </c>
      <c r="G259" s="48"/>
      <c r="H259" s="48"/>
      <c r="I259" s="48"/>
      <c r="J259" s="48" t="str">
        <f aca="false">IF(AND(MOVIMIENTOS!$B258&lt;&gt;"",NOT(AND(MOVIMIENTOS!$B258="PROCESO",MOVIMIENTOS!$C258&lt;&gt;"Chancho")),NOT(AND(MOVIMIENTOS!$B258="SALDO INICIAL",MOVIMIENTOS!$C258="Chancho"))),COUNT(J$6:J258)+1,"")</f>
        <v/>
      </c>
      <c r="K259" s="48" t="str">
        <f aca="false">IF(AND(MOVIMIENTOS!$B258&lt;&gt;"",NOT(AND(MOVIMIENTOS!$B258="PROCESO",MOVIMIENTOS!$C258&lt;&gt;"Chancho")),NOT(AND(MOVIMIENTOS!$B258="SALDO INICIAL",MOVIMIENTOS!$C258="Chancho"))),MOVIMIENTOS!$A258,"")</f>
        <v/>
      </c>
      <c r="L259" s="48" t="str">
        <f aca="false">IF(AND(MOVIMIENTOS!$B258&lt;&gt;"",NOT(AND(MOVIMIENTOS!$B258="PROCESO",MOVIMIENTOS!$C258&lt;&gt;"Chancho")),NOT(AND(MOVIMIENTOS!$B258="SALDO INICIAL",MOVIMIENTOS!$C258="Chancho"))),IF(MOVIMIENTOS!$B258="SALDO INICIAL","APERTURA ("&amp;MOVIMIENTOS!$C258&amp;")",IF(MOVIMIENTOS!$B258="COMPRA","INGRESO (compra)",IF(MOVIMIENTOS!$B258="PROCESO","CHANCHO (proceso)",IF(MOVIMIENTOS!$B258="ENVÍO A SUPESA","ENVÍO cal. "&amp;MOVIMIENTOS!$C258,IF(MOVIMIENTOS!$B258="VENTA CHANCHO","VENTA CHANCHO",IF(MOVIMIENTOS!$B258="VENTA","VENTA cal. "&amp;MOVIMIENTOS!$C258,IF(MOVIMIENTOS!$B258="REGALO","REGALO "&amp;MOVIMIENTOS!$C258,IF(MOVIMIENTOS!$B258="RECHAZO","RECHAZO cal. "&amp;MOVIMIENTOS!$C258&amp;" (va a reproceso)",IF(MOVIMIENTOS!$B258="DEVOLUCIÓN","DEVOLUCIÓN cal. "&amp;MOVIMIENTOS!$C258&amp;" (regresa intacta)",IF(MOVIMIENTOS!$B258="TRASIEGO","TRASIEGO cal. "&amp;MOVIMIENTOS!$C258,MOVIMIENTOS!$B258)))))))))),"")</f>
        <v/>
      </c>
      <c r="M259" s="48" t="str">
        <f aca="false">IF(AND(AND(MOVIMIENTOS!$B258&lt;&gt;"",NOT(AND(MOVIMIENTOS!$B258="PROCESO",MOVIMIENTOS!$C258&lt;&gt;"Chancho")),NOT(AND(MOVIMIENTOS!$B258="SALDO INICIAL",MOVIMIENTOS!$C258="Chancho"))),OR(MOVIMIENTOS!$B258="SALDO INICIAL",MOVIMIENTOS!$B258="COMPRA",MOVIMIENTOS!$B258="REPROCESO",MOVIMIENTOS!$B258="DEVOLUCIÓN",AND(MOVIMIENTOS!$B258="AJUSTE",MOVIMIENTOS!$C258&lt;&gt;"Chancho",N(MOVIMIENTOS!$F258)&gt;=0))),N(MOVIMIENTOS!$F258),"")</f>
        <v/>
      </c>
      <c r="N259" s="48" t="str">
        <f aca="false">IF(AND(AND(MOVIMIENTOS!$B258&lt;&gt;"",NOT(AND(MOVIMIENTOS!$B258="PROCESO",MOVIMIENTOS!$C258&lt;&gt;"Chancho")),NOT(AND(MOVIMIENTOS!$B258="SALDO INICIAL",MOVIMIENTOS!$C258="Chancho"))),OR(MOVIMIENTOS!$B258="ENVÍO A SUPESA",MOVIMIENTOS!$B258="MALOGRADO",MOVIMIENTOS!$B258="OTRA SALIDA",MOVIMIENTOS!$B258="TRASIEGO",AND(MOVIMIENTOS!$B258="PROCESO",MOVIMIENTOS!$C258="Chancho"),AND(MOVIMIENTOS!$B258="REGALO",MOVIMIENTOS!$C258&lt;&gt;"Chancho"),AND(MOVIMIENTOS!$B258="VENTA",MOVIMIENTOS!$C258&lt;&gt;"Chancho"),AND(MOVIMIENTOS!$B258="AJUSTE",MOVIMIENTOS!$C258&lt;&gt;"Chancho",N(MOVIMIENTOS!$F258)&lt;0))),IF(MOVIMIENTOS!$B258="AJUSTE",-N(MOVIMIENTOS!$F258),N(MOVIMIENTOS!$F258)),"")</f>
        <v/>
      </c>
      <c r="O259" s="48" t="str">
        <f aca="false">IF(AND(MOVIMIENTOS!$B258&lt;&gt;"",NOT(AND(MOVIMIENTOS!$B258="PROCESO",MOVIMIENTOS!$C258&lt;&gt;"Chancho")),NOT(AND(MOVIMIENTOS!$B258="SALDO INICIAL",MOVIMIENTOS!$C258="Chancho"))),IF(MOVIMIENTOS!$B258="RECHAZO",MOVIMIENTOS!$E258&amp;" jabas rechazadas · van a reproceso",IF(MOVIMIENTOS!$B258="REPROCESO",MOVIMIENTOS!$E258&amp;" kg recuperados (merma del día: "&amp;TEXT(SUMPRODUCT((MOVIMIENTOS!$A$5:$A$400=MOVIMIENTOS!$A258)*(MOVIMIENTOS!$B$5:$B$400="RECHAZO")*(MOVIMIENTOS!$D$5:$D$400="jabas")*MOVIMIENTOS!$E$5:$E$400*IFERROR(_xlfn.SWITCH(MOVIMIENTOS!$C$5:$C$400,"A",15,"P",18,"C",17,"M",17,0),0))-SUMPRODUCT((MOVIMIENTOS!$A$5:$A$400=MOVIMIENTOS!$A258)*(MOVIMIENTOS!$B$5:$B$400="REPROCESO")*MOVIMIENTOS!$I$5:$I$400),"+#,##0;-#,##0;0")&amp;" kg)",TRIM(IF(MOVIMIENTOS!$G258&lt;&gt;"",MOVIMIENTOS!$G258&amp;"  ","")&amp;IF(N(MOVIMIENTOS!$D258)&gt;0,MOVIMIENTOS!$D258&amp;" "&amp;MOVIMIENTOS!$D258,"")))),"")</f>
        <v/>
      </c>
      <c r="P259" s="48" t="n">
        <f aca="false">N(P258)+N(M259)-N(N259)</f>
        <v>-290.5</v>
      </c>
      <c r="Q259" s="48"/>
      <c r="R259" s="48"/>
      <c r="S259" s="48"/>
      <c r="T259" s="48"/>
    </row>
    <row r="260" customFormat="false" ht="15" hidden="false" customHeight="true" outlineLevel="0" collapsed="false">
      <c r="A260" s="51" t="str">
        <f aca="false">IFERROR(INDEX(K$6:K$401,MATCH(ROW()-5,J$6:J$401,0)),"")</f>
        <v/>
      </c>
      <c r="B260" s="56" t="str">
        <f aca="false">IFERROR(INDEX(L$6:L$401,MATCH(ROW()-5,J$6:J$401,0)),"")</f>
        <v/>
      </c>
      <c r="C260" s="52" t="str">
        <f aca="false">IFERROR(INDEX(M$6:M$401,MATCH(ROW()-5,J$6:J$401,0)),"")</f>
        <v/>
      </c>
      <c r="D260" s="52" t="str">
        <f aca="false">IFERROR(INDEX(N$6:N$401,MATCH(ROW()-5,J$6:J$401,0)),"")</f>
        <v/>
      </c>
      <c r="E260" s="56" t="str">
        <f aca="false">IFERROR(INDEX(O$6:O$401,MATCH(ROW()-5,J$6:J$401,0)),"")</f>
        <v/>
      </c>
      <c r="F260" s="52" t="str">
        <f aca="false">IFERROR(INDEX(P$6:P$401,MATCH(ROW()-5,J$6:J$401,0)),"")</f>
        <v/>
      </c>
      <c r="G260" s="48"/>
      <c r="H260" s="48"/>
      <c r="I260" s="48"/>
      <c r="J260" s="48" t="str">
        <f aca="false">IF(AND(MOVIMIENTOS!$B259&lt;&gt;"",NOT(AND(MOVIMIENTOS!$B259="PROCESO",MOVIMIENTOS!$C259&lt;&gt;"Chancho")),NOT(AND(MOVIMIENTOS!$B259="SALDO INICIAL",MOVIMIENTOS!$C259="Chancho"))),COUNT(J$6:J259)+1,"")</f>
        <v/>
      </c>
      <c r="K260" s="48" t="str">
        <f aca="false">IF(AND(MOVIMIENTOS!$B259&lt;&gt;"",NOT(AND(MOVIMIENTOS!$B259="PROCESO",MOVIMIENTOS!$C259&lt;&gt;"Chancho")),NOT(AND(MOVIMIENTOS!$B259="SALDO INICIAL",MOVIMIENTOS!$C259="Chancho"))),MOVIMIENTOS!$A259,"")</f>
        <v/>
      </c>
      <c r="L260" s="48" t="str">
        <f aca="false">IF(AND(MOVIMIENTOS!$B259&lt;&gt;"",NOT(AND(MOVIMIENTOS!$B259="PROCESO",MOVIMIENTOS!$C259&lt;&gt;"Chancho")),NOT(AND(MOVIMIENTOS!$B259="SALDO INICIAL",MOVIMIENTOS!$C259="Chancho"))),IF(MOVIMIENTOS!$B259="SALDO INICIAL","APERTURA ("&amp;MOVIMIENTOS!$C259&amp;")",IF(MOVIMIENTOS!$B259="COMPRA","INGRESO (compra)",IF(MOVIMIENTOS!$B259="PROCESO","CHANCHO (proceso)",IF(MOVIMIENTOS!$B259="ENVÍO A SUPESA","ENVÍO cal. "&amp;MOVIMIENTOS!$C259,IF(MOVIMIENTOS!$B259="VENTA CHANCHO","VENTA CHANCHO",IF(MOVIMIENTOS!$B259="VENTA","VENTA cal. "&amp;MOVIMIENTOS!$C259,IF(MOVIMIENTOS!$B259="REGALO","REGALO "&amp;MOVIMIENTOS!$C259,IF(MOVIMIENTOS!$B259="RECHAZO","RECHAZO cal. "&amp;MOVIMIENTOS!$C259&amp;" (va a reproceso)",IF(MOVIMIENTOS!$B259="DEVOLUCIÓN","DEVOLUCIÓN cal. "&amp;MOVIMIENTOS!$C259&amp;" (regresa intacta)",IF(MOVIMIENTOS!$B259="TRASIEGO","TRASIEGO cal. "&amp;MOVIMIENTOS!$C259,MOVIMIENTOS!$B259)))))))))),"")</f>
        <v/>
      </c>
      <c r="M260" s="48" t="str">
        <f aca="false">IF(AND(AND(MOVIMIENTOS!$B259&lt;&gt;"",NOT(AND(MOVIMIENTOS!$B259="PROCESO",MOVIMIENTOS!$C259&lt;&gt;"Chancho")),NOT(AND(MOVIMIENTOS!$B259="SALDO INICIAL",MOVIMIENTOS!$C259="Chancho"))),OR(MOVIMIENTOS!$B259="SALDO INICIAL",MOVIMIENTOS!$B259="COMPRA",MOVIMIENTOS!$B259="REPROCESO",MOVIMIENTOS!$B259="DEVOLUCIÓN",AND(MOVIMIENTOS!$B259="AJUSTE",MOVIMIENTOS!$C259&lt;&gt;"Chancho",N(MOVIMIENTOS!$F259)&gt;=0))),N(MOVIMIENTOS!$F259),"")</f>
        <v/>
      </c>
      <c r="N260" s="48" t="str">
        <f aca="false">IF(AND(AND(MOVIMIENTOS!$B259&lt;&gt;"",NOT(AND(MOVIMIENTOS!$B259="PROCESO",MOVIMIENTOS!$C259&lt;&gt;"Chancho")),NOT(AND(MOVIMIENTOS!$B259="SALDO INICIAL",MOVIMIENTOS!$C259="Chancho"))),OR(MOVIMIENTOS!$B259="ENVÍO A SUPESA",MOVIMIENTOS!$B259="MALOGRADO",MOVIMIENTOS!$B259="OTRA SALIDA",MOVIMIENTOS!$B259="TRASIEGO",AND(MOVIMIENTOS!$B259="PROCESO",MOVIMIENTOS!$C259="Chancho"),AND(MOVIMIENTOS!$B259="REGALO",MOVIMIENTOS!$C259&lt;&gt;"Chancho"),AND(MOVIMIENTOS!$B259="VENTA",MOVIMIENTOS!$C259&lt;&gt;"Chancho"),AND(MOVIMIENTOS!$B259="AJUSTE",MOVIMIENTOS!$C259&lt;&gt;"Chancho",N(MOVIMIENTOS!$F259)&lt;0))),IF(MOVIMIENTOS!$B259="AJUSTE",-N(MOVIMIENTOS!$F259),N(MOVIMIENTOS!$F259)),"")</f>
        <v/>
      </c>
      <c r="O260" s="48" t="str">
        <f aca="false">IF(AND(MOVIMIENTOS!$B259&lt;&gt;"",NOT(AND(MOVIMIENTOS!$B259="PROCESO",MOVIMIENTOS!$C259&lt;&gt;"Chancho")),NOT(AND(MOVIMIENTOS!$B259="SALDO INICIAL",MOVIMIENTOS!$C259="Chancho"))),IF(MOVIMIENTOS!$B259="RECHAZO",MOVIMIENTOS!$E259&amp;" jabas rechazadas · van a reproceso",IF(MOVIMIENTOS!$B259="REPROCESO",MOVIMIENTOS!$E259&amp;" kg recuperados (merma del día: "&amp;TEXT(SUMPRODUCT((MOVIMIENTOS!$A$5:$A$400=MOVIMIENTOS!$A259)*(MOVIMIENTOS!$B$5:$B$400="RECHAZO")*(MOVIMIENTOS!$D$5:$D$400="jabas")*MOVIMIENTOS!$E$5:$E$400*IFERROR(_xlfn.SWITCH(MOVIMIENTOS!$C$5:$C$400,"A",15,"P",18,"C",17,"M",17,0),0))-SUMPRODUCT((MOVIMIENTOS!$A$5:$A$400=MOVIMIENTOS!$A259)*(MOVIMIENTOS!$B$5:$B$400="REPROCESO")*MOVIMIENTOS!$I$5:$I$400),"+#,##0;-#,##0;0")&amp;" kg)",TRIM(IF(MOVIMIENTOS!$G259&lt;&gt;"",MOVIMIENTOS!$G259&amp;"  ","")&amp;IF(N(MOVIMIENTOS!$D259)&gt;0,MOVIMIENTOS!$D259&amp;" "&amp;MOVIMIENTOS!$D259,"")))),"")</f>
        <v/>
      </c>
      <c r="P260" s="48" t="n">
        <f aca="false">N(P259)+N(M260)-N(N260)</f>
        <v>-290.5</v>
      </c>
      <c r="Q260" s="48"/>
      <c r="R260" s="48"/>
      <c r="S260" s="48"/>
      <c r="T260" s="48"/>
    </row>
    <row r="261" customFormat="false" ht="15" hidden="false" customHeight="true" outlineLevel="0" collapsed="false">
      <c r="A261" s="51" t="str">
        <f aca="false">IFERROR(INDEX(K$6:K$401,MATCH(ROW()-5,J$6:J$401,0)),"")</f>
        <v/>
      </c>
      <c r="B261" s="56" t="str">
        <f aca="false">IFERROR(INDEX(L$6:L$401,MATCH(ROW()-5,J$6:J$401,0)),"")</f>
        <v/>
      </c>
      <c r="C261" s="52" t="str">
        <f aca="false">IFERROR(INDEX(M$6:M$401,MATCH(ROW()-5,J$6:J$401,0)),"")</f>
        <v/>
      </c>
      <c r="D261" s="52" t="str">
        <f aca="false">IFERROR(INDEX(N$6:N$401,MATCH(ROW()-5,J$6:J$401,0)),"")</f>
        <v/>
      </c>
      <c r="E261" s="56" t="str">
        <f aca="false">IFERROR(INDEX(O$6:O$401,MATCH(ROW()-5,J$6:J$401,0)),"")</f>
        <v/>
      </c>
      <c r="F261" s="52" t="str">
        <f aca="false">IFERROR(INDEX(P$6:P$401,MATCH(ROW()-5,J$6:J$401,0)),"")</f>
        <v/>
      </c>
      <c r="G261" s="48"/>
      <c r="H261" s="48"/>
      <c r="I261" s="48"/>
      <c r="J261" s="48" t="str">
        <f aca="false">IF(AND(MOVIMIENTOS!$B260&lt;&gt;"",NOT(AND(MOVIMIENTOS!$B260="PROCESO",MOVIMIENTOS!$C260&lt;&gt;"Chancho")),NOT(AND(MOVIMIENTOS!$B260="SALDO INICIAL",MOVIMIENTOS!$C260="Chancho"))),COUNT(J$6:J260)+1,"")</f>
        <v/>
      </c>
      <c r="K261" s="48" t="str">
        <f aca="false">IF(AND(MOVIMIENTOS!$B260&lt;&gt;"",NOT(AND(MOVIMIENTOS!$B260="PROCESO",MOVIMIENTOS!$C260&lt;&gt;"Chancho")),NOT(AND(MOVIMIENTOS!$B260="SALDO INICIAL",MOVIMIENTOS!$C260="Chancho"))),MOVIMIENTOS!$A260,"")</f>
        <v/>
      </c>
      <c r="L261" s="48" t="str">
        <f aca="false">IF(AND(MOVIMIENTOS!$B260&lt;&gt;"",NOT(AND(MOVIMIENTOS!$B260="PROCESO",MOVIMIENTOS!$C260&lt;&gt;"Chancho")),NOT(AND(MOVIMIENTOS!$B260="SALDO INICIAL",MOVIMIENTOS!$C260="Chancho"))),IF(MOVIMIENTOS!$B260="SALDO INICIAL","APERTURA ("&amp;MOVIMIENTOS!$C260&amp;")",IF(MOVIMIENTOS!$B260="COMPRA","INGRESO (compra)",IF(MOVIMIENTOS!$B260="PROCESO","CHANCHO (proceso)",IF(MOVIMIENTOS!$B260="ENVÍO A SUPESA","ENVÍO cal. "&amp;MOVIMIENTOS!$C260,IF(MOVIMIENTOS!$B260="VENTA CHANCHO","VENTA CHANCHO",IF(MOVIMIENTOS!$B260="VENTA","VENTA cal. "&amp;MOVIMIENTOS!$C260,IF(MOVIMIENTOS!$B260="REGALO","REGALO "&amp;MOVIMIENTOS!$C260,IF(MOVIMIENTOS!$B260="RECHAZO","RECHAZO cal. "&amp;MOVIMIENTOS!$C260&amp;" (va a reproceso)",IF(MOVIMIENTOS!$B260="DEVOLUCIÓN","DEVOLUCIÓN cal. "&amp;MOVIMIENTOS!$C260&amp;" (regresa intacta)",IF(MOVIMIENTOS!$B260="TRASIEGO","TRASIEGO cal. "&amp;MOVIMIENTOS!$C260,MOVIMIENTOS!$B260)))))))))),"")</f>
        <v/>
      </c>
      <c r="M261" s="48" t="str">
        <f aca="false">IF(AND(AND(MOVIMIENTOS!$B260&lt;&gt;"",NOT(AND(MOVIMIENTOS!$B260="PROCESO",MOVIMIENTOS!$C260&lt;&gt;"Chancho")),NOT(AND(MOVIMIENTOS!$B260="SALDO INICIAL",MOVIMIENTOS!$C260="Chancho"))),OR(MOVIMIENTOS!$B260="SALDO INICIAL",MOVIMIENTOS!$B260="COMPRA",MOVIMIENTOS!$B260="REPROCESO",MOVIMIENTOS!$B260="DEVOLUCIÓN",AND(MOVIMIENTOS!$B260="AJUSTE",MOVIMIENTOS!$C260&lt;&gt;"Chancho",N(MOVIMIENTOS!$F260)&gt;=0))),N(MOVIMIENTOS!$F260),"")</f>
        <v/>
      </c>
      <c r="N261" s="48" t="str">
        <f aca="false">IF(AND(AND(MOVIMIENTOS!$B260&lt;&gt;"",NOT(AND(MOVIMIENTOS!$B260="PROCESO",MOVIMIENTOS!$C260&lt;&gt;"Chancho")),NOT(AND(MOVIMIENTOS!$B260="SALDO INICIAL",MOVIMIENTOS!$C260="Chancho"))),OR(MOVIMIENTOS!$B260="ENVÍO A SUPESA",MOVIMIENTOS!$B260="MALOGRADO",MOVIMIENTOS!$B260="OTRA SALIDA",MOVIMIENTOS!$B260="TRASIEGO",AND(MOVIMIENTOS!$B260="PROCESO",MOVIMIENTOS!$C260="Chancho"),AND(MOVIMIENTOS!$B260="REGALO",MOVIMIENTOS!$C260&lt;&gt;"Chancho"),AND(MOVIMIENTOS!$B260="VENTA",MOVIMIENTOS!$C260&lt;&gt;"Chancho"),AND(MOVIMIENTOS!$B260="AJUSTE",MOVIMIENTOS!$C260&lt;&gt;"Chancho",N(MOVIMIENTOS!$F260)&lt;0))),IF(MOVIMIENTOS!$B260="AJUSTE",-N(MOVIMIENTOS!$F260),N(MOVIMIENTOS!$F260)),"")</f>
        <v/>
      </c>
      <c r="O261" s="48" t="str">
        <f aca="false">IF(AND(MOVIMIENTOS!$B260&lt;&gt;"",NOT(AND(MOVIMIENTOS!$B260="PROCESO",MOVIMIENTOS!$C260&lt;&gt;"Chancho")),NOT(AND(MOVIMIENTOS!$B260="SALDO INICIAL",MOVIMIENTOS!$C260="Chancho"))),IF(MOVIMIENTOS!$B260="RECHAZO",MOVIMIENTOS!$E260&amp;" jabas rechazadas · van a reproceso",IF(MOVIMIENTOS!$B260="REPROCESO",MOVIMIENTOS!$E260&amp;" kg recuperados (merma del día: "&amp;TEXT(SUMPRODUCT((MOVIMIENTOS!$A$5:$A$400=MOVIMIENTOS!$A260)*(MOVIMIENTOS!$B$5:$B$400="RECHAZO")*(MOVIMIENTOS!$D$5:$D$400="jabas")*MOVIMIENTOS!$E$5:$E$400*IFERROR(_xlfn.SWITCH(MOVIMIENTOS!$C$5:$C$400,"A",15,"P",18,"C",17,"M",17,0),0))-SUMPRODUCT((MOVIMIENTOS!$A$5:$A$400=MOVIMIENTOS!$A260)*(MOVIMIENTOS!$B$5:$B$400="REPROCESO")*MOVIMIENTOS!$I$5:$I$400),"+#,##0;-#,##0;0")&amp;" kg)",TRIM(IF(MOVIMIENTOS!$G260&lt;&gt;"",MOVIMIENTOS!$G260&amp;"  ","")&amp;IF(N(MOVIMIENTOS!$D260)&gt;0,MOVIMIENTOS!$D260&amp;" "&amp;MOVIMIENTOS!$D260,"")))),"")</f>
        <v/>
      </c>
      <c r="P261" s="48" t="n">
        <f aca="false">N(P260)+N(M261)-N(N261)</f>
        <v>-290.5</v>
      </c>
      <c r="Q261" s="48"/>
      <c r="R261" s="48"/>
      <c r="S261" s="48"/>
      <c r="T261" s="48"/>
    </row>
    <row r="262" customFormat="false" ht="15" hidden="false" customHeight="true" outlineLevel="0" collapsed="false">
      <c r="A262" s="51" t="str">
        <f aca="false">IFERROR(INDEX(K$6:K$401,MATCH(ROW()-5,J$6:J$401,0)),"")</f>
        <v/>
      </c>
      <c r="B262" s="56" t="str">
        <f aca="false">IFERROR(INDEX(L$6:L$401,MATCH(ROW()-5,J$6:J$401,0)),"")</f>
        <v/>
      </c>
      <c r="C262" s="52" t="str">
        <f aca="false">IFERROR(INDEX(M$6:M$401,MATCH(ROW()-5,J$6:J$401,0)),"")</f>
        <v/>
      </c>
      <c r="D262" s="52" t="str">
        <f aca="false">IFERROR(INDEX(N$6:N$401,MATCH(ROW()-5,J$6:J$401,0)),"")</f>
        <v/>
      </c>
      <c r="E262" s="56" t="str">
        <f aca="false">IFERROR(INDEX(O$6:O$401,MATCH(ROW()-5,J$6:J$401,0)),"")</f>
        <v/>
      </c>
      <c r="F262" s="52" t="str">
        <f aca="false">IFERROR(INDEX(P$6:P$401,MATCH(ROW()-5,J$6:J$401,0)),"")</f>
        <v/>
      </c>
      <c r="G262" s="48"/>
      <c r="H262" s="48"/>
      <c r="I262" s="48"/>
      <c r="J262" s="48" t="str">
        <f aca="false">IF(AND(MOVIMIENTOS!$B261&lt;&gt;"",NOT(AND(MOVIMIENTOS!$B261="PROCESO",MOVIMIENTOS!$C261&lt;&gt;"Chancho")),NOT(AND(MOVIMIENTOS!$B261="SALDO INICIAL",MOVIMIENTOS!$C261="Chancho"))),COUNT(J$6:J261)+1,"")</f>
        <v/>
      </c>
      <c r="K262" s="48" t="str">
        <f aca="false">IF(AND(MOVIMIENTOS!$B261&lt;&gt;"",NOT(AND(MOVIMIENTOS!$B261="PROCESO",MOVIMIENTOS!$C261&lt;&gt;"Chancho")),NOT(AND(MOVIMIENTOS!$B261="SALDO INICIAL",MOVIMIENTOS!$C261="Chancho"))),MOVIMIENTOS!$A261,"")</f>
        <v/>
      </c>
      <c r="L262" s="48" t="str">
        <f aca="false">IF(AND(MOVIMIENTOS!$B261&lt;&gt;"",NOT(AND(MOVIMIENTOS!$B261="PROCESO",MOVIMIENTOS!$C261&lt;&gt;"Chancho")),NOT(AND(MOVIMIENTOS!$B261="SALDO INICIAL",MOVIMIENTOS!$C261="Chancho"))),IF(MOVIMIENTOS!$B261="SALDO INICIAL","APERTURA ("&amp;MOVIMIENTOS!$C261&amp;")",IF(MOVIMIENTOS!$B261="COMPRA","INGRESO (compra)",IF(MOVIMIENTOS!$B261="PROCESO","CHANCHO (proceso)",IF(MOVIMIENTOS!$B261="ENVÍO A SUPESA","ENVÍO cal. "&amp;MOVIMIENTOS!$C261,IF(MOVIMIENTOS!$B261="VENTA CHANCHO","VENTA CHANCHO",IF(MOVIMIENTOS!$B261="VENTA","VENTA cal. "&amp;MOVIMIENTOS!$C261,IF(MOVIMIENTOS!$B261="REGALO","REGALO "&amp;MOVIMIENTOS!$C261,IF(MOVIMIENTOS!$B261="RECHAZO","RECHAZO cal. "&amp;MOVIMIENTOS!$C261&amp;" (va a reproceso)",IF(MOVIMIENTOS!$B261="DEVOLUCIÓN","DEVOLUCIÓN cal. "&amp;MOVIMIENTOS!$C261&amp;" (regresa intacta)",IF(MOVIMIENTOS!$B261="TRASIEGO","TRASIEGO cal. "&amp;MOVIMIENTOS!$C261,MOVIMIENTOS!$B261)))))))))),"")</f>
        <v/>
      </c>
      <c r="M262" s="48" t="str">
        <f aca="false">IF(AND(AND(MOVIMIENTOS!$B261&lt;&gt;"",NOT(AND(MOVIMIENTOS!$B261="PROCESO",MOVIMIENTOS!$C261&lt;&gt;"Chancho")),NOT(AND(MOVIMIENTOS!$B261="SALDO INICIAL",MOVIMIENTOS!$C261="Chancho"))),OR(MOVIMIENTOS!$B261="SALDO INICIAL",MOVIMIENTOS!$B261="COMPRA",MOVIMIENTOS!$B261="REPROCESO",MOVIMIENTOS!$B261="DEVOLUCIÓN",AND(MOVIMIENTOS!$B261="AJUSTE",MOVIMIENTOS!$C261&lt;&gt;"Chancho",N(MOVIMIENTOS!$F261)&gt;=0))),N(MOVIMIENTOS!$F261),"")</f>
        <v/>
      </c>
      <c r="N262" s="48" t="str">
        <f aca="false">IF(AND(AND(MOVIMIENTOS!$B261&lt;&gt;"",NOT(AND(MOVIMIENTOS!$B261="PROCESO",MOVIMIENTOS!$C261&lt;&gt;"Chancho")),NOT(AND(MOVIMIENTOS!$B261="SALDO INICIAL",MOVIMIENTOS!$C261="Chancho"))),OR(MOVIMIENTOS!$B261="ENVÍO A SUPESA",MOVIMIENTOS!$B261="MALOGRADO",MOVIMIENTOS!$B261="OTRA SALIDA",MOVIMIENTOS!$B261="TRASIEGO",AND(MOVIMIENTOS!$B261="PROCESO",MOVIMIENTOS!$C261="Chancho"),AND(MOVIMIENTOS!$B261="REGALO",MOVIMIENTOS!$C261&lt;&gt;"Chancho"),AND(MOVIMIENTOS!$B261="VENTA",MOVIMIENTOS!$C261&lt;&gt;"Chancho"),AND(MOVIMIENTOS!$B261="AJUSTE",MOVIMIENTOS!$C261&lt;&gt;"Chancho",N(MOVIMIENTOS!$F261)&lt;0))),IF(MOVIMIENTOS!$B261="AJUSTE",-N(MOVIMIENTOS!$F261),N(MOVIMIENTOS!$F261)),"")</f>
        <v/>
      </c>
      <c r="O262" s="48" t="str">
        <f aca="false">IF(AND(MOVIMIENTOS!$B261&lt;&gt;"",NOT(AND(MOVIMIENTOS!$B261="PROCESO",MOVIMIENTOS!$C261&lt;&gt;"Chancho")),NOT(AND(MOVIMIENTOS!$B261="SALDO INICIAL",MOVIMIENTOS!$C261="Chancho"))),IF(MOVIMIENTOS!$B261="RECHAZO",MOVIMIENTOS!$E261&amp;" jabas rechazadas · van a reproceso",IF(MOVIMIENTOS!$B261="REPROCESO",MOVIMIENTOS!$E261&amp;" kg recuperados (merma del día: "&amp;TEXT(SUMPRODUCT((MOVIMIENTOS!$A$5:$A$400=MOVIMIENTOS!$A261)*(MOVIMIENTOS!$B$5:$B$400="RECHAZO")*(MOVIMIENTOS!$D$5:$D$400="jabas")*MOVIMIENTOS!$E$5:$E$400*IFERROR(_xlfn.SWITCH(MOVIMIENTOS!$C$5:$C$400,"A",15,"P",18,"C",17,"M",17,0),0))-SUMPRODUCT((MOVIMIENTOS!$A$5:$A$400=MOVIMIENTOS!$A261)*(MOVIMIENTOS!$B$5:$B$400="REPROCESO")*MOVIMIENTOS!$I$5:$I$400),"+#,##0;-#,##0;0")&amp;" kg)",TRIM(IF(MOVIMIENTOS!$G261&lt;&gt;"",MOVIMIENTOS!$G261&amp;"  ","")&amp;IF(N(MOVIMIENTOS!$D261)&gt;0,MOVIMIENTOS!$D261&amp;" "&amp;MOVIMIENTOS!$D261,"")))),"")</f>
        <v/>
      </c>
      <c r="P262" s="48" t="n">
        <f aca="false">N(P261)+N(M262)-N(N262)</f>
        <v>-290.5</v>
      </c>
      <c r="Q262" s="48"/>
      <c r="R262" s="48"/>
      <c r="S262" s="48"/>
      <c r="T262" s="48"/>
    </row>
    <row r="263" customFormat="false" ht="15" hidden="false" customHeight="true" outlineLevel="0" collapsed="false">
      <c r="A263" s="51" t="str">
        <f aca="false">IFERROR(INDEX(K$6:K$401,MATCH(ROW()-5,J$6:J$401,0)),"")</f>
        <v/>
      </c>
      <c r="B263" s="56" t="str">
        <f aca="false">IFERROR(INDEX(L$6:L$401,MATCH(ROW()-5,J$6:J$401,0)),"")</f>
        <v/>
      </c>
      <c r="C263" s="52" t="str">
        <f aca="false">IFERROR(INDEX(M$6:M$401,MATCH(ROW()-5,J$6:J$401,0)),"")</f>
        <v/>
      </c>
      <c r="D263" s="52" t="str">
        <f aca="false">IFERROR(INDEX(N$6:N$401,MATCH(ROW()-5,J$6:J$401,0)),"")</f>
        <v/>
      </c>
      <c r="E263" s="56" t="str">
        <f aca="false">IFERROR(INDEX(O$6:O$401,MATCH(ROW()-5,J$6:J$401,0)),"")</f>
        <v/>
      </c>
      <c r="F263" s="52" t="str">
        <f aca="false">IFERROR(INDEX(P$6:P$401,MATCH(ROW()-5,J$6:J$401,0)),"")</f>
        <v/>
      </c>
      <c r="G263" s="48"/>
      <c r="H263" s="48"/>
      <c r="I263" s="48"/>
      <c r="J263" s="48" t="str">
        <f aca="false">IF(AND(MOVIMIENTOS!$B262&lt;&gt;"",NOT(AND(MOVIMIENTOS!$B262="PROCESO",MOVIMIENTOS!$C262&lt;&gt;"Chancho")),NOT(AND(MOVIMIENTOS!$B262="SALDO INICIAL",MOVIMIENTOS!$C262="Chancho"))),COUNT(J$6:J262)+1,"")</f>
        <v/>
      </c>
      <c r="K263" s="48" t="str">
        <f aca="false">IF(AND(MOVIMIENTOS!$B262&lt;&gt;"",NOT(AND(MOVIMIENTOS!$B262="PROCESO",MOVIMIENTOS!$C262&lt;&gt;"Chancho")),NOT(AND(MOVIMIENTOS!$B262="SALDO INICIAL",MOVIMIENTOS!$C262="Chancho"))),MOVIMIENTOS!$A262,"")</f>
        <v/>
      </c>
      <c r="L263" s="48" t="str">
        <f aca="false">IF(AND(MOVIMIENTOS!$B262&lt;&gt;"",NOT(AND(MOVIMIENTOS!$B262="PROCESO",MOVIMIENTOS!$C262&lt;&gt;"Chancho")),NOT(AND(MOVIMIENTOS!$B262="SALDO INICIAL",MOVIMIENTOS!$C262="Chancho"))),IF(MOVIMIENTOS!$B262="SALDO INICIAL","APERTURA ("&amp;MOVIMIENTOS!$C262&amp;")",IF(MOVIMIENTOS!$B262="COMPRA","INGRESO (compra)",IF(MOVIMIENTOS!$B262="PROCESO","CHANCHO (proceso)",IF(MOVIMIENTOS!$B262="ENVÍO A SUPESA","ENVÍO cal. "&amp;MOVIMIENTOS!$C262,IF(MOVIMIENTOS!$B262="VENTA CHANCHO","VENTA CHANCHO",IF(MOVIMIENTOS!$B262="VENTA","VENTA cal. "&amp;MOVIMIENTOS!$C262,IF(MOVIMIENTOS!$B262="REGALO","REGALO "&amp;MOVIMIENTOS!$C262,IF(MOVIMIENTOS!$B262="RECHAZO","RECHAZO cal. "&amp;MOVIMIENTOS!$C262&amp;" (va a reproceso)",IF(MOVIMIENTOS!$B262="DEVOLUCIÓN","DEVOLUCIÓN cal. "&amp;MOVIMIENTOS!$C262&amp;" (regresa intacta)",IF(MOVIMIENTOS!$B262="TRASIEGO","TRASIEGO cal. "&amp;MOVIMIENTOS!$C262,MOVIMIENTOS!$B262)))))))))),"")</f>
        <v/>
      </c>
      <c r="M263" s="48" t="str">
        <f aca="false">IF(AND(AND(MOVIMIENTOS!$B262&lt;&gt;"",NOT(AND(MOVIMIENTOS!$B262="PROCESO",MOVIMIENTOS!$C262&lt;&gt;"Chancho")),NOT(AND(MOVIMIENTOS!$B262="SALDO INICIAL",MOVIMIENTOS!$C262="Chancho"))),OR(MOVIMIENTOS!$B262="SALDO INICIAL",MOVIMIENTOS!$B262="COMPRA",MOVIMIENTOS!$B262="REPROCESO",MOVIMIENTOS!$B262="DEVOLUCIÓN",AND(MOVIMIENTOS!$B262="AJUSTE",MOVIMIENTOS!$C262&lt;&gt;"Chancho",N(MOVIMIENTOS!$F262)&gt;=0))),N(MOVIMIENTOS!$F262),"")</f>
        <v/>
      </c>
      <c r="N263" s="48" t="str">
        <f aca="false">IF(AND(AND(MOVIMIENTOS!$B262&lt;&gt;"",NOT(AND(MOVIMIENTOS!$B262="PROCESO",MOVIMIENTOS!$C262&lt;&gt;"Chancho")),NOT(AND(MOVIMIENTOS!$B262="SALDO INICIAL",MOVIMIENTOS!$C262="Chancho"))),OR(MOVIMIENTOS!$B262="ENVÍO A SUPESA",MOVIMIENTOS!$B262="MALOGRADO",MOVIMIENTOS!$B262="OTRA SALIDA",MOVIMIENTOS!$B262="TRASIEGO",AND(MOVIMIENTOS!$B262="PROCESO",MOVIMIENTOS!$C262="Chancho"),AND(MOVIMIENTOS!$B262="REGALO",MOVIMIENTOS!$C262&lt;&gt;"Chancho"),AND(MOVIMIENTOS!$B262="VENTA",MOVIMIENTOS!$C262&lt;&gt;"Chancho"),AND(MOVIMIENTOS!$B262="AJUSTE",MOVIMIENTOS!$C262&lt;&gt;"Chancho",N(MOVIMIENTOS!$F262)&lt;0))),IF(MOVIMIENTOS!$B262="AJUSTE",-N(MOVIMIENTOS!$F262),N(MOVIMIENTOS!$F262)),"")</f>
        <v/>
      </c>
      <c r="O263" s="48" t="str">
        <f aca="false">IF(AND(MOVIMIENTOS!$B262&lt;&gt;"",NOT(AND(MOVIMIENTOS!$B262="PROCESO",MOVIMIENTOS!$C262&lt;&gt;"Chancho")),NOT(AND(MOVIMIENTOS!$B262="SALDO INICIAL",MOVIMIENTOS!$C262="Chancho"))),IF(MOVIMIENTOS!$B262="RECHAZO",MOVIMIENTOS!$E262&amp;" jabas rechazadas · van a reproceso",IF(MOVIMIENTOS!$B262="REPROCESO",MOVIMIENTOS!$E262&amp;" kg recuperados (merma del día: "&amp;TEXT(SUMPRODUCT((MOVIMIENTOS!$A$5:$A$400=MOVIMIENTOS!$A262)*(MOVIMIENTOS!$B$5:$B$400="RECHAZO")*(MOVIMIENTOS!$D$5:$D$400="jabas")*MOVIMIENTOS!$E$5:$E$400*IFERROR(_xlfn.SWITCH(MOVIMIENTOS!$C$5:$C$400,"A",15,"P",18,"C",17,"M",17,0),0))-SUMPRODUCT((MOVIMIENTOS!$A$5:$A$400=MOVIMIENTOS!$A262)*(MOVIMIENTOS!$B$5:$B$400="REPROCESO")*MOVIMIENTOS!$I$5:$I$400),"+#,##0;-#,##0;0")&amp;" kg)",TRIM(IF(MOVIMIENTOS!$G262&lt;&gt;"",MOVIMIENTOS!$G262&amp;"  ","")&amp;IF(N(MOVIMIENTOS!$D262)&gt;0,MOVIMIENTOS!$D262&amp;" "&amp;MOVIMIENTOS!$D262,"")))),"")</f>
        <v/>
      </c>
      <c r="P263" s="48" t="n">
        <f aca="false">N(P262)+N(M263)-N(N263)</f>
        <v>-290.5</v>
      </c>
      <c r="Q263" s="48"/>
      <c r="R263" s="48"/>
      <c r="S263" s="48"/>
      <c r="T263" s="48"/>
    </row>
    <row r="264" customFormat="false" ht="15" hidden="false" customHeight="true" outlineLevel="0" collapsed="false">
      <c r="A264" s="51" t="str">
        <f aca="false">IFERROR(INDEX(K$6:K$401,MATCH(ROW()-5,J$6:J$401,0)),"")</f>
        <v/>
      </c>
      <c r="B264" s="56" t="str">
        <f aca="false">IFERROR(INDEX(L$6:L$401,MATCH(ROW()-5,J$6:J$401,0)),"")</f>
        <v/>
      </c>
      <c r="C264" s="52" t="str">
        <f aca="false">IFERROR(INDEX(M$6:M$401,MATCH(ROW()-5,J$6:J$401,0)),"")</f>
        <v/>
      </c>
      <c r="D264" s="52" t="str">
        <f aca="false">IFERROR(INDEX(N$6:N$401,MATCH(ROW()-5,J$6:J$401,0)),"")</f>
        <v/>
      </c>
      <c r="E264" s="56" t="str">
        <f aca="false">IFERROR(INDEX(O$6:O$401,MATCH(ROW()-5,J$6:J$401,0)),"")</f>
        <v/>
      </c>
      <c r="F264" s="52" t="str">
        <f aca="false">IFERROR(INDEX(P$6:P$401,MATCH(ROW()-5,J$6:J$401,0)),"")</f>
        <v/>
      </c>
      <c r="G264" s="48"/>
      <c r="H264" s="48"/>
      <c r="I264" s="48"/>
      <c r="J264" s="48" t="str">
        <f aca="false">IF(AND(MOVIMIENTOS!$B263&lt;&gt;"",NOT(AND(MOVIMIENTOS!$B263="PROCESO",MOVIMIENTOS!$C263&lt;&gt;"Chancho")),NOT(AND(MOVIMIENTOS!$B263="SALDO INICIAL",MOVIMIENTOS!$C263="Chancho"))),COUNT(J$6:J263)+1,"")</f>
        <v/>
      </c>
      <c r="K264" s="48" t="str">
        <f aca="false">IF(AND(MOVIMIENTOS!$B263&lt;&gt;"",NOT(AND(MOVIMIENTOS!$B263="PROCESO",MOVIMIENTOS!$C263&lt;&gt;"Chancho")),NOT(AND(MOVIMIENTOS!$B263="SALDO INICIAL",MOVIMIENTOS!$C263="Chancho"))),MOVIMIENTOS!$A263,"")</f>
        <v/>
      </c>
      <c r="L264" s="48" t="str">
        <f aca="false">IF(AND(MOVIMIENTOS!$B263&lt;&gt;"",NOT(AND(MOVIMIENTOS!$B263="PROCESO",MOVIMIENTOS!$C263&lt;&gt;"Chancho")),NOT(AND(MOVIMIENTOS!$B263="SALDO INICIAL",MOVIMIENTOS!$C263="Chancho"))),IF(MOVIMIENTOS!$B263="SALDO INICIAL","APERTURA ("&amp;MOVIMIENTOS!$C263&amp;")",IF(MOVIMIENTOS!$B263="COMPRA","INGRESO (compra)",IF(MOVIMIENTOS!$B263="PROCESO","CHANCHO (proceso)",IF(MOVIMIENTOS!$B263="ENVÍO A SUPESA","ENVÍO cal. "&amp;MOVIMIENTOS!$C263,IF(MOVIMIENTOS!$B263="VENTA CHANCHO","VENTA CHANCHO",IF(MOVIMIENTOS!$B263="VENTA","VENTA cal. "&amp;MOVIMIENTOS!$C263,IF(MOVIMIENTOS!$B263="REGALO","REGALO "&amp;MOVIMIENTOS!$C263,IF(MOVIMIENTOS!$B263="RECHAZO","RECHAZO cal. "&amp;MOVIMIENTOS!$C263&amp;" (va a reproceso)",IF(MOVIMIENTOS!$B263="DEVOLUCIÓN","DEVOLUCIÓN cal. "&amp;MOVIMIENTOS!$C263&amp;" (regresa intacta)",IF(MOVIMIENTOS!$B263="TRASIEGO","TRASIEGO cal. "&amp;MOVIMIENTOS!$C263,MOVIMIENTOS!$B263)))))))))),"")</f>
        <v/>
      </c>
      <c r="M264" s="48" t="str">
        <f aca="false">IF(AND(AND(MOVIMIENTOS!$B263&lt;&gt;"",NOT(AND(MOVIMIENTOS!$B263="PROCESO",MOVIMIENTOS!$C263&lt;&gt;"Chancho")),NOT(AND(MOVIMIENTOS!$B263="SALDO INICIAL",MOVIMIENTOS!$C263="Chancho"))),OR(MOVIMIENTOS!$B263="SALDO INICIAL",MOVIMIENTOS!$B263="COMPRA",MOVIMIENTOS!$B263="REPROCESO",MOVIMIENTOS!$B263="DEVOLUCIÓN",AND(MOVIMIENTOS!$B263="AJUSTE",MOVIMIENTOS!$C263&lt;&gt;"Chancho",N(MOVIMIENTOS!$F263)&gt;=0))),N(MOVIMIENTOS!$F263),"")</f>
        <v/>
      </c>
      <c r="N264" s="48" t="str">
        <f aca="false">IF(AND(AND(MOVIMIENTOS!$B263&lt;&gt;"",NOT(AND(MOVIMIENTOS!$B263="PROCESO",MOVIMIENTOS!$C263&lt;&gt;"Chancho")),NOT(AND(MOVIMIENTOS!$B263="SALDO INICIAL",MOVIMIENTOS!$C263="Chancho"))),OR(MOVIMIENTOS!$B263="ENVÍO A SUPESA",MOVIMIENTOS!$B263="MALOGRADO",MOVIMIENTOS!$B263="OTRA SALIDA",MOVIMIENTOS!$B263="TRASIEGO",AND(MOVIMIENTOS!$B263="PROCESO",MOVIMIENTOS!$C263="Chancho"),AND(MOVIMIENTOS!$B263="REGALO",MOVIMIENTOS!$C263&lt;&gt;"Chancho"),AND(MOVIMIENTOS!$B263="VENTA",MOVIMIENTOS!$C263&lt;&gt;"Chancho"),AND(MOVIMIENTOS!$B263="AJUSTE",MOVIMIENTOS!$C263&lt;&gt;"Chancho",N(MOVIMIENTOS!$F263)&lt;0))),IF(MOVIMIENTOS!$B263="AJUSTE",-N(MOVIMIENTOS!$F263),N(MOVIMIENTOS!$F263)),"")</f>
        <v/>
      </c>
      <c r="O264" s="48" t="str">
        <f aca="false">IF(AND(MOVIMIENTOS!$B263&lt;&gt;"",NOT(AND(MOVIMIENTOS!$B263="PROCESO",MOVIMIENTOS!$C263&lt;&gt;"Chancho")),NOT(AND(MOVIMIENTOS!$B263="SALDO INICIAL",MOVIMIENTOS!$C263="Chancho"))),IF(MOVIMIENTOS!$B263="RECHAZO",MOVIMIENTOS!$E263&amp;" jabas rechazadas · van a reproceso",IF(MOVIMIENTOS!$B263="REPROCESO",MOVIMIENTOS!$E263&amp;" kg recuperados (merma del día: "&amp;TEXT(SUMPRODUCT((MOVIMIENTOS!$A$5:$A$400=MOVIMIENTOS!$A263)*(MOVIMIENTOS!$B$5:$B$400="RECHAZO")*(MOVIMIENTOS!$D$5:$D$400="jabas")*MOVIMIENTOS!$E$5:$E$400*IFERROR(_xlfn.SWITCH(MOVIMIENTOS!$C$5:$C$400,"A",15,"P",18,"C",17,"M",17,0),0))-SUMPRODUCT((MOVIMIENTOS!$A$5:$A$400=MOVIMIENTOS!$A263)*(MOVIMIENTOS!$B$5:$B$400="REPROCESO")*MOVIMIENTOS!$I$5:$I$400),"+#,##0;-#,##0;0")&amp;" kg)",TRIM(IF(MOVIMIENTOS!$G263&lt;&gt;"",MOVIMIENTOS!$G263&amp;"  ","")&amp;IF(N(MOVIMIENTOS!$D263)&gt;0,MOVIMIENTOS!$D263&amp;" "&amp;MOVIMIENTOS!$D263,"")))),"")</f>
        <v/>
      </c>
      <c r="P264" s="48" t="n">
        <f aca="false">N(P263)+N(M264)-N(N264)</f>
        <v>-290.5</v>
      </c>
      <c r="Q264" s="48"/>
      <c r="R264" s="48"/>
      <c r="S264" s="48"/>
      <c r="T264" s="48"/>
    </row>
    <row r="265" customFormat="false" ht="15" hidden="false" customHeight="true" outlineLevel="0" collapsed="false">
      <c r="A265" s="51" t="str">
        <f aca="false">IFERROR(INDEX(K$6:K$401,MATCH(ROW()-5,J$6:J$401,0)),"")</f>
        <v/>
      </c>
      <c r="B265" s="56" t="str">
        <f aca="false">IFERROR(INDEX(L$6:L$401,MATCH(ROW()-5,J$6:J$401,0)),"")</f>
        <v/>
      </c>
      <c r="C265" s="52" t="str">
        <f aca="false">IFERROR(INDEX(M$6:M$401,MATCH(ROW()-5,J$6:J$401,0)),"")</f>
        <v/>
      </c>
      <c r="D265" s="52" t="str">
        <f aca="false">IFERROR(INDEX(N$6:N$401,MATCH(ROW()-5,J$6:J$401,0)),"")</f>
        <v/>
      </c>
      <c r="E265" s="56" t="str">
        <f aca="false">IFERROR(INDEX(O$6:O$401,MATCH(ROW()-5,J$6:J$401,0)),"")</f>
        <v/>
      </c>
      <c r="F265" s="52" t="str">
        <f aca="false">IFERROR(INDEX(P$6:P$401,MATCH(ROW()-5,J$6:J$401,0)),"")</f>
        <v/>
      </c>
      <c r="G265" s="48"/>
      <c r="H265" s="48"/>
      <c r="I265" s="48"/>
      <c r="J265" s="48" t="str">
        <f aca="false">IF(AND(MOVIMIENTOS!$B264&lt;&gt;"",NOT(AND(MOVIMIENTOS!$B264="PROCESO",MOVIMIENTOS!$C264&lt;&gt;"Chancho")),NOT(AND(MOVIMIENTOS!$B264="SALDO INICIAL",MOVIMIENTOS!$C264="Chancho"))),COUNT(J$6:J264)+1,"")</f>
        <v/>
      </c>
      <c r="K265" s="48" t="str">
        <f aca="false">IF(AND(MOVIMIENTOS!$B264&lt;&gt;"",NOT(AND(MOVIMIENTOS!$B264="PROCESO",MOVIMIENTOS!$C264&lt;&gt;"Chancho")),NOT(AND(MOVIMIENTOS!$B264="SALDO INICIAL",MOVIMIENTOS!$C264="Chancho"))),MOVIMIENTOS!$A264,"")</f>
        <v/>
      </c>
      <c r="L265" s="48" t="str">
        <f aca="false">IF(AND(MOVIMIENTOS!$B264&lt;&gt;"",NOT(AND(MOVIMIENTOS!$B264="PROCESO",MOVIMIENTOS!$C264&lt;&gt;"Chancho")),NOT(AND(MOVIMIENTOS!$B264="SALDO INICIAL",MOVIMIENTOS!$C264="Chancho"))),IF(MOVIMIENTOS!$B264="SALDO INICIAL","APERTURA ("&amp;MOVIMIENTOS!$C264&amp;")",IF(MOVIMIENTOS!$B264="COMPRA","INGRESO (compra)",IF(MOVIMIENTOS!$B264="PROCESO","CHANCHO (proceso)",IF(MOVIMIENTOS!$B264="ENVÍO A SUPESA","ENVÍO cal. "&amp;MOVIMIENTOS!$C264,IF(MOVIMIENTOS!$B264="VENTA CHANCHO","VENTA CHANCHO",IF(MOVIMIENTOS!$B264="VENTA","VENTA cal. "&amp;MOVIMIENTOS!$C264,IF(MOVIMIENTOS!$B264="REGALO","REGALO "&amp;MOVIMIENTOS!$C264,IF(MOVIMIENTOS!$B264="RECHAZO","RECHAZO cal. "&amp;MOVIMIENTOS!$C264&amp;" (va a reproceso)",IF(MOVIMIENTOS!$B264="DEVOLUCIÓN","DEVOLUCIÓN cal. "&amp;MOVIMIENTOS!$C264&amp;" (regresa intacta)",IF(MOVIMIENTOS!$B264="TRASIEGO","TRASIEGO cal. "&amp;MOVIMIENTOS!$C264,MOVIMIENTOS!$B264)))))))))),"")</f>
        <v/>
      </c>
      <c r="M265" s="48" t="str">
        <f aca="false">IF(AND(AND(MOVIMIENTOS!$B264&lt;&gt;"",NOT(AND(MOVIMIENTOS!$B264="PROCESO",MOVIMIENTOS!$C264&lt;&gt;"Chancho")),NOT(AND(MOVIMIENTOS!$B264="SALDO INICIAL",MOVIMIENTOS!$C264="Chancho"))),OR(MOVIMIENTOS!$B264="SALDO INICIAL",MOVIMIENTOS!$B264="COMPRA",MOVIMIENTOS!$B264="REPROCESO",MOVIMIENTOS!$B264="DEVOLUCIÓN",AND(MOVIMIENTOS!$B264="AJUSTE",MOVIMIENTOS!$C264&lt;&gt;"Chancho",N(MOVIMIENTOS!$F264)&gt;=0))),N(MOVIMIENTOS!$F264),"")</f>
        <v/>
      </c>
      <c r="N265" s="48" t="str">
        <f aca="false">IF(AND(AND(MOVIMIENTOS!$B264&lt;&gt;"",NOT(AND(MOVIMIENTOS!$B264="PROCESO",MOVIMIENTOS!$C264&lt;&gt;"Chancho")),NOT(AND(MOVIMIENTOS!$B264="SALDO INICIAL",MOVIMIENTOS!$C264="Chancho"))),OR(MOVIMIENTOS!$B264="ENVÍO A SUPESA",MOVIMIENTOS!$B264="MALOGRADO",MOVIMIENTOS!$B264="OTRA SALIDA",MOVIMIENTOS!$B264="TRASIEGO",AND(MOVIMIENTOS!$B264="PROCESO",MOVIMIENTOS!$C264="Chancho"),AND(MOVIMIENTOS!$B264="REGALO",MOVIMIENTOS!$C264&lt;&gt;"Chancho"),AND(MOVIMIENTOS!$B264="VENTA",MOVIMIENTOS!$C264&lt;&gt;"Chancho"),AND(MOVIMIENTOS!$B264="AJUSTE",MOVIMIENTOS!$C264&lt;&gt;"Chancho",N(MOVIMIENTOS!$F264)&lt;0))),IF(MOVIMIENTOS!$B264="AJUSTE",-N(MOVIMIENTOS!$F264),N(MOVIMIENTOS!$F264)),"")</f>
        <v/>
      </c>
      <c r="O265" s="48" t="str">
        <f aca="false">IF(AND(MOVIMIENTOS!$B264&lt;&gt;"",NOT(AND(MOVIMIENTOS!$B264="PROCESO",MOVIMIENTOS!$C264&lt;&gt;"Chancho")),NOT(AND(MOVIMIENTOS!$B264="SALDO INICIAL",MOVIMIENTOS!$C264="Chancho"))),IF(MOVIMIENTOS!$B264="RECHAZO",MOVIMIENTOS!$E264&amp;" jabas rechazadas · van a reproceso",IF(MOVIMIENTOS!$B264="REPROCESO",MOVIMIENTOS!$E264&amp;" kg recuperados (merma del día: "&amp;TEXT(SUMPRODUCT((MOVIMIENTOS!$A$5:$A$400=MOVIMIENTOS!$A264)*(MOVIMIENTOS!$B$5:$B$400="RECHAZO")*(MOVIMIENTOS!$D$5:$D$400="jabas")*MOVIMIENTOS!$E$5:$E$400*IFERROR(_xlfn.SWITCH(MOVIMIENTOS!$C$5:$C$400,"A",15,"P",18,"C",17,"M",17,0),0))-SUMPRODUCT((MOVIMIENTOS!$A$5:$A$400=MOVIMIENTOS!$A264)*(MOVIMIENTOS!$B$5:$B$400="REPROCESO")*MOVIMIENTOS!$I$5:$I$400),"+#,##0;-#,##0;0")&amp;" kg)",TRIM(IF(MOVIMIENTOS!$G264&lt;&gt;"",MOVIMIENTOS!$G264&amp;"  ","")&amp;IF(N(MOVIMIENTOS!$D264)&gt;0,MOVIMIENTOS!$D264&amp;" "&amp;MOVIMIENTOS!$D264,"")))),"")</f>
        <v/>
      </c>
      <c r="P265" s="48" t="n">
        <f aca="false">N(P264)+N(M265)-N(N265)</f>
        <v>-290.5</v>
      </c>
      <c r="Q265" s="48"/>
      <c r="R265" s="48"/>
      <c r="S265" s="48"/>
      <c r="T265" s="48"/>
    </row>
    <row r="266" customFormat="false" ht="15" hidden="false" customHeight="true" outlineLevel="0" collapsed="false">
      <c r="A266" s="51" t="str">
        <f aca="false">IFERROR(INDEX(K$6:K$401,MATCH(ROW()-5,J$6:J$401,0)),"")</f>
        <v/>
      </c>
      <c r="B266" s="56" t="str">
        <f aca="false">IFERROR(INDEX(L$6:L$401,MATCH(ROW()-5,J$6:J$401,0)),"")</f>
        <v/>
      </c>
      <c r="C266" s="52" t="str">
        <f aca="false">IFERROR(INDEX(M$6:M$401,MATCH(ROW()-5,J$6:J$401,0)),"")</f>
        <v/>
      </c>
      <c r="D266" s="52" t="str">
        <f aca="false">IFERROR(INDEX(N$6:N$401,MATCH(ROW()-5,J$6:J$401,0)),"")</f>
        <v/>
      </c>
      <c r="E266" s="56" t="str">
        <f aca="false">IFERROR(INDEX(O$6:O$401,MATCH(ROW()-5,J$6:J$401,0)),"")</f>
        <v/>
      </c>
      <c r="F266" s="52" t="str">
        <f aca="false">IFERROR(INDEX(P$6:P$401,MATCH(ROW()-5,J$6:J$401,0)),"")</f>
        <v/>
      </c>
      <c r="G266" s="48"/>
      <c r="H266" s="48"/>
      <c r="I266" s="48"/>
      <c r="J266" s="48" t="str">
        <f aca="false">IF(AND(MOVIMIENTOS!$B265&lt;&gt;"",NOT(AND(MOVIMIENTOS!$B265="PROCESO",MOVIMIENTOS!$C265&lt;&gt;"Chancho")),NOT(AND(MOVIMIENTOS!$B265="SALDO INICIAL",MOVIMIENTOS!$C265="Chancho"))),COUNT(J$6:J265)+1,"")</f>
        <v/>
      </c>
      <c r="K266" s="48" t="str">
        <f aca="false">IF(AND(MOVIMIENTOS!$B265&lt;&gt;"",NOT(AND(MOVIMIENTOS!$B265="PROCESO",MOVIMIENTOS!$C265&lt;&gt;"Chancho")),NOT(AND(MOVIMIENTOS!$B265="SALDO INICIAL",MOVIMIENTOS!$C265="Chancho"))),MOVIMIENTOS!$A265,"")</f>
        <v/>
      </c>
      <c r="L266" s="48" t="str">
        <f aca="false">IF(AND(MOVIMIENTOS!$B265&lt;&gt;"",NOT(AND(MOVIMIENTOS!$B265="PROCESO",MOVIMIENTOS!$C265&lt;&gt;"Chancho")),NOT(AND(MOVIMIENTOS!$B265="SALDO INICIAL",MOVIMIENTOS!$C265="Chancho"))),IF(MOVIMIENTOS!$B265="SALDO INICIAL","APERTURA ("&amp;MOVIMIENTOS!$C265&amp;")",IF(MOVIMIENTOS!$B265="COMPRA","INGRESO (compra)",IF(MOVIMIENTOS!$B265="PROCESO","CHANCHO (proceso)",IF(MOVIMIENTOS!$B265="ENVÍO A SUPESA","ENVÍO cal. "&amp;MOVIMIENTOS!$C265,IF(MOVIMIENTOS!$B265="VENTA CHANCHO","VENTA CHANCHO",IF(MOVIMIENTOS!$B265="VENTA","VENTA cal. "&amp;MOVIMIENTOS!$C265,IF(MOVIMIENTOS!$B265="REGALO","REGALO "&amp;MOVIMIENTOS!$C265,IF(MOVIMIENTOS!$B265="RECHAZO","RECHAZO cal. "&amp;MOVIMIENTOS!$C265&amp;" (va a reproceso)",IF(MOVIMIENTOS!$B265="DEVOLUCIÓN","DEVOLUCIÓN cal. "&amp;MOVIMIENTOS!$C265&amp;" (regresa intacta)",IF(MOVIMIENTOS!$B265="TRASIEGO","TRASIEGO cal. "&amp;MOVIMIENTOS!$C265,MOVIMIENTOS!$B265)))))))))),"")</f>
        <v/>
      </c>
      <c r="M266" s="48" t="str">
        <f aca="false">IF(AND(AND(MOVIMIENTOS!$B265&lt;&gt;"",NOT(AND(MOVIMIENTOS!$B265="PROCESO",MOVIMIENTOS!$C265&lt;&gt;"Chancho")),NOT(AND(MOVIMIENTOS!$B265="SALDO INICIAL",MOVIMIENTOS!$C265="Chancho"))),OR(MOVIMIENTOS!$B265="SALDO INICIAL",MOVIMIENTOS!$B265="COMPRA",MOVIMIENTOS!$B265="REPROCESO",MOVIMIENTOS!$B265="DEVOLUCIÓN",AND(MOVIMIENTOS!$B265="AJUSTE",MOVIMIENTOS!$C265&lt;&gt;"Chancho",N(MOVIMIENTOS!$F265)&gt;=0))),N(MOVIMIENTOS!$F265),"")</f>
        <v/>
      </c>
      <c r="N266" s="48" t="str">
        <f aca="false">IF(AND(AND(MOVIMIENTOS!$B265&lt;&gt;"",NOT(AND(MOVIMIENTOS!$B265="PROCESO",MOVIMIENTOS!$C265&lt;&gt;"Chancho")),NOT(AND(MOVIMIENTOS!$B265="SALDO INICIAL",MOVIMIENTOS!$C265="Chancho"))),OR(MOVIMIENTOS!$B265="ENVÍO A SUPESA",MOVIMIENTOS!$B265="MALOGRADO",MOVIMIENTOS!$B265="OTRA SALIDA",MOVIMIENTOS!$B265="TRASIEGO",AND(MOVIMIENTOS!$B265="PROCESO",MOVIMIENTOS!$C265="Chancho"),AND(MOVIMIENTOS!$B265="REGALO",MOVIMIENTOS!$C265&lt;&gt;"Chancho"),AND(MOVIMIENTOS!$B265="VENTA",MOVIMIENTOS!$C265&lt;&gt;"Chancho"),AND(MOVIMIENTOS!$B265="AJUSTE",MOVIMIENTOS!$C265&lt;&gt;"Chancho",N(MOVIMIENTOS!$F265)&lt;0))),IF(MOVIMIENTOS!$B265="AJUSTE",-N(MOVIMIENTOS!$F265),N(MOVIMIENTOS!$F265)),"")</f>
        <v/>
      </c>
      <c r="O266" s="48" t="str">
        <f aca="false">IF(AND(MOVIMIENTOS!$B265&lt;&gt;"",NOT(AND(MOVIMIENTOS!$B265="PROCESO",MOVIMIENTOS!$C265&lt;&gt;"Chancho")),NOT(AND(MOVIMIENTOS!$B265="SALDO INICIAL",MOVIMIENTOS!$C265="Chancho"))),IF(MOVIMIENTOS!$B265="RECHAZO",MOVIMIENTOS!$E265&amp;" jabas rechazadas · van a reproceso",IF(MOVIMIENTOS!$B265="REPROCESO",MOVIMIENTOS!$E265&amp;" kg recuperados (merma del día: "&amp;TEXT(SUMPRODUCT((MOVIMIENTOS!$A$5:$A$400=MOVIMIENTOS!$A265)*(MOVIMIENTOS!$B$5:$B$400="RECHAZO")*(MOVIMIENTOS!$D$5:$D$400="jabas")*MOVIMIENTOS!$E$5:$E$400*IFERROR(_xlfn.SWITCH(MOVIMIENTOS!$C$5:$C$400,"A",15,"P",18,"C",17,"M",17,0),0))-SUMPRODUCT((MOVIMIENTOS!$A$5:$A$400=MOVIMIENTOS!$A265)*(MOVIMIENTOS!$B$5:$B$400="REPROCESO")*MOVIMIENTOS!$I$5:$I$400),"+#,##0;-#,##0;0")&amp;" kg)",TRIM(IF(MOVIMIENTOS!$G265&lt;&gt;"",MOVIMIENTOS!$G265&amp;"  ","")&amp;IF(N(MOVIMIENTOS!$D265)&gt;0,MOVIMIENTOS!$D265&amp;" "&amp;MOVIMIENTOS!$D265,"")))),"")</f>
        <v/>
      </c>
      <c r="P266" s="48" t="n">
        <f aca="false">N(P265)+N(M266)-N(N266)</f>
        <v>-290.5</v>
      </c>
      <c r="Q266" s="48"/>
      <c r="R266" s="48"/>
      <c r="S266" s="48"/>
      <c r="T266" s="48"/>
    </row>
    <row r="267" customFormat="false" ht="15" hidden="false" customHeight="true" outlineLevel="0" collapsed="false">
      <c r="A267" s="51" t="str">
        <f aca="false">IFERROR(INDEX(K$6:K$401,MATCH(ROW()-5,J$6:J$401,0)),"")</f>
        <v/>
      </c>
      <c r="B267" s="56" t="str">
        <f aca="false">IFERROR(INDEX(L$6:L$401,MATCH(ROW()-5,J$6:J$401,0)),"")</f>
        <v/>
      </c>
      <c r="C267" s="52" t="str">
        <f aca="false">IFERROR(INDEX(M$6:M$401,MATCH(ROW()-5,J$6:J$401,0)),"")</f>
        <v/>
      </c>
      <c r="D267" s="52" t="str">
        <f aca="false">IFERROR(INDEX(N$6:N$401,MATCH(ROW()-5,J$6:J$401,0)),"")</f>
        <v/>
      </c>
      <c r="E267" s="56" t="str">
        <f aca="false">IFERROR(INDEX(O$6:O$401,MATCH(ROW()-5,J$6:J$401,0)),"")</f>
        <v/>
      </c>
      <c r="F267" s="52" t="str">
        <f aca="false">IFERROR(INDEX(P$6:P$401,MATCH(ROW()-5,J$6:J$401,0)),"")</f>
        <v/>
      </c>
      <c r="G267" s="48"/>
      <c r="H267" s="48"/>
      <c r="I267" s="48"/>
      <c r="J267" s="48" t="str">
        <f aca="false">IF(AND(MOVIMIENTOS!$B266&lt;&gt;"",NOT(AND(MOVIMIENTOS!$B266="PROCESO",MOVIMIENTOS!$C266&lt;&gt;"Chancho")),NOT(AND(MOVIMIENTOS!$B266="SALDO INICIAL",MOVIMIENTOS!$C266="Chancho"))),COUNT(J$6:J266)+1,"")</f>
        <v/>
      </c>
      <c r="K267" s="48" t="str">
        <f aca="false">IF(AND(MOVIMIENTOS!$B266&lt;&gt;"",NOT(AND(MOVIMIENTOS!$B266="PROCESO",MOVIMIENTOS!$C266&lt;&gt;"Chancho")),NOT(AND(MOVIMIENTOS!$B266="SALDO INICIAL",MOVIMIENTOS!$C266="Chancho"))),MOVIMIENTOS!$A266,"")</f>
        <v/>
      </c>
      <c r="L267" s="48" t="str">
        <f aca="false">IF(AND(MOVIMIENTOS!$B266&lt;&gt;"",NOT(AND(MOVIMIENTOS!$B266="PROCESO",MOVIMIENTOS!$C266&lt;&gt;"Chancho")),NOT(AND(MOVIMIENTOS!$B266="SALDO INICIAL",MOVIMIENTOS!$C266="Chancho"))),IF(MOVIMIENTOS!$B266="SALDO INICIAL","APERTURA ("&amp;MOVIMIENTOS!$C266&amp;")",IF(MOVIMIENTOS!$B266="COMPRA","INGRESO (compra)",IF(MOVIMIENTOS!$B266="PROCESO","CHANCHO (proceso)",IF(MOVIMIENTOS!$B266="ENVÍO A SUPESA","ENVÍO cal. "&amp;MOVIMIENTOS!$C266,IF(MOVIMIENTOS!$B266="VENTA CHANCHO","VENTA CHANCHO",IF(MOVIMIENTOS!$B266="VENTA","VENTA cal. "&amp;MOVIMIENTOS!$C266,IF(MOVIMIENTOS!$B266="REGALO","REGALO "&amp;MOVIMIENTOS!$C266,IF(MOVIMIENTOS!$B266="RECHAZO","RECHAZO cal. "&amp;MOVIMIENTOS!$C266&amp;" (va a reproceso)",IF(MOVIMIENTOS!$B266="DEVOLUCIÓN","DEVOLUCIÓN cal. "&amp;MOVIMIENTOS!$C266&amp;" (regresa intacta)",IF(MOVIMIENTOS!$B266="TRASIEGO","TRASIEGO cal. "&amp;MOVIMIENTOS!$C266,MOVIMIENTOS!$B266)))))))))),"")</f>
        <v/>
      </c>
      <c r="M267" s="48" t="str">
        <f aca="false">IF(AND(AND(MOVIMIENTOS!$B266&lt;&gt;"",NOT(AND(MOVIMIENTOS!$B266="PROCESO",MOVIMIENTOS!$C266&lt;&gt;"Chancho")),NOT(AND(MOVIMIENTOS!$B266="SALDO INICIAL",MOVIMIENTOS!$C266="Chancho"))),OR(MOVIMIENTOS!$B266="SALDO INICIAL",MOVIMIENTOS!$B266="COMPRA",MOVIMIENTOS!$B266="REPROCESO",MOVIMIENTOS!$B266="DEVOLUCIÓN",AND(MOVIMIENTOS!$B266="AJUSTE",MOVIMIENTOS!$C266&lt;&gt;"Chancho",N(MOVIMIENTOS!$F266)&gt;=0))),N(MOVIMIENTOS!$F266),"")</f>
        <v/>
      </c>
      <c r="N267" s="48" t="str">
        <f aca="false">IF(AND(AND(MOVIMIENTOS!$B266&lt;&gt;"",NOT(AND(MOVIMIENTOS!$B266="PROCESO",MOVIMIENTOS!$C266&lt;&gt;"Chancho")),NOT(AND(MOVIMIENTOS!$B266="SALDO INICIAL",MOVIMIENTOS!$C266="Chancho"))),OR(MOVIMIENTOS!$B266="ENVÍO A SUPESA",MOVIMIENTOS!$B266="MALOGRADO",MOVIMIENTOS!$B266="OTRA SALIDA",MOVIMIENTOS!$B266="TRASIEGO",AND(MOVIMIENTOS!$B266="PROCESO",MOVIMIENTOS!$C266="Chancho"),AND(MOVIMIENTOS!$B266="REGALO",MOVIMIENTOS!$C266&lt;&gt;"Chancho"),AND(MOVIMIENTOS!$B266="VENTA",MOVIMIENTOS!$C266&lt;&gt;"Chancho"),AND(MOVIMIENTOS!$B266="AJUSTE",MOVIMIENTOS!$C266&lt;&gt;"Chancho",N(MOVIMIENTOS!$F266)&lt;0))),IF(MOVIMIENTOS!$B266="AJUSTE",-N(MOVIMIENTOS!$F266),N(MOVIMIENTOS!$F266)),"")</f>
        <v/>
      </c>
      <c r="O267" s="48" t="str">
        <f aca="false">IF(AND(MOVIMIENTOS!$B266&lt;&gt;"",NOT(AND(MOVIMIENTOS!$B266="PROCESO",MOVIMIENTOS!$C266&lt;&gt;"Chancho")),NOT(AND(MOVIMIENTOS!$B266="SALDO INICIAL",MOVIMIENTOS!$C266="Chancho"))),IF(MOVIMIENTOS!$B266="RECHAZO",MOVIMIENTOS!$E266&amp;" jabas rechazadas · van a reproceso",IF(MOVIMIENTOS!$B266="REPROCESO",MOVIMIENTOS!$E266&amp;" kg recuperados (merma del día: "&amp;TEXT(SUMPRODUCT((MOVIMIENTOS!$A$5:$A$400=MOVIMIENTOS!$A266)*(MOVIMIENTOS!$B$5:$B$400="RECHAZO")*(MOVIMIENTOS!$D$5:$D$400="jabas")*MOVIMIENTOS!$E$5:$E$400*IFERROR(_xlfn.SWITCH(MOVIMIENTOS!$C$5:$C$400,"A",15,"P",18,"C",17,"M",17,0),0))-SUMPRODUCT((MOVIMIENTOS!$A$5:$A$400=MOVIMIENTOS!$A266)*(MOVIMIENTOS!$B$5:$B$400="REPROCESO")*MOVIMIENTOS!$I$5:$I$400),"+#,##0;-#,##0;0")&amp;" kg)",TRIM(IF(MOVIMIENTOS!$G266&lt;&gt;"",MOVIMIENTOS!$G266&amp;"  ","")&amp;IF(N(MOVIMIENTOS!$D266)&gt;0,MOVIMIENTOS!$D266&amp;" "&amp;MOVIMIENTOS!$D266,"")))),"")</f>
        <v/>
      </c>
      <c r="P267" s="48" t="n">
        <f aca="false">N(P266)+N(M267)-N(N267)</f>
        <v>-290.5</v>
      </c>
      <c r="Q267" s="48"/>
      <c r="R267" s="48"/>
      <c r="S267" s="48"/>
      <c r="T267" s="48"/>
    </row>
    <row r="268" customFormat="false" ht="15" hidden="false" customHeight="true" outlineLevel="0" collapsed="false">
      <c r="A268" s="51" t="str">
        <f aca="false">IFERROR(INDEX(K$6:K$401,MATCH(ROW()-5,J$6:J$401,0)),"")</f>
        <v/>
      </c>
      <c r="B268" s="56" t="str">
        <f aca="false">IFERROR(INDEX(L$6:L$401,MATCH(ROW()-5,J$6:J$401,0)),"")</f>
        <v/>
      </c>
      <c r="C268" s="52" t="str">
        <f aca="false">IFERROR(INDEX(M$6:M$401,MATCH(ROW()-5,J$6:J$401,0)),"")</f>
        <v/>
      </c>
      <c r="D268" s="52" t="str">
        <f aca="false">IFERROR(INDEX(N$6:N$401,MATCH(ROW()-5,J$6:J$401,0)),"")</f>
        <v/>
      </c>
      <c r="E268" s="56" t="str">
        <f aca="false">IFERROR(INDEX(O$6:O$401,MATCH(ROW()-5,J$6:J$401,0)),"")</f>
        <v/>
      </c>
      <c r="F268" s="52" t="str">
        <f aca="false">IFERROR(INDEX(P$6:P$401,MATCH(ROW()-5,J$6:J$401,0)),"")</f>
        <v/>
      </c>
      <c r="G268" s="48"/>
      <c r="H268" s="48"/>
      <c r="I268" s="48"/>
      <c r="J268" s="48" t="str">
        <f aca="false">IF(AND(MOVIMIENTOS!$B267&lt;&gt;"",NOT(AND(MOVIMIENTOS!$B267="PROCESO",MOVIMIENTOS!$C267&lt;&gt;"Chancho")),NOT(AND(MOVIMIENTOS!$B267="SALDO INICIAL",MOVIMIENTOS!$C267="Chancho"))),COUNT(J$6:J267)+1,"")</f>
        <v/>
      </c>
      <c r="K268" s="48" t="str">
        <f aca="false">IF(AND(MOVIMIENTOS!$B267&lt;&gt;"",NOT(AND(MOVIMIENTOS!$B267="PROCESO",MOVIMIENTOS!$C267&lt;&gt;"Chancho")),NOT(AND(MOVIMIENTOS!$B267="SALDO INICIAL",MOVIMIENTOS!$C267="Chancho"))),MOVIMIENTOS!$A267,"")</f>
        <v/>
      </c>
      <c r="L268" s="48" t="str">
        <f aca="false">IF(AND(MOVIMIENTOS!$B267&lt;&gt;"",NOT(AND(MOVIMIENTOS!$B267="PROCESO",MOVIMIENTOS!$C267&lt;&gt;"Chancho")),NOT(AND(MOVIMIENTOS!$B267="SALDO INICIAL",MOVIMIENTOS!$C267="Chancho"))),IF(MOVIMIENTOS!$B267="SALDO INICIAL","APERTURA ("&amp;MOVIMIENTOS!$C267&amp;")",IF(MOVIMIENTOS!$B267="COMPRA","INGRESO (compra)",IF(MOVIMIENTOS!$B267="PROCESO","CHANCHO (proceso)",IF(MOVIMIENTOS!$B267="ENVÍO A SUPESA","ENVÍO cal. "&amp;MOVIMIENTOS!$C267,IF(MOVIMIENTOS!$B267="VENTA CHANCHO","VENTA CHANCHO",IF(MOVIMIENTOS!$B267="VENTA","VENTA cal. "&amp;MOVIMIENTOS!$C267,IF(MOVIMIENTOS!$B267="REGALO","REGALO "&amp;MOVIMIENTOS!$C267,IF(MOVIMIENTOS!$B267="RECHAZO","RECHAZO cal. "&amp;MOVIMIENTOS!$C267&amp;" (va a reproceso)",IF(MOVIMIENTOS!$B267="DEVOLUCIÓN","DEVOLUCIÓN cal. "&amp;MOVIMIENTOS!$C267&amp;" (regresa intacta)",IF(MOVIMIENTOS!$B267="TRASIEGO","TRASIEGO cal. "&amp;MOVIMIENTOS!$C267,MOVIMIENTOS!$B267)))))))))),"")</f>
        <v/>
      </c>
      <c r="M268" s="48" t="str">
        <f aca="false">IF(AND(AND(MOVIMIENTOS!$B267&lt;&gt;"",NOT(AND(MOVIMIENTOS!$B267="PROCESO",MOVIMIENTOS!$C267&lt;&gt;"Chancho")),NOT(AND(MOVIMIENTOS!$B267="SALDO INICIAL",MOVIMIENTOS!$C267="Chancho"))),OR(MOVIMIENTOS!$B267="SALDO INICIAL",MOVIMIENTOS!$B267="COMPRA",MOVIMIENTOS!$B267="REPROCESO",MOVIMIENTOS!$B267="DEVOLUCIÓN",AND(MOVIMIENTOS!$B267="AJUSTE",MOVIMIENTOS!$C267&lt;&gt;"Chancho",N(MOVIMIENTOS!$F267)&gt;=0))),N(MOVIMIENTOS!$F267),"")</f>
        <v/>
      </c>
      <c r="N268" s="48" t="str">
        <f aca="false">IF(AND(AND(MOVIMIENTOS!$B267&lt;&gt;"",NOT(AND(MOVIMIENTOS!$B267="PROCESO",MOVIMIENTOS!$C267&lt;&gt;"Chancho")),NOT(AND(MOVIMIENTOS!$B267="SALDO INICIAL",MOVIMIENTOS!$C267="Chancho"))),OR(MOVIMIENTOS!$B267="ENVÍO A SUPESA",MOVIMIENTOS!$B267="MALOGRADO",MOVIMIENTOS!$B267="OTRA SALIDA",MOVIMIENTOS!$B267="TRASIEGO",AND(MOVIMIENTOS!$B267="PROCESO",MOVIMIENTOS!$C267="Chancho"),AND(MOVIMIENTOS!$B267="REGALO",MOVIMIENTOS!$C267&lt;&gt;"Chancho"),AND(MOVIMIENTOS!$B267="VENTA",MOVIMIENTOS!$C267&lt;&gt;"Chancho"),AND(MOVIMIENTOS!$B267="AJUSTE",MOVIMIENTOS!$C267&lt;&gt;"Chancho",N(MOVIMIENTOS!$F267)&lt;0))),IF(MOVIMIENTOS!$B267="AJUSTE",-N(MOVIMIENTOS!$F267),N(MOVIMIENTOS!$F267)),"")</f>
        <v/>
      </c>
      <c r="O268" s="48" t="str">
        <f aca="false">IF(AND(MOVIMIENTOS!$B267&lt;&gt;"",NOT(AND(MOVIMIENTOS!$B267="PROCESO",MOVIMIENTOS!$C267&lt;&gt;"Chancho")),NOT(AND(MOVIMIENTOS!$B267="SALDO INICIAL",MOVIMIENTOS!$C267="Chancho"))),IF(MOVIMIENTOS!$B267="RECHAZO",MOVIMIENTOS!$E267&amp;" jabas rechazadas · van a reproceso",IF(MOVIMIENTOS!$B267="REPROCESO",MOVIMIENTOS!$E267&amp;" kg recuperados (merma del día: "&amp;TEXT(SUMPRODUCT((MOVIMIENTOS!$A$5:$A$400=MOVIMIENTOS!$A267)*(MOVIMIENTOS!$B$5:$B$400="RECHAZO")*(MOVIMIENTOS!$D$5:$D$400="jabas")*MOVIMIENTOS!$E$5:$E$400*IFERROR(_xlfn.SWITCH(MOVIMIENTOS!$C$5:$C$400,"A",15,"P",18,"C",17,"M",17,0),0))-SUMPRODUCT((MOVIMIENTOS!$A$5:$A$400=MOVIMIENTOS!$A267)*(MOVIMIENTOS!$B$5:$B$400="REPROCESO")*MOVIMIENTOS!$I$5:$I$400),"+#,##0;-#,##0;0")&amp;" kg)",TRIM(IF(MOVIMIENTOS!$G267&lt;&gt;"",MOVIMIENTOS!$G267&amp;"  ","")&amp;IF(N(MOVIMIENTOS!$D267)&gt;0,MOVIMIENTOS!$D267&amp;" "&amp;MOVIMIENTOS!$D267,"")))),"")</f>
        <v/>
      </c>
      <c r="P268" s="48" t="n">
        <f aca="false">N(P267)+N(M268)-N(N268)</f>
        <v>-290.5</v>
      </c>
      <c r="Q268" s="48"/>
      <c r="R268" s="48"/>
      <c r="S268" s="48"/>
      <c r="T268" s="48"/>
    </row>
    <row r="269" customFormat="false" ht="15" hidden="false" customHeight="true" outlineLevel="0" collapsed="false">
      <c r="A269" s="51" t="str">
        <f aca="false">IFERROR(INDEX(K$6:K$401,MATCH(ROW()-5,J$6:J$401,0)),"")</f>
        <v/>
      </c>
      <c r="B269" s="56" t="str">
        <f aca="false">IFERROR(INDEX(L$6:L$401,MATCH(ROW()-5,J$6:J$401,0)),"")</f>
        <v/>
      </c>
      <c r="C269" s="52" t="str">
        <f aca="false">IFERROR(INDEX(M$6:M$401,MATCH(ROW()-5,J$6:J$401,0)),"")</f>
        <v/>
      </c>
      <c r="D269" s="52" t="str">
        <f aca="false">IFERROR(INDEX(N$6:N$401,MATCH(ROW()-5,J$6:J$401,0)),"")</f>
        <v/>
      </c>
      <c r="E269" s="56" t="str">
        <f aca="false">IFERROR(INDEX(O$6:O$401,MATCH(ROW()-5,J$6:J$401,0)),"")</f>
        <v/>
      </c>
      <c r="F269" s="52" t="str">
        <f aca="false">IFERROR(INDEX(P$6:P$401,MATCH(ROW()-5,J$6:J$401,0)),"")</f>
        <v/>
      </c>
      <c r="G269" s="48"/>
      <c r="H269" s="48"/>
      <c r="I269" s="48"/>
      <c r="J269" s="48" t="str">
        <f aca="false">IF(AND(MOVIMIENTOS!$B268&lt;&gt;"",NOT(AND(MOVIMIENTOS!$B268="PROCESO",MOVIMIENTOS!$C268&lt;&gt;"Chancho")),NOT(AND(MOVIMIENTOS!$B268="SALDO INICIAL",MOVIMIENTOS!$C268="Chancho"))),COUNT(J$6:J268)+1,"")</f>
        <v/>
      </c>
      <c r="K269" s="48" t="str">
        <f aca="false">IF(AND(MOVIMIENTOS!$B268&lt;&gt;"",NOT(AND(MOVIMIENTOS!$B268="PROCESO",MOVIMIENTOS!$C268&lt;&gt;"Chancho")),NOT(AND(MOVIMIENTOS!$B268="SALDO INICIAL",MOVIMIENTOS!$C268="Chancho"))),MOVIMIENTOS!$A268,"")</f>
        <v/>
      </c>
      <c r="L269" s="48" t="str">
        <f aca="false">IF(AND(MOVIMIENTOS!$B268&lt;&gt;"",NOT(AND(MOVIMIENTOS!$B268="PROCESO",MOVIMIENTOS!$C268&lt;&gt;"Chancho")),NOT(AND(MOVIMIENTOS!$B268="SALDO INICIAL",MOVIMIENTOS!$C268="Chancho"))),IF(MOVIMIENTOS!$B268="SALDO INICIAL","APERTURA ("&amp;MOVIMIENTOS!$C268&amp;")",IF(MOVIMIENTOS!$B268="COMPRA","INGRESO (compra)",IF(MOVIMIENTOS!$B268="PROCESO","CHANCHO (proceso)",IF(MOVIMIENTOS!$B268="ENVÍO A SUPESA","ENVÍO cal. "&amp;MOVIMIENTOS!$C268,IF(MOVIMIENTOS!$B268="VENTA CHANCHO","VENTA CHANCHO",IF(MOVIMIENTOS!$B268="VENTA","VENTA cal. "&amp;MOVIMIENTOS!$C268,IF(MOVIMIENTOS!$B268="REGALO","REGALO "&amp;MOVIMIENTOS!$C268,IF(MOVIMIENTOS!$B268="RECHAZO","RECHAZO cal. "&amp;MOVIMIENTOS!$C268&amp;" (va a reproceso)",IF(MOVIMIENTOS!$B268="DEVOLUCIÓN","DEVOLUCIÓN cal. "&amp;MOVIMIENTOS!$C268&amp;" (regresa intacta)",IF(MOVIMIENTOS!$B268="TRASIEGO","TRASIEGO cal. "&amp;MOVIMIENTOS!$C268,MOVIMIENTOS!$B268)))))))))),"")</f>
        <v/>
      </c>
      <c r="M269" s="48" t="str">
        <f aca="false">IF(AND(AND(MOVIMIENTOS!$B268&lt;&gt;"",NOT(AND(MOVIMIENTOS!$B268="PROCESO",MOVIMIENTOS!$C268&lt;&gt;"Chancho")),NOT(AND(MOVIMIENTOS!$B268="SALDO INICIAL",MOVIMIENTOS!$C268="Chancho"))),OR(MOVIMIENTOS!$B268="SALDO INICIAL",MOVIMIENTOS!$B268="COMPRA",MOVIMIENTOS!$B268="REPROCESO",MOVIMIENTOS!$B268="DEVOLUCIÓN",AND(MOVIMIENTOS!$B268="AJUSTE",MOVIMIENTOS!$C268&lt;&gt;"Chancho",N(MOVIMIENTOS!$F268)&gt;=0))),N(MOVIMIENTOS!$F268),"")</f>
        <v/>
      </c>
      <c r="N269" s="48" t="str">
        <f aca="false">IF(AND(AND(MOVIMIENTOS!$B268&lt;&gt;"",NOT(AND(MOVIMIENTOS!$B268="PROCESO",MOVIMIENTOS!$C268&lt;&gt;"Chancho")),NOT(AND(MOVIMIENTOS!$B268="SALDO INICIAL",MOVIMIENTOS!$C268="Chancho"))),OR(MOVIMIENTOS!$B268="ENVÍO A SUPESA",MOVIMIENTOS!$B268="MALOGRADO",MOVIMIENTOS!$B268="OTRA SALIDA",MOVIMIENTOS!$B268="TRASIEGO",AND(MOVIMIENTOS!$B268="PROCESO",MOVIMIENTOS!$C268="Chancho"),AND(MOVIMIENTOS!$B268="REGALO",MOVIMIENTOS!$C268&lt;&gt;"Chancho"),AND(MOVIMIENTOS!$B268="VENTA",MOVIMIENTOS!$C268&lt;&gt;"Chancho"),AND(MOVIMIENTOS!$B268="AJUSTE",MOVIMIENTOS!$C268&lt;&gt;"Chancho",N(MOVIMIENTOS!$F268)&lt;0))),IF(MOVIMIENTOS!$B268="AJUSTE",-N(MOVIMIENTOS!$F268),N(MOVIMIENTOS!$F268)),"")</f>
        <v/>
      </c>
      <c r="O269" s="48" t="str">
        <f aca="false">IF(AND(MOVIMIENTOS!$B268&lt;&gt;"",NOT(AND(MOVIMIENTOS!$B268="PROCESO",MOVIMIENTOS!$C268&lt;&gt;"Chancho")),NOT(AND(MOVIMIENTOS!$B268="SALDO INICIAL",MOVIMIENTOS!$C268="Chancho"))),IF(MOVIMIENTOS!$B268="RECHAZO",MOVIMIENTOS!$E268&amp;" jabas rechazadas · van a reproceso",IF(MOVIMIENTOS!$B268="REPROCESO",MOVIMIENTOS!$E268&amp;" kg recuperados (merma del día: "&amp;TEXT(SUMPRODUCT((MOVIMIENTOS!$A$5:$A$400=MOVIMIENTOS!$A268)*(MOVIMIENTOS!$B$5:$B$400="RECHAZO")*(MOVIMIENTOS!$D$5:$D$400="jabas")*MOVIMIENTOS!$E$5:$E$400*IFERROR(_xlfn.SWITCH(MOVIMIENTOS!$C$5:$C$400,"A",15,"P",18,"C",17,"M",17,0),0))-SUMPRODUCT((MOVIMIENTOS!$A$5:$A$400=MOVIMIENTOS!$A268)*(MOVIMIENTOS!$B$5:$B$400="REPROCESO")*MOVIMIENTOS!$I$5:$I$400),"+#,##0;-#,##0;0")&amp;" kg)",TRIM(IF(MOVIMIENTOS!$G268&lt;&gt;"",MOVIMIENTOS!$G268&amp;"  ","")&amp;IF(N(MOVIMIENTOS!$D268)&gt;0,MOVIMIENTOS!$D268&amp;" "&amp;MOVIMIENTOS!$D268,"")))),"")</f>
        <v/>
      </c>
      <c r="P269" s="48" t="n">
        <f aca="false">N(P268)+N(M269)-N(N269)</f>
        <v>-290.5</v>
      </c>
      <c r="Q269" s="48"/>
      <c r="R269" s="48"/>
      <c r="S269" s="48"/>
      <c r="T269" s="48"/>
    </row>
    <row r="270" customFormat="false" ht="15" hidden="false" customHeight="true" outlineLevel="0" collapsed="false">
      <c r="A270" s="51" t="str">
        <f aca="false">IFERROR(INDEX(K$6:K$401,MATCH(ROW()-5,J$6:J$401,0)),"")</f>
        <v/>
      </c>
      <c r="B270" s="56" t="str">
        <f aca="false">IFERROR(INDEX(L$6:L$401,MATCH(ROW()-5,J$6:J$401,0)),"")</f>
        <v/>
      </c>
      <c r="C270" s="52" t="str">
        <f aca="false">IFERROR(INDEX(M$6:M$401,MATCH(ROW()-5,J$6:J$401,0)),"")</f>
        <v/>
      </c>
      <c r="D270" s="52" t="str">
        <f aca="false">IFERROR(INDEX(N$6:N$401,MATCH(ROW()-5,J$6:J$401,0)),"")</f>
        <v/>
      </c>
      <c r="E270" s="56" t="str">
        <f aca="false">IFERROR(INDEX(O$6:O$401,MATCH(ROW()-5,J$6:J$401,0)),"")</f>
        <v/>
      </c>
      <c r="F270" s="52" t="str">
        <f aca="false">IFERROR(INDEX(P$6:P$401,MATCH(ROW()-5,J$6:J$401,0)),"")</f>
        <v/>
      </c>
      <c r="G270" s="48"/>
      <c r="H270" s="48"/>
      <c r="I270" s="48"/>
      <c r="J270" s="48" t="str">
        <f aca="false">IF(AND(MOVIMIENTOS!$B269&lt;&gt;"",NOT(AND(MOVIMIENTOS!$B269="PROCESO",MOVIMIENTOS!$C269&lt;&gt;"Chancho")),NOT(AND(MOVIMIENTOS!$B269="SALDO INICIAL",MOVIMIENTOS!$C269="Chancho"))),COUNT(J$6:J269)+1,"")</f>
        <v/>
      </c>
      <c r="K270" s="48" t="str">
        <f aca="false">IF(AND(MOVIMIENTOS!$B269&lt;&gt;"",NOT(AND(MOVIMIENTOS!$B269="PROCESO",MOVIMIENTOS!$C269&lt;&gt;"Chancho")),NOT(AND(MOVIMIENTOS!$B269="SALDO INICIAL",MOVIMIENTOS!$C269="Chancho"))),MOVIMIENTOS!$A269,"")</f>
        <v/>
      </c>
      <c r="L270" s="48" t="str">
        <f aca="false">IF(AND(MOVIMIENTOS!$B269&lt;&gt;"",NOT(AND(MOVIMIENTOS!$B269="PROCESO",MOVIMIENTOS!$C269&lt;&gt;"Chancho")),NOT(AND(MOVIMIENTOS!$B269="SALDO INICIAL",MOVIMIENTOS!$C269="Chancho"))),IF(MOVIMIENTOS!$B269="SALDO INICIAL","APERTURA ("&amp;MOVIMIENTOS!$C269&amp;")",IF(MOVIMIENTOS!$B269="COMPRA","INGRESO (compra)",IF(MOVIMIENTOS!$B269="PROCESO","CHANCHO (proceso)",IF(MOVIMIENTOS!$B269="ENVÍO A SUPESA","ENVÍO cal. "&amp;MOVIMIENTOS!$C269,IF(MOVIMIENTOS!$B269="VENTA CHANCHO","VENTA CHANCHO",IF(MOVIMIENTOS!$B269="VENTA","VENTA cal. "&amp;MOVIMIENTOS!$C269,IF(MOVIMIENTOS!$B269="REGALO","REGALO "&amp;MOVIMIENTOS!$C269,IF(MOVIMIENTOS!$B269="RECHAZO","RECHAZO cal. "&amp;MOVIMIENTOS!$C269&amp;" (va a reproceso)",IF(MOVIMIENTOS!$B269="DEVOLUCIÓN","DEVOLUCIÓN cal. "&amp;MOVIMIENTOS!$C269&amp;" (regresa intacta)",IF(MOVIMIENTOS!$B269="TRASIEGO","TRASIEGO cal. "&amp;MOVIMIENTOS!$C269,MOVIMIENTOS!$B269)))))))))),"")</f>
        <v/>
      </c>
      <c r="M270" s="48" t="str">
        <f aca="false">IF(AND(AND(MOVIMIENTOS!$B269&lt;&gt;"",NOT(AND(MOVIMIENTOS!$B269="PROCESO",MOVIMIENTOS!$C269&lt;&gt;"Chancho")),NOT(AND(MOVIMIENTOS!$B269="SALDO INICIAL",MOVIMIENTOS!$C269="Chancho"))),OR(MOVIMIENTOS!$B269="SALDO INICIAL",MOVIMIENTOS!$B269="COMPRA",MOVIMIENTOS!$B269="REPROCESO",MOVIMIENTOS!$B269="DEVOLUCIÓN",AND(MOVIMIENTOS!$B269="AJUSTE",MOVIMIENTOS!$C269&lt;&gt;"Chancho",N(MOVIMIENTOS!$F269)&gt;=0))),N(MOVIMIENTOS!$F269),"")</f>
        <v/>
      </c>
      <c r="N270" s="48" t="str">
        <f aca="false">IF(AND(AND(MOVIMIENTOS!$B269&lt;&gt;"",NOT(AND(MOVIMIENTOS!$B269="PROCESO",MOVIMIENTOS!$C269&lt;&gt;"Chancho")),NOT(AND(MOVIMIENTOS!$B269="SALDO INICIAL",MOVIMIENTOS!$C269="Chancho"))),OR(MOVIMIENTOS!$B269="ENVÍO A SUPESA",MOVIMIENTOS!$B269="MALOGRADO",MOVIMIENTOS!$B269="OTRA SALIDA",MOVIMIENTOS!$B269="TRASIEGO",AND(MOVIMIENTOS!$B269="PROCESO",MOVIMIENTOS!$C269="Chancho"),AND(MOVIMIENTOS!$B269="REGALO",MOVIMIENTOS!$C269&lt;&gt;"Chancho"),AND(MOVIMIENTOS!$B269="VENTA",MOVIMIENTOS!$C269&lt;&gt;"Chancho"),AND(MOVIMIENTOS!$B269="AJUSTE",MOVIMIENTOS!$C269&lt;&gt;"Chancho",N(MOVIMIENTOS!$F269)&lt;0))),IF(MOVIMIENTOS!$B269="AJUSTE",-N(MOVIMIENTOS!$F269),N(MOVIMIENTOS!$F269)),"")</f>
        <v/>
      </c>
      <c r="O270" s="48" t="str">
        <f aca="false">IF(AND(MOVIMIENTOS!$B269&lt;&gt;"",NOT(AND(MOVIMIENTOS!$B269="PROCESO",MOVIMIENTOS!$C269&lt;&gt;"Chancho")),NOT(AND(MOVIMIENTOS!$B269="SALDO INICIAL",MOVIMIENTOS!$C269="Chancho"))),IF(MOVIMIENTOS!$B269="RECHAZO",MOVIMIENTOS!$E269&amp;" jabas rechazadas · van a reproceso",IF(MOVIMIENTOS!$B269="REPROCESO",MOVIMIENTOS!$E269&amp;" kg recuperados (merma del día: "&amp;TEXT(SUMPRODUCT((MOVIMIENTOS!$A$5:$A$400=MOVIMIENTOS!$A269)*(MOVIMIENTOS!$B$5:$B$400="RECHAZO")*(MOVIMIENTOS!$D$5:$D$400="jabas")*MOVIMIENTOS!$E$5:$E$400*IFERROR(_xlfn.SWITCH(MOVIMIENTOS!$C$5:$C$400,"A",15,"P",18,"C",17,"M",17,0),0))-SUMPRODUCT((MOVIMIENTOS!$A$5:$A$400=MOVIMIENTOS!$A269)*(MOVIMIENTOS!$B$5:$B$400="REPROCESO")*MOVIMIENTOS!$I$5:$I$400),"+#,##0;-#,##0;0")&amp;" kg)",TRIM(IF(MOVIMIENTOS!$G269&lt;&gt;"",MOVIMIENTOS!$G269&amp;"  ","")&amp;IF(N(MOVIMIENTOS!$D269)&gt;0,MOVIMIENTOS!$D269&amp;" "&amp;MOVIMIENTOS!$D269,"")))),"")</f>
        <v/>
      </c>
      <c r="P270" s="48" t="n">
        <f aca="false">N(P269)+N(M270)-N(N270)</f>
        <v>-290.5</v>
      </c>
      <c r="Q270" s="48"/>
      <c r="R270" s="48"/>
      <c r="S270" s="48"/>
      <c r="T270" s="48"/>
    </row>
    <row r="271" customFormat="false" ht="15" hidden="false" customHeight="true" outlineLevel="0" collapsed="false">
      <c r="A271" s="51" t="str">
        <f aca="false">IFERROR(INDEX(K$6:K$401,MATCH(ROW()-5,J$6:J$401,0)),"")</f>
        <v/>
      </c>
      <c r="B271" s="56" t="str">
        <f aca="false">IFERROR(INDEX(L$6:L$401,MATCH(ROW()-5,J$6:J$401,0)),"")</f>
        <v/>
      </c>
      <c r="C271" s="52" t="str">
        <f aca="false">IFERROR(INDEX(M$6:M$401,MATCH(ROW()-5,J$6:J$401,0)),"")</f>
        <v/>
      </c>
      <c r="D271" s="52" t="str">
        <f aca="false">IFERROR(INDEX(N$6:N$401,MATCH(ROW()-5,J$6:J$401,0)),"")</f>
        <v/>
      </c>
      <c r="E271" s="56" t="str">
        <f aca="false">IFERROR(INDEX(O$6:O$401,MATCH(ROW()-5,J$6:J$401,0)),"")</f>
        <v/>
      </c>
      <c r="F271" s="52" t="str">
        <f aca="false">IFERROR(INDEX(P$6:P$401,MATCH(ROW()-5,J$6:J$401,0)),"")</f>
        <v/>
      </c>
      <c r="G271" s="48"/>
      <c r="H271" s="48"/>
      <c r="I271" s="48"/>
      <c r="J271" s="48" t="str">
        <f aca="false">IF(AND(MOVIMIENTOS!$B270&lt;&gt;"",NOT(AND(MOVIMIENTOS!$B270="PROCESO",MOVIMIENTOS!$C270&lt;&gt;"Chancho")),NOT(AND(MOVIMIENTOS!$B270="SALDO INICIAL",MOVIMIENTOS!$C270="Chancho"))),COUNT(J$6:J270)+1,"")</f>
        <v/>
      </c>
      <c r="K271" s="48" t="str">
        <f aca="false">IF(AND(MOVIMIENTOS!$B270&lt;&gt;"",NOT(AND(MOVIMIENTOS!$B270="PROCESO",MOVIMIENTOS!$C270&lt;&gt;"Chancho")),NOT(AND(MOVIMIENTOS!$B270="SALDO INICIAL",MOVIMIENTOS!$C270="Chancho"))),MOVIMIENTOS!$A270,"")</f>
        <v/>
      </c>
      <c r="L271" s="48" t="str">
        <f aca="false">IF(AND(MOVIMIENTOS!$B270&lt;&gt;"",NOT(AND(MOVIMIENTOS!$B270="PROCESO",MOVIMIENTOS!$C270&lt;&gt;"Chancho")),NOT(AND(MOVIMIENTOS!$B270="SALDO INICIAL",MOVIMIENTOS!$C270="Chancho"))),IF(MOVIMIENTOS!$B270="SALDO INICIAL","APERTURA ("&amp;MOVIMIENTOS!$C270&amp;")",IF(MOVIMIENTOS!$B270="COMPRA","INGRESO (compra)",IF(MOVIMIENTOS!$B270="PROCESO","CHANCHO (proceso)",IF(MOVIMIENTOS!$B270="ENVÍO A SUPESA","ENVÍO cal. "&amp;MOVIMIENTOS!$C270,IF(MOVIMIENTOS!$B270="VENTA CHANCHO","VENTA CHANCHO",IF(MOVIMIENTOS!$B270="VENTA","VENTA cal. "&amp;MOVIMIENTOS!$C270,IF(MOVIMIENTOS!$B270="REGALO","REGALO "&amp;MOVIMIENTOS!$C270,IF(MOVIMIENTOS!$B270="RECHAZO","RECHAZO cal. "&amp;MOVIMIENTOS!$C270&amp;" (va a reproceso)",IF(MOVIMIENTOS!$B270="DEVOLUCIÓN","DEVOLUCIÓN cal. "&amp;MOVIMIENTOS!$C270&amp;" (regresa intacta)",IF(MOVIMIENTOS!$B270="TRASIEGO","TRASIEGO cal. "&amp;MOVIMIENTOS!$C270,MOVIMIENTOS!$B270)))))))))),"")</f>
        <v/>
      </c>
      <c r="M271" s="48" t="str">
        <f aca="false">IF(AND(AND(MOVIMIENTOS!$B270&lt;&gt;"",NOT(AND(MOVIMIENTOS!$B270="PROCESO",MOVIMIENTOS!$C270&lt;&gt;"Chancho")),NOT(AND(MOVIMIENTOS!$B270="SALDO INICIAL",MOVIMIENTOS!$C270="Chancho"))),OR(MOVIMIENTOS!$B270="SALDO INICIAL",MOVIMIENTOS!$B270="COMPRA",MOVIMIENTOS!$B270="REPROCESO",MOVIMIENTOS!$B270="DEVOLUCIÓN",AND(MOVIMIENTOS!$B270="AJUSTE",MOVIMIENTOS!$C270&lt;&gt;"Chancho",N(MOVIMIENTOS!$F270)&gt;=0))),N(MOVIMIENTOS!$F270),"")</f>
        <v/>
      </c>
      <c r="N271" s="48" t="str">
        <f aca="false">IF(AND(AND(MOVIMIENTOS!$B270&lt;&gt;"",NOT(AND(MOVIMIENTOS!$B270="PROCESO",MOVIMIENTOS!$C270&lt;&gt;"Chancho")),NOT(AND(MOVIMIENTOS!$B270="SALDO INICIAL",MOVIMIENTOS!$C270="Chancho"))),OR(MOVIMIENTOS!$B270="ENVÍO A SUPESA",MOVIMIENTOS!$B270="MALOGRADO",MOVIMIENTOS!$B270="OTRA SALIDA",MOVIMIENTOS!$B270="TRASIEGO",AND(MOVIMIENTOS!$B270="PROCESO",MOVIMIENTOS!$C270="Chancho"),AND(MOVIMIENTOS!$B270="REGALO",MOVIMIENTOS!$C270&lt;&gt;"Chancho"),AND(MOVIMIENTOS!$B270="VENTA",MOVIMIENTOS!$C270&lt;&gt;"Chancho"),AND(MOVIMIENTOS!$B270="AJUSTE",MOVIMIENTOS!$C270&lt;&gt;"Chancho",N(MOVIMIENTOS!$F270)&lt;0))),IF(MOVIMIENTOS!$B270="AJUSTE",-N(MOVIMIENTOS!$F270),N(MOVIMIENTOS!$F270)),"")</f>
        <v/>
      </c>
      <c r="O271" s="48" t="str">
        <f aca="false">IF(AND(MOVIMIENTOS!$B270&lt;&gt;"",NOT(AND(MOVIMIENTOS!$B270="PROCESO",MOVIMIENTOS!$C270&lt;&gt;"Chancho")),NOT(AND(MOVIMIENTOS!$B270="SALDO INICIAL",MOVIMIENTOS!$C270="Chancho"))),IF(MOVIMIENTOS!$B270="RECHAZO",MOVIMIENTOS!$E270&amp;" jabas rechazadas · van a reproceso",IF(MOVIMIENTOS!$B270="REPROCESO",MOVIMIENTOS!$E270&amp;" kg recuperados (merma del día: "&amp;TEXT(SUMPRODUCT((MOVIMIENTOS!$A$5:$A$400=MOVIMIENTOS!$A270)*(MOVIMIENTOS!$B$5:$B$400="RECHAZO")*(MOVIMIENTOS!$D$5:$D$400="jabas")*MOVIMIENTOS!$E$5:$E$400*IFERROR(_xlfn.SWITCH(MOVIMIENTOS!$C$5:$C$400,"A",15,"P",18,"C",17,"M",17,0),0))-SUMPRODUCT((MOVIMIENTOS!$A$5:$A$400=MOVIMIENTOS!$A270)*(MOVIMIENTOS!$B$5:$B$400="REPROCESO")*MOVIMIENTOS!$I$5:$I$400),"+#,##0;-#,##0;0")&amp;" kg)",TRIM(IF(MOVIMIENTOS!$G270&lt;&gt;"",MOVIMIENTOS!$G270&amp;"  ","")&amp;IF(N(MOVIMIENTOS!$D270)&gt;0,MOVIMIENTOS!$D270&amp;" "&amp;MOVIMIENTOS!$D270,"")))),"")</f>
        <v/>
      </c>
      <c r="P271" s="48" t="n">
        <f aca="false">N(P270)+N(M271)-N(N271)</f>
        <v>-290.5</v>
      </c>
      <c r="Q271" s="48"/>
      <c r="R271" s="48"/>
      <c r="S271" s="48"/>
      <c r="T271" s="48"/>
    </row>
    <row r="272" customFormat="false" ht="15" hidden="false" customHeight="true" outlineLevel="0" collapsed="false">
      <c r="A272" s="51" t="str">
        <f aca="false">IFERROR(INDEX(K$6:K$401,MATCH(ROW()-5,J$6:J$401,0)),"")</f>
        <v/>
      </c>
      <c r="B272" s="56" t="str">
        <f aca="false">IFERROR(INDEX(L$6:L$401,MATCH(ROW()-5,J$6:J$401,0)),"")</f>
        <v/>
      </c>
      <c r="C272" s="52" t="str">
        <f aca="false">IFERROR(INDEX(M$6:M$401,MATCH(ROW()-5,J$6:J$401,0)),"")</f>
        <v/>
      </c>
      <c r="D272" s="52" t="str">
        <f aca="false">IFERROR(INDEX(N$6:N$401,MATCH(ROW()-5,J$6:J$401,0)),"")</f>
        <v/>
      </c>
      <c r="E272" s="56" t="str">
        <f aca="false">IFERROR(INDEX(O$6:O$401,MATCH(ROW()-5,J$6:J$401,0)),"")</f>
        <v/>
      </c>
      <c r="F272" s="52" t="str">
        <f aca="false">IFERROR(INDEX(P$6:P$401,MATCH(ROW()-5,J$6:J$401,0)),"")</f>
        <v/>
      </c>
      <c r="G272" s="48"/>
      <c r="H272" s="48"/>
      <c r="I272" s="48"/>
      <c r="J272" s="48" t="str">
        <f aca="false">IF(AND(MOVIMIENTOS!$B271&lt;&gt;"",NOT(AND(MOVIMIENTOS!$B271="PROCESO",MOVIMIENTOS!$C271&lt;&gt;"Chancho")),NOT(AND(MOVIMIENTOS!$B271="SALDO INICIAL",MOVIMIENTOS!$C271="Chancho"))),COUNT(J$6:J271)+1,"")</f>
        <v/>
      </c>
      <c r="K272" s="48" t="str">
        <f aca="false">IF(AND(MOVIMIENTOS!$B271&lt;&gt;"",NOT(AND(MOVIMIENTOS!$B271="PROCESO",MOVIMIENTOS!$C271&lt;&gt;"Chancho")),NOT(AND(MOVIMIENTOS!$B271="SALDO INICIAL",MOVIMIENTOS!$C271="Chancho"))),MOVIMIENTOS!$A271,"")</f>
        <v/>
      </c>
      <c r="L272" s="48" t="str">
        <f aca="false">IF(AND(MOVIMIENTOS!$B271&lt;&gt;"",NOT(AND(MOVIMIENTOS!$B271="PROCESO",MOVIMIENTOS!$C271&lt;&gt;"Chancho")),NOT(AND(MOVIMIENTOS!$B271="SALDO INICIAL",MOVIMIENTOS!$C271="Chancho"))),IF(MOVIMIENTOS!$B271="SALDO INICIAL","APERTURA ("&amp;MOVIMIENTOS!$C271&amp;")",IF(MOVIMIENTOS!$B271="COMPRA","INGRESO (compra)",IF(MOVIMIENTOS!$B271="PROCESO","CHANCHO (proceso)",IF(MOVIMIENTOS!$B271="ENVÍO A SUPESA","ENVÍO cal. "&amp;MOVIMIENTOS!$C271,IF(MOVIMIENTOS!$B271="VENTA CHANCHO","VENTA CHANCHO",IF(MOVIMIENTOS!$B271="VENTA","VENTA cal. "&amp;MOVIMIENTOS!$C271,IF(MOVIMIENTOS!$B271="REGALO","REGALO "&amp;MOVIMIENTOS!$C271,IF(MOVIMIENTOS!$B271="RECHAZO","RECHAZO cal. "&amp;MOVIMIENTOS!$C271&amp;" (va a reproceso)",IF(MOVIMIENTOS!$B271="DEVOLUCIÓN","DEVOLUCIÓN cal. "&amp;MOVIMIENTOS!$C271&amp;" (regresa intacta)",IF(MOVIMIENTOS!$B271="TRASIEGO","TRASIEGO cal. "&amp;MOVIMIENTOS!$C271,MOVIMIENTOS!$B271)))))))))),"")</f>
        <v/>
      </c>
      <c r="M272" s="48" t="str">
        <f aca="false">IF(AND(AND(MOVIMIENTOS!$B271&lt;&gt;"",NOT(AND(MOVIMIENTOS!$B271="PROCESO",MOVIMIENTOS!$C271&lt;&gt;"Chancho")),NOT(AND(MOVIMIENTOS!$B271="SALDO INICIAL",MOVIMIENTOS!$C271="Chancho"))),OR(MOVIMIENTOS!$B271="SALDO INICIAL",MOVIMIENTOS!$B271="COMPRA",MOVIMIENTOS!$B271="REPROCESO",MOVIMIENTOS!$B271="DEVOLUCIÓN",AND(MOVIMIENTOS!$B271="AJUSTE",MOVIMIENTOS!$C271&lt;&gt;"Chancho",N(MOVIMIENTOS!$F271)&gt;=0))),N(MOVIMIENTOS!$F271),"")</f>
        <v/>
      </c>
      <c r="N272" s="48" t="str">
        <f aca="false">IF(AND(AND(MOVIMIENTOS!$B271&lt;&gt;"",NOT(AND(MOVIMIENTOS!$B271="PROCESO",MOVIMIENTOS!$C271&lt;&gt;"Chancho")),NOT(AND(MOVIMIENTOS!$B271="SALDO INICIAL",MOVIMIENTOS!$C271="Chancho"))),OR(MOVIMIENTOS!$B271="ENVÍO A SUPESA",MOVIMIENTOS!$B271="MALOGRADO",MOVIMIENTOS!$B271="OTRA SALIDA",MOVIMIENTOS!$B271="TRASIEGO",AND(MOVIMIENTOS!$B271="PROCESO",MOVIMIENTOS!$C271="Chancho"),AND(MOVIMIENTOS!$B271="REGALO",MOVIMIENTOS!$C271&lt;&gt;"Chancho"),AND(MOVIMIENTOS!$B271="VENTA",MOVIMIENTOS!$C271&lt;&gt;"Chancho"),AND(MOVIMIENTOS!$B271="AJUSTE",MOVIMIENTOS!$C271&lt;&gt;"Chancho",N(MOVIMIENTOS!$F271)&lt;0))),IF(MOVIMIENTOS!$B271="AJUSTE",-N(MOVIMIENTOS!$F271),N(MOVIMIENTOS!$F271)),"")</f>
        <v/>
      </c>
      <c r="O272" s="48" t="str">
        <f aca="false">IF(AND(MOVIMIENTOS!$B271&lt;&gt;"",NOT(AND(MOVIMIENTOS!$B271="PROCESO",MOVIMIENTOS!$C271&lt;&gt;"Chancho")),NOT(AND(MOVIMIENTOS!$B271="SALDO INICIAL",MOVIMIENTOS!$C271="Chancho"))),IF(MOVIMIENTOS!$B271="RECHAZO",MOVIMIENTOS!$E271&amp;" jabas rechazadas · van a reproceso",IF(MOVIMIENTOS!$B271="REPROCESO",MOVIMIENTOS!$E271&amp;" kg recuperados (merma del día: "&amp;TEXT(SUMPRODUCT((MOVIMIENTOS!$A$5:$A$400=MOVIMIENTOS!$A271)*(MOVIMIENTOS!$B$5:$B$400="RECHAZO")*(MOVIMIENTOS!$D$5:$D$400="jabas")*MOVIMIENTOS!$E$5:$E$400*IFERROR(_xlfn.SWITCH(MOVIMIENTOS!$C$5:$C$400,"A",15,"P",18,"C",17,"M",17,0),0))-SUMPRODUCT((MOVIMIENTOS!$A$5:$A$400=MOVIMIENTOS!$A271)*(MOVIMIENTOS!$B$5:$B$400="REPROCESO")*MOVIMIENTOS!$I$5:$I$400),"+#,##0;-#,##0;0")&amp;" kg)",TRIM(IF(MOVIMIENTOS!$G271&lt;&gt;"",MOVIMIENTOS!$G271&amp;"  ","")&amp;IF(N(MOVIMIENTOS!$D271)&gt;0,MOVIMIENTOS!$D271&amp;" "&amp;MOVIMIENTOS!$D271,"")))),"")</f>
        <v/>
      </c>
      <c r="P272" s="48" t="n">
        <f aca="false">N(P271)+N(M272)-N(N272)</f>
        <v>-290.5</v>
      </c>
      <c r="Q272" s="48"/>
      <c r="R272" s="48"/>
      <c r="S272" s="48"/>
      <c r="T272" s="48"/>
    </row>
    <row r="273" customFormat="false" ht="15" hidden="false" customHeight="true" outlineLevel="0" collapsed="false">
      <c r="A273" s="51" t="str">
        <f aca="false">IFERROR(INDEX(K$6:K$401,MATCH(ROW()-5,J$6:J$401,0)),"")</f>
        <v/>
      </c>
      <c r="B273" s="56" t="str">
        <f aca="false">IFERROR(INDEX(L$6:L$401,MATCH(ROW()-5,J$6:J$401,0)),"")</f>
        <v/>
      </c>
      <c r="C273" s="52" t="str">
        <f aca="false">IFERROR(INDEX(M$6:M$401,MATCH(ROW()-5,J$6:J$401,0)),"")</f>
        <v/>
      </c>
      <c r="D273" s="52" t="str">
        <f aca="false">IFERROR(INDEX(N$6:N$401,MATCH(ROW()-5,J$6:J$401,0)),"")</f>
        <v/>
      </c>
      <c r="E273" s="56" t="str">
        <f aca="false">IFERROR(INDEX(O$6:O$401,MATCH(ROW()-5,J$6:J$401,0)),"")</f>
        <v/>
      </c>
      <c r="F273" s="52" t="str">
        <f aca="false">IFERROR(INDEX(P$6:P$401,MATCH(ROW()-5,J$6:J$401,0)),"")</f>
        <v/>
      </c>
      <c r="G273" s="48"/>
      <c r="H273" s="48"/>
      <c r="I273" s="48"/>
      <c r="J273" s="48" t="str">
        <f aca="false">IF(AND(MOVIMIENTOS!$B272&lt;&gt;"",NOT(AND(MOVIMIENTOS!$B272="PROCESO",MOVIMIENTOS!$C272&lt;&gt;"Chancho")),NOT(AND(MOVIMIENTOS!$B272="SALDO INICIAL",MOVIMIENTOS!$C272="Chancho"))),COUNT(J$6:J272)+1,"")</f>
        <v/>
      </c>
      <c r="K273" s="48" t="str">
        <f aca="false">IF(AND(MOVIMIENTOS!$B272&lt;&gt;"",NOT(AND(MOVIMIENTOS!$B272="PROCESO",MOVIMIENTOS!$C272&lt;&gt;"Chancho")),NOT(AND(MOVIMIENTOS!$B272="SALDO INICIAL",MOVIMIENTOS!$C272="Chancho"))),MOVIMIENTOS!$A272,"")</f>
        <v/>
      </c>
      <c r="L273" s="48" t="str">
        <f aca="false">IF(AND(MOVIMIENTOS!$B272&lt;&gt;"",NOT(AND(MOVIMIENTOS!$B272="PROCESO",MOVIMIENTOS!$C272&lt;&gt;"Chancho")),NOT(AND(MOVIMIENTOS!$B272="SALDO INICIAL",MOVIMIENTOS!$C272="Chancho"))),IF(MOVIMIENTOS!$B272="SALDO INICIAL","APERTURA ("&amp;MOVIMIENTOS!$C272&amp;")",IF(MOVIMIENTOS!$B272="COMPRA","INGRESO (compra)",IF(MOVIMIENTOS!$B272="PROCESO","CHANCHO (proceso)",IF(MOVIMIENTOS!$B272="ENVÍO A SUPESA","ENVÍO cal. "&amp;MOVIMIENTOS!$C272,IF(MOVIMIENTOS!$B272="VENTA CHANCHO","VENTA CHANCHO",IF(MOVIMIENTOS!$B272="VENTA","VENTA cal. "&amp;MOVIMIENTOS!$C272,IF(MOVIMIENTOS!$B272="REGALO","REGALO "&amp;MOVIMIENTOS!$C272,IF(MOVIMIENTOS!$B272="RECHAZO","RECHAZO cal. "&amp;MOVIMIENTOS!$C272&amp;" (va a reproceso)",IF(MOVIMIENTOS!$B272="DEVOLUCIÓN","DEVOLUCIÓN cal. "&amp;MOVIMIENTOS!$C272&amp;" (regresa intacta)",IF(MOVIMIENTOS!$B272="TRASIEGO","TRASIEGO cal. "&amp;MOVIMIENTOS!$C272,MOVIMIENTOS!$B272)))))))))),"")</f>
        <v/>
      </c>
      <c r="M273" s="48" t="str">
        <f aca="false">IF(AND(AND(MOVIMIENTOS!$B272&lt;&gt;"",NOT(AND(MOVIMIENTOS!$B272="PROCESO",MOVIMIENTOS!$C272&lt;&gt;"Chancho")),NOT(AND(MOVIMIENTOS!$B272="SALDO INICIAL",MOVIMIENTOS!$C272="Chancho"))),OR(MOVIMIENTOS!$B272="SALDO INICIAL",MOVIMIENTOS!$B272="COMPRA",MOVIMIENTOS!$B272="REPROCESO",MOVIMIENTOS!$B272="DEVOLUCIÓN",AND(MOVIMIENTOS!$B272="AJUSTE",MOVIMIENTOS!$C272&lt;&gt;"Chancho",N(MOVIMIENTOS!$F272)&gt;=0))),N(MOVIMIENTOS!$F272),"")</f>
        <v/>
      </c>
      <c r="N273" s="48" t="str">
        <f aca="false">IF(AND(AND(MOVIMIENTOS!$B272&lt;&gt;"",NOT(AND(MOVIMIENTOS!$B272="PROCESO",MOVIMIENTOS!$C272&lt;&gt;"Chancho")),NOT(AND(MOVIMIENTOS!$B272="SALDO INICIAL",MOVIMIENTOS!$C272="Chancho"))),OR(MOVIMIENTOS!$B272="ENVÍO A SUPESA",MOVIMIENTOS!$B272="MALOGRADO",MOVIMIENTOS!$B272="OTRA SALIDA",MOVIMIENTOS!$B272="TRASIEGO",AND(MOVIMIENTOS!$B272="PROCESO",MOVIMIENTOS!$C272="Chancho"),AND(MOVIMIENTOS!$B272="REGALO",MOVIMIENTOS!$C272&lt;&gt;"Chancho"),AND(MOVIMIENTOS!$B272="VENTA",MOVIMIENTOS!$C272&lt;&gt;"Chancho"),AND(MOVIMIENTOS!$B272="AJUSTE",MOVIMIENTOS!$C272&lt;&gt;"Chancho",N(MOVIMIENTOS!$F272)&lt;0))),IF(MOVIMIENTOS!$B272="AJUSTE",-N(MOVIMIENTOS!$F272),N(MOVIMIENTOS!$F272)),"")</f>
        <v/>
      </c>
      <c r="O273" s="48" t="str">
        <f aca="false">IF(AND(MOVIMIENTOS!$B272&lt;&gt;"",NOT(AND(MOVIMIENTOS!$B272="PROCESO",MOVIMIENTOS!$C272&lt;&gt;"Chancho")),NOT(AND(MOVIMIENTOS!$B272="SALDO INICIAL",MOVIMIENTOS!$C272="Chancho"))),IF(MOVIMIENTOS!$B272="RECHAZO",MOVIMIENTOS!$E272&amp;" jabas rechazadas · van a reproceso",IF(MOVIMIENTOS!$B272="REPROCESO",MOVIMIENTOS!$E272&amp;" kg recuperados (merma del día: "&amp;TEXT(SUMPRODUCT((MOVIMIENTOS!$A$5:$A$400=MOVIMIENTOS!$A272)*(MOVIMIENTOS!$B$5:$B$400="RECHAZO")*(MOVIMIENTOS!$D$5:$D$400="jabas")*MOVIMIENTOS!$E$5:$E$400*IFERROR(_xlfn.SWITCH(MOVIMIENTOS!$C$5:$C$400,"A",15,"P",18,"C",17,"M",17,0),0))-SUMPRODUCT((MOVIMIENTOS!$A$5:$A$400=MOVIMIENTOS!$A272)*(MOVIMIENTOS!$B$5:$B$400="REPROCESO")*MOVIMIENTOS!$I$5:$I$400),"+#,##0;-#,##0;0")&amp;" kg)",TRIM(IF(MOVIMIENTOS!$G272&lt;&gt;"",MOVIMIENTOS!$G272&amp;"  ","")&amp;IF(N(MOVIMIENTOS!$D272)&gt;0,MOVIMIENTOS!$D272&amp;" "&amp;MOVIMIENTOS!$D272,"")))),"")</f>
        <v/>
      </c>
      <c r="P273" s="48" t="n">
        <f aca="false">N(P272)+N(M273)-N(N273)</f>
        <v>-290.5</v>
      </c>
      <c r="Q273" s="48"/>
      <c r="R273" s="48"/>
      <c r="S273" s="48"/>
      <c r="T273" s="48"/>
    </row>
    <row r="274" customFormat="false" ht="15" hidden="false" customHeight="true" outlineLevel="0" collapsed="false">
      <c r="A274" s="51" t="str">
        <f aca="false">IFERROR(INDEX(K$6:K$401,MATCH(ROW()-5,J$6:J$401,0)),"")</f>
        <v/>
      </c>
      <c r="B274" s="56" t="str">
        <f aca="false">IFERROR(INDEX(L$6:L$401,MATCH(ROW()-5,J$6:J$401,0)),"")</f>
        <v/>
      </c>
      <c r="C274" s="52" t="str">
        <f aca="false">IFERROR(INDEX(M$6:M$401,MATCH(ROW()-5,J$6:J$401,0)),"")</f>
        <v/>
      </c>
      <c r="D274" s="52" t="str">
        <f aca="false">IFERROR(INDEX(N$6:N$401,MATCH(ROW()-5,J$6:J$401,0)),"")</f>
        <v/>
      </c>
      <c r="E274" s="56" t="str">
        <f aca="false">IFERROR(INDEX(O$6:O$401,MATCH(ROW()-5,J$6:J$401,0)),"")</f>
        <v/>
      </c>
      <c r="F274" s="52" t="str">
        <f aca="false">IFERROR(INDEX(P$6:P$401,MATCH(ROW()-5,J$6:J$401,0)),"")</f>
        <v/>
      </c>
      <c r="G274" s="48"/>
      <c r="H274" s="48"/>
      <c r="I274" s="48"/>
      <c r="J274" s="48" t="str">
        <f aca="false">IF(AND(MOVIMIENTOS!$B273&lt;&gt;"",NOT(AND(MOVIMIENTOS!$B273="PROCESO",MOVIMIENTOS!$C273&lt;&gt;"Chancho")),NOT(AND(MOVIMIENTOS!$B273="SALDO INICIAL",MOVIMIENTOS!$C273="Chancho"))),COUNT(J$6:J273)+1,"")</f>
        <v/>
      </c>
      <c r="K274" s="48" t="str">
        <f aca="false">IF(AND(MOVIMIENTOS!$B273&lt;&gt;"",NOT(AND(MOVIMIENTOS!$B273="PROCESO",MOVIMIENTOS!$C273&lt;&gt;"Chancho")),NOT(AND(MOVIMIENTOS!$B273="SALDO INICIAL",MOVIMIENTOS!$C273="Chancho"))),MOVIMIENTOS!$A273,"")</f>
        <v/>
      </c>
      <c r="L274" s="48" t="str">
        <f aca="false">IF(AND(MOVIMIENTOS!$B273&lt;&gt;"",NOT(AND(MOVIMIENTOS!$B273="PROCESO",MOVIMIENTOS!$C273&lt;&gt;"Chancho")),NOT(AND(MOVIMIENTOS!$B273="SALDO INICIAL",MOVIMIENTOS!$C273="Chancho"))),IF(MOVIMIENTOS!$B273="SALDO INICIAL","APERTURA ("&amp;MOVIMIENTOS!$C273&amp;")",IF(MOVIMIENTOS!$B273="COMPRA","INGRESO (compra)",IF(MOVIMIENTOS!$B273="PROCESO","CHANCHO (proceso)",IF(MOVIMIENTOS!$B273="ENVÍO A SUPESA","ENVÍO cal. "&amp;MOVIMIENTOS!$C273,IF(MOVIMIENTOS!$B273="VENTA CHANCHO","VENTA CHANCHO",IF(MOVIMIENTOS!$B273="VENTA","VENTA cal. "&amp;MOVIMIENTOS!$C273,IF(MOVIMIENTOS!$B273="REGALO","REGALO "&amp;MOVIMIENTOS!$C273,IF(MOVIMIENTOS!$B273="RECHAZO","RECHAZO cal. "&amp;MOVIMIENTOS!$C273&amp;" (va a reproceso)",IF(MOVIMIENTOS!$B273="DEVOLUCIÓN","DEVOLUCIÓN cal. "&amp;MOVIMIENTOS!$C273&amp;" (regresa intacta)",IF(MOVIMIENTOS!$B273="TRASIEGO","TRASIEGO cal. "&amp;MOVIMIENTOS!$C273,MOVIMIENTOS!$B273)))))))))),"")</f>
        <v/>
      </c>
      <c r="M274" s="48" t="str">
        <f aca="false">IF(AND(AND(MOVIMIENTOS!$B273&lt;&gt;"",NOT(AND(MOVIMIENTOS!$B273="PROCESO",MOVIMIENTOS!$C273&lt;&gt;"Chancho")),NOT(AND(MOVIMIENTOS!$B273="SALDO INICIAL",MOVIMIENTOS!$C273="Chancho"))),OR(MOVIMIENTOS!$B273="SALDO INICIAL",MOVIMIENTOS!$B273="COMPRA",MOVIMIENTOS!$B273="REPROCESO",MOVIMIENTOS!$B273="DEVOLUCIÓN",AND(MOVIMIENTOS!$B273="AJUSTE",MOVIMIENTOS!$C273&lt;&gt;"Chancho",N(MOVIMIENTOS!$F273)&gt;=0))),N(MOVIMIENTOS!$F273),"")</f>
        <v/>
      </c>
      <c r="N274" s="48" t="str">
        <f aca="false">IF(AND(AND(MOVIMIENTOS!$B273&lt;&gt;"",NOT(AND(MOVIMIENTOS!$B273="PROCESO",MOVIMIENTOS!$C273&lt;&gt;"Chancho")),NOT(AND(MOVIMIENTOS!$B273="SALDO INICIAL",MOVIMIENTOS!$C273="Chancho"))),OR(MOVIMIENTOS!$B273="ENVÍO A SUPESA",MOVIMIENTOS!$B273="MALOGRADO",MOVIMIENTOS!$B273="OTRA SALIDA",MOVIMIENTOS!$B273="TRASIEGO",AND(MOVIMIENTOS!$B273="PROCESO",MOVIMIENTOS!$C273="Chancho"),AND(MOVIMIENTOS!$B273="REGALO",MOVIMIENTOS!$C273&lt;&gt;"Chancho"),AND(MOVIMIENTOS!$B273="VENTA",MOVIMIENTOS!$C273&lt;&gt;"Chancho"),AND(MOVIMIENTOS!$B273="AJUSTE",MOVIMIENTOS!$C273&lt;&gt;"Chancho",N(MOVIMIENTOS!$F273)&lt;0))),IF(MOVIMIENTOS!$B273="AJUSTE",-N(MOVIMIENTOS!$F273),N(MOVIMIENTOS!$F273)),"")</f>
        <v/>
      </c>
      <c r="O274" s="48" t="str">
        <f aca="false">IF(AND(MOVIMIENTOS!$B273&lt;&gt;"",NOT(AND(MOVIMIENTOS!$B273="PROCESO",MOVIMIENTOS!$C273&lt;&gt;"Chancho")),NOT(AND(MOVIMIENTOS!$B273="SALDO INICIAL",MOVIMIENTOS!$C273="Chancho"))),IF(MOVIMIENTOS!$B273="RECHAZO",MOVIMIENTOS!$E273&amp;" jabas rechazadas · van a reproceso",IF(MOVIMIENTOS!$B273="REPROCESO",MOVIMIENTOS!$E273&amp;" kg recuperados (merma del día: "&amp;TEXT(SUMPRODUCT((MOVIMIENTOS!$A$5:$A$400=MOVIMIENTOS!$A273)*(MOVIMIENTOS!$B$5:$B$400="RECHAZO")*(MOVIMIENTOS!$D$5:$D$400="jabas")*MOVIMIENTOS!$E$5:$E$400*IFERROR(_xlfn.SWITCH(MOVIMIENTOS!$C$5:$C$400,"A",15,"P",18,"C",17,"M",17,0),0))-SUMPRODUCT((MOVIMIENTOS!$A$5:$A$400=MOVIMIENTOS!$A273)*(MOVIMIENTOS!$B$5:$B$400="REPROCESO")*MOVIMIENTOS!$I$5:$I$400),"+#,##0;-#,##0;0")&amp;" kg)",TRIM(IF(MOVIMIENTOS!$G273&lt;&gt;"",MOVIMIENTOS!$G273&amp;"  ","")&amp;IF(N(MOVIMIENTOS!$D273)&gt;0,MOVIMIENTOS!$D273&amp;" "&amp;MOVIMIENTOS!$D273,"")))),"")</f>
        <v/>
      </c>
      <c r="P274" s="48" t="n">
        <f aca="false">N(P273)+N(M274)-N(N274)</f>
        <v>-290.5</v>
      </c>
      <c r="Q274" s="48"/>
      <c r="R274" s="48"/>
      <c r="S274" s="48"/>
      <c r="T274" s="48"/>
    </row>
    <row r="275" customFormat="false" ht="15" hidden="false" customHeight="true" outlineLevel="0" collapsed="false">
      <c r="A275" s="51" t="str">
        <f aca="false">IFERROR(INDEX(K$6:K$401,MATCH(ROW()-5,J$6:J$401,0)),"")</f>
        <v/>
      </c>
      <c r="B275" s="56" t="str">
        <f aca="false">IFERROR(INDEX(L$6:L$401,MATCH(ROW()-5,J$6:J$401,0)),"")</f>
        <v/>
      </c>
      <c r="C275" s="52" t="str">
        <f aca="false">IFERROR(INDEX(M$6:M$401,MATCH(ROW()-5,J$6:J$401,0)),"")</f>
        <v/>
      </c>
      <c r="D275" s="52" t="str">
        <f aca="false">IFERROR(INDEX(N$6:N$401,MATCH(ROW()-5,J$6:J$401,0)),"")</f>
        <v/>
      </c>
      <c r="E275" s="56" t="str">
        <f aca="false">IFERROR(INDEX(O$6:O$401,MATCH(ROW()-5,J$6:J$401,0)),"")</f>
        <v/>
      </c>
      <c r="F275" s="52" t="str">
        <f aca="false">IFERROR(INDEX(P$6:P$401,MATCH(ROW()-5,J$6:J$401,0)),"")</f>
        <v/>
      </c>
      <c r="G275" s="48"/>
      <c r="H275" s="48"/>
      <c r="I275" s="48"/>
      <c r="J275" s="48" t="str">
        <f aca="false">IF(AND(MOVIMIENTOS!$B274&lt;&gt;"",NOT(AND(MOVIMIENTOS!$B274="PROCESO",MOVIMIENTOS!$C274&lt;&gt;"Chancho")),NOT(AND(MOVIMIENTOS!$B274="SALDO INICIAL",MOVIMIENTOS!$C274="Chancho"))),COUNT(J$6:J274)+1,"")</f>
        <v/>
      </c>
      <c r="K275" s="48" t="str">
        <f aca="false">IF(AND(MOVIMIENTOS!$B274&lt;&gt;"",NOT(AND(MOVIMIENTOS!$B274="PROCESO",MOVIMIENTOS!$C274&lt;&gt;"Chancho")),NOT(AND(MOVIMIENTOS!$B274="SALDO INICIAL",MOVIMIENTOS!$C274="Chancho"))),MOVIMIENTOS!$A274,"")</f>
        <v/>
      </c>
      <c r="L275" s="48" t="str">
        <f aca="false">IF(AND(MOVIMIENTOS!$B274&lt;&gt;"",NOT(AND(MOVIMIENTOS!$B274="PROCESO",MOVIMIENTOS!$C274&lt;&gt;"Chancho")),NOT(AND(MOVIMIENTOS!$B274="SALDO INICIAL",MOVIMIENTOS!$C274="Chancho"))),IF(MOVIMIENTOS!$B274="SALDO INICIAL","APERTURA ("&amp;MOVIMIENTOS!$C274&amp;")",IF(MOVIMIENTOS!$B274="COMPRA","INGRESO (compra)",IF(MOVIMIENTOS!$B274="PROCESO","CHANCHO (proceso)",IF(MOVIMIENTOS!$B274="ENVÍO A SUPESA","ENVÍO cal. "&amp;MOVIMIENTOS!$C274,IF(MOVIMIENTOS!$B274="VENTA CHANCHO","VENTA CHANCHO",IF(MOVIMIENTOS!$B274="VENTA","VENTA cal. "&amp;MOVIMIENTOS!$C274,IF(MOVIMIENTOS!$B274="REGALO","REGALO "&amp;MOVIMIENTOS!$C274,IF(MOVIMIENTOS!$B274="RECHAZO","RECHAZO cal. "&amp;MOVIMIENTOS!$C274&amp;" (va a reproceso)",IF(MOVIMIENTOS!$B274="DEVOLUCIÓN","DEVOLUCIÓN cal. "&amp;MOVIMIENTOS!$C274&amp;" (regresa intacta)",IF(MOVIMIENTOS!$B274="TRASIEGO","TRASIEGO cal. "&amp;MOVIMIENTOS!$C274,MOVIMIENTOS!$B274)))))))))),"")</f>
        <v/>
      </c>
      <c r="M275" s="48" t="str">
        <f aca="false">IF(AND(AND(MOVIMIENTOS!$B274&lt;&gt;"",NOT(AND(MOVIMIENTOS!$B274="PROCESO",MOVIMIENTOS!$C274&lt;&gt;"Chancho")),NOT(AND(MOVIMIENTOS!$B274="SALDO INICIAL",MOVIMIENTOS!$C274="Chancho"))),OR(MOVIMIENTOS!$B274="SALDO INICIAL",MOVIMIENTOS!$B274="COMPRA",MOVIMIENTOS!$B274="REPROCESO",MOVIMIENTOS!$B274="DEVOLUCIÓN",AND(MOVIMIENTOS!$B274="AJUSTE",MOVIMIENTOS!$C274&lt;&gt;"Chancho",N(MOVIMIENTOS!$F274)&gt;=0))),N(MOVIMIENTOS!$F274),"")</f>
        <v/>
      </c>
      <c r="N275" s="48" t="str">
        <f aca="false">IF(AND(AND(MOVIMIENTOS!$B274&lt;&gt;"",NOT(AND(MOVIMIENTOS!$B274="PROCESO",MOVIMIENTOS!$C274&lt;&gt;"Chancho")),NOT(AND(MOVIMIENTOS!$B274="SALDO INICIAL",MOVIMIENTOS!$C274="Chancho"))),OR(MOVIMIENTOS!$B274="ENVÍO A SUPESA",MOVIMIENTOS!$B274="MALOGRADO",MOVIMIENTOS!$B274="OTRA SALIDA",MOVIMIENTOS!$B274="TRASIEGO",AND(MOVIMIENTOS!$B274="PROCESO",MOVIMIENTOS!$C274="Chancho"),AND(MOVIMIENTOS!$B274="REGALO",MOVIMIENTOS!$C274&lt;&gt;"Chancho"),AND(MOVIMIENTOS!$B274="VENTA",MOVIMIENTOS!$C274&lt;&gt;"Chancho"),AND(MOVIMIENTOS!$B274="AJUSTE",MOVIMIENTOS!$C274&lt;&gt;"Chancho",N(MOVIMIENTOS!$F274)&lt;0))),IF(MOVIMIENTOS!$B274="AJUSTE",-N(MOVIMIENTOS!$F274),N(MOVIMIENTOS!$F274)),"")</f>
        <v/>
      </c>
      <c r="O275" s="48" t="str">
        <f aca="false">IF(AND(MOVIMIENTOS!$B274&lt;&gt;"",NOT(AND(MOVIMIENTOS!$B274="PROCESO",MOVIMIENTOS!$C274&lt;&gt;"Chancho")),NOT(AND(MOVIMIENTOS!$B274="SALDO INICIAL",MOVIMIENTOS!$C274="Chancho"))),IF(MOVIMIENTOS!$B274="RECHAZO",MOVIMIENTOS!$E274&amp;" jabas rechazadas · van a reproceso",IF(MOVIMIENTOS!$B274="REPROCESO",MOVIMIENTOS!$E274&amp;" kg recuperados (merma del día: "&amp;TEXT(SUMPRODUCT((MOVIMIENTOS!$A$5:$A$400=MOVIMIENTOS!$A274)*(MOVIMIENTOS!$B$5:$B$400="RECHAZO")*(MOVIMIENTOS!$D$5:$D$400="jabas")*MOVIMIENTOS!$E$5:$E$400*IFERROR(_xlfn.SWITCH(MOVIMIENTOS!$C$5:$C$400,"A",15,"P",18,"C",17,"M",17,0),0))-SUMPRODUCT((MOVIMIENTOS!$A$5:$A$400=MOVIMIENTOS!$A274)*(MOVIMIENTOS!$B$5:$B$400="REPROCESO")*MOVIMIENTOS!$I$5:$I$400),"+#,##0;-#,##0;0")&amp;" kg)",TRIM(IF(MOVIMIENTOS!$G274&lt;&gt;"",MOVIMIENTOS!$G274&amp;"  ","")&amp;IF(N(MOVIMIENTOS!$D274)&gt;0,MOVIMIENTOS!$D274&amp;" "&amp;MOVIMIENTOS!$D274,"")))),"")</f>
        <v/>
      </c>
      <c r="P275" s="48" t="n">
        <f aca="false">N(P274)+N(M275)-N(N275)</f>
        <v>-290.5</v>
      </c>
      <c r="Q275" s="48"/>
      <c r="R275" s="48"/>
      <c r="S275" s="48"/>
      <c r="T275" s="48"/>
    </row>
    <row r="276" customFormat="false" ht="15" hidden="false" customHeight="true" outlineLevel="0" collapsed="false">
      <c r="A276" s="51" t="str">
        <f aca="false">IFERROR(INDEX(K$6:K$401,MATCH(ROW()-5,J$6:J$401,0)),"")</f>
        <v/>
      </c>
      <c r="B276" s="56" t="str">
        <f aca="false">IFERROR(INDEX(L$6:L$401,MATCH(ROW()-5,J$6:J$401,0)),"")</f>
        <v/>
      </c>
      <c r="C276" s="52" t="str">
        <f aca="false">IFERROR(INDEX(M$6:M$401,MATCH(ROW()-5,J$6:J$401,0)),"")</f>
        <v/>
      </c>
      <c r="D276" s="52" t="str">
        <f aca="false">IFERROR(INDEX(N$6:N$401,MATCH(ROW()-5,J$6:J$401,0)),"")</f>
        <v/>
      </c>
      <c r="E276" s="56" t="str">
        <f aca="false">IFERROR(INDEX(O$6:O$401,MATCH(ROW()-5,J$6:J$401,0)),"")</f>
        <v/>
      </c>
      <c r="F276" s="52" t="str">
        <f aca="false">IFERROR(INDEX(P$6:P$401,MATCH(ROW()-5,J$6:J$401,0)),"")</f>
        <v/>
      </c>
      <c r="G276" s="48"/>
      <c r="H276" s="48"/>
      <c r="I276" s="48"/>
      <c r="J276" s="48" t="str">
        <f aca="false">IF(AND(MOVIMIENTOS!$B275&lt;&gt;"",NOT(AND(MOVIMIENTOS!$B275="PROCESO",MOVIMIENTOS!$C275&lt;&gt;"Chancho")),NOT(AND(MOVIMIENTOS!$B275="SALDO INICIAL",MOVIMIENTOS!$C275="Chancho"))),COUNT(J$6:J275)+1,"")</f>
        <v/>
      </c>
      <c r="K276" s="48" t="str">
        <f aca="false">IF(AND(MOVIMIENTOS!$B275&lt;&gt;"",NOT(AND(MOVIMIENTOS!$B275="PROCESO",MOVIMIENTOS!$C275&lt;&gt;"Chancho")),NOT(AND(MOVIMIENTOS!$B275="SALDO INICIAL",MOVIMIENTOS!$C275="Chancho"))),MOVIMIENTOS!$A275,"")</f>
        <v/>
      </c>
      <c r="L276" s="48" t="str">
        <f aca="false">IF(AND(MOVIMIENTOS!$B275&lt;&gt;"",NOT(AND(MOVIMIENTOS!$B275="PROCESO",MOVIMIENTOS!$C275&lt;&gt;"Chancho")),NOT(AND(MOVIMIENTOS!$B275="SALDO INICIAL",MOVIMIENTOS!$C275="Chancho"))),IF(MOVIMIENTOS!$B275="SALDO INICIAL","APERTURA ("&amp;MOVIMIENTOS!$C275&amp;")",IF(MOVIMIENTOS!$B275="COMPRA","INGRESO (compra)",IF(MOVIMIENTOS!$B275="PROCESO","CHANCHO (proceso)",IF(MOVIMIENTOS!$B275="ENVÍO A SUPESA","ENVÍO cal. "&amp;MOVIMIENTOS!$C275,IF(MOVIMIENTOS!$B275="VENTA CHANCHO","VENTA CHANCHO",IF(MOVIMIENTOS!$B275="VENTA","VENTA cal. "&amp;MOVIMIENTOS!$C275,IF(MOVIMIENTOS!$B275="REGALO","REGALO "&amp;MOVIMIENTOS!$C275,IF(MOVIMIENTOS!$B275="RECHAZO","RECHAZO cal. "&amp;MOVIMIENTOS!$C275&amp;" (va a reproceso)",IF(MOVIMIENTOS!$B275="DEVOLUCIÓN","DEVOLUCIÓN cal. "&amp;MOVIMIENTOS!$C275&amp;" (regresa intacta)",IF(MOVIMIENTOS!$B275="TRASIEGO","TRASIEGO cal. "&amp;MOVIMIENTOS!$C275,MOVIMIENTOS!$B275)))))))))),"")</f>
        <v/>
      </c>
      <c r="M276" s="48" t="str">
        <f aca="false">IF(AND(AND(MOVIMIENTOS!$B275&lt;&gt;"",NOT(AND(MOVIMIENTOS!$B275="PROCESO",MOVIMIENTOS!$C275&lt;&gt;"Chancho")),NOT(AND(MOVIMIENTOS!$B275="SALDO INICIAL",MOVIMIENTOS!$C275="Chancho"))),OR(MOVIMIENTOS!$B275="SALDO INICIAL",MOVIMIENTOS!$B275="COMPRA",MOVIMIENTOS!$B275="REPROCESO",MOVIMIENTOS!$B275="DEVOLUCIÓN",AND(MOVIMIENTOS!$B275="AJUSTE",MOVIMIENTOS!$C275&lt;&gt;"Chancho",N(MOVIMIENTOS!$F275)&gt;=0))),N(MOVIMIENTOS!$F275),"")</f>
        <v/>
      </c>
      <c r="N276" s="48" t="str">
        <f aca="false">IF(AND(AND(MOVIMIENTOS!$B275&lt;&gt;"",NOT(AND(MOVIMIENTOS!$B275="PROCESO",MOVIMIENTOS!$C275&lt;&gt;"Chancho")),NOT(AND(MOVIMIENTOS!$B275="SALDO INICIAL",MOVIMIENTOS!$C275="Chancho"))),OR(MOVIMIENTOS!$B275="ENVÍO A SUPESA",MOVIMIENTOS!$B275="MALOGRADO",MOVIMIENTOS!$B275="OTRA SALIDA",MOVIMIENTOS!$B275="TRASIEGO",AND(MOVIMIENTOS!$B275="PROCESO",MOVIMIENTOS!$C275="Chancho"),AND(MOVIMIENTOS!$B275="REGALO",MOVIMIENTOS!$C275&lt;&gt;"Chancho"),AND(MOVIMIENTOS!$B275="VENTA",MOVIMIENTOS!$C275&lt;&gt;"Chancho"),AND(MOVIMIENTOS!$B275="AJUSTE",MOVIMIENTOS!$C275&lt;&gt;"Chancho",N(MOVIMIENTOS!$F275)&lt;0))),IF(MOVIMIENTOS!$B275="AJUSTE",-N(MOVIMIENTOS!$F275),N(MOVIMIENTOS!$F275)),"")</f>
        <v/>
      </c>
      <c r="O276" s="48" t="str">
        <f aca="false">IF(AND(MOVIMIENTOS!$B275&lt;&gt;"",NOT(AND(MOVIMIENTOS!$B275="PROCESO",MOVIMIENTOS!$C275&lt;&gt;"Chancho")),NOT(AND(MOVIMIENTOS!$B275="SALDO INICIAL",MOVIMIENTOS!$C275="Chancho"))),IF(MOVIMIENTOS!$B275="RECHAZO",MOVIMIENTOS!$E275&amp;" jabas rechazadas · van a reproceso",IF(MOVIMIENTOS!$B275="REPROCESO",MOVIMIENTOS!$E275&amp;" kg recuperados (merma del día: "&amp;TEXT(SUMPRODUCT((MOVIMIENTOS!$A$5:$A$400=MOVIMIENTOS!$A275)*(MOVIMIENTOS!$B$5:$B$400="RECHAZO")*(MOVIMIENTOS!$D$5:$D$400="jabas")*MOVIMIENTOS!$E$5:$E$400*IFERROR(_xlfn.SWITCH(MOVIMIENTOS!$C$5:$C$400,"A",15,"P",18,"C",17,"M",17,0),0))-SUMPRODUCT((MOVIMIENTOS!$A$5:$A$400=MOVIMIENTOS!$A275)*(MOVIMIENTOS!$B$5:$B$400="REPROCESO")*MOVIMIENTOS!$I$5:$I$400),"+#,##0;-#,##0;0")&amp;" kg)",TRIM(IF(MOVIMIENTOS!$G275&lt;&gt;"",MOVIMIENTOS!$G275&amp;"  ","")&amp;IF(N(MOVIMIENTOS!$D275)&gt;0,MOVIMIENTOS!$D275&amp;" "&amp;MOVIMIENTOS!$D275,"")))),"")</f>
        <v/>
      </c>
      <c r="P276" s="48" t="n">
        <f aca="false">N(P275)+N(M276)-N(N276)</f>
        <v>-290.5</v>
      </c>
      <c r="Q276" s="48"/>
      <c r="R276" s="48"/>
      <c r="S276" s="48"/>
      <c r="T276" s="48"/>
    </row>
    <row r="277" customFormat="false" ht="15" hidden="false" customHeight="true" outlineLevel="0" collapsed="false">
      <c r="A277" s="51" t="str">
        <f aca="false">IFERROR(INDEX(K$6:K$401,MATCH(ROW()-5,J$6:J$401,0)),"")</f>
        <v/>
      </c>
      <c r="B277" s="56" t="str">
        <f aca="false">IFERROR(INDEX(L$6:L$401,MATCH(ROW()-5,J$6:J$401,0)),"")</f>
        <v/>
      </c>
      <c r="C277" s="52" t="str">
        <f aca="false">IFERROR(INDEX(M$6:M$401,MATCH(ROW()-5,J$6:J$401,0)),"")</f>
        <v/>
      </c>
      <c r="D277" s="52" t="str">
        <f aca="false">IFERROR(INDEX(N$6:N$401,MATCH(ROW()-5,J$6:J$401,0)),"")</f>
        <v/>
      </c>
      <c r="E277" s="56" t="str">
        <f aca="false">IFERROR(INDEX(O$6:O$401,MATCH(ROW()-5,J$6:J$401,0)),"")</f>
        <v/>
      </c>
      <c r="F277" s="52" t="str">
        <f aca="false">IFERROR(INDEX(P$6:P$401,MATCH(ROW()-5,J$6:J$401,0)),"")</f>
        <v/>
      </c>
      <c r="G277" s="48"/>
      <c r="H277" s="48"/>
      <c r="I277" s="48"/>
      <c r="J277" s="48" t="str">
        <f aca="false">IF(AND(MOVIMIENTOS!$B276&lt;&gt;"",NOT(AND(MOVIMIENTOS!$B276="PROCESO",MOVIMIENTOS!$C276&lt;&gt;"Chancho")),NOT(AND(MOVIMIENTOS!$B276="SALDO INICIAL",MOVIMIENTOS!$C276="Chancho"))),COUNT(J$6:J276)+1,"")</f>
        <v/>
      </c>
      <c r="K277" s="48" t="str">
        <f aca="false">IF(AND(MOVIMIENTOS!$B276&lt;&gt;"",NOT(AND(MOVIMIENTOS!$B276="PROCESO",MOVIMIENTOS!$C276&lt;&gt;"Chancho")),NOT(AND(MOVIMIENTOS!$B276="SALDO INICIAL",MOVIMIENTOS!$C276="Chancho"))),MOVIMIENTOS!$A276,"")</f>
        <v/>
      </c>
      <c r="L277" s="48" t="str">
        <f aca="false">IF(AND(MOVIMIENTOS!$B276&lt;&gt;"",NOT(AND(MOVIMIENTOS!$B276="PROCESO",MOVIMIENTOS!$C276&lt;&gt;"Chancho")),NOT(AND(MOVIMIENTOS!$B276="SALDO INICIAL",MOVIMIENTOS!$C276="Chancho"))),IF(MOVIMIENTOS!$B276="SALDO INICIAL","APERTURA ("&amp;MOVIMIENTOS!$C276&amp;")",IF(MOVIMIENTOS!$B276="COMPRA","INGRESO (compra)",IF(MOVIMIENTOS!$B276="PROCESO","CHANCHO (proceso)",IF(MOVIMIENTOS!$B276="ENVÍO A SUPESA","ENVÍO cal. "&amp;MOVIMIENTOS!$C276,IF(MOVIMIENTOS!$B276="VENTA CHANCHO","VENTA CHANCHO",IF(MOVIMIENTOS!$B276="VENTA","VENTA cal. "&amp;MOVIMIENTOS!$C276,IF(MOVIMIENTOS!$B276="REGALO","REGALO "&amp;MOVIMIENTOS!$C276,IF(MOVIMIENTOS!$B276="RECHAZO","RECHAZO cal. "&amp;MOVIMIENTOS!$C276&amp;" (va a reproceso)",IF(MOVIMIENTOS!$B276="DEVOLUCIÓN","DEVOLUCIÓN cal. "&amp;MOVIMIENTOS!$C276&amp;" (regresa intacta)",IF(MOVIMIENTOS!$B276="TRASIEGO","TRASIEGO cal. "&amp;MOVIMIENTOS!$C276,MOVIMIENTOS!$B276)))))))))),"")</f>
        <v/>
      </c>
      <c r="M277" s="48" t="str">
        <f aca="false">IF(AND(AND(MOVIMIENTOS!$B276&lt;&gt;"",NOT(AND(MOVIMIENTOS!$B276="PROCESO",MOVIMIENTOS!$C276&lt;&gt;"Chancho")),NOT(AND(MOVIMIENTOS!$B276="SALDO INICIAL",MOVIMIENTOS!$C276="Chancho"))),OR(MOVIMIENTOS!$B276="SALDO INICIAL",MOVIMIENTOS!$B276="COMPRA",MOVIMIENTOS!$B276="REPROCESO",MOVIMIENTOS!$B276="DEVOLUCIÓN",AND(MOVIMIENTOS!$B276="AJUSTE",MOVIMIENTOS!$C276&lt;&gt;"Chancho",N(MOVIMIENTOS!$F276)&gt;=0))),N(MOVIMIENTOS!$F276),"")</f>
        <v/>
      </c>
      <c r="N277" s="48" t="str">
        <f aca="false">IF(AND(AND(MOVIMIENTOS!$B276&lt;&gt;"",NOT(AND(MOVIMIENTOS!$B276="PROCESO",MOVIMIENTOS!$C276&lt;&gt;"Chancho")),NOT(AND(MOVIMIENTOS!$B276="SALDO INICIAL",MOVIMIENTOS!$C276="Chancho"))),OR(MOVIMIENTOS!$B276="ENVÍO A SUPESA",MOVIMIENTOS!$B276="MALOGRADO",MOVIMIENTOS!$B276="OTRA SALIDA",MOVIMIENTOS!$B276="TRASIEGO",AND(MOVIMIENTOS!$B276="PROCESO",MOVIMIENTOS!$C276="Chancho"),AND(MOVIMIENTOS!$B276="REGALO",MOVIMIENTOS!$C276&lt;&gt;"Chancho"),AND(MOVIMIENTOS!$B276="VENTA",MOVIMIENTOS!$C276&lt;&gt;"Chancho"),AND(MOVIMIENTOS!$B276="AJUSTE",MOVIMIENTOS!$C276&lt;&gt;"Chancho",N(MOVIMIENTOS!$F276)&lt;0))),IF(MOVIMIENTOS!$B276="AJUSTE",-N(MOVIMIENTOS!$F276),N(MOVIMIENTOS!$F276)),"")</f>
        <v/>
      </c>
      <c r="O277" s="48" t="str">
        <f aca="false">IF(AND(MOVIMIENTOS!$B276&lt;&gt;"",NOT(AND(MOVIMIENTOS!$B276="PROCESO",MOVIMIENTOS!$C276&lt;&gt;"Chancho")),NOT(AND(MOVIMIENTOS!$B276="SALDO INICIAL",MOVIMIENTOS!$C276="Chancho"))),IF(MOVIMIENTOS!$B276="RECHAZO",MOVIMIENTOS!$E276&amp;" jabas rechazadas · van a reproceso",IF(MOVIMIENTOS!$B276="REPROCESO",MOVIMIENTOS!$E276&amp;" kg recuperados (merma del día: "&amp;TEXT(SUMPRODUCT((MOVIMIENTOS!$A$5:$A$400=MOVIMIENTOS!$A276)*(MOVIMIENTOS!$B$5:$B$400="RECHAZO")*(MOVIMIENTOS!$D$5:$D$400="jabas")*MOVIMIENTOS!$E$5:$E$400*IFERROR(_xlfn.SWITCH(MOVIMIENTOS!$C$5:$C$400,"A",15,"P",18,"C",17,"M",17,0),0))-SUMPRODUCT((MOVIMIENTOS!$A$5:$A$400=MOVIMIENTOS!$A276)*(MOVIMIENTOS!$B$5:$B$400="REPROCESO")*MOVIMIENTOS!$I$5:$I$400),"+#,##0;-#,##0;0")&amp;" kg)",TRIM(IF(MOVIMIENTOS!$G276&lt;&gt;"",MOVIMIENTOS!$G276&amp;"  ","")&amp;IF(N(MOVIMIENTOS!$D276)&gt;0,MOVIMIENTOS!$D276&amp;" "&amp;MOVIMIENTOS!$D276,"")))),"")</f>
        <v/>
      </c>
      <c r="P277" s="48" t="n">
        <f aca="false">N(P276)+N(M277)-N(N277)</f>
        <v>-290.5</v>
      </c>
      <c r="Q277" s="48"/>
      <c r="R277" s="48"/>
      <c r="S277" s="48"/>
      <c r="T277" s="48"/>
    </row>
    <row r="278" customFormat="false" ht="15" hidden="false" customHeight="true" outlineLevel="0" collapsed="false">
      <c r="A278" s="51" t="str">
        <f aca="false">IFERROR(INDEX(K$6:K$401,MATCH(ROW()-5,J$6:J$401,0)),"")</f>
        <v/>
      </c>
      <c r="B278" s="56" t="str">
        <f aca="false">IFERROR(INDEX(L$6:L$401,MATCH(ROW()-5,J$6:J$401,0)),"")</f>
        <v/>
      </c>
      <c r="C278" s="52" t="str">
        <f aca="false">IFERROR(INDEX(M$6:M$401,MATCH(ROW()-5,J$6:J$401,0)),"")</f>
        <v/>
      </c>
      <c r="D278" s="52" t="str">
        <f aca="false">IFERROR(INDEX(N$6:N$401,MATCH(ROW()-5,J$6:J$401,0)),"")</f>
        <v/>
      </c>
      <c r="E278" s="56" t="str">
        <f aca="false">IFERROR(INDEX(O$6:O$401,MATCH(ROW()-5,J$6:J$401,0)),"")</f>
        <v/>
      </c>
      <c r="F278" s="52" t="str">
        <f aca="false">IFERROR(INDEX(P$6:P$401,MATCH(ROW()-5,J$6:J$401,0)),"")</f>
        <v/>
      </c>
      <c r="G278" s="48"/>
      <c r="H278" s="48"/>
      <c r="I278" s="48"/>
      <c r="J278" s="48" t="str">
        <f aca="false">IF(AND(MOVIMIENTOS!$B277&lt;&gt;"",NOT(AND(MOVIMIENTOS!$B277="PROCESO",MOVIMIENTOS!$C277&lt;&gt;"Chancho")),NOT(AND(MOVIMIENTOS!$B277="SALDO INICIAL",MOVIMIENTOS!$C277="Chancho"))),COUNT(J$6:J277)+1,"")</f>
        <v/>
      </c>
      <c r="K278" s="48" t="str">
        <f aca="false">IF(AND(MOVIMIENTOS!$B277&lt;&gt;"",NOT(AND(MOVIMIENTOS!$B277="PROCESO",MOVIMIENTOS!$C277&lt;&gt;"Chancho")),NOT(AND(MOVIMIENTOS!$B277="SALDO INICIAL",MOVIMIENTOS!$C277="Chancho"))),MOVIMIENTOS!$A277,"")</f>
        <v/>
      </c>
      <c r="L278" s="48" t="str">
        <f aca="false">IF(AND(MOVIMIENTOS!$B277&lt;&gt;"",NOT(AND(MOVIMIENTOS!$B277="PROCESO",MOVIMIENTOS!$C277&lt;&gt;"Chancho")),NOT(AND(MOVIMIENTOS!$B277="SALDO INICIAL",MOVIMIENTOS!$C277="Chancho"))),IF(MOVIMIENTOS!$B277="SALDO INICIAL","APERTURA ("&amp;MOVIMIENTOS!$C277&amp;")",IF(MOVIMIENTOS!$B277="COMPRA","INGRESO (compra)",IF(MOVIMIENTOS!$B277="PROCESO","CHANCHO (proceso)",IF(MOVIMIENTOS!$B277="ENVÍO A SUPESA","ENVÍO cal. "&amp;MOVIMIENTOS!$C277,IF(MOVIMIENTOS!$B277="VENTA CHANCHO","VENTA CHANCHO",IF(MOVIMIENTOS!$B277="VENTA","VENTA cal. "&amp;MOVIMIENTOS!$C277,IF(MOVIMIENTOS!$B277="REGALO","REGALO "&amp;MOVIMIENTOS!$C277,IF(MOVIMIENTOS!$B277="RECHAZO","RECHAZO cal. "&amp;MOVIMIENTOS!$C277&amp;" (va a reproceso)",IF(MOVIMIENTOS!$B277="DEVOLUCIÓN","DEVOLUCIÓN cal. "&amp;MOVIMIENTOS!$C277&amp;" (regresa intacta)",IF(MOVIMIENTOS!$B277="TRASIEGO","TRASIEGO cal. "&amp;MOVIMIENTOS!$C277,MOVIMIENTOS!$B277)))))))))),"")</f>
        <v/>
      </c>
      <c r="M278" s="48" t="str">
        <f aca="false">IF(AND(AND(MOVIMIENTOS!$B277&lt;&gt;"",NOT(AND(MOVIMIENTOS!$B277="PROCESO",MOVIMIENTOS!$C277&lt;&gt;"Chancho")),NOT(AND(MOVIMIENTOS!$B277="SALDO INICIAL",MOVIMIENTOS!$C277="Chancho"))),OR(MOVIMIENTOS!$B277="SALDO INICIAL",MOVIMIENTOS!$B277="COMPRA",MOVIMIENTOS!$B277="REPROCESO",MOVIMIENTOS!$B277="DEVOLUCIÓN",AND(MOVIMIENTOS!$B277="AJUSTE",MOVIMIENTOS!$C277&lt;&gt;"Chancho",N(MOVIMIENTOS!$F277)&gt;=0))),N(MOVIMIENTOS!$F277),"")</f>
        <v/>
      </c>
      <c r="N278" s="48" t="str">
        <f aca="false">IF(AND(AND(MOVIMIENTOS!$B277&lt;&gt;"",NOT(AND(MOVIMIENTOS!$B277="PROCESO",MOVIMIENTOS!$C277&lt;&gt;"Chancho")),NOT(AND(MOVIMIENTOS!$B277="SALDO INICIAL",MOVIMIENTOS!$C277="Chancho"))),OR(MOVIMIENTOS!$B277="ENVÍO A SUPESA",MOVIMIENTOS!$B277="MALOGRADO",MOVIMIENTOS!$B277="OTRA SALIDA",MOVIMIENTOS!$B277="TRASIEGO",AND(MOVIMIENTOS!$B277="PROCESO",MOVIMIENTOS!$C277="Chancho"),AND(MOVIMIENTOS!$B277="REGALO",MOVIMIENTOS!$C277&lt;&gt;"Chancho"),AND(MOVIMIENTOS!$B277="VENTA",MOVIMIENTOS!$C277&lt;&gt;"Chancho"),AND(MOVIMIENTOS!$B277="AJUSTE",MOVIMIENTOS!$C277&lt;&gt;"Chancho",N(MOVIMIENTOS!$F277)&lt;0))),IF(MOVIMIENTOS!$B277="AJUSTE",-N(MOVIMIENTOS!$F277),N(MOVIMIENTOS!$F277)),"")</f>
        <v/>
      </c>
      <c r="O278" s="48" t="str">
        <f aca="false">IF(AND(MOVIMIENTOS!$B277&lt;&gt;"",NOT(AND(MOVIMIENTOS!$B277="PROCESO",MOVIMIENTOS!$C277&lt;&gt;"Chancho")),NOT(AND(MOVIMIENTOS!$B277="SALDO INICIAL",MOVIMIENTOS!$C277="Chancho"))),IF(MOVIMIENTOS!$B277="RECHAZO",MOVIMIENTOS!$E277&amp;" jabas rechazadas · van a reproceso",IF(MOVIMIENTOS!$B277="REPROCESO",MOVIMIENTOS!$E277&amp;" kg recuperados (merma del día: "&amp;TEXT(SUMPRODUCT((MOVIMIENTOS!$A$5:$A$400=MOVIMIENTOS!$A277)*(MOVIMIENTOS!$B$5:$B$400="RECHAZO")*(MOVIMIENTOS!$D$5:$D$400="jabas")*MOVIMIENTOS!$E$5:$E$400*IFERROR(_xlfn.SWITCH(MOVIMIENTOS!$C$5:$C$400,"A",15,"P",18,"C",17,"M",17,0),0))-SUMPRODUCT((MOVIMIENTOS!$A$5:$A$400=MOVIMIENTOS!$A277)*(MOVIMIENTOS!$B$5:$B$400="REPROCESO")*MOVIMIENTOS!$I$5:$I$400),"+#,##0;-#,##0;0")&amp;" kg)",TRIM(IF(MOVIMIENTOS!$G277&lt;&gt;"",MOVIMIENTOS!$G277&amp;"  ","")&amp;IF(N(MOVIMIENTOS!$D277)&gt;0,MOVIMIENTOS!$D277&amp;" "&amp;MOVIMIENTOS!$D277,"")))),"")</f>
        <v/>
      </c>
      <c r="P278" s="48" t="n">
        <f aca="false">N(P277)+N(M278)-N(N278)</f>
        <v>-290.5</v>
      </c>
      <c r="Q278" s="48"/>
      <c r="R278" s="48"/>
      <c r="S278" s="48"/>
      <c r="T278" s="48"/>
    </row>
    <row r="279" customFormat="false" ht="15" hidden="false" customHeight="true" outlineLevel="0" collapsed="false">
      <c r="A279" s="51" t="str">
        <f aca="false">IFERROR(INDEX(K$6:K$401,MATCH(ROW()-5,J$6:J$401,0)),"")</f>
        <v/>
      </c>
      <c r="B279" s="56" t="str">
        <f aca="false">IFERROR(INDEX(L$6:L$401,MATCH(ROW()-5,J$6:J$401,0)),"")</f>
        <v/>
      </c>
      <c r="C279" s="52" t="str">
        <f aca="false">IFERROR(INDEX(M$6:M$401,MATCH(ROW()-5,J$6:J$401,0)),"")</f>
        <v/>
      </c>
      <c r="D279" s="52" t="str">
        <f aca="false">IFERROR(INDEX(N$6:N$401,MATCH(ROW()-5,J$6:J$401,0)),"")</f>
        <v/>
      </c>
      <c r="E279" s="56" t="str">
        <f aca="false">IFERROR(INDEX(O$6:O$401,MATCH(ROW()-5,J$6:J$401,0)),"")</f>
        <v/>
      </c>
      <c r="F279" s="52" t="str">
        <f aca="false">IFERROR(INDEX(P$6:P$401,MATCH(ROW()-5,J$6:J$401,0)),"")</f>
        <v/>
      </c>
      <c r="G279" s="48"/>
      <c r="H279" s="48"/>
      <c r="I279" s="48"/>
      <c r="J279" s="48" t="str">
        <f aca="false">IF(AND(MOVIMIENTOS!$B278&lt;&gt;"",NOT(AND(MOVIMIENTOS!$B278="PROCESO",MOVIMIENTOS!$C278&lt;&gt;"Chancho")),NOT(AND(MOVIMIENTOS!$B278="SALDO INICIAL",MOVIMIENTOS!$C278="Chancho"))),COUNT(J$6:J278)+1,"")</f>
        <v/>
      </c>
      <c r="K279" s="48" t="str">
        <f aca="false">IF(AND(MOVIMIENTOS!$B278&lt;&gt;"",NOT(AND(MOVIMIENTOS!$B278="PROCESO",MOVIMIENTOS!$C278&lt;&gt;"Chancho")),NOT(AND(MOVIMIENTOS!$B278="SALDO INICIAL",MOVIMIENTOS!$C278="Chancho"))),MOVIMIENTOS!$A278,"")</f>
        <v/>
      </c>
      <c r="L279" s="48" t="str">
        <f aca="false">IF(AND(MOVIMIENTOS!$B278&lt;&gt;"",NOT(AND(MOVIMIENTOS!$B278="PROCESO",MOVIMIENTOS!$C278&lt;&gt;"Chancho")),NOT(AND(MOVIMIENTOS!$B278="SALDO INICIAL",MOVIMIENTOS!$C278="Chancho"))),IF(MOVIMIENTOS!$B278="SALDO INICIAL","APERTURA ("&amp;MOVIMIENTOS!$C278&amp;")",IF(MOVIMIENTOS!$B278="COMPRA","INGRESO (compra)",IF(MOVIMIENTOS!$B278="PROCESO","CHANCHO (proceso)",IF(MOVIMIENTOS!$B278="ENVÍO A SUPESA","ENVÍO cal. "&amp;MOVIMIENTOS!$C278,IF(MOVIMIENTOS!$B278="VENTA CHANCHO","VENTA CHANCHO",IF(MOVIMIENTOS!$B278="VENTA","VENTA cal. "&amp;MOVIMIENTOS!$C278,IF(MOVIMIENTOS!$B278="REGALO","REGALO "&amp;MOVIMIENTOS!$C278,IF(MOVIMIENTOS!$B278="RECHAZO","RECHAZO cal. "&amp;MOVIMIENTOS!$C278&amp;" (va a reproceso)",IF(MOVIMIENTOS!$B278="DEVOLUCIÓN","DEVOLUCIÓN cal. "&amp;MOVIMIENTOS!$C278&amp;" (regresa intacta)",IF(MOVIMIENTOS!$B278="TRASIEGO","TRASIEGO cal. "&amp;MOVIMIENTOS!$C278,MOVIMIENTOS!$B278)))))))))),"")</f>
        <v/>
      </c>
      <c r="M279" s="48" t="str">
        <f aca="false">IF(AND(AND(MOVIMIENTOS!$B278&lt;&gt;"",NOT(AND(MOVIMIENTOS!$B278="PROCESO",MOVIMIENTOS!$C278&lt;&gt;"Chancho")),NOT(AND(MOVIMIENTOS!$B278="SALDO INICIAL",MOVIMIENTOS!$C278="Chancho"))),OR(MOVIMIENTOS!$B278="SALDO INICIAL",MOVIMIENTOS!$B278="COMPRA",MOVIMIENTOS!$B278="REPROCESO",MOVIMIENTOS!$B278="DEVOLUCIÓN",AND(MOVIMIENTOS!$B278="AJUSTE",MOVIMIENTOS!$C278&lt;&gt;"Chancho",N(MOVIMIENTOS!$F278)&gt;=0))),N(MOVIMIENTOS!$F278),"")</f>
        <v/>
      </c>
      <c r="N279" s="48" t="str">
        <f aca="false">IF(AND(AND(MOVIMIENTOS!$B278&lt;&gt;"",NOT(AND(MOVIMIENTOS!$B278="PROCESO",MOVIMIENTOS!$C278&lt;&gt;"Chancho")),NOT(AND(MOVIMIENTOS!$B278="SALDO INICIAL",MOVIMIENTOS!$C278="Chancho"))),OR(MOVIMIENTOS!$B278="ENVÍO A SUPESA",MOVIMIENTOS!$B278="MALOGRADO",MOVIMIENTOS!$B278="OTRA SALIDA",MOVIMIENTOS!$B278="TRASIEGO",AND(MOVIMIENTOS!$B278="PROCESO",MOVIMIENTOS!$C278="Chancho"),AND(MOVIMIENTOS!$B278="REGALO",MOVIMIENTOS!$C278&lt;&gt;"Chancho"),AND(MOVIMIENTOS!$B278="VENTA",MOVIMIENTOS!$C278&lt;&gt;"Chancho"),AND(MOVIMIENTOS!$B278="AJUSTE",MOVIMIENTOS!$C278&lt;&gt;"Chancho",N(MOVIMIENTOS!$F278)&lt;0))),IF(MOVIMIENTOS!$B278="AJUSTE",-N(MOVIMIENTOS!$F278),N(MOVIMIENTOS!$F278)),"")</f>
        <v/>
      </c>
      <c r="O279" s="48" t="str">
        <f aca="false">IF(AND(MOVIMIENTOS!$B278&lt;&gt;"",NOT(AND(MOVIMIENTOS!$B278="PROCESO",MOVIMIENTOS!$C278&lt;&gt;"Chancho")),NOT(AND(MOVIMIENTOS!$B278="SALDO INICIAL",MOVIMIENTOS!$C278="Chancho"))),IF(MOVIMIENTOS!$B278="RECHAZO",MOVIMIENTOS!$E278&amp;" jabas rechazadas · van a reproceso",IF(MOVIMIENTOS!$B278="REPROCESO",MOVIMIENTOS!$E278&amp;" kg recuperados (merma del día: "&amp;TEXT(SUMPRODUCT((MOVIMIENTOS!$A$5:$A$400=MOVIMIENTOS!$A278)*(MOVIMIENTOS!$B$5:$B$400="RECHAZO")*(MOVIMIENTOS!$D$5:$D$400="jabas")*MOVIMIENTOS!$E$5:$E$400*IFERROR(_xlfn.SWITCH(MOVIMIENTOS!$C$5:$C$400,"A",15,"P",18,"C",17,"M",17,0),0))-SUMPRODUCT((MOVIMIENTOS!$A$5:$A$400=MOVIMIENTOS!$A278)*(MOVIMIENTOS!$B$5:$B$400="REPROCESO")*MOVIMIENTOS!$I$5:$I$400),"+#,##0;-#,##0;0")&amp;" kg)",TRIM(IF(MOVIMIENTOS!$G278&lt;&gt;"",MOVIMIENTOS!$G278&amp;"  ","")&amp;IF(N(MOVIMIENTOS!$D278)&gt;0,MOVIMIENTOS!$D278&amp;" "&amp;MOVIMIENTOS!$D278,"")))),"")</f>
        <v/>
      </c>
      <c r="P279" s="48" t="n">
        <f aca="false">N(P278)+N(M279)-N(N279)</f>
        <v>-290.5</v>
      </c>
      <c r="Q279" s="48"/>
      <c r="R279" s="48"/>
      <c r="S279" s="48"/>
      <c r="T279" s="48"/>
    </row>
    <row r="280" customFormat="false" ht="15" hidden="false" customHeight="true" outlineLevel="0" collapsed="false">
      <c r="A280" s="51" t="str">
        <f aca="false">IFERROR(INDEX(K$6:K$401,MATCH(ROW()-5,J$6:J$401,0)),"")</f>
        <v/>
      </c>
      <c r="B280" s="56" t="str">
        <f aca="false">IFERROR(INDEX(L$6:L$401,MATCH(ROW()-5,J$6:J$401,0)),"")</f>
        <v/>
      </c>
      <c r="C280" s="52" t="str">
        <f aca="false">IFERROR(INDEX(M$6:M$401,MATCH(ROW()-5,J$6:J$401,0)),"")</f>
        <v/>
      </c>
      <c r="D280" s="52" t="str">
        <f aca="false">IFERROR(INDEX(N$6:N$401,MATCH(ROW()-5,J$6:J$401,0)),"")</f>
        <v/>
      </c>
      <c r="E280" s="56" t="str">
        <f aca="false">IFERROR(INDEX(O$6:O$401,MATCH(ROW()-5,J$6:J$401,0)),"")</f>
        <v/>
      </c>
      <c r="F280" s="52" t="str">
        <f aca="false">IFERROR(INDEX(P$6:P$401,MATCH(ROW()-5,J$6:J$401,0)),"")</f>
        <v/>
      </c>
      <c r="G280" s="48"/>
      <c r="H280" s="48"/>
      <c r="I280" s="48"/>
      <c r="J280" s="48" t="str">
        <f aca="false">IF(AND(MOVIMIENTOS!$B279&lt;&gt;"",NOT(AND(MOVIMIENTOS!$B279="PROCESO",MOVIMIENTOS!$C279&lt;&gt;"Chancho")),NOT(AND(MOVIMIENTOS!$B279="SALDO INICIAL",MOVIMIENTOS!$C279="Chancho"))),COUNT(J$6:J279)+1,"")</f>
        <v/>
      </c>
      <c r="K280" s="48" t="str">
        <f aca="false">IF(AND(MOVIMIENTOS!$B279&lt;&gt;"",NOT(AND(MOVIMIENTOS!$B279="PROCESO",MOVIMIENTOS!$C279&lt;&gt;"Chancho")),NOT(AND(MOVIMIENTOS!$B279="SALDO INICIAL",MOVIMIENTOS!$C279="Chancho"))),MOVIMIENTOS!$A279,"")</f>
        <v/>
      </c>
      <c r="L280" s="48" t="str">
        <f aca="false">IF(AND(MOVIMIENTOS!$B279&lt;&gt;"",NOT(AND(MOVIMIENTOS!$B279="PROCESO",MOVIMIENTOS!$C279&lt;&gt;"Chancho")),NOT(AND(MOVIMIENTOS!$B279="SALDO INICIAL",MOVIMIENTOS!$C279="Chancho"))),IF(MOVIMIENTOS!$B279="SALDO INICIAL","APERTURA ("&amp;MOVIMIENTOS!$C279&amp;")",IF(MOVIMIENTOS!$B279="COMPRA","INGRESO (compra)",IF(MOVIMIENTOS!$B279="PROCESO","CHANCHO (proceso)",IF(MOVIMIENTOS!$B279="ENVÍO A SUPESA","ENVÍO cal. "&amp;MOVIMIENTOS!$C279,IF(MOVIMIENTOS!$B279="VENTA CHANCHO","VENTA CHANCHO",IF(MOVIMIENTOS!$B279="VENTA","VENTA cal. "&amp;MOVIMIENTOS!$C279,IF(MOVIMIENTOS!$B279="REGALO","REGALO "&amp;MOVIMIENTOS!$C279,IF(MOVIMIENTOS!$B279="RECHAZO","RECHAZO cal. "&amp;MOVIMIENTOS!$C279&amp;" (va a reproceso)",IF(MOVIMIENTOS!$B279="DEVOLUCIÓN","DEVOLUCIÓN cal. "&amp;MOVIMIENTOS!$C279&amp;" (regresa intacta)",IF(MOVIMIENTOS!$B279="TRASIEGO","TRASIEGO cal. "&amp;MOVIMIENTOS!$C279,MOVIMIENTOS!$B279)))))))))),"")</f>
        <v/>
      </c>
      <c r="M280" s="48" t="str">
        <f aca="false">IF(AND(AND(MOVIMIENTOS!$B279&lt;&gt;"",NOT(AND(MOVIMIENTOS!$B279="PROCESO",MOVIMIENTOS!$C279&lt;&gt;"Chancho")),NOT(AND(MOVIMIENTOS!$B279="SALDO INICIAL",MOVIMIENTOS!$C279="Chancho"))),OR(MOVIMIENTOS!$B279="SALDO INICIAL",MOVIMIENTOS!$B279="COMPRA",MOVIMIENTOS!$B279="REPROCESO",MOVIMIENTOS!$B279="DEVOLUCIÓN",AND(MOVIMIENTOS!$B279="AJUSTE",MOVIMIENTOS!$C279&lt;&gt;"Chancho",N(MOVIMIENTOS!$F279)&gt;=0))),N(MOVIMIENTOS!$F279),"")</f>
        <v/>
      </c>
      <c r="N280" s="48" t="str">
        <f aca="false">IF(AND(AND(MOVIMIENTOS!$B279&lt;&gt;"",NOT(AND(MOVIMIENTOS!$B279="PROCESO",MOVIMIENTOS!$C279&lt;&gt;"Chancho")),NOT(AND(MOVIMIENTOS!$B279="SALDO INICIAL",MOVIMIENTOS!$C279="Chancho"))),OR(MOVIMIENTOS!$B279="ENVÍO A SUPESA",MOVIMIENTOS!$B279="MALOGRADO",MOVIMIENTOS!$B279="OTRA SALIDA",MOVIMIENTOS!$B279="TRASIEGO",AND(MOVIMIENTOS!$B279="PROCESO",MOVIMIENTOS!$C279="Chancho"),AND(MOVIMIENTOS!$B279="REGALO",MOVIMIENTOS!$C279&lt;&gt;"Chancho"),AND(MOVIMIENTOS!$B279="VENTA",MOVIMIENTOS!$C279&lt;&gt;"Chancho"),AND(MOVIMIENTOS!$B279="AJUSTE",MOVIMIENTOS!$C279&lt;&gt;"Chancho",N(MOVIMIENTOS!$F279)&lt;0))),IF(MOVIMIENTOS!$B279="AJUSTE",-N(MOVIMIENTOS!$F279),N(MOVIMIENTOS!$F279)),"")</f>
        <v/>
      </c>
      <c r="O280" s="48" t="str">
        <f aca="false">IF(AND(MOVIMIENTOS!$B279&lt;&gt;"",NOT(AND(MOVIMIENTOS!$B279="PROCESO",MOVIMIENTOS!$C279&lt;&gt;"Chancho")),NOT(AND(MOVIMIENTOS!$B279="SALDO INICIAL",MOVIMIENTOS!$C279="Chancho"))),IF(MOVIMIENTOS!$B279="RECHAZO",MOVIMIENTOS!$E279&amp;" jabas rechazadas · van a reproceso",IF(MOVIMIENTOS!$B279="REPROCESO",MOVIMIENTOS!$E279&amp;" kg recuperados (merma del día: "&amp;TEXT(SUMPRODUCT((MOVIMIENTOS!$A$5:$A$400=MOVIMIENTOS!$A279)*(MOVIMIENTOS!$B$5:$B$400="RECHAZO")*(MOVIMIENTOS!$D$5:$D$400="jabas")*MOVIMIENTOS!$E$5:$E$400*IFERROR(_xlfn.SWITCH(MOVIMIENTOS!$C$5:$C$400,"A",15,"P",18,"C",17,"M",17,0),0))-SUMPRODUCT((MOVIMIENTOS!$A$5:$A$400=MOVIMIENTOS!$A279)*(MOVIMIENTOS!$B$5:$B$400="REPROCESO")*MOVIMIENTOS!$I$5:$I$400),"+#,##0;-#,##0;0")&amp;" kg)",TRIM(IF(MOVIMIENTOS!$G279&lt;&gt;"",MOVIMIENTOS!$G279&amp;"  ","")&amp;IF(N(MOVIMIENTOS!$D279)&gt;0,MOVIMIENTOS!$D279&amp;" "&amp;MOVIMIENTOS!$D279,"")))),"")</f>
        <v/>
      </c>
      <c r="P280" s="48" t="n">
        <f aca="false">N(P279)+N(M280)-N(N280)</f>
        <v>-290.5</v>
      </c>
      <c r="Q280" s="48"/>
      <c r="R280" s="48"/>
      <c r="S280" s="48"/>
      <c r="T280" s="48"/>
    </row>
    <row r="281" customFormat="false" ht="15" hidden="false" customHeight="true" outlineLevel="0" collapsed="false">
      <c r="A281" s="51" t="str">
        <f aca="false">IFERROR(INDEX(K$6:K$401,MATCH(ROW()-5,J$6:J$401,0)),"")</f>
        <v/>
      </c>
      <c r="B281" s="56" t="str">
        <f aca="false">IFERROR(INDEX(L$6:L$401,MATCH(ROW()-5,J$6:J$401,0)),"")</f>
        <v/>
      </c>
      <c r="C281" s="52" t="str">
        <f aca="false">IFERROR(INDEX(M$6:M$401,MATCH(ROW()-5,J$6:J$401,0)),"")</f>
        <v/>
      </c>
      <c r="D281" s="52" t="str">
        <f aca="false">IFERROR(INDEX(N$6:N$401,MATCH(ROW()-5,J$6:J$401,0)),"")</f>
        <v/>
      </c>
      <c r="E281" s="56" t="str">
        <f aca="false">IFERROR(INDEX(O$6:O$401,MATCH(ROW()-5,J$6:J$401,0)),"")</f>
        <v/>
      </c>
      <c r="F281" s="52" t="str">
        <f aca="false">IFERROR(INDEX(P$6:P$401,MATCH(ROW()-5,J$6:J$401,0)),"")</f>
        <v/>
      </c>
      <c r="G281" s="48"/>
      <c r="H281" s="48"/>
      <c r="I281" s="48"/>
      <c r="J281" s="48" t="str">
        <f aca="false">IF(AND(MOVIMIENTOS!$B280&lt;&gt;"",NOT(AND(MOVIMIENTOS!$B280="PROCESO",MOVIMIENTOS!$C280&lt;&gt;"Chancho")),NOT(AND(MOVIMIENTOS!$B280="SALDO INICIAL",MOVIMIENTOS!$C280="Chancho"))),COUNT(J$6:J280)+1,"")</f>
        <v/>
      </c>
      <c r="K281" s="48" t="str">
        <f aca="false">IF(AND(MOVIMIENTOS!$B280&lt;&gt;"",NOT(AND(MOVIMIENTOS!$B280="PROCESO",MOVIMIENTOS!$C280&lt;&gt;"Chancho")),NOT(AND(MOVIMIENTOS!$B280="SALDO INICIAL",MOVIMIENTOS!$C280="Chancho"))),MOVIMIENTOS!$A280,"")</f>
        <v/>
      </c>
      <c r="L281" s="48" t="str">
        <f aca="false">IF(AND(MOVIMIENTOS!$B280&lt;&gt;"",NOT(AND(MOVIMIENTOS!$B280="PROCESO",MOVIMIENTOS!$C280&lt;&gt;"Chancho")),NOT(AND(MOVIMIENTOS!$B280="SALDO INICIAL",MOVIMIENTOS!$C280="Chancho"))),IF(MOVIMIENTOS!$B280="SALDO INICIAL","APERTURA ("&amp;MOVIMIENTOS!$C280&amp;")",IF(MOVIMIENTOS!$B280="COMPRA","INGRESO (compra)",IF(MOVIMIENTOS!$B280="PROCESO","CHANCHO (proceso)",IF(MOVIMIENTOS!$B280="ENVÍO A SUPESA","ENVÍO cal. "&amp;MOVIMIENTOS!$C280,IF(MOVIMIENTOS!$B280="VENTA CHANCHO","VENTA CHANCHO",IF(MOVIMIENTOS!$B280="VENTA","VENTA cal. "&amp;MOVIMIENTOS!$C280,IF(MOVIMIENTOS!$B280="REGALO","REGALO "&amp;MOVIMIENTOS!$C280,IF(MOVIMIENTOS!$B280="RECHAZO","RECHAZO cal. "&amp;MOVIMIENTOS!$C280&amp;" (va a reproceso)",IF(MOVIMIENTOS!$B280="DEVOLUCIÓN","DEVOLUCIÓN cal. "&amp;MOVIMIENTOS!$C280&amp;" (regresa intacta)",IF(MOVIMIENTOS!$B280="TRASIEGO","TRASIEGO cal. "&amp;MOVIMIENTOS!$C280,MOVIMIENTOS!$B280)))))))))),"")</f>
        <v/>
      </c>
      <c r="M281" s="48" t="str">
        <f aca="false">IF(AND(AND(MOVIMIENTOS!$B280&lt;&gt;"",NOT(AND(MOVIMIENTOS!$B280="PROCESO",MOVIMIENTOS!$C280&lt;&gt;"Chancho")),NOT(AND(MOVIMIENTOS!$B280="SALDO INICIAL",MOVIMIENTOS!$C280="Chancho"))),OR(MOVIMIENTOS!$B280="SALDO INICIAL",MOVIMIENTOS!$B280="COMPRA",MOVIMIENTOS!$B280="REPROCESO",MOVIMIENTOS!$B280="DEVOLUCIÓN",AND(MOVIMIENTOS!$B280="AJUSTE",MOVIMIENTOS!$C280&lt;&gt;"Chancho",N(MOVIMIENTOS!$F280)&gt;=0))),N(MOVIMIENTOS!$F280),"")</f>
        <v/>
      </c>
      <c r="N281" s="48" t="str">
        <f aca="false">IF(AND(AND(MOVIMIENTOS!$B280&lt;&gt;"",NOT(AND(MOVIMIENTOS!$B280="PROCESO",MOVIMIENTOS!$C280&lt;&gt;"Chancho")),NOT(AND(MOVIMIENTOS!$B280="SALDO INICIAL",MOVIMIENTOS!$C280="Chancho"))),OR(MOVIMIENTOS!$B280="ENVÍO A SUPESA",MOVIMIENTOS!$B280="MALOGRADO",MOVIMIENTOS!$B280="OTRA SALIDA",MOVIMIENTOS!$B280="TRASIEGO",AND(MOVIMIENTOS!$B280="PROCESO",MOVIMIENTOS!$C280="Chancho"),AND(MOVIMIENTOS!$B280="REGALO",MOVIMIENTOS!$C280&lt;&gt;"Chancho"),AND(MOVIMIENTOS!$B280="VENTA",MOVIMIENTOS!$C280&lt;&gt;"Chancho"),AND(MOVIMIENTOS!$B280="AJUSTE",MOVIMIENTOS!$C280&lt;&gt;"Chancho",N(MOVIMIENTOS!$F280)&lt;0))),IF(MOVIMIENTOS!$B280="AJUSTE",-N(MOVIMIENTOS!$F280),N(MOVIMIENTOS!$F280)),"")</f>
        <v/>
      </c>
      <c r="O281" s="48" t="str">
        <f aca="false">IF(AND(MOVIMIENTOS!$B280&lt;&gt;"",NOT(AND(MOVIMIENTOS!$B280="PROCESO",MOVIMIENTOS!$C280&lt;&gt;"Chancho")),NOT(AND(MOVIMIENTOS!$B280="SALDO INICIAL",MOVIMIENTOS!$C280="Chancho"))),IF(MOVIMIENTOS!$B280="RECHAZO",MOVIMIENTOS!$E280&amp;" jabas rechazadas · van a reproceso",IF(MOVIMIENTOS!$B280="REPROCESO",MOVIMIENTOS!$E280&amp;" kg recuperados (merma del día: "&amp;TEXT(SUMPRODUCT((MOVIMIENTOS!$A$5:$A$400=MOVIMIENTOS!$A280)*(MOVIMIENTOS!$B$5:$B$400="RECHAZO")*(MOVIMIENTOS!$D$5:$D$400="jabas")*MOVIMIENTOS!$E$5:$E$400*IFERROR(_xlfn.SWITCH(MOVIMIENTOS!$C$5:$C$400,"A",15,"P",18,"C",17,"M",17,0),0))-SUMPRODUCT((MOVIMIENTOS!$A$5:$A$400=MOVIMIENTOS!$A280)*(MOVIMIENTOS!$B$5:$B$400="REPROCESO")*MOVIMIENTOS!$I$5:$I$400),"+#,##0;-#,##0;0")&amp;" kg)",TRIM(IF(MOVIMIENTOS!$G280&lt;&gt;"",MOVIMIENTOS!$G280&amp;"  ","")&amp;IF(N(MOVIMIENTOS!$D280)&gt;0,MOVIMIENTOS!$D280&amp;" "&amp;MOVIMIENTOS!$D280,"")))),"")</f>
        <v/>
      </c>
      <c r="P281" s="48" t="n">
        <f aca="false">N(P280)+N(M281)-N(N281)</f>
        <v>-290.5</v>
      </c>
      <c r="Q281" s="48"/>
      <c r="R281" s="48"/>
      <c r="S281" s="48"/>
      <c r="T281" s="48"/>
    </row>
    <row r="282" customFormat="false" ht="15" hidden="false" customHeight="true" outlineLevel="0" collapsed="false">
      <c r="A282" s="51" t="str">
        <f aca="false">IFERROR(INDEX(K$6:K$401,MATCH(ROW()-5,J$6:J$401,0)),"")</f>
        <v/>
      </c>
      <c r="B282" s="56" t="str">
        <f aca="false">IFERROR(INDEX(L$6:L$401,MATCH(ROW()-5,J$6:J$401,0)),"")</f>
        <v/>
      </c>
      <c r="C282" s="52" t="str">
        <f aca="false">IFERROR(INDEX(M$6:M$401,MATCH(ROW()-5,J$6:J$401,0)),"")</f>
        <v/>
      </c>
      <c r="D282" s="52" t="str">
        <f aca="false">IFERROR(INDEX(N$6:N$401,MATCH(ROW()-5,J$6:J$401,0)),"")</f>
        <v/>
      </c>
      <c r="E282" s="56" t="str">
        <f aca="false">IFERROR(INDEX(O$6:O$401,MATCH(ROW()-5,J$6:J$401,0)),"")</f>
        <v/>
      </c>
      <c r="F282" s="52" t="str">
        <f aca="false">IFERROR(INDEX(P$6:P$401,MATCH(ROW()-5,J$6:J$401,0)),"")</f>
        <v/>
      </c>
      <c r="G282" s="48"/>
      <c r="H282" s="48"/>
      <c r="I282" s="48"/>
      <c r="J282" s="48" t="str">
        <f aca="false">IF(AND(MOVIMIENTOS!$B281&lt;&gt;"",NOT(AND(MOVIMIENTOS!$B281="PROCESO",MOVIMIENTOS!$C281&lt;&gt;"Chancho")),NOT(AND(MOVIMIENTOS!$B281="SALDO INICIAL",MOVIMIENTOS!$C281="Chancho"))),COUNT(J$6:J281)+1,"")</f>
        <v/>
      </c>
      <c r="K282" s="48" t="str">
        <f aca="false">IF(AND(MOVIMIENTOS!$B281&lt;&gt;"",NOT(AND(MOVIMIENTOS!$B281="PROCESO",MOVIMIENTOS!$C281&lt;&gt;"Chancho")),NOT(AND(MOVIMIENTOS!$B281="SALDO INICIAL",MOVIMIENTOS!$C281="Chancho"))),MOVIMIENTOS!$A281,"")</f>
        <v/>
      </c>
      <c r="L282" s="48" t="str">
        <f aca="false">IF(AND(MOVIMIENTOS!$B281&lt;&gt;"",NOT(AND(MOVIMIENTOS!$B281="PROCESO",MOVIMIENTOS!$C281&lt;&gt;"Chancho")),NOT(AND(MOVIMIENTOS!$B281="SALDO INICIAL",MOVIMIENTOS!$C281="Chancho"))),IF(MOVIMIENTOS!$B281="SALDO INICIAL","APERTURA ("&amp;MOVIMIENTOS!$C281&amp;")",IF(MOVIMIENTOS!$B281="COMPRA","INGRESO (compra)",IF(MOVIMIENTOS!$B281="PROCESO","CHANCHO (proceso)",IF(MOVIMIENTOS!$B281="ENVÍO A SUPESA","ENVÍO cal. "&amp;MOVIMIENTOS!$C281,IF(MOVIMIENTOS!$B281="VENTA CHANCHO","VENTA CHANCHO",IF(MOVIMIENTOS!$B281="VENTA","VENTA cal. "&amp;MOVIMIENTOS!$C281,IF(MOVIMIENTOS!$B281="REGALO","REGALO "&amp;MOVIMIENTOS!$C281,IF(MOVIMIENTOS!$B281="RECHAZO","RECHAZO cal. "&amp;MOVIMIENTOS!$C281&amp;" (va a reproceso)",IF(MOVIMIENTOS!$B281="DEVOLUCIÓN","DEVOLUCIÓN cal. "&amp;MOVIMIENTOS!$C281&amp;" (regresa intacta)",IF(MOVIMIENTOS!$B281="TRASIEGO","TRASIEGO cal. "&amp;MOVIMIENTOS!$C281,MOVIMIENTOS!$B281)))))))))),"")</f>
        <v/>
      </c>
      <c r="M282" s="48" t="str">
        <f aca="false">IF(AND(AND(MOVIMIENTOS!$B281&lt;&gt;"",NOT(AND(MOVIMIENTOS!$B281="PROCESO",MOVIMIENTOS!$C281&lt;&gt;"Chancho")),NOT(AND(MOVIMIENTOS!$B281="SALDO INICIAL",MOVIMIENTOS!$C281="Chancho"))),OR(MOVIMIENTOS!$B281="SALDO INICIAL",MOVIMIENTOS!$B281="COMPRA",MOVIMIENTOS!$B281="REPROCESO",MOVIMIENTOS!$B281="DEVOLUCIÓN",AND(MOVIMIENTOS!$B281="AJUSTE",MOVIMIENTOS!$C281&lt;&gt;"Chancho",N(MOVIMIENTOS!$F281)&gt;=0))),N(MOVIMIENTOS!$F281),"")</f>
        <v/>
      </c>
      <c r="N282" s="48" t="str">
        <f aca="false">IF(AND(AND(MOVIMIENTOS!$B281&lt;&gt;"",NOT(AND(MOVIMIENTOS!$B281="PROCESO",MOVIMIENTOS!$C281&lt;&gt;"Chancho")),NOT(AND(MOVIMIENTOS!$B281="SALDO INICIAL",MOVIMIENTOS!$C281="Chancho"))),OR(MOVIMIENTOS!$B281="ENVÍO A SUPESA",MOVIMIENTOS!$B281="MALOGRADO",MOVIMIENTOS!$B281="OTRA SALIDA",MOVIMIENTOS!$B281="TRASIEGO",AND(MOVIMIENTOS!$B281="PROCESO",MOVIMIENTOS!$C281="Chancho"),AND(MOVIMIENTOS!$B281="REGALO",MOVIMIENTOS!$C281&lt;&gt;"Chancho"),AND(MOVIMIENTOS!$B281="VENTA",MOVIMIENTOS!$C281&lt;&gt;"Chancho"),AND(MOVIMIENTOS!$B281="AJUSTE",MOVIMIENTOS!$C281&lt;&gt;"Chancho",N(MOVIMIENTOS!$F281)&lt;0))),IF(MOVIMIENTOS!$B281="AJUSTE",-N(MOVIMIENTOS!$F281),N(MOVIMIENTOS!$F281)),"")</f>
        <v/>
      </c>
      <c r="O282" s="48" t="str">
        <f aca="false">IF(AND(MOVIMIENTOS!$B281&lt;&gt;"",NOT(AND(MOVIMIENTOS!$B281="PROCESO",MOVIMIENTOS!$C281&lt;&gt;"Chancho")),NOT(AND(MOVIMIENTOS!$B281="SALDO INICIAL",MOVIMIENTOS!$C281="Chancho"))),IF(MOVIMIENTOS!$B281="RECHAZO",MOVIMIENTOS!$E281&amp;" jabas rechazadas · van a reproceso",IF(MOVIMIENTOS!$B281="REPROCESO",MOVIMIENTOS!$E281&amp;" kg recuperados (merma del día: "&amp;TEXT(SUMPRODUCT((MOVIMIENTOS!$A$5:$A$400=MOVIMIENTOS!$A281)*(MOVIMIENTOS!$B$5:$B$400="RECHAZO")*(MOVIMIENTOS!$D$5:$D$400="jabas")*MOVIMIENTOS!$E$5:$E$400*IFERROR(_xlfn.SWITCH(MOVIMIENTOS!$C$5:$C$400,"A",15,"P",18,"C",17,"M",17,0),0))-SUMPRODUCT((MOVIMIENTOS!$A$5:$A$400=MOVIMIENTOS!$A281)*(MOVIMIENTOS!$B$5:$B$400="REPROCESO")*MOVIMIENTOS!$I$5:$I$400),"+#,##0;-#,##0;0")&amp;" kg)",TRIM(IF(MOVIMIENTOS!$G281&lt;&gt;"",MOVIMIENTOS!$G281&amp;"  ","")&amp;IF(N(MOVIMIENTOS!$D281)&gt;0,MOVIMIENTOS!$D281&amp;" "&amp;MOVIMIENTOS!$D281,"")))),"")</f>
        <v/>
      </c>
      <c r="P282" s="48" t="n">
        <f aca="false">N(P281)+N(M282)-N(N282)</f>
        <v>-290.5</v>
      </c>
      <c r="Q282" s="48"/>
      <c r="R282" s="48"/>
      <c r="S282" s="48"/>
      <c r="T282" s="48"/>
    </row>
    <row r="283" customFormat="false" ht="15" hidden="false" customHeight="true" outlineLevel="0" collapsed="false">
      <c r="A283" s="51" t="str">
        <f aca="false">IFERROR(INDEX(K$6:K$401,MATCH(ROW()-5,J$6:J$401,0)),"")</f>
        <v/>
      </c>
      <c r="B283" s="56" t="str">
        <f aca="false">IFERROR(INDEX(L$6:L$401,MATCH(ROW()-5,J$6:J$401,0)),"")</f>
        <v/>
      </c>
      <c r="C283" s="52" t="str">
        <f aca="false">IFERROR(INDEX(M$6:M$401,MATCH(ROW()-5,J$6:J$401,0)),"")</f>
        <v/>
      </c>
      <c r="D283" s="52" t="str">
        <f aca="false">IFERROR(INDEX(N$6:N$401,MATCH(ROW()-5,J$6:J$401,0)),"")</f>
        <v/>
      </c>
      <c r="E283" s="56" t="str">
        <f aca="false">IFERROR(INDEX(O$6:O$401,MATCH(ROW()-5,J$6:J$401,0)),"")</f>
        <v/>
      </c>
      <c r="F283" s="52" t="str">
        <f aca="false">IFERROR(INDEX(P$6:P$401,MATCH(ROW()-5,J$6:J$401,0)),"")</f>
        <v/>
      </c>
      <c r="G283" s="48"/>
      <c r="H283" s="48"/>
      <c r="I283" s="48"/>
      <c r="J283" s="48" t="str">
        <f aca="false">IF(AND(MOVIMIENTOS!$B282&lt;&gt;"",NOT(AND(MOVIMIENTOS!$B282="PROCESO",MOVIMIENTOS!$C282&lt;&gt;"Chancho")),NOT(AND(MOVIMIENTOS!$B282="SALDO INICIAL",MOVIMIENTOS!$C282="Chancho"))),COUNT(J$6:J282)+1,"")</f>
        <v/>
      </c>
      <c r="K283" s="48" t="str">
        <f aca="false">IF(AND(MOVIMIENTOS!$B282&lt;&gt;"",NOT(AND(MOVIMIENTOS!$B282="PROCESO",MOVIMIENTOS!$C282&lt;&gt;"Chancho")),NOT(AND(MOVIMIENTOS!$B282="SALDO INICIAL",MOVIMIENTOS!$C282="Chancho"))),MOVIMIENTOS!$A282,"")</f>
        <v/>
      </c>
      <c r="L283" s="48" t="str">
        <f aca="false">IF(AND(MOVIMIENTOS!$B282&lt;&gt;"",NOT(AND(MOVIMIENTOS!$B282="PROCESO",MOVIMIENTOS!$C282&lt;&gt;"Chancho")),NOT(AND(MOVIMIENTOS!$B282="SALDO INICIAL",MOVIMIENTOS!$C282="Chancho"))),IF(MOVIMIENTOS!$B282="SALDO INICIAL","APERTURA ("&amp;MOVIMIENTOS!$C282&amp;")",IF(MOVIMIENTOS!$B282="COMPRA","INGRESO (compra)",IF(MOVIMIENTOS!$B282="PROCESO","CHANCHO (proceso)",IF(MOVIMIENTOS!$B282="ENVÍO A SUPESA","ENVÍO cal. "&amp;MOVIMIENTOS!$C282,IF(MOVIMIENTOS!$B282="VENTA CHANCHO","VENTA CHANCHO",IF(MOVIMIENTOS!$B282="VENTA","VENTA cal. "&amp;MOVIMIENTOS!$C282,IF(MOVIMIENTOS!$B282="REGALO","REGALO "&amp;MOVIMIENTOS!$C282,IF(MOVIMIENTOS!$B282="RECHAZO","RECHAZO cal. "&amp;MOVIMIENTOS!$C282&amp;" (va a reproceso)",IF(MOVIMIENTOS!$B282="DEVOLUCIÓN","DEVOLUCIÓN cal. "&amp;MOVIMIENTOS!$C282&amp;" (regresa intacta)",IF(MOVIMIENTOS!$B282="TRASIEGO","TRASIEGO cal. "&amp;MOVIMIENTOS!$C282,MOVIMIENTOS!$B282)))))))))),"")</f>
        <v/>
      </c>
      <c r="M283" s="48" t="str">
        <f aca="false">IF(AND(AND(MOVIMIENTOS!$B282&lt;&gt;"",NOT(AND(MOVIMIENTOS!$B282="PROCESO",MOVIMIENTOS!$C282&lt;&gt;"Chancho")),NOT(AND(MOVIMIENTOS!$B282="SALDO INICIAL",MOVIMIENTOS!$C282="Chancho"))),OR(MOVIMIENTOS!$B282="SALDO INICIAL",MOVIMIENTOS!$B282="COMPRA",MOVIMIENTOS!$B282="REPROCESO",MOVIMIENTOS!$B282="DEVOLUCIÓN",AND(MOVIMIENTOS!$B282="AJUSTE",MOVIMIENTOS!$C282&lt;&gt;"Chancho",N(MOVIMIENTOS!$F282)&gt;=0))),N(MOVIMIENTOS!$F282),"")</f>
        <v/>
      </c>
      <c r="N283" s="48" t="str">
        <f aca="false">IF(AND(AND(MOVIMIENTOS!$B282&lt;&gt;"",NOT(AND(MOVIMIENTOS!$B282="PROCESO",MOVIMIENTOS!$C282&lt;&gt;"Chancho")),NOT(AND(MOVIMIENTOS!$B282="SALDO INICIAL",MOVIMIENTOS!$C282="Chancho"))),OR(MOVIMIENTOS!$B282="ENVÍO A SUPESA",MOVIMIENTOS!$B282="MALOGRADO",MOVIMIENTOS!$B282="OTRA SALIDA",MOVIMIENTOS!$B282="TRASIEGO",AND(MOVIMIENTOS!$B282="PROCESO",MOVIMIENTOS!$C282="Chancho"),AND(MOVIMIENTOS!$B282="REGALO",MOVIMIENTOS!$C282&lt;&gt;"Chancho"),AND(MOVIMIENTOS!$B282="VENTA",MOVIMIENTOS!$C282&lt;&gt;"Chancho"),AND(MOVIMIENTOS!$B282="AJUSTE",MOVIMIENTOS!$C282&lt;&gt;"Chancho",N(MOVIMIENTOS!$F282)&lt;0))),IF(MOVIMIENTOS!$B282="AJUSTE",-N(MOVIMIENTOS!$F282),N(MOVIMIENTOS!$F282)),"")</f>
        <v/>
      </c>
      <c r="O283" s="48" t="str">
        <f aca="false">IF(AND(MOVIMIENTOS!$B282&lt;&gt;"",NOT(AND(MOVIMIENTOS!$B282="PROCESO",MOVIMIENTOS!$C282&lt;&gt;"Chancho")),NOT(AND(MOVIMIENTOS!$B282="SALDO INICIAL",MOVIMIENTOS!$C282="Chancho"))),IF(MOVIMIENTOS!$B282="RECHAZO",MOVIMIENTOS!$E282&amp;" jabas rechazadas · van a reproceso",IF(MOVIMIENTOS!$B282="REPROCESO",MOVIMIENTOS!$E282&amp;" kg recuperados (merma del día: "&amp;TEXT(SUMPRODUCT((MOVIMIENTOS!$A$5:$A$400=MOVIMIENTOS!$A282)*(MOVIMIENTOS!$B$5:$B$400="RECHAZO")*(MOVIMIENTOS!$D$5:$D$400="jabas")*MOVIMIENTOS!$E$5:$E$400*IFERROR(_xlfn.SWITCH(MOVIMIENTOS!$C$5:$C$400,"A",15,"P",18,"C",17,"M",17,0),0))-SUMPRODUCT((MOVIMIENTOS!$A$5:$A$400=MOVIMIENTOS!$A282)*(MOVIMIENTOS!$B$5:$B$400="REPROCESO")*MOVIMIENTOS!$I$5:$I$400),"+#,##0;-#,##0;0")&amp;" kg)",TRIM(IF(MOVIMIENTOS!$G282&lt;&gt;"",MOVIMIENTOS!$G282&amp;"  ","")&amp;IF(N(MOVIMIENTOS!$D282)&gt;0,MOVIMIENTOS!$D282&amp;" "&amp;MOVIMIENTOS!$D282,"")))),"")</f>
        <v/>
      </c>
      <c r="P283" s="48" t="n">
        <f aca="false">N(P282)+N(M283)-N(N283)</f>
        <v>-290.5</v>
      </c>
      <c r="Q283" s="48"/>
      <c r="R283" s="48"/>
      <c r="S283" s="48"/>
      <c r="T283" s="48"/>
    </row>
    <row r="284" customFormat="false" ht="15" hidden="false" customHeight="true" outlineLevel="0" collapsed="false">
      <c r="A284" s="51" t="str">
        <f aca="false">IFERROR(INDEX(K$6:K$401,MATCH(ROW()-5,J$6:J$401,0)),"")</f>
        <v/>
      </c>
      <c r="B284" s="56" t="str">
        <f aca="false">IFERROR(INDEX(L$6:L$401,MATCH(ROW()-5,J$6:J$401,0)),"")</f>
        <v/>
      </c>
      <c r="C284" s="52" t="str">
        <f aca="false">IFERROR(INDEX(M$6:M$401,MATCH(ROW()-5,J$6:J$401,0)),"")</f>
        <v/>
      </c>
      <c r="D284" s="52" t="str">
        <f aca="false">IFERROR(INDEX(N$6:N$401,MATCH(ROW()-5,J$6:J$401,0)),"")</f>
        <v/>
      </c>
      <c r="E284" s="56" t="str">
        <f aca="false">IFERROR(INDEX(O$6:O$401,MATCH(ROW()-5,J$6:J$401,0)),"")</f>
        <v/>
      </c>
      <c r="F284" s="52" t="str">
        <f aca="false">IFERROR(INDEX(P$6:P$401,MATCH(ROW()-5,J$6:J$401,0)),"")</f>
        <v/>
      </c>
      <c r="G284" s="48"/>
      <c r="H284" s="48"/>
      <c r="I284" s="48"/>
      <c r="J284" s="48" t="str">
        <f aca="false">IF(AND(MOVIMIENTOS!$B283&lt;&gt;"",NOT(AND(MOVIMIENTOS!$B283="PROCESO",MOVIMIENTOS!$C283&lt;&gt;"Chancho")),NOT(AND(MOVIMIENTOS!$B283="SALDO INICIAL",MOVIMIENTOS!$C283="Chancho"))),COUNT(J$6:J283)+1,"")</f>
        <v/>
      </c>
      <c r="K284" s="48" t="str">
        <f aca="false">IF(AND(MOVIMIENTOS!$B283&lt;&gt;"",NOT(AND(MOVIMIENTOS!$B283="PROCESO",MOVIMIENTOS!$C283&lt;&gt;"Chancho")),NOT(AND(MOVIMIENTOS!$B283="SALDO INICIAL",MOVIMIENTOS!$C283="Chancho"))),MOVIMIENTOS!$A283,"")</f>
        <v/>
      </c>
      <c r="L284" s="48" t="str">
        <f aca="false">IF(AND(MOVIMIENTOS!$B283&lt;&gt;"",NOT(AND(MOVIMIENTOS!$B283="PROCESO",MOVIMIENTOS!$C283&lt;&gt;"Chancho")),NOT(AND(MOVIMIENTOS!$B283="SALDO INICIAL",MOVIMIENTOS!$C283="Chancho"))),IF(MOVIMIENTOS!$B283="SALDO INICIAL","APERTURA ("&amp;MOVIMIENTOS!$C283&amp;")",IF(MOVIMIENTOS!$B283="COMPRA","INGRESO (compra)",IF(MOVIMIENTOS!$B283="PROCESO","CHANCHO (proceso)",IF(MOVIMIENTOS!$B283="ENVÍO A SUPESA","ENVÍO cal. "&amp;MOVIMIENTOS!$C283,IF(MOVIMIENTOS!$B283="VENTA CHANCHO","VENTA CHANCHO",IF(MOVIMIENTOS!$B283="VENTA","VENTA cal. "&amp;MOVIMIENTOS!$C283,IF(MOVIMIENTOS!$B283="REGALO","REGALO "&amp;MOVIMIENTOS!$C283,IF(MOVIMIENTOS!$B283="RECHAZO","RECHAZO cal. "&amp;MOVIMIENTOS!$C283&amp;" (va a reproceso)",IF(MOVIMIENTOS!$B283="DEVOLUCIÓN","DEVOLUCIÓN cal. "&amp;MOVIMIENTOS!$C283&amp;" (regresa intacta)",IF(MOVIMIENTOS!$B283="TRASIEGO","TRASIEGO cal. "&amp;MOVIMIENTOS!$C283,MOVIMIENTOS!$B283)))))))))),"")</f>
        <v/>
      </c>
      <c r="M284" s="48" t="str">
        <f aca="false">IF(AND(AND(MOVIMIENTOS!$B283&lt;&gt;"",NOT(AND(MOVIMIENTOS!$B283="PROCESO",MOVIMIENTOS!$C283&lt;&gt;"Chancho")),NOT(AND(MOVIMIENTOS!$B283="SALDO INICIAL",MOVIMIENTOS!$C283="Chancho"))),OR(MOVIMIENTOS!$B283="SALDO INICIAL",MOVIMIENTOS!$B283="COMPRA",MOVIMIENTOS!$B283="REPROCESO",MOVIMIENTOS!$B283="DEVOLUCIÓN",AND(MOVIMIENTOS!$B283="AJUSTE",MOVIMIENTOS!$C283&lt;&gt;"Chancho",N(MOVIMIENTOS!$F283)&gt;=0))),N(MOVIMIENTOS!$F283),"")</f>
        <v/>
      </c>
      <c r="N284" s="48" t="str">
        <f aca="false">IF(AND(AND(MOVIMIENTOS!$B283&lt;&gt;"",NOT(AND(MOVIMIENTOS!$B283="PROCESO",MOVIMIENTOS!$C283&lt;&gt;"Chancho")),NOT(AND(MOVIMIENTOS!$B283="SALDO INICIAL",MOVIMIENTOS!$C283="Chancho"))),OR(MOVIMIENTOS!$B283="ENVÍO A SUPESA",MOVIMIENTOS!$B283="MALOGRADO",MOVIMIENTOS!$B283="OTRA SALIDA",MOVIMIENTOS!$B283="TRASIEGO",AND(MOVIMIENTOS!$B283="PROCESO",MOVIMIENTOS!$C283="Chancho"),AND(MOVIMIENTOS!$B283="REGALO",MOVIMIENTOS!$C283&lt;&gt;"Chancho"),AND(MOVIMIENTOS!$B283="VENTA",MOVIMIENTOS!$C283&lt;&gt;"Chancho"),AND(MOVIMIENTOS!$B283="AJUSTE",MOVIMIENTOS!$C283&lt;&gt;"Chancho",N(MOVIMIENTOS!$F283)&lt;0))),IF(MOVIMIENTOS!$B283="AJUSTE",-N(MOVIMIENTOS!$F283),N(MOVIMIENTOS!$F283)),"")</f>
        <v/>
      </c>
      <c r="O284" s="48" t="str">
        <f aca="false">IF(AND(MOVIMIENTOS!$B283&lt;&gt;"",NOT(AND(MOVIMIENTOS!$B283="PROCESO",MOVIMIENTOS!$C283&lt;&gt;"Chancho")),NOT(AND(MOVIMIENTOS!$B283="SALDO INICIAL",MOVIMIENTOS!$C283="Chancho"))),IF(MOVIMIENTOS!$B283="RECHAZO",MOVIMIENTOS!$E283&amp;" jabas rechazadas · van a reproceso",IF(MOVIMIENTOS!$B283="REPROCESO",MOVIMIENTOS!$E283&amp;" kg recuperados (merma del día: "&amp;TEXT(SUMPRODUCT((MOVIMIENTOS!$A$5:$A$400=MOVIMIENTOS!$A283)*(MOVIMIENTOS!$B$5:$B$400="RECHAZO")*(MOVIMIENTOS!$D$5:$D$400="jabas")*MOVIMIENTOS!$E$5:$E$400*IFERROR(_xlfn.SWITCH(MOVIMIENTOS!$C$5:$C$400,"A",15,"P",18,"C",17,"M",17,0),0))-SUMPRODUCT((MOVIMIENTOS!$A$5:$A$400=MOVIMIENTOS!$A283)*(MOVIMIENTOS!$B$5:$B$400="REPROCESO")*MOVIMIENTOS!$I$5:$I$400),"+#,##0;-#,##0;0")&amp;" kg)",TRIM(IF(MOVIMIENTOS!$G283&lt;&gt;"",MOVIMIENTOS!$G283&amp;"  ","")&amp;IF(N(MOVIMIENTOS!$D283)&gt;0,MOVIMIENTOS!$D283&amp;" "&amp;MOVIMIENTOS!$D283,"")))),"")</f>
        <v/>
      </c>
      <c r="P284" s="48" t="n">
        <f aca="false">N(P283)+N(M284)-N(N284)</f>
        <v>-290.5</v>
      </c>
      <c r="Q284" s="48"/>
      <c r="R284" s="48"/>
      <c r="S284" s="48"/>
      <c r="T284" s="48"/>
    </row>
    <row r="285" customFormat="false" ht="15" hidden="false" customHeight="true" outlineLevel="0" collapsed="false">
      <c r="A285" s="51" t="str">
        <f aca="false">IFERROR(INDEX(K$6:K$401,MATCH(ROW()-5,J$6:J$401,0)),"")</f>
        <v/>
      </c>
      <c r="B285" s="56" t="str">
        <f aca="false">IFERROR(INDEX(L$6:L$401,MATCH(ROW()-5,J$6:J$401,0)),"")</f>
        <v/>
      </c>
      <c r="C285" s="52" t="str">
        <f aca="false">IFERROR(INDEX(M$6:M$401,MATCH(ROW()-5,J$6:J$401,0)),"")</f>
        <v/>
      </c>
      <c r="D285" s="52" t="str">
        <f aca="false">IFERROR(INDEX(N$6:N$401,MATCH(ROW()-5,J$6:J$401,0)),"")</f>
        <v/>
      </c>
      <c r="E285" s="56" t="str">
        <f aca="false">IFERROR(INDEX(O$6:O$401,MATCH(ROW()-5,J$6:J$401,0)),"")</f>
        <v/>
      </c>
      <c r="F285" s="52" t="str">
        <f aca="false">IFERROR(INDEX(P$6:P$401,MATCH(ROW()-5,J$6:J$401,0)),"")</f>
        <v/>
      </c>
      <c r="G285" s="48"/>
      <c r="H285" s="48"/>
      <c r="I285" s="48"/>
      <c r="J285" s="48" t="str">
        <f aca="false">IF(AND(MOVIMIENTOS!$B284&lt;&gt;"",NOT(AND(MOVIMIENTOS!$B284="PROCESO",MOVIMIENTOS!$C284&lt;&gt;"Chancho")),NOT(AND(MOVIMIENTOS!$B284="SALDO INICIAL",MOVIMIENTOS!$C284="Chancho"))),COUNT(J$6:J284)+1,"")</f>
        <v/>
      </c>
      <c r="K285" s="48" t="str">
        <f aca="false">IF(AND(MOVIMIENTOS!$B284&lt;&gt;"",NOT(AND(MOVIMIENTOS!$B284="PROCESO",MOVIMIENTOS!$C284&lt;&gt;"Chancho")),NOT(AND(MOVIMIENTOS!$B284="SALDO INICIAL",MOVIMIENTOS!$C284="Chancho"))),MOVIMIENTOS!$A284,"")</f>
        <v/>
      </c>
      <c r="L285" s="48" t="str">
        <f aca="false">IF(AND(MOVIMIENTOS!$B284&lt;&gt;"",NOT(AND(MOVIMIENTOS!$B284="PROCESO",MOVIMIENTOS!$C284&lt;&gt;"Chancho")),NOT(AND(MOVIMIENTOS!$B284="SALDO INICIAL",MOVIMIENTOS!$C284="Chancho"))),IF(MOVIMIENTOS!$B284="SALDO INICIAL","APERTURA ("&amp;MOVIMIENTOS!$C284&amp;")",IF(MOVIMIENTOS!$B284="COMPRA","INGRESO (compra)",IF(MOVIMIENTOS!$B284="PROCESO","CHANCHO (proceso)",IF(MOVIMIENTOS!$B284="ENVÍO A SUPESA","ENVÍO cal. "&amp;MOVIMIENTOS!$C284,IF(MOVIMIENTOS!$B284="VENTA CHANCHO","VENTA CHANCHO",IF(MOVIMIENTOS!$B284="VENTA","VENTA cal. "&amp;MOVIMIENTOS!$C284,IF(MOVIMIENTOS!$B284="REGALO","REGALO "&amp;MOVIMIENTOS!$C284,IF(MOVIMIENTOS!$B284="RECHAZO","RECHAZO cal. "&amp;MOVIMIENTOS!$C284&amp;" (va a reproceso)",IF(MOVIMIENTOS!$B284="DEVOLUCIÓN","DEVOLUCIÓN cal. "&amp;MOVIMIENTOS!$C284&amp;" (regresa intacta)",IF(MOVIMIENTOS!$B284="TRASIEGO","TRASIEGO cal. "&amp;MOVIMIENTOS!$C284,MOVIMIENTOS!$B284)))))))))),"")</f>
        <v/>
      </c>
      <c r="M285" s="48" t="str">
        <f aca="false">IF(AND(AND(MOVIMIENTOS!$B284&lt;&gt;"",NOT(AND(MOVIMIENTOS!$B284="PROCESO",MOVIMIENTOS!$C284&lt;&gt;"Chancho")),NOT(AND(MOVIMIENTOS!$B284="SALDO INICIAL",MOVIMIENTOS!$C284="Chancho"))),OR(MOVIMIENTOS!$B284="SALDO INICIAL",MOVIMIENTOS!$B284="COMPRA",MOVIMIENTOS!$B284="REPROCESO",MOVIMIENTOS!$B284="DEVOLUCIÓN",AND(MOVIMIENTOS!$B284="AJUSTE",MOVIMIENTOS!$C284&lt;&gt;"Chancho",N(MOVIMIENTOS!$F284)&gt;=0))),N(MOVIMIENTOS!$F284),"")</f>
        <v/>
      </c>
      <c r="N285" s="48" t="str">
        <f aca="false">IF(AND(AND(MOVIMIENTOS!$B284&lt;&gt;"",NOT(AND(MOVIMIENTOS!$B284="PROCESO",MOVIMIENTOS!$C284&lt;&gt;"Chancho")),NOT(AND(MOVIMIENTOS!$B284="SALDO INICIAL",MOVIMIENTOS!$C284="Chancho"))),OR(MOVIMIENTOS!$B284="ENVÍO A SUPESA",MOVIMIENTOS!$B284="MALOGRADO",MOVIMIENTOS!$B284="OTRA SALIDA",MOVIMIENTOS!$B284="TRASIEGO",AND(MOVIMIENTOS!$B284="PROCESO",MOVIMIENTOS!$C284="Chancho"),AND(MOVIMIENTOS!$B284="REGALO",MOVIMIENTOS!$C284&lt;&gt;"Chancho"),AND(MOVIMIENTOS!$B284="VENTA",MOVIMIENTOS!$C284&lt;&gt;"Chancho"),AND(MOVIMIENTOS!$B284="AJUSTE",MOVIMIENTOS!$C284&lt;&gt;"Chancho",N(MOVIMIENTOS!$F284)&lt;0))),IF(MOVIMIENTOS!$B284="AJUSTE",-N(MOVIMIENTOS!$F284),N(MOVIMIENTOS!$F284)),"")</f>
        <v/>
      </c>
      <c r="O285" s="48" t="str">
        <f aca="false">IF(AND(MOVIMIENTOS!$B284&lt;&gt;"",NOT(AND(MOVIMIENTOS!$B284="PROCESO",MOVIMIENTOS!$C284&lt;&gt;"Chancho")),NOT(AND(MOVIMIENTOS!$B284="SALDO INICIAL",MOVIMIENTOS!$C284="Chancho"))),IF(MOVIMIENTOS!$B284="RECHAZO",MOVIMIENTOS!$E284&amp;" jabas rechazadas · van a reproceso",IF(MOVIMIENTOS!$B284="REPROCESO",MOVIMIENTOS!$E284&amp;" kg recuperados (merma del día: "&amp;TEXT(SUMPRODUCT((MOVIMIENTOS!$A$5:$A$400=MOVIMIENTOS!$A284)*(MOVIMIENTOS!$B$5:$B$400="RECHAZO")*(MOVIMIENTOS!$D$5:$D$400="jabas")*MOVIMIENTOS!$E$5:$E$400*IFERROR(_xlfn.SWITCH(MOVIMIENTOS!$C$5:$C$400,"A",15,"P",18,"C",17,"M",17,0),0))-SUMPRODUCT((MOVIMIENTOS!$A$5:$A$400=MOVIMIENTOS!$A284)*(MOVIMIENTOS!$B$5:$B$400="REPROCESO")*MOVIMIENTOS!$I$5:$I$400),"+#,##0;-#,##0;0")&amp;" kg)",TRIM(IF(MOVIMIENTOS!$G284&lt;&gt;"",MOVIMIENTOS!$G284&amp;"  ","")&amp;IF(N(MOVIMIENTOS!$D284)&gt;0,MOVIMIENTOS!$D284&amp;" "&amp;MOVIMIENTOS!$D284,"")))),"")</f>
        <v/>
      </c>
      <c r="P285" s="48" t="n">
        <f aca="false">N(P284)+N(M285)-N(N285)</f>
        <v>-290.5</v>
      </c>
      <c r="Q285" s="48"/>
      <c r="R285" s="48"/>
      <c r="S285" s="48"/>
      <c r="T285" s="48"/>
    </row>
    <row r="286" customFormat="false" ht="15" hidden="false" customHeight="true" outlineLevel="0" collapsed="false">
      <c r="A286" s="51" t="str">
        <f aca="false">IFERROR(INDEX(K$6:K$401,MATCH(ROW()-5,J$6:J$401,0)),"")</f>
        <v/>
      </c>
      <c r="B286" s="56" t="str">
        <f aca="false">IFERROR(INDEX(L$6:L$401,MATCH(ROW()-5,J$6:J$401,0)),"")</f>
        <v/>
      </c>
      <c r="C286" s="52" t="str">
        <f aca="false">IFERROR(INDEX(M$6:M$401,MATCH(ROW()-5,J$6:J$401,0)),"")</f>
        <v/>
      </c>
      <c r="D286" s="52" t="str">
        <f aca="false">IFERROR(INDEX(N$6:N$401,MATCH(ROW()-5,J$6:J$401,0)),"")</f>
        <v/>
      </c>
      <c r="E286" s="56" t="str">
        <f aca="false">IFERROR(INDEX(O$6:O$401,MATCH(ROW()-5,J$6:J$401,0)),"")</f>
        <v/>
      </c>
      <c r="F286" s="52" t="str">
        <f aca="false">IFERROR(INDEX(P$6:P$401,MATCH(ROW()-5,J$6:J$401,0)),"")</f>
        <v/>
      </c>
      <c r="G286" s="48"/>
      <c r="H286" s="48"/>
      <c r="I286" s="48"/>
      <c r="J286" s="48" t="str">
        <f aca="false">IF(AND(MOVIMIENTOS!$B285&lt;&gt;"",NOT(AND(MOVIMIENTOS!$B285="PROCESO",MOVIMIENTOS!$C285&lt;&gt;"Chancho")),NOT(AND(MOVIMIENTOS!$B285="SALDO INICIAL",MOVIMIENTOS!$C285="Chancho"))),COUNT(J$6:J285)+1,"")</f>
        <v/>
      </c>
      <c r="K286" s="48" t="str">
        <f aca="false">IF(AND(MOVIMIENTOS!$B285&lt;&gt;"",NOT(AND(MOVIMIENTOS!$B285="PROCESO",MOVIMIENTOS!$C285&lt;&gt;"Chancho")),NOT(AND(MOVIMIENTOS!$B285="SALDO INICIAL",MOVIMIENTOS!$C285="Chancho"))),MOVIMIENTOS!$A285,"")</f>
        <v/>
      </c>
      <c r="L286" s="48" t="str">
        <f aca="false">IF(AND(MOVIMIENTOS!$B285&lt;&gt;"",NOT(AND(MOVIMIENTOS!$B285="PROCESO",MOVIMIENTOS!$C285&lt;&gt;"Chancho")),NOT(AND(MOVIMIENTOS!$B285="SALDO INICIAL",MOVIMIENTOS!$C285="Chancho"))),IF(MOVIMIENTOS!$B285="SALDO INICIAL","APERTURA ("&amp;MOVIMIENTOS!$C285&amp;")",IF(MOVIMIENTOS!$B285="COMPRA","INGRESO (compra)",IF(MOVIMIENTOS!$B285="PROCESO","CHANCHO (proceso)",IF(MOVIMIENTOS!$B285="ENVÍO A SUPESA","ENVÍO cal. "&amp;MOVIMIENTOS!$C285,IF(MOVIMIENTOS!$B285="VENTA CHANCHO","VENTA CHANCHO",IF(MOVIMIENTOS!$B285="VENTA","VENTA cal. "&amp;MOVIMIENTOS!$C285,IF(MOVIMIENTOS!$B285="REGALO","REGALO "&amp;MOVIMIENTOS!$C285,IF(MOVIMIENTOS!$B285="RECHAZO","RECHAZO cal. "&amp;MOVIMIENTOS!$C285&amp;" (va a reproceso)",IF(MOVIMIENTOS!$B285="DEVOLUCIÓN","DEVOLUCIÓN cal. "&amp;MOVIMIENTOS!$C285&amp;" (regresa intacta)",IF(MOVIMIENTOS!$B285="TRASIEGO","TRASIEGO cal. "&amp;MOVIMIENTOS!$C285,MOVIMIENTOS!$B285)))))))))),"")</f>
        <v/>
      </c>
      <c r="M286" s="48" t="str">
        <f aca="false">IF(AND(AND(MOVIMIENTOS!$B285&lt;&gt;"",NOT(AND(MOVIMIENTOS!$B285="PROCESO",MOVIMIENTOS!$C285&lt;&gt;"Chancho")),NOT(AND(MOVIMIENTOS!$B285="SALDO INICIAL",MOVIMIENTOS!$C285="Chancho"))),OR(MOVIMIENTOS!$B285="SALDO INICIAL",MOVIMIENTOS!$B285="COMPRA",MOVIMIENTOS!$B285="REPROCESO",MOVIMIENTOS!$B285="DEVOLUCIÓN",AND(MOVIMIENTOS!$B285="AJUSTE",MOVIMIENTOS!$C285&lt;&gt;"Chancho",N(MOVIMIENTOS!$F285)&gt;=0))),N(MOVIMIENTOS!$F285),"")</f>
        <v/>
      </c>
      <c r="N286" s="48" t="str">
        <f aca="false">IF(AND(AND(MOVIMIENTOS!$B285&lt;&gt;"",NOT(AND(MOVIMIENTOS!$B285="PROCESO",MOVIMIENTOS!$C285&lt;&gt;"Chancho")),NOT(AND(MOVIMIENTOS!$B285="SALDO INICIAL",MOVIMIENTOS!$C285="Chancho"))),OR(MOVIMIENTOS!$B285="ENVÍO A SUPESA",MOVIMIENTOS!$B285="MALOGRADO",MOVIMIENTOS!$B285="OTRA SALIDA",MOVIMIENTOS!$B285="TRASIEGO",AND(MOVIMIENTOS!$B285="PROCESO",MOVIMIENTOS!$C285="Chancho"),AND(MOVIMIENTOS!$B285="REGALO",MOVIMIENTOS!$C285&lt;&gt;"Chancho"),AND(MOVIMIENTOS!$B285="VENTA",MOVIMIENTOS!$C285&lt;&gt;"Chancho"),AND(MOVIMIENTOS!$B285="AJUSTE",MOVIMIENTOS!$C285&lt;&gt;"Chancho",N(MOVIMIENTOS!$F285)&lt;0))),IF(MOVIMIENTOS!$B285="AJUSTE",-N(MOVIMIENTOS!$F285),N(MOVIMIENTOS!$F285)),"")</f>
        <v/>
      </c>
      <c r="O286" s="48" t="str">
        <f aca="false">IF(AND(MOVIMIENTOS!$B285&lt;&gt;"",NOT(AND(MOVIMIENTOS!$B285="PROCESO",MOVIMIENTOS!$C285&lt;&gt;"Chancho")),NOT(AND(MOVIMIENTOS!$B285="SALDO INICIAL",MOVIMIENTOS!$C285="Chancho"))),IF(MOVIMIENTOS!$B285="RECHAZO",MOVIMIENTOS!$E285&amp;" jabas rechazadas · van a reproceso",IF(MOVIMIENTOS!$B285="REPROCESO",MOVIMIENTOS!$E285&amp;" kg recuperados (merma del día: "&amp;TEXT(SUMPRODUCT((MOVIMIENTOS!$A$5:$A$400=MOVIMIENTOS!$A285)*(MOVIMIENTOS!$B$5:$B$400="RECHAZO")*(MOVIMIENTOS!$D$5:$D$400="jabas")*MOVIMIENTOS!$E$5:$E$400*IFERROR(_xlfn.SWITCH(MOVIMIENTOS!$C$5:$C$400,"A",15,"P",18,"C",17,"M",17,0),0))-SUMPRODUCT((MOVIMIENTOS!$A$5:$A$400=MOVIMIENTOS!$A285)*(MOVIMIENTOS!$B$5:$B$400="REPROCESO")*MOVIMIENTOS!$I$5:$I$400),"+#,##0;-#,##0;0")&amp;" kg)",TRIM(IF(MOVIMIENTOS!$G285&lt;&gt;"",MOVIMIENTOS!$G285&amp;"  ","")&amp;IF(N(MOVIMIENTOS!$D285)&gt;0,MOVIMIENTOS!$D285&amp;" "&amp;MOVIMIENTOS!$D285,"")))),"")</f>
        <v/>
      </c>
      <c r="P286" s="48" t="n">
        <f aca="false">N(P285)+N(M286)-N(N286)</f>
        <v>-290.5</v>
      </c>
      <c r="Q286" s="48"/>
      <c r="R286" s="48"/>
      <c r="S286" s="48"/>
      <c r="T286" s="48"/>
    </row>
    <row r="287" customFormat="false" ht="15" hidden="false" customHeight="true" outlineLevel="0" collapsed="false">
      <c r="A287" s="51" t="str">
        <f aca="false">IFERROR(INDEX(K$6:K$401,MATCH(ROW()-5,J$6:J$401,0)),"")</f>
        <v/>
      </c>
      <c r="B287" s="56" t="str">
        <f aca="false">IFERROR(INDEX(L$6:L$401,MATCH(ROW()-5,J$6:J$401,0)),"")</f>
        <v/>
      </c>
      <c r="C287" s="52" t="str">
        <f aca="false">IFERROR(INDEX(M$6:M$401,MATCH(ROW()-5,J$6:J$401,0)),"")</f>
        <v/>
      </c>
      <c r="D287" s="52" t="str">
        <f aca="false">IFERROR(INDEX(N$6:N$401,MATCH(ROW()-5,J$6:J$401,0)),"")</f>
        <v/>
      </c>
      <c r="E287" s="56" t="str">
        <f aca="false">IFERROR(INDEX(O$6:O$401,MATCH(ROW()-5,J$6:J$401,0)),"")</f>
        <v/>
      </c>
      <c r="F287" s="52" t="str">
        <f aca="false">IFERROR(INDEX(P$6:P$401,MATCH(ROW()-5,J$6:J$401,0)),"")</f>
        <v/>
      </c>
      <c r="G287" s="48"/>
      <c r="H287" s="48"/>
      <c r="I287" s="48"/>
      <c r="J287" s="48" t="str">
        <f aca="false">IF(AND(MOVIMIENTOS!$B286&lt;&gt;"",NOT(AND(MOVIMIENTOS!$B286="PROCESO",MOVIMIENTOS!$C286&lt;&gt;"Chancho")),NOT(AND(MOVIMIENTOS!$B286="SALDO INICIAL",MOVIMIENTOS!$C286="Chancho"))),COUNT(J$6:J286)+1,"")</f>
        <v/>
      </c>
      <c r="K287" s="48" t="str">
        <f aca="false">IF(AND(MOVIMIENTOS!$B286&lt;&gt;"",NOT(AND(MOVIMIENTOS!$B286="PROCESO",MOVIMIENTOS!$C286&lt;&gt;"Chancho")),NOT(AND(MOVIMIENTOS!$B286="SALDO INICIAL",MOVIMIENTOS!$C286="Chancho"))),MOVIMIENTOS!$A286,"")</f>
        <v/>
      </c>
      <c r="L287" s="48" t="str">
        <f aca="false">IF(AND(MOVIMIENTOS!$B286&lt;&gt;"",NOT(AND(MOVIMIENTOS!$B286="PROCESO",MOVIMIENTOS!$C286&lt;&gt;"Chancho")),NOT(AND(MOVIMIENTOS!$B286="SALDO INICIAL",MOVIMIENTOS!$C286="Chancho"))),IF(MOVIMIENTOS!$B286="SALDO INICIAL","APERTURA ("&amp;MOVIMIENTOS!$C286&amp;")",IF(MOVIMIENTOS!$B286="COMPRA","INGRESO (compra)",IF(MOVIMIENTOS!$B286="PROCESO","CHANCHO (proceso)",IF(MOVIMIENTOS!$B286="ENVÍO A SUPESA","ENVÍO cal. "&amp;MOVIMIENTOS!$C286,IF(MOVIMIENTOS!$B286="VENTA CHANCHO","VENTA CHANCHO",IF(MOVIMIENTOS!$B286="VENTA","VENTA cal. "&amp;MOVIMIENTOS!$C286,IF(MOVIMIENTOS!$B286="REGALO","REGALO "&amp;MOVIMIENTOS!$C286,IF(MOVIMIENTOS!$B286="RECHAZO","RECHAZO cal. "&amp;MOVIMIENTOS!$C286&amp;" (va a reproceso)",IF(MOVIMIENTOS!$B286="DEVOLUCIÓN","DEVOLUCIÓN cal. "&amp;MOVIMIENTOS!$C286&amp;" (regresa intacta)",IF(MOVIMIENTOS!$B286="TRASIEGO","TRASIEGO cal. "&amp;MOVIMIENTOS!$C286,MOVIMIENTOS!$B286)))))))))),"")</f>
        <v/>
      </c>
      <c r="M287" s="48" t="str">
        <f aca="false">IF(AND(AND(MOVIMIENTOS!$B286&lt;&gt;"",NOT(AND(MOVIMIENTOS!$B286="PROCESO",MOVIMIENTOS!$C286&lt;&gt;"Chancho")),NOT(AND(MOVIMIENTOS!$B286="SALDO INICIAL",MOVIMIENTOS!$C286="Chancho"))),OR(MOVIMIENTOS!$B286="SALDO INICIAL",MOVIMIENTOS!$B286="COMPRA",MOVIMIENTOS!$B286="REPROCESO",MOVIMIENTOS!$B286="DEVOLUCIÓN",AND(MOVIMIENTOS!$B286="AJUSTE",MOVIMIENTOS!$C286&lt;&gt;"Chancho",N(MOVIMIENTOS!$F286)&gt;=0))),N(MOVIMIENTOS!$F286),"")</f>
        <v/>
      </c>
      <c r="N287" s="48" t="str">
        <f aca="false">IF(AND(AND(MOVIMIENTOS!$B286&lt;&gt;"",NOT(AND(MOVIMIENTOS!$B286="PROCESO",MOVIMIENTOS!$C286&lt;&gt;"Chancho")),NOT(AND(MOVIMIENTOS!$B286="SALDO INICIAL",MOVIMIENTOS!$C286="Chancho"))),OR(MOVIMIENTOS!$B286="ENVÍO A SUPESA",MOVIMIENTOS!$B286="MALOGRADO",MOVIMIENTOS!$B286="OTRA SALIDA",MOVIMIENTOS!$B286="TRASIEGO",AND(MOVIMIENTOS!$B286="PROCESO",MOVIMIENTOS!$C286="Chancho"),AND(MOVIMIENTOS!$B286="REGALO",MOVIMIENTOS!$C286&lt;&gt;"Chancho"),AND(MOVIMIENTOS!$B286="VENTA",MOVIMIENTOS!$C286&lt;&gt;"Chancho"),AND(MOVIMIENTOS!$B286="AJUSTE",MOVIMIENTOS!$C286&lt;&gt;"Chancho",N(MOVIMIENTOS!$F286)&lt;0))),IF(MOVIMIENTOS!$B286="AJUSTE",-N(MOVIMIENTOS!$F286),N(MOVIMIENTOS!$F286)),"")</f>
        <v/>
      </c>
      <c r="O287" s="48" t="str">
        <f aca="false">IF(AND(MOVIMIENTOS!$B286&lt;&gt;"",NOT(AND(MOVIMIENTOS!$B286="PROCESO",MOVIMIENTOS!$C286&lt;&gt;"Chancho")),NOT(AND(MOVIMIENTOS!$B286="SALDO INICIAL",MOVIMIENTOS!$C286="Chancho"))),IF(MOVIMIENTOS!$B286="RECHAZO",MOVIMIENTOS!$E286&amp;" jabas rechazadas · van a reproceso",IF(MOVIMIENTOS!$B286="REPROCESO",MOVIMIENTOS!$E286&amp;" kg recuperados (merma del día: "&amp;TEXT(SUMPRODUCT((MOVIMIENTOS!$A$5:$A$400=MOVIMIENTOS!$A286)*(MOVIMIENTOS!$B$5:$B$400="RECHAZO")*(MOVIMIENTOS!$D$5:$D$400="jabas")*MOVIMIENTOS!$E$5:$E$400*IFERROR(_xlfn.SWITCH(MOVIMIENTOS!$C$5:$C$400,"A",15,"P",18,"C",17,"M",17,0),0))-SUMPRODUCT((MOVIMIENTOS!$A$5:$A$400=MOVIMIENTOS!$A286)*(MOVIMIENTOS!$B$5:$B$400="REPROCESO")*MOVIMIENTOS!$I$5:$I$400),"+#,##0;-#,##0;0")&amp;" kg)",TRIM(IF(MOVIMIENTOS!$G286&lt;&gt;"",MOVIMIENTOS!$G286&amp;"  ","")&amp;IF(N(MOVIMIENTOS!$D286)&gt;0,MOVIMIENTOS!$D286&amp;" "&amp;MOVIMIENTOS!$D286,"")))),"")</f>
        <v/>
      </c>
      <c r="P287" s="48" t="n">
        <f aca="false">N(P286)+N(M287)-N(N287)</f>
        <v>-290.5</v>
      </c>
      <c r="Q287" s="48"/>
      <c r="R287" s="48"/>
      <c r="S287" s="48"/>
      <c r="T287" s="48"/>
    </row>
    <row r="288" customFormat="false" ht="15" hidden="false" customHeight="true" outlineLevel="0" collapsed="false">
      <c r="A288" s="51" t="str">
        <f aca="false">IFERROR(INDEX(K$6:K$401,MATCH(ROW()-5,J$6:J$401,0)),"")</f>
        <v/>
      </c>
      <c r="B288" s="56" t="str">
        <f aca="false">IFERROR(INDEX(L$6:L$401,MATCH(ROW()-5,J$6:J$401,0)),"")</f>
        <v/>
      </c>
      <c r="C288" s="52" t="str">
        <f aca="false">IFERROR(INDEX(M$6:M$401,MATCH(ROW()-5,J$6:J$401,0)),"")</f>
        <v/>
      </c>
      <c r="D288" s="52" t="str">
        <f aca="false">IFERROR(INDEX(N$6:N$401,MATCH(ROW()-5,J$6:J$401,0)),"")</f>
        <v/>
      </c>
      <c r="E288" s="56" t="str">
        <f aca="false">IFERROR(INDEX(O$6:O$401,MATCH(ROW()-5,J$6:J$401,0)),"")</f>
        <v/>
      </c>
      <c r="F288" s="52" t="str">
        <f aca="false">IFERROR(INDEX(P$6:P$401,MATCH(ROW()-5,J$6:J$401,0)),"")</f>
        <v/>
      </c>
      <c r="G288" s="48"/>
      <c r="H288" s="48"/>
      <c r="I288" s="48"/>
      <c r="J288" s="48" t="str">
        <f aca="false">IF(AND(MOVIMIENTOS!$B287&lt;&gt;"",NOT(AND(MOVIMIENTOS!$B287="PROCESO",MOVIMIENTOS!$C287&lt;&gt;"Chancho")),NOT(AND(MOVIMIENTOS!$B287="SALDO INICIAL",MOVIMIENTOS!$C287="Chancho"))),COUNT(J$6:J287)+1,"")</f>
        <v/>
      </c>
      <c r="K288" s="48" t="str">
        <f aca="false">IF(AND(MOVIMIENTOS!$B287&lt;&gt;"",NOT(AND(MOVIMIENTOS!$B287="PROCESO",MOVIMIENTOS!$C287&lt;&gt;"Chancho")),NOT(AND(MOVIMIENTOS!$B287="SALDO INICIAL",MOVIMIENTOS!$C287="Chancho"))),MOVIMIENTOS!$A287,"")</f>
        <v/>
      </c>
      <c r="L288" s="48" t="str">
        <f aca="false">IF(AND(MOVIMIENTOS!$B287&lt;&gt;"",NOT(AND(MOVIMIENTOS!$B287="PROCESO",MOVIMIENTOS!$C287&lt;&gt;"Chancho")),NOT(AND(MOVIMIENTOS!$B287="SALDO INICIAL",MOVIMIENTOS!$C287="Chancho"))),IF(MOVIMIENTOS!$B287="SALDO INICIAL","APERTURA ("&amp;MOVIMIENTOS!$C287&amp;")",IF(MOVIMIENTOS!$B287="COMPRA","INGRESO (compra)",IF(MOVIMIENTOS!$B287="PROCESO","CHANCHO (proceso)",IF(MOVIMIENTOS!$B287="ENVÍO A SUPESA","ENVÍO cal. "&amp;MOVIMIENTOS!$C287,IF(MOVIMIENTOS!$B287="VENTA CHANCHO","VENTA CHANCHO",IF(MOVIMIENTOS!$B287="VENTA","VENTA cal. "&amp;MOVIMIENTOS!$C287,IF(MOVIMIENTOS!$B287="REGALO","REGALO "&amp;MOVIMIENTOS!$C287,IF(MOVIMIENTOS!$B287="RECHAZO","RECHAZO cal. "&amp;MOVIMIENTOS!$C287&amp;" (va a reproceso)",IF(MOVIMIENTOS!$B287="DEVOLUCIÓN","DEVOLUCIÓN cal. "&amp;MOVIMIENTOS!$C287&amp;" (regresa intacta)",IF(MOVIMIENTOS!$B287="TRASIEGO","TRASIEGO cal. "&amp;MOVIMIENTOS!$C287,MOVIMIENTOS!$B287)))))))))),"")</f>
        <v/>
      </c>
      <c r="M288" s="48" t="str">
        <f aca="false">IF(AND(AND(MOVIMIENTOS!$B287&lt;&gt;"",NOT(AND(MOVIMIENTOS!$B287="PROCESO",MOVIMIENTOS!$C287&lt;&gt;"Chancho")),NOT(AND(MOVIMIENTOS!$B287="SALDO INICIAL",MOVIMIENTOS!$C287="Chancho"))),OR(MOVIMIENTOS!$B287="SALDO INICIAL",MOVIMIENTOS!$B287="COMPRA",MOVIMIENTOS!$B287="REPROCESO",MOVIMIENTOS!$B287="DEVOLUCIÓN",AND(MOVIMIENTOS!$B287="AJUSTE",MOVIMIENTOS!$C287&lt;&gt;"Chancho",N(MOVIMIENTOS!$F287)&gt;=0))),N(MOVIMIENTOS!$F287),"")</f>
        <v/>
      </c>
      <c r="N288" s="48" t="str">
        <f aca="false">IF(AND(AND(MOVIMIENTOS!$B287&lt;&gt;"",NOT(AND(MOVIMIENTOS!$B287="PROCESO",MOVIMIENTOS!$C287&lt;&gt;"Chancho")),NOT(AND(MOVIMIENTOS!$B287="SALDO INICIAL",MOVIMIENTOS!$C287="Chancho"))),OR(MOVIMIENTOS!$B287="ENVÍO A SUPESA",MOVIMIENTOS!$B287="MALOGRADO",MOVIMIENTOS!$B287="OTRA SALIDA",MOVIMIENTOS!$B287="TRASIEGO",AND(MOVIMIENTOS!$B287="PROCESO",MOVIMIENTOS!$C287="Chancho"),AND(MOVIMIENTOS!$B287="REGALO",MOVIMIENTOS!$C287&lt;&gt;"Chancho"),AND(MOVIMIENTOS!$B287="VENTA",MOVIMIENTOS!$C287&lt;&gt;"Chancho"),AND(MOVIMIENTOS!$B287="AJUSTE",MOVIMIENTOS!$C287&lt;&gt;"Chancho",N(MOVIMIENTOS!$F287)&lt;0))),IF(MOVIMIENTOS!$B287="AJUSTE",-N(MOVIMIENTOS!$F287),N(MOVIMIENTOS!$F287)),"")</f>
        <v/>
      </c>
      <c r="O288" s="48" t="str">
        <f aca="false">IF(AND(MOVIMIENTOS!$B287&lt;&gt;"",NOT(AND(MOVIMIENTOS!$B287="PROCESO",MOVIMIENTOS!$C287&lt;&gt;"Chancho")),NOT(AND(MOVIMIENTOS!$B287="SALDO INICIAL",MOVIMIENTOS!$C287="Chancho"))),IF(MOVIMIENTOS!$B287="RECHAZO",MOVIMIENTOS!$E287&amp;" jabas rechazadas · van a reproceso",IF(MOVIMIENTOS!$B287="REPROCESO",MOVIMIENTOS!$E287&amp;" kg recuperados (merma del día: "&amp;TEXT(SUMPRODUCT((MOVIMIENTOS!$A$5:$A$400=MOVIMIENTOS!$A287)*(MOVIMIENTOS!$B$5:$B$400="RECHAZO")*(MOVIMIENTOS!$D$5:$D$400="jabas")*MOVIMIENTOS!$E$5:$E$400*IFERROR(_xlfn.SWITCH(MOVIMIENTOS!$C$5:$C$400,"A",15,"P",18,"C",17,"M",17,0),0))-SUMPRODUCT((MOVIMIENTOS!$A$5:$A$400=MOVIMIENTOS!$A287)*(MOVIMIENTOS!$B$5:$B$400="REPROCESO")*MOVIMIENTOS!$I$5:$I$400),"+#,##0;-#,##0;0")&amp;" kg)",TRIM(IF(MOVIMIENTOS!$G287&lt;&gt;"",MOVIMIENTOS!$G287&amp;"  ","")&amp;IF(N(MOVIMIENTOS!$D287)&gt;0,MOVIMIENTOS!$D287&amp;" "&amp;MOVIMIENTOS!$D287,"")))),"")</f>
        <v/>
      </c>
      <c r="P288" s="48" t="n">
        <f aca="false">N(P287)+N(M288)-N(N288)</f>
        <v>-290.5</v>
      </c>
      <c r="Q288" s="48"/>
      <c r="R288" s="48"/>
      <c r="S288" s="48"/>
      <c r="T288" s="48"/>
    </row>
    <row r="289" customFormat="false" ht="15" hidden="false" customHeight="true" outlineLevel="0" collapsed="false">
      <c r="A289" s="51" t="str">
        <f aca="false">IFERROR(INDEX(K$6:K$401,MATCH(ROW()-5,J$6:J$401,0)),"")</f>
        <v/>
      </c>
      <c r="B289" s="56" t="str">
        <f aca="false">IFERROR(INDEX(L$6:L$401,MATCH(ROW()-5,J$6:J$401,0)),"")</f>
        <v/>
      </c>
      <c r="C289" s="52" t="str">
        <f aca="false">IFERROR(INDEX(M$6:M$401,MATCH(ROW()-5,J$6:J$401,0)),"")</f>
        <v/>
      </c>
      <c r="D289" s="52" t="str">
        <f aca="false">IFERROR(INDEX(N$6:N$401,MATCH(ROW()-5,J$6:J$401,0)),"")</f>
        <v/>
      </c>
      <c r="E289" s="56" t="str">
        <f aca="false">IFERROR(INDEX(O$6:O$401,MATCH(ROW()-5,J$6:J$401,0)),"")</f>
        <v/>
      </c>
      <c r="F289" s="52" t="str">
        <f aca="false">IFERROR(INDEX(P$6:P$401,MATCH(ROW()-5,J$6:J$401,0)),"")</f>
        <v/>
      </c>
      <c r="G289" s="48"/>
      <c r="H289" s="48"/>
      <c r="I289" s="48"/>
      <c r="J289" s="48" t="str">
        <f aca="false">IF(AND(MOVIMIENTOS!$B288&lt;&gt;"",NOT(AND(MOVIMIENTOS!$B288="PROCESO",MOVIMIENTOS!$C288&lt;&gt;"Chancho")),NOT(AND(MOVIMIENTOS!$B288="SALDO INICIAL",MOVIMIENTOS!$C288="Chancho"))),COUNT(J$6:J288)+1,"")</f>
        <v/>
      </c>
      <c r="K289" s="48" t="str">
        <f aca="false">IF(AND(MOVIMIENTOS!$B288&lt;&gt;"",NOT(AND(MOVIMIENTOS!$B288="PROCESO",MOVIMIENTOS!$C288&lt;&gt;"Chancho")),NOT(AND(MOVIMIENTOS!$B288="SALDO INICIAL",MOVIMIENTOS!$C288="Chancho"))),MOVIMIENTOS!$A288,"")</f>
        <v/>
      </c>
      <c r="L289" s="48" t="str">
        <f aca="false">IF(AND(MOVIMIENTOS!$B288&lt;&gt;"",NOT(AND(MOVIMIENTOS!$B288="PROCESO",MOVIMIENTOS!$C288&lt;&gt;"Chancho")),NOT(AND(MOVIMIENTOS!$B288="SALDO INICIAL",MOVIMIENTOS!$C288="Chancho"))),IF(MOVIMIENTOS!$B288="SALDO INICIAL","APERTURA ("&amp;MOVIMIENTOS!$C288&amp;")",IF(MOVIMIENTOS!$B288="COMPRA","INGRESO (compra)",IF(MOVIMIENTOS!$B288="PROCESO","CHANCHO (proceso)",IF(MOVIMIENTOS!$B288="ENVÍO A SUPESA","ENVÍO cal. "&amp;MOVIMIENTOS!$C288,IF(MOVIMIENTOS!$B288="VENTA CHANCHO","VENTA CHANCHO",IF(MOVIMIENTOS!$B288="VENTA","VENTA cal. "&amp;MOVIMIENTOS!$C288,IF(MOVIMIENTOS!$B288="REGALO","REGALO "&amp;MOVIMIENTOS!$C288,IF(MOVIMIENTOS!$B288="RECHAZO","RECHAZO cal. "&amp;MOVIMIENTOS!$C288&amp;" (va a reproceso)",IF(MOVIMIENTOS!$B288="DEVOLUCIÓN","DEVOLUCIÓN cal. "&amp;MOVIMIENTOS!$C288&amp;" (regresa intacta)",IF(MOVIMIENTOS!$B288="TRASIEGO","TRASIEGO cal. "&amp;MOVIMIENTOS!$C288,MOVIMIENTOS!$B288)))))))))),"")</f>
        <v/>
      </c>
      <c r="M289" s="48" t="str">
        <f aca="false">IF(AND(AND(MOVIMIENTOS!$B288&lt;&gt;"",NOT(AND(MOVIMIENTOS!$B288="PROCESO",MOVIMIENTOS!$C288&lt;&gt;"Chancho")),NOT(AND(MOVIMIENTOS!$B288="SALDO INICIAL",MOVIMIENTOS!$C288="Chancho"))),OR(MOVIMIENTOS!$B288="SALDO INICIAL",MOVIMIENTOS!$B288="COMPRA",MOVIMIENTOS!$B288="REPROCESO",MOVIMIENTOS!$B288="DEVOLUCIÓN",AND(MOVIMIENTOS!$B288="AJUSTE",MOVIMIENTOS!$C288&lt;&gt;"Chancho",N(MOVIMIENTOS!$F288)&gt;=0))),N(MOVIMIENTOS!$F288),"")</f>
        <v/>
      </c>
      <c r="N289" s="48" t="str">
        <f aca="false">IF(AND(AND(MOVIMIENTOS!$B288&lt;&gt;"",NOT(AND(MOVIMIENTOS!$B288="PROCESO",MOVIMIENTOS!$C288&lt;&gt;"Chancho")),NOT(AND(MOVIMIENTOS!$B288="SALDO INICIAL",MOVIMIENTOS!$C288="Chancho"))),OR(MOVIMIENTOS!$B288="ENVÍO A SUPESA",MOVIMIENTOS!$B288="MALOGRADO",MOVIMIENTOS!$B288="OTRA SALIDA",MOVIMIENTOS!$B288="TRASIEGO",AND(MOVIMIENTOS!$B288="PROCESO",MOVIMIENTOS!$C288="Chancho"),AND(MOVIMIENTOS!$B288="REGALO",MOVIMIENTOS!$C288&lt;&gt;"Chancho"),AND(MOVIMIENTOS!$B288="VENTA",MOVIMIENTOS!$C288&lt;&gt;"Chancho"),AND(MOVIMIENTOS!$B288="AJUSTE",MOVIMIENTOS!$C288&lt;&gt;"Chancho",N(MOVIMIENTOS!$F288)&lt;0))),IF(MOVIMIENTOS!$B288="AJUSTE",-N(MOVIMIENTOS!$F288),N(MOVIMIENTOS!$F288)),"")</f>
        <v/>
      </c>
      <c r="O289" s="48" t="str">
        <f aca="false">IF(AND(MOVIMIENTOS!$B288&lt;&gt;"",NOT(AND(MOVIMIENTOS!$B288="PROCESO",MOVIMIENTOS!$C288&lt;&gt;"Chancho")),NOT(AND(MOVIMIENTOS!$B288="SALDO INICIAL",MOVIMIENTOS!$C288="Chancho"))),IF(MOVIMIENTOS!$B288="RECHAZO",MOVIMIENTOS!$E288&amp;" jabas rechazadas · van a reproceso",IF(MOVIMIENTOS!$B288="REPROCESO",MOVIMIENTOS!$E288&amp;" kg recuperados (merma del día: "&amp;TEXT(SUMPRODUCT((MOVIMIENTOS!$A$5:$A$400=MOVIMIENTOS!$A288)*(MOVIMIENTOS!$B$5:$B$400="RECHAZO")*(MOVIMIENTOS!$D$5:$D$400="jabas")*MOVIMIENTOS!$E$5:$E$400*IFERROR(_xlfn.SWITCH(MOVIMIENTOS!$C$5:$C$400,"A",15,"P",18,"C",17,"M",17,0),0))-SUMPRODUCT((MOVIMIENTOS!$A$5:$A$400=MOVIMIENTOS!$A288)*(MOVIMIENTOS!$B$5:$B$400="REPROCESO")*MOVIMIENTOS!$I$5:$I$400),"+#,##0;-#,##0;0")&amp;" kg)",TRIM(IF(MOVIMIENTOS!$G288&lt;&gt;"",MOVIMIENTOS!$G288&amp;"  ","")&amp;IF(N(MOVIMIENTOS!$D288)&gt;0,MOVIMIENTOS!$D288&amp;" "&amp;MOVIMIENTOS!$D288,"")))),"")</f>
        <v/>
      </c>
      <c r="P289" s="48" t="n">
        <f aca="false">N(P288)+N(M289)-N(N289)</f>
        <v>-290.5</v>
      </c>
      <c r="Q289" s="48"/>
      <c r="R289" s="48"/>
      <c r="S289" s="48"/>
      <c r="T289" s="48"/>
    </row>
    <row r="290" customFormat="false" ht="15" hidden="false" customHeight="true" outlineLevel="0" collapsed="false">
      <c r="A290" s="51" t="str">
        <f aca="false">IFERROR(INDEX(K$6:K$401,MATCH(ROW()-5,J$6:J$401,0)),"")</f>
        <v/>
      </c>
      <c r="B290" s="56" t="str">
        <f aca="false">IFERROR(INDEX(L$6:L$401,MATCH(ROW()-5,J$6:J$401,0)),"")</f>
        <v/>
      </c>
      <c r="C290" s="52" t="str">
        <f aca="false">IFERROR(INDEX(M$6:M$401,MATCH(ROW()-5,J$6:J$401,0)),"")</f>
        <v/>
      </c>
      <c r="D290" s="52" t="str">
        <f aca="false">IFERROR(INDEX(N$6:N$401,MATCH(ROW()-5,J$6:J$401,0)),"")</f>
        <v/>
      </c>
      <c r="E290" s="56" t="str">
        <f aca="false">IFERROR(INDEX(O$6:O$401,MATCH(ROW()-5,J$6:J$401,0)),"")</f>
        <v/>
      </c>
      <c r="F290" s="52" t="str">
        <f aca="false">IFERROR(INDEX(P$6:P$401,MATCH(ROW()-5,J$6:J$401,0)),"")</f>
        <v/>
      </c>
      <c r="G290" s="48"/>
      <c r="H290" s="48"/>
      <c r="I290" s="48"/>
      <c r="J290" s="48" t="str">
        <f aca="false">IF(AND(MOVIMIENTOS!$B289&lt;&gt;"",NOT(AND(MOVIMIENTOS!$B289="PROCESO",MOVIMIENTOS!$C289&lt;&gt;"Chancho")),NOT(AND(MOVIMIENTOS!$B289="SALDO INICIAL",MOVIMIENTOS!$C289="Chancho"))),COUNT(J$6:J289)+1,"")</f>
        <v/>
      </c>
      <c r="K290" s="48" t="str">
        <f aca="false">IF(AND(MOVIMIENTOS!$B289&lt;&gt;"",NOT(AND(MOVIMIENTOS!$B289="PROCESO",MOVIMIENTOS!$C289&lt;&gt;"Chancho")),NOT(AND(MOVIMIENTOS!$B289="SALDO INICIAL",MOVIMIENTOS!$C289="Chancho"))),MOVIMIENTOS!$A289,"")</f>
        <v/>
      </c>
      <c r="L290" s="48" t="str">
        <f aca="false">IF(AND(MOVIMIENTOS!$B289&lt;&gt;"",NOT(AND(MOVIMIENTOS!$B289="PROCESO",MOVIMIENTOS!$C289&lt;&gt;"Chancho")),NOT(AND(MOVIMIENTOS!$B289="SALDO INICIAL",MOVIMIENTOS!$C289="Chancho"))),IF(MOVIMIENTOS!$B289="SALDO INICIAL","APERTURA ("&amp;MOVIMIENTOS!$C289&amp;")",IF(MOVIMIENTOS!$B289="COMPRA","INGRESO (compra)",IF(MOVIMIENTOS!$B289="PROCESO","CHANCHO (proceso)",IF(MOVIMIENTOS!$B289="ENVÍO A SUPESA","ENVÍO cal. "&amp;MOVIMIENTOS!$C289,IF(MOVIMIENTOS!$B289="VENTA CHANCHO","VENTA CHANCHO",IF(MOVIMIENTOS!$B289="VENTA","VENTA cal. "&amp;MOVIMIENTOS!$C289,IF(MOVIMIENTOS!$B289="REGALO","REGALO "&amp;MOVIMIENTOS!$C289,IF(MOVIMIENTOS!$B289="RECHAZO","RECHAZO cal. "&amp;MOVIMIENTOS!$C289&amp;" (va a reproceso)",IF(MOVIMIENTOS!$B289="DEVOLUCIÓN","DEVOLUCIÓN cal. "&amp;MOVIMIENTOS!$C289&amp;" (regresa intacta)",IF(MOVIMIENTOS!$B289="TRASIEGO","TRASIEGO cal. "&amp;MOVIMIENTOS!$C289,MOVIMIENTOS!$B289)))))))))),"")</f>
        <v/>
      </c>
      <c r="M290" s="48" t="str">
        <f aca="false">IF(AND(AND(MOVIMIENTOS!$B289&lt;&gt;"",NOT(AND(MOVIMIENTOS!$B289="PROCESO",MOVIMIENTOS!$C289&lt;&gt;"Chancho")),NOT(AND(MOVIMIENTOS!$B289="SALDO INICIAL",MOVIMIENTOS!$C289="Chancho"))),OR(MOVIMIENTOS!$B289="SALDO INICIAL",MOVIMIENTOS!$B289="COMPRA",MOVIMIENTOS!$B289="REPROCESO",MOVIMIENTOS!$B289="DEVOLUCIÓN",AND(MOVIMIENTOS!$B289="AJUSTE",MOVIMIENTOS!$C289&lt;&gt;"Chancho",N(MOVIMIENTOS!$F289)&gt;=0))),N(MOVIMIENTOS!$F289),"")</f>
        <v/>
      </c>
      <c r="N290" s="48" t="str">
        <f aca="false">IF(AND(AND(MOVIMIENTOS!$B289&lt;&gt;"",NOT(AND(MOVIMIENTOS!$B289="PROCESO",MOVIMIENTOS!$C289&lt;&gt;"Chancho")),NOT(AND(MOVIMIENTOS!$B289="SALDO INICIAL",MOVIMIENTOS!$C289="Chancho"))),OR(MOVIMIENTOS!$B289="ENVÍO A SUPESA",MOVIMIENTOS!$B289="MALOGRADO",MOVIMIENTOS!$B289="OTRA SALIDA",MOVIMIENTOS!$B289="TRASIEGO",AND(MOVIMIENTOS!$B289="PROCESO",MOVIMIENTOS!$C289="Chancho"),AND(MOVIMIENTOS!$B289="REGALO",MOVIMIENTOS!$C289&lt;&gt;"Chancho"),AND(MOVIMIENTOS!$B289="VENTA",MOVIMIENTOS!$C289&lt;&gt;"Chancho"),AND(MOVIMIENTOS!$B289="AJUSTE",MOVIMIENTOS!$C289&lt;&gt;"Chancho",N(MOVIMIENTOS!$F289)&lt;0))),IF(MOVIMIENTOS!$B289="AJUSTE",-N(MOVIMIENTOS!$F289),N(MOVIMIENTOS!$F289)),"")</f>
        <v/>
      </c>
      <c r="O290" s="48" t="str">
        <f aca="false">IF(AND(MOVIMIENTOS!$B289&lt;&gt;"",NOT(AND(MOVIMIENTOS!$B289="PROCESO",MOVIMIENTOS!$C289&lt;&gt;"Chancho")),NOT(AND(MOVIMIENTOS!$B289="SALDO INICIAL",MOVIMIENTOS!$C289="Chancho"))),IF(MOVIMIENTOS!$B289="RECHAZO",MOVIMIENTOS!$E289&amp;" jabas rechazadas · van a reproceso",IF(MOVIMIENTOS!$B289="REPROCESO",MOVIMIENTOS!$E289&amp;" kg recuperados (merma del día: "&amp;TEXT(SUMPRODUCT((MOVIMIENTOS!$A$5:$A$400=MOVIMIENTOS!$A289)*(MOVIMIENTOS!$B$5:$B$400="RECHAZO")*(MOVIMIENTOS!$D$5:$D$400="jabas")*MOVIMIENTOS!$E$5:$E$400*IFERROR(_xlfn.SWITCH(MOVIMIENTOS!$C$5:$C$400,"A",15,"P",18,"C",17,"M",17,0),0))-SUMPRODUCT((MOVIMIENTOS!$A$5:$A$400=MOVIMIENTOS!$A289)*(MOVIMIENTOS!$B$5:$B$400="REPROCESO")*MOVIMIENTOS!$I$5:$I$400),"+#,##0;-#,##0;0")&amp;" kg)",TRIM(IF(MOVIMIENTOS!$G289&lt;&gt;"",MOVIMIENTOS!$G289&amp;"  ","")&amp;IF(N(MOVIMIENTOS!$D289)&gt;0,MOVIMIENTOS!$D289&amp;" "&amp;MOVIMIENTOS!$D289,"")))),"")</f>
        <v/>
      </c>
      <c r="P290" s="48" t="n">
        <f aca="false">N(P289)+N(M290)-N(N290)</f>
        <v>-290.5</v>
      </c>
      <c r="Q290" s="48"/>
      <c r="R290" s="48"/>
      <c r="S290" s="48"/>
      <c r="T290" s="48"/>
    </row>
    <row r="291" customFormat="false" ht="15" hidden="false" customHeight="true" outlineLevel="0" collapsed="false">
      <c r="A291" s="51" t="str">
        <f aca="false">IFERROR(INDEX(K$6:K$401,MATCH(ROW()-5,J$6:J$401,0)),"")</f>
        <v/>
      </c>
      <c r="B291" s="56" t="str">
        <f aca="false">IFERROR(INDEX(L$6:L$401,MATCH(ROW()-5,J$6:J$401,0)),"")</f>
        <v/>
      </c>
      <c r="C291" s="52" t="str">
        <f aca="false">IFERROR(INDEX(M$6:M$401,MATCH(ROW()-5,J$6:J$401,0)),"")</f>
        <v/>
      </c>
      <c r="D291" s="52" t="str">
        <f aca="false">IFERROR(INDEX(N$6:N$401,MATCH(ROW()-5,J$6:J$401,0)),"")</f>
        <v/>
      </c>
      <c r="E291" s="56" t="str">
        <f aca="false">IFERROR(INDEX(O$6:O$401,MATCH(ROW()-5,J$6:J$401,0)),"")</f>
        <v/>
      </c>
      <c r="F291" s="52" t="str">
        <f aca="false">IFERROR(INDEX(P$6:P$401,MATCH(ROW()-5,J$6:J$401,0)),"")</f>
        <v/>
      </c>
      <c r="G291" s="48"/>
      <c r="H291" s="48"/>
      <c r="I291" s="48"/>
      <c r="J291" s="48" t="str">
        <f aca="false">IF(AND(MOVIMIENTOS!$B290&lt;&gt;"",NOT(AND(MOVIMIENTOS!$B290="PROCESO",MOVIMIENTOS!$C290&lt;&gt;"Chancho")),NOT(AND(MOVIMIENTOS!$B290="SALDO INICIAL",MOVIMIENTOS!$C290="Chancho"))),COUNT(J$6:J290)+1,"")</f>
        <v/>
      </c>
      <c r="K291" s="48" t="str">
        <f aca="false">IF(AND(MOVIMIENTOS!$B290&lt;&gt;"",NOT(AND(MOVIMIENTOS!$B290="PROCESO",MOVIMIENTOS!$C290&lt;&gt;"Chancho")),NOT(AND(MOVIMIENTOS!$B290="SALDO INICIAL",MOVIMIENTOS!$C290="Chancho"))),MOVIMIENTOS!$A290,"")</f>
        <v/>
      </c>
      <c r="L291" s="48" t="str">
        <f aca="false">IF(AND(MOVIMIENTOS!$B290&lt;&gt;"",NOT(AND(MOVIMIENTOS!$B290="PROCESO",MOVIMIENTOS!$C290&lt;&gt;"Chancho")),NOT(AND(MOVIMIENTOS!$B290="SALDO INICIAL",MOVIMIENTOS!$C290="Chancho"))),IF(MOVIMIENTOS!$B290="SALDO INICIAL","APERTURA ("&amp;MOVIMIENTOS!$C290&amp;")",IF(MOVIMIENTOS!$B290="COMPRA","INGRESO (compra)",IF(MOVIMIENTOS!$B290="PROCESO","CHANCHO (proceso)",IF(MOVIMIENTOS!$B290="ENVÍO A SUPESA","ENVÍO cal. "&amp;MOVIMIENTOS!$C290,IF(MOVIMIENTOS!$B290="VENTA CHANCHO","VENTA CHANCHO",IF(MOVIMIENTOS!$B290="VENTA","VENTA cal. "&amp;MOVIMIENTOS!$C290,IF(MOVIMIENTOS!$B290="REGALO","REGALO "&amp;MOVIMIENTOS!$C290,IF(MOVIMIENTOS!$B290="RECHAZO","RECHAZO cal. "&amp;MOVIMIENTOS!$C290&amp;" (va a reproceso)",IF(MOVIMIENTOS!$B290="DEVOLUCIÓN","DEVOLUCIÓN cal. "&amp;MOVIMIENTOS!$C290&amp;" (regresa intacta)",IF(MOVIMIENTOS!$B290="TRASIEGO","TRASIEGO cal. "&amp;MOVIMIENTOS!$C290,MOVIMIENTOS!$B290)))))))))),"")</f>
        <v/>
      </c>
      <c r="M291" s="48" t="str">
        <f aca="false">IF(AND(AND(MOVIMIENTOS!$B290&lt;&gt;"",NOT(AND(MOVIMIENTOS!$B290="PROCESO",MOVIMIENTOS!$C290&lt;&gt;"Chancho")),NOT(AND(MOVIMIENTOS!$B290="SALDO INICIAL",MOVIMIENTOS!$C290="Chancho"))),OR(MOVIMIENTOS!$B290="SALDO INICIAL",MOVIMIENTOS!$B290="COMPRA",MOVIMIENTOS!$B290="REPROCESO",MOVIMIENTOS!$B290="DEVOLUCIÓN",AND(MOVIMIENTOS!$B290="AJUSTE",MOVIMIENTOS!$C290&lt;&gt;"Chancho",N(MOVIMIENTOS!$F290)&gt;=0))),N(MOVIMIENTOS!$F290),"")</f>
        <v/>
      </c>
      <c r="N291" s="48" t="str">
        <f aca="false">IF(AND(AND(MOVIMIENTOS!$B290&lt;&gt;"",NOT(AND(MOVIMIENTOS!$B290="PROCESO",MOVIMIENTOS!$C290&lt;&gt;"Chancho")),NOT(AND(MOVIMIENTOS!$B290="SALDO INICIAL",MOVIMIENTOS!$C290="Chancho"))),OR(MOVIMIENTOS!$B290="ENVÍO A SUPESA",MOVIMIENTOS!$B290="MALOGRADO",MOVIMIENTOS!$B290="OTRA SALIDA",MOVIMIENTOS!$B290="TRASIEGO",AND(MOVIMIENTOS!$B290="PROCESO",MOVIMIENTOS!$C290="Chancho"),AND(MOVIMIENTOS!$B290="REGALO",MOVIMIENTOS!$C290&lt;&gt;"Chancho"),AND(MOVIMIENTOS!$B290="VENTA",MOVIMIENTOS!$C290&lt;&gt;"Chancho"),AND(MOVIMIENTOS!$B290="AJUSTE",MOVIMIENTOS!$C290&lt;&gt;"Chancho",N(MOVIMIENTOS!$F290)&lt;0))),IF(MOVIMIENTOS!$B290="AJUSTE",-N(MOVIMIENTOS!$F290),N(MOVIMIENTOS!$F290)),"")</f>
        <v/>
      </c>
      <c r="O291" s="48" t="str">
        <f aca="false">IF(AND(MOVIMIENTOS!$B290&lt;&gt;"",NOT(AND(MOVIMIENTOS!$B290="PROCESO",MOVIMIENTOS!$C290&lt;&gt;"Chancho")),NOT(AND(MOVIMIENTOS!$B290="SALDO INICIAL",MOVIMIENTOS!$C290="Chancho"))),IF(MOVIMIENTOS!$B290="RECHAZO",MOVIMIENTOS!$E290&amp;" jabas rechazadas · van a reproceso",IF(MOVIMIENTOS!$B290="REPROCESO",MOVIMIENTOS!$E290&amp;" kg recuperados (merma del día: "&amp;TEXT(SUMPRODUCT((MOVIMIENTOS!$A$5:$A$400=MOVIMIENTOS!$A290)*(MOVIMIENTOS!$B$5:$B$400="RECHAZO")*(MOVIMIENTOS!$D$5:$D$400="jabas")*MOVIMIENTOS!$E$5:$E$400*IFERROR(_xlfn.SWITCH(MOVIMIENTOS!$C$5:$C$400,"A",15,"P",18,"C",17,"M",17,0),0))-SUMPRODUCT((MOVIMIENTOS!$A$5:$A$400=MOVIMIENTOS!$A290)*(MOVIMIENTOS!$B$5:$B$400="REPROCESO")*MOVIMIENTOS!$I$5:$I$400),"+#,##0;-#,##0;0")&amp;" kg)",TRIM(IF(MOVIMIENTOS!$G290&lt;&gt;"",MOVIMIENTOS!$G290&amp;"  ","")&amp;IF(N(MOVIMIENTOS!$D290)&gt;0,MOVIMIENTOS!$D290&amp;" "&amp;MOVIMIENTOS!$D290,"")))),"")</f>
        <v/>
      </c>
      <c r="P291" s="48" t="n">
        <f aca="false">N(P290)+N(M291)-N(N291)</f>
        <v>-290.5</v>
      </c>
      <c r="Q291" s="48"/>
      <c r="R291" s="48"/>
      <c r="S291" s="48"/>
      <c r="T291" s="48"/>
    </row>
    <row r="292" customFormat="false" ht="15" hidden="false" customHeight="true" outlineLevel="0" collapsed="false">
      <c r="A292" s="51" t="str">
        <f aca="false">IFERROR(INDEX(K$6:K$401,MATCH(ROW()-5,J$6:J$401,0)),"")</f>
        <v/>
      </c>
      <c r="B292" s="56" t="str">
        <f aca="false">IFERROR(INDEX(L$6:L$401,MATCH(ROW()-5,J$6:J$401,0)),"")</f>
        <v/>
      </c>
      <c r="C292" s="52" t="str">
        <f aca="false">IFERROR(INDEX(M$6:M$401,MATCH(ROW()-5,J$6:J$401,0)),"")</f>
        <v/>
      </c>
      <c r="D292" s="52" t="str">
        <f aca="false">IFERROR(INDEX(N$6:N$401,MATCH(ROW()-5,J$6:J$401,0)),"")</f>
        <v/>
      </c>
      <c r="E292" s="56" t="str">
        <f aca="false">IFERROR(INDEX(O$6:O$401,MATCH(ROW()-5,J$6:J$401,0)),"")</f>
        <v/>
      </c>
      <c r="F292" s="52" t="str">
        <f aca="false">IFERROR(INDEX(P$6:P$401,MATCH(ROW()-5,J$6:J$401,0)),"")</f>
        <v/>
      </c>
      <c r="G292" s="48"/>
      <c r="H292" s="48"/>
      <c r="I292" s="48"/>
      <c r="J292" s="48" t="str">
        <f aca="false">IF(AND(MOVIMIENTOS!$B291&lt;&gt;"",NOT(AND(MOVIMIENTOS!$B291="PROCESO",MOVIMIENTOS!$C291&lt;&gt;"Chancho")),NOT(AND(MOVIMIENTOS!$B291="SALDO INICIAL",MOVIMIENTOS!$C291="Chancho"))),COUNT(J$6:J291)+1,"")</f>
        <v/>
      </c>
      <c r="K292" s="48" t="str">
        <f aca="false">IF(AND(MOVIMIENTOS!$B291&lt;&gt;"",NOT(AND(MOVIMIENTOS!$B291="PROCESO",MOVIMIENTOS!$C291&lt;&gt;"Chancho")),NOT(AND(MOVIMIENTOS!$B291="SALDO INICIAL",MOVIMIENTOS!$C291="Chancho"))),MOVIMIENTOS!$A291,"")</f>
        <v/>
      </c>
      <c r="L292" s="48" t="str">
        <f aca="false">IF(AND(MOVIMIENTOS!$B291&lt;&gt;"",NOT(AND(MOVIMIENTOS!$B291="PROCESO",MOVIMIENTOS!$C291&lt;&gt;"Chancho")),NOT(AND(MOVIMIENTOS!$B291="SALDO INICIAL",MOVIMIENTOS!$C291="Chancho"))),IF(MOVIMIENTOS!$B291="SALDO INICIAL","APERTURA ("&amp;MOVIMIENTOS!$C291&amp;")",IF(MOVIMIENTOS!$B291="COMPRA","INGRESO (compra)",IF(MOVIMIENTOS!$B291="PROCESO","CHANCHO (proceso)",IF(MOVIMIENTOS!$B291="ENVÍO A SUPESA","ENVÍO cal. "&amp;MOVIMIENTOS!$C291,IF(MOVIMIENTOS!$B291="VENTA CHANCHO","VENTA CHANCHO",IF(MOVIMIENTOS!$B291="VENTA","VENTA cal. "&amp;MOVIMIENTOS!$C291,IF(MOVIMIENTOS!$B291="REGALO","REGALO "&amp;MOVIMIENTOS!$C291,IF(MOVIMIENTOS!$B291="RECHAZO","RECHAZO cal. "&amp;MOVIMIENTOS!$C291&amp;" (va a reproceso)",IF(MOVIMIENTOS!$B291="DEVOLUCIÓN","DEVOLUCIÓN cal. "&amp;MOVIMIENTOS!$C291&amp;" (regresa intacta)",IF(MOVIMIENTOS!$B291="TRASIEGO","TRASIEGO cal. "&amp;MOVIMIENTOS!$C291,MOVIMIENTOS!$B291)))))))))),"")</f>
        <v/>
      </c>
      <c r="M292" s="48" t="str">
        <f aca="false">IF(AND(AND(MOVIMIENTOS!$B291&lt;&gt;"",NOT(AND(MOVIMIENTOS!$B291="PROCESO",MOVIMIENTOS!$C291&lt;&gt;"Chancho")),NOT(AND(MOVIMIENTOS!$B291="SALDO INICIAL",MOVIMIENTOS!$C291="Chancho"))),OR(MOVIMIENTOS!$B291="SALDO INICIAL",MOVIMIENTOS!$B291="COMPRA",MOVIMIENTOS!$B291="REPROCESO",MOVIMIENTOS!$B291="DEVOLUCIÓN",AND(MOVIMIENTOS!$B291="AJUSTE",MOVIMIENTOS!$C291&lt;&gt;"Chancho",N(MOVIMIENTOS!$F291)&gt;=0))),N(MOVIMIENTOS!$F291),"")</f>
        <v/>
      </c>
      <c r="N292" s="48" t="str">
        <f aca="false">IF(AND(AND(MOVIMIENTOS!$B291&lt;&gt;"",NOT(AND(MOVIMIENTOS!$B291="PROCESO",MOVIMIENTOS!$C291&lt;&gt;"Chancho")),NOT(AND(MOVIMIENTOS!$B291="SALDO INICIAL",MOVIMIENTOS!$C291="Chancho"))),OR(MOVIMIENTOS!$B291="ENVÍO A SUPESA",MOVIMIENTOS!$B291="MALOGRADO",MOVIMIENTOS!$B291="OTRA SALIDA",MOVIMIENTOS!$B291="TRASIEGO",AND(MOVIMIENTOS!$B291="PROCESO",MOVIMIENTOS!$C291="Chancho"),AND(MOVIMIENTOS!$B291="REGALO",MOVIMIENTOS!$C291&lt;&gt;"Chancho"),AND(MOVIMIENTOS!$B291="VENTA",MOVIMIENTOS!$C291&lt;&gt;"Chancho"),AND(MOVIMIENTOS!$B291="AJUSTE",MOVIMIENTOS!$C291&lt;&gt;"Chancho",N(MOVIMIENTOS!$F291)&lt;0))),IF(MOVIMIENTOS!$B291="AJUSTE",-N(MOVIMIENTOS!$F291),N(MOVIMIENTOS!$F291)),"")</f>
        <v/>
      </c>
      <c r="O292" s="48" t="str">
        <f aca="false">IF(AND(MOVIMIENTOS!$B291&lt;&gt;"",NOT(AND(MOVIMIENTOS!$B291="PROCESO",MOVIMIENTOS!$C291&lt;&gt;"Chancho")),NOT(AND(MOVIMIENTOS!$B291="SALDO INICIAL",MOVIMIENTOS!$C291="Chancho"))),IF(MOVIMIENTOS!$B291="RECHAZO",MOVIMIENTOS!$E291&amp;" jabas rechazadas · van a reproceso",IF(MOVIMIENTOS!$B291="REPROCESO",MOVIMIENTOS!$E291&amp;" kg recuperados (merma del día: "&amp;TEXT(SUMPRODUCT((MOVIMIENTOS!$A$5:$A$400=MOVIMIENTOS!$A291)*(MOVIMIENTOS!$B$5:$B$400="RECHAZO")*(MOVIMIENTOS!$D$5:$D$400="jabas")*MOVIMIENTOS!$E$5:$E$400*IFERROR(_xlfn.SWITCH(MOVIMIENTOS!$C$5:$C$400,"A",15,"P",18,"C",17,"M",17,0),0))-SUMPRODUCT((MOVIMIENTOS!$A$5:$A$400=MOVIMIENTOS!$A291)*(MOVIMIENTOS!$B$5:$B$400="REPROCESO")*MOVIMIENTOS!$I$5:$I$400),"+#,##0;-#,##0;0")&amp;" kg)",TRIM(IF(MOVIMIENTOS!$G291&lt;&gt;"",MOVIMIENTOS!$G291&amp;"  ","")&amp;IF(N(MOVIMIENTOS!$D291)&gt;0,MOVIMIENTOS!$D291&amp;" "&amp;MOVIMIENTOS!$D291,"")))),"")</f>
        <v/>
      </c>
      <c r="P292" s="48" t="n">
        <f aca="false">N(P291)+N(M292)-N(N292)</f>
        <v>-290.5</v>
      </c>
      <c r="Q292" s="48"/>
      <c r="R292" s="48"/>
      <c r="S292" s="48"/>
      <c r="T292" s="48"/>
    </row>
    <row r="293" customFormat="false" ht="15" hidden="false" customHeight="true" outlineLevel="0" collapsed="false">
      <c r="A293" s="51" t="str">
        <f aca="false">IFERROR(INDEX(K$6:K$401,MATCH(ROW()-5,J$6:J$401,0)),"")</f>
        <v/>
      </c>
      <c r="B293" s="56" t="str">
        <f aca="false">IFERROR(INDEX(L$6:L$401,MATCH(ROW()-5,J$6:J$401,0)),"")</f>
        <v/>
      </c>
      <c r="C293" s="52" t="str">
        <f aca="false">IFERROR(INDEX(M$6:M$401,MATCH(ROW()-5,J$6:J$401,0)),"")</f>
        <v/>
      </c>
      <c r="D293" s="52" t="str">
        <f aca="false">IFERROR(INDEX(N$6:N$401,MATCH(ROW()-5,J$6:J$401,0)),"")</f>
        <v/>
      </c>
      <c r="E293" s="56" t="str">
        <f aca="false">IFERROR(INDEX(O$6:O$401,MATCH(ROW()-5,J$6:J$401,0)),"")</f>
        <v/>
      </c>
      <c r="F293" s="52" t="str">
        <f aca="false">IFERROR(INDEX(P$6:P$401,MATCH(ROW()-5,J$6:J$401,0)),"")</f>
        <v/>
      </c>
      <c r="G293" s="48"/>
      <c r="H293" s="48"/>
      <c r="I293" s="48"/>
      <c r="J293" s="48" t="str">
        <f aca="false">IF(AND(MOVIMIENTOS!$B292&lt;&gt;"",NOT(AND(MOVIMIENTOS!$B292="PROCESO",MOVIMIENTOS!$C292&lt;&gt;"Chancho")),NOT(AND(MOVIMIENTOS!$B292="SALDO INICIAL",MOVIMIENTOS!$C292="Chancho"))),COUNT(J$6:J292)+1,"")</f>
        <v/>
      </c>
      <c r="K293" s="48" t="str">
        <f aca="false">IF(AND(MOVIMIENTOS!$B292&lt;&gt;"",NOT(AND(MOVIMIENTOS!$B292="PROCESO",MOVIMIENTOS!$C292&lt;&gt;"Chancho")),NOT(AND(MOVIMIENTOS!$B292="SALDO INICIAL",MOVIMIENTOS!$C292="Chancho"))),MOVIMIENTOS!$A292,"")</f>
        <v/>
      </c>
      <c r="L293" s="48" t="str">
        <f aca="false">IF(AND(MOVIMIENTOS!$B292&lt;&gt;"",NOT(AND(MOVIMIENTOS!$B292="PROCESO",MOVIMIENTOS!$C292&lt;&gt;"Chancho")),NOT(AND(MOVIMIENTOS!$B292="SALDO INICIAL",MOVIMIENTOS!$C292="Chancho"))),IF(MOVIMIENTOS!$B292="SALDO INICIAL","APERTURA ("&amp;MOVIMIENTOS!$C292&amp;")",IF(MOVIMIENTOS!$B292="COMPRA","INGRESO (compra)",IF(MOVIMIENTOS!$B292="PROCESO","CHANCHO (proceso)",IF(MOVIMIENTOS!$B292="ENVÍO A SUPESA","ENVÍO cal. "&amp;MOVIMIENTOS!$C292,IF(MOVIMIENTOS!$B292="VENTA CHANCHO","VENTA CHANCHO",IF(MOVIMIENTOS!$B292="VENTA","VENTA cal. "&amp;MOVIMIENTOS!$C292,IF(MOVIMIENTOS!$B292="REGALO","REGALO "&amp;MOVIMIENTOS!$C292,IF(MOVIMIENTOS!$B292="RECHAZO","RECHAZO cal. "&amp;MOVIMIENTOS!$C292&amp;" (va a reproceso)",IF(MOVIMIENTOS!$B292="DEVOLUCIÓN","DEVOLUCIÓN cal. "&amp;MOVIMIENTOS!$C292&amp;" (regresa intacta)",IF(MOVIMIENTOS!$B292="TRASIEGO","TRASIEGO cal. "&amp;MOVIMIENTOS!$C292,MOVIMIENTOS!$B292)))))))))),"")</f>
        <v/>
      </c>
      <c r="M293" s="48" t="str">
        <f aca="false">IF(AND(AND(MOVIMIENTOS!$B292&lt;&gt;"",NOT(AND(MOVIMIENTOS!$B292="PROCESO",MOVIMIENTOS!$C292&lt;&gt;"Chancho")),NOT(AND(MOVIMIENTOS!$B292="SALDO INICIAL",MOVIMIENTOS!$C292="Chancho"))),OR(MOVIMIENTOS!$B292="SALDO INICIAL",MOVIMIENTOS!$B292="COMPRA",MOVIMIENTOS!$B292="REPROCESO",MOVIMIENTOS!$B292="DEVOLUCIÓN",AND(MOVIMIENTOS!$B292="AJUSTE",MOVIMIENTOS!$C292&lt;&gt;"Chancho",N(MOVIMIENTOS!$F292)&gt;=0))),N(MOVIMIENTOS!$F292),"")</f>
        <v/>
      </c>
      <c r="N293" s="48" t="str">
        <f aca="false">IF(AND(AND(MOVIMIENTOS!$B292&lt;&gt;"",NOT(AND(MOVIMIENTOS!$B292="PROCESO",MOVIMIENTOS!$C292&lt;&gt;"Chancho")),NOT(AND(MOVIMIENTOS!$B292="SALDO INICIAL",MOVIMIENTOS!$C292="Chancho"))),OR(MOVIMIENTOS!$B292="ENVÍO A SUPESA",MOVIMIENTOS!$B292="MALOGRADO",MOVIMIENTOS!$B292="OTRA SALIDA",MOVIMIENTOS!$B292="TRASIEGO",AND(MOVIMIENTOS!$B292="PROCESO",MOVIMIENTOS!$C292="Chancho"),AND(MOVIMIENTOS!$B292="REGALO",MOVIMIENTOS!$C292&lt;&gt;"Chancho"),AND(MOVIMIENTOS!$B292="VENTA",MOVIMIENTOS!$C292&lt;&gt;"Chancho"),AND(MOVIMIENTOS!$B292="AJUSTE",MOVIMIENTOS!$C292&lt;&gt;"Chancho",N(MOVIMIENTOS!$F292)&lt;0))),IF(MOVIMIENTOS!$B292="AJUSTE",-N(MOVIMIENTOS!$F292),N(MOVIMIENTOS!$F292)),"")</f>
        <v/>
      </c>
      <c r="O293" s="48" t="str">
        <f aca="false">IF(AND(MOVIMIENTOS!$B292&lt;&gt;"",NOT(AND(MOVIMIENTOS!$B292="PROCESO",MOVIMIENTOS!$C292&lt;&gt;"Chancho")),NOT(AND(MOVIMIENTOS!$B292="SALDO INICIAL",MOVIMIENTOS!$C292="Chancho"))),IF(MOVIMIENTOS!$B292="RECHAZO",MOVIMIENTOS!$E292&amp;" jabas rechazadas · van a reproceso",IF(MOVIMIENTOS!$B292="REPROCESO",MOVIMIENTOS!$E292&amp;" kg recuperados (merma del día: "&amp;TEXT(SUMPRODUCT((MOVIMIENTOS!$A$5:$A$400=MOVIMIENTOS!$A292)*(MOVIMIENTOS!$B$5:$B$400="RECHAZO")*(MOVIMIENTOS!$D$5:$D$400="jabas")*MOVIMIENTOS!$E$5:$E$400*IFERROR(_xlfn.SWITCH(MOVIMIENTOS!$C$5:$C$400,"A",15,"P",18,"C",17,"M",17,0),0))-SUMPRODUCT((MOVIMIENTOS!$A$5:$A$400=MOVIMIENTOS!$A292)*(MOVIMIENTOS!$B$5:$B$400="REPROCESO")*MOVIMIENTOS!$I$5:$I$400),"+#,##0;-#,##0;0")&amp;" kg)",TRIM(IF(MOVIMIENTOS!$G292&lt;&gt;"",MOVIMIENTOS!$G292&amp;"  ","")&amp;IF(N(MOVIMIENTOS!$D292)&gt;0,MOVIMIENTOS!$D292&amp;" "&amp;MOVIMIENTOS!$D292,"")))),"")</f>
        <v/>
      </c>
      <c r="P293" s="48" t="n">
        <f aca="false">N(P292)+N(M293)-N(N293)</f>
        <v>-290.5</v>
      </c>
      <c r="Q293" s="48"/>
      <c r="R293" s="48"/>
      <c r="S293" s="48"/>
      <c r="T293" s="48"/>
    </row>
    <row r="294" customFormat="false" ht="15" hidden="false" customHeight="true" outlineLevel="0" collapsed="false">
      <c r="A294" s="51" t="str">
        <f aca="false">IFERROR(INDEX(K$6:K$401,MATCH(ROW()-5,J$6:J$401,0)),"")</f>
        <v/>
      </c>
      <c r="B294" s="56" t="str">
        <f aca="false">IFERROR(INDEX(L$6:L$401,MATCH(ROW()-5,J$6:J$401,0)),"")</f>
        <v/>
      </c>
      <c r="C294" s="52" t="str">
        <f aca="false">IFERROR(INDEX(M$6:M$401,MATCH(ROW()-5,J$6:J$401,0)),"")</f>
        <v/>
      </c>
      <c r="D294" s="52" t="str">
        <f aca="false">IFERROR(INDEX(N$6:N$401,MATCH(ROW()-5,J$6:J$401,0)),"")</f>
        <v/>
      </c>
      <c r="E294" s="56" t="str">
        <f aca="false">IFERROR(INDEX(O$6:O$401,MATCH(ROW()-5,J$6:J$401,0)),"")</f>
        <v/>
      </c>
      <c r="F294" s="52" t="str">
        <f aca="false">IFERROR(INDEX(P$6:P$401,MATCH(ROW()-5,J$6:J$401,0)),"")</f>
        <v/>
      </c>
      <c r="G294" s="48"/>
      <c r="H294" s="48"/>
      <c r="I294" s="48"/>
      <c r="J294" s="48" t="str">
        <f aca="false">IF(AND(MOVIMIENTOS!$B293&lt;&gt;"",NOT(AND(MOVIMIENTOS!$B293="PROCESO",MOVIMIENTOS!$C293&lt;&gt;"Chancho")),NOT(AND(MOVIMIENTOS!$B293="SALDO INICIAL",MOVIMIENTOS!$C293="Chancho"))),COUNT(J$6:J293)+1,"")</f>
        <v/>
      </c>
      <c r="K294" s="48" t="str">
        <f aca="false">IF(AND(MOVIMIENTOS!$B293&lt;&gt;"",NOT(AND(MOVIMIENTOS!$B293="PROCESO",MOVIMIENTOS!$C293&lt;&gt;"Chancho")),NOT(AND(MOVIMIENTOS!$B293="SALDO INICIAL",MOVIMIENTOS!$C293="Chancho"))),MOVIMIENTOS!$A293,"")</f>
        <v/>
      </c>
      <c r="L294" s="48" t="str">
        <f aca="false">IF(AND(MOVIMIENTOS!$B293&lt;&gt;"",NOT(AND(MOVIMIENTOS!$B293="PROCESO",MOVIMIENTOS!$C293&lt;&gt;"Chancho")),NOT(AND(MOVIMIENTOS!$B293="SALDO INICIAL",MOVIMIENTOS!$C293="Chancho"))),IF(MOVIMIENTOS!$B293="SALDO INICIAL","APERTURA ("&amp;MOVIMIENTOS!$C293&amp;")",IF(MOVIMIENTOS!$B293="COMPRA","INGRESO (compra)",IF(MOVIMIENTOS!$B293="PROCESO","CHANCHO (proceso)",IF(MOVIMIENTOS!$B293="ENVÍO A SUPESA","ENVÍO cal. "&amp;MOVIMIENTOS!$C293,IF(MOVIMIENTOS!$B293="VENTA CHANCHO","VENTA CHANCHO",IF(MOVIMIENTOS!$B293="VENTA","VENTA cal. "&amp;MOVIMIENTOS!$C293,IF(MOVIMIENTOS!$B293="REGALO","REGALO "&amp;MOVIMIENTOS!$C293,IF(MOVIMIENTOS!$B293="RECHAZO","RECHAZO cal. "&amp;MOVIMIENTOS!$C293&amp;" (va a reproceso)",IF(MOVIMIENTOS!$B293="DEVOLUCIÓN","DEVOLUCIÓN cal. "&amp;MOVIMIENTOS!$C293&amp;" (regresa intacta)",IF(MOVIMIENTOS!$B293="TRASIEGO","TRASIEGO cal. "&amp;MOVIMIENTOS!$C293,MOVIMIENTOS!$B293)))))))))),"")</f>
        <v/>
      </c>
      <c r="M294" s="48" t="str">
        <f aca="false">IF(AND(AND(MOVIMIENTOS!$B293&lt;&gt;"",NOT(AND(MOVIMIENTOS!$B293="PROCESO",MOVIMIENTOS!$C293&lt;&gt;"Chancho")),NOT(AND(MOVIMIENTOS!$B293="SALDO INICIAL",MOVIMIENTOS!$C293="Chancho"))),OR(MOVIMIENTOS!$B293="SALDO INICIAL",MOVIMIENTOS!$B293="COMPRA",MOVIMIENTOS!$B293="REPROCESO",MOVIMIENTOS!$B293="DEVOLUCIÓN",AND(MOVIMIENTOS!$B293="AJUSTE",MOVIMIENTOS!$C293&lt;&gt;"Chancho",N(MOVIMIENTOS!$F293)&gt;=0))),N(MOVIMIENTOS!$F293),"")</f>
        <v/>
      </c>
      <c r="N294" s="48" t="str">
        <f aca="false">IF(AND(AND(MOVIMIENTOS!$B293&lt;&gt;"",NOT(AND(MOVIMIENTOS!$B293="PROCESO",MOVIMIENTOS!$C293&lt;&gt;"Chancho")),NOT(AND(MOVIMIENTOS!$B293="SALDO INICIAL",MOVIMIENTOS!$C293="Chancho"))),OR(MOVIMIENTOS!$B293="ENVÍO A SUPESA",MOVIMIENTOS!$B293="MALOGRADO",MOVIMIENTOS!$B293="OTRA SALIDA",MOVIMIENTOS!$B293="TRASIEGO",AND(MOVIMIENTOS!$B293="PROCESO",MOVIMIENTOS!$C293="Chancho"),AND(MOVIMIENTOS!$B293="REGALO",MOVIMIENTOS!$C293&lt;&gt;"Chancho"),AND(MOVIMIENTOS!$B293="VENTA",MOVIMIENTOS!$C293&lt;&gt;"Chancho"),AND(MOVIMIENTOS!$B293="AJUSTE",MOVIMIENTOS!$C293&lt;&gt;"Chancho",N(MOVIMIENTOS!$F293)&lt;0))),IF(MOVIMIENTOS!$B293="AJUSTE",-N(MOVIMIENTOS!$F293),N(MOVIMIENTOS!$F293)),"")</f>
        <v/>
      </c>
      <c r="O294" s="48" t="str">
        <f aca="false">IF(AND(MOVIMIENTOS!$B293&lt;&gt;"",NOT(AND(MOVIMIENTOS!$B293="PROCESO",MOVIMIENTOS!$C293&lt;&gt;"Chancho")),NOT(AND(MOVIMIENTOS!$B293="SALDO INICIAL",MOVIMIENTOS!$C293="Chancho"))),IF(MOVIMIENTOS!$B293="RECHAZO",MOVIMIENTOS!$E293&amp;" jabas rechazadas · van a reproceso",IF(MOVIMIENTOS!$B293="REPROCESO",MOVIMIENTOS!$E293&amp;" kg recuperados (merma del día: "&amp;TEXT(SUMPRODUCT((MOVIMIENTOS!$A$5:$A$400=MOVIMIENTOS!$A293)*(MOVIMIENTOS!$B$5:$B$400="RECHAZO")*(MOVIMIENTOS!$D$5:$D$400="jabas")*MOVIMIENTOS!$E$5:$E$400*IFERROR(_xlfn.SWITCH(MOVIMIENTOS!$C$5:$C$400,"A",15,"P",18,"C",17,"M",17,0),0))-SUMPRODUCT((MOVIMIENTOS!$A$5:$A$400=MOVIMIENTOS!$A293)*(MOVIMIENTOS!$B$5:$B$400="REPROCESO")*MOVIMIENTOS!$I$5:$I$400),"+#,##0;-#,##0;0")&amp;" kg)",TRIM(IF(MOVIMIENTOS!$G293&lt;&gt;"",MOVIMIENTOS!$G293&amp;"  ","")&amp;IF(N(MOVIMIENTOS!$D293)&gt;0,MOVIMIENTOS!$D293&amp;" "&amp;MOVIMIENTOS!$D293,"")))),"")</f>
        <v/>
      </c>
      <c r="P294" s="48" t="n">
        <f aca="false">N(P293)+N(M294)-N(N294)</f>
        <v>-290.5</v>
      </c>
      <c r="Q294" s="48"/>
      <c r="R294" s="48"/>
      <c r="S294" s="48"/>
      <c r="T294" s="48"/>
    </row>
    <row r="295" customFormat="false" ht="15" hidden="false" customHeight="true" outlineLevel="0" collapsed="false">
      <c r="A295" s="51" t="str">
        <f aca="false">IFERROR(INDEX(K$6:K$401,MATCH(ROW()-5,J$6:J$401,0)),"")</f>
        <v/>
      </c>
      <c r="B295" s="56" t="str">
        <f aca="false">IFERROR(INDEX(L$6:L$401,MATCH(ROW()-5,J$6:J$401,0)),"")</f>
        <v/>
      </c>
      <c r="C295" s="52" t="str">
        <f aca="false">IFERROR(INDEX(M$6:M$401,MATCH(ROW()-5,J$6:J$401,0)),"")</f>
        <v/>
      </c>
      <c r="D295" s="52" t="str">
        <f aca="false">IFERROR(INDEX(N$6:N$401,MATCH(ROW()-5,J$6:J$401,0)),"")</f>
        <v/>
      </c>
      <c r="E295" s="56" t="str">
        <f aca="false">IFERROR(INDEX(O$6:O$401,MATCH(ROW()-5,J$6:J$401,0)),"")</f>
        <v/>
      </c>
      <c r="F295" s="52" t="str">
        <f aca="false">IFERROR(INDEX(P$6:P$401,MATCH(ROW()-5,J$6:J$401,0)),"")</f>
        <v/>
      </c>
      <c r="G295" s="48"/>
      <c r="H295" s="48"/>
      <c r="I295" s="48"/>
      <c r="J295" s="48" t="str">
        <f aca="false">IF(AND(MOVIMIENTOS!$B294&lt;&gt;"",NOT(AND(MOVIMIENTOS!$B294="PROCESO",MOVIMIENTOS!$C294&lt;&gt;"Chancho")),NOT(AND(MOVIMIENTOS!$B294="SALDO INICIAL",MOVIMIENTOS!$C294="Chancho"))),COUNT(J$6:J294)+1,"")</f>
        <v/>
      </c>
      <c r="K295" s="48" t="str">
        <f aca="false">IF(AND(MOVIMIENTOS!$B294&lt;&gt;"",NOT(AND(MOVIMIENTOS!$B294="PROCESO",MOVIMIENTOS!$C294&lt;&gt;"Chancho")),NOT(AND(MOVIMIENTOS!$B294="SALDO INICIAL",MOVIMIENTOS!$C294="Chancho"))),MOVIMIENTOS!$A294,"")</f>
        <v/>
      </c>
      <c r="L295" s="48" t="str">
        <f aca="false">IF(AND(MOVIMIENTOS!$B294&lt;&gt;"",NOT(AND(MOVIMIENTOS!$B294="PROCESO",MOVIMIENTOS!$C294&lt;&gt;"Chancho")),NOT(AND(MOVIMIENTOS!$B294="SALDO INICIAL",MOVIMIENTOS!$C294="Chancho"))),IF(MOVIMIENTOS!$B294="SALDO INICIAL","APERTURA ("&amp;MOVIMIENTOS!$C294&amp;")",IF(MOVIMIENTOS!$B294="COMPRA","INGRESO (compra)",IF(MOVIMIENTOS!$B294="PROCESO","CHANCHO (proceso)",IF(MOVIMIENTOS!$B294="ENVÍO A SUPESA","ENVÍO cal. "&amp;MOVIMIENTOS!$C294,IF(MOVIMIENTOS!$B294="VENTA CHANCHO","VENTA CHANCHO",IF(MOVIMIENTOS!$B294="VENTA","VENTA cal. "&amp;MOVIMIENTOS!$C294,IF(MOVIMIENTOS!$B294="REGALO","REGALO "&amp;MOVIMIENTOS!$C294,IF(MOVIMIENTOS!$B294="RECHAZO","RECHAZO cal. "&amp;MOVIMIENTOS!$C294&amp;" (va a reproceso)",IF(MOVIMIENTOS!$B294="DEVOLUCIÓN","DEVOLUCIÓN cal. "&amp;MOVIMIENTOS!$C294&amp;" (regresa intacta)",IF(MOVIMIENTOS!$B294="TRASIEGO","TRASIEGO cal. "&amp;MOVIMIENTOS!$C294,MOVIMIENTOS!$B294)))))))))),"")</f>
        <v/>
      </c>
      <c r="M295" s="48" t="str">
        <f aca="false">IF(AND(AND(MOVIMIENTOS!$B294&lt;&gt;"",NOT(AND(MOVIMIENTOS!$B294="PROCESO",MOVIMIENTOS!$C294&lt;&gt;"Chancho")),NOT(AND(MOVIMIENTOS!$B294="SALDO INICIAL",MOVIMIENTOS!$C294="Chancho"))),OR(MOVIMIENTOS!$B294="SALDO INICIAL",MOVIMIENTOS!$B294="COMPRA",MOVIMIENTOS!$B294="REPROCESO",MOVIMIENTOS!$B294="DEVOLUCIÓN",AND(MOVIMIENTOS!$B294="AJUSTE",MOVIMIENTOS!$C294&lt;&gt;"Chancho",N(MOVIMIENTOS!$F294)&gt;=0))),N(MOVIMIENTOS!$F294),"")</f>
        <v/>
      </c>
      <c r="N295" s="48" t="str">
        <f aca="false">IF(AND(AND(MOVIMIENTOS!$B294&lt;&gt;"",NOT(AND(MOVIMIENTOS!$B294="PROCESO",MOVIMIENTOS!$C294&lt;&gt;"Chancho")),NOT(AND(MOVIMIENTOS!$B294="SALDO INICIAL",MOVIMIENTOS!$C294="Chancho"))),OR(MOVIMIENTOS!$B294="ENVÍO A SUPESA",MOVIMIENTOS!$B294="MALOGRADO",MOVIMIENTOS!$B294="OTRA SALIDA",MOVIMIENTOS!$B294="TRASIEGO",AND(MOVIMIENTOS!$B294="PROCESO",MOVIMIENTOS!$C294="Chancho"),AND(MOVIMIENTOS!$B294="REGALO",MOVIMIENTOS!$C294&lt;&gt;"Chancho"),AND(MOVIMIENTOS!$B294="VENTA",MOVIMIENTOS!$C294&lt;&gt;"Chancho"),AND(MOVIMIENTOS!$B294="AJUSTE",MOVIMIENTOS!$C294&lt;&gt;"Chancho",N(MOVIMIENTOS!$F294)&lt;0))),IF(MOVIMIENTOS!$B294="AJUSTE",-N(MOVIMIENTOS!$F294),N(MOVIMIENTOS!$F294)),"")</f>
        <v/>
      </c>
      <c r="O295" s="48" t="str">
        <f aca="false">IF(AND(MOVIMIENTOS!$B294&lt;&gt;"",NOT(AND(MOVIMIENTOS!$B294="PROCESO",MOVIMIENTOS!$C294&lt;&gt;"Chancho")),NOT(AND(MOVIMIENTOS!$B294="SALDO INICIAL",MOVIMIENTOS!$C294="Chancho"))),IF(MOVIMIENTOS!$B294="RECHAZO",MOVIMIENTOS!$E294&amp;" jabas rechazadas · van a reproceso",IF(MOVIMIENTOS!$B294="REPROCESO",MOVIMIENTOS!$E294&amp;" kg recuperados (merma del día: "&amp;TEXT(SUMPRODUCT((MOVIMIENTOS!$A$5:$A$400=MOVIMIENTOS!$A294)*(MOVIMIENTOS!$B$5:$B$400="RECHAZO")*(MOVIMIENTOS!$D$5:$D$400="jabas")*MOVIMIENTOS!$E$5:$E$400*IFERROR(_xlfn.SWITCH(MOVIMIENTOS!$C$5:$C$400,"A",15,"P",18,"C",17,"M",17,0),0))-SUMPRODUCT((MOVIMIENTOS!$A$5:$A$400=MOVIMIENTOS!$A294)*(MOVIMIENTOS!$B$5:$B$400="REPROCESO")*MOVIMIENTOS!$I$5:$I$400),"+#,##0;-#,##0;0")&amp;" kg)",TRIM(IF(MOVIMIENTOS!$G294&lt;&gt;"",MOVIMIENTOS!$G294&amp;"  ","")&amp;IF(N(MOVIMIENTOS!$D294)&gt;0,MOVIMIENTOS!$D294&amp;" "&amp;MOVIMIENTOS!$D294,"")))),"")</f>
        <v/>
      </c>
      <c r="P295" s="48" t="n">
        <f aca="false">N(P294)+N(M295)-N(N295)</f>
        <v>-290.5</v>
      </c>
      <c r="Q295" s="48"/>
      <c r="R295" s="48"/>
      <c r="S295" s="48"/>
      <c r="T295" s="48"/>
    </row>
    <row r="296" customFormat="false" ht="15" hidden="false" customHeight="true" outlineLevel="0" collapsed="false">
      <c r="A296" s="51" t="str">
        <f aca="false">IFERROR(INDEX(K$6:K$401,MATCH(ROW()-5,J$6:J$401,0)),"")</f>
        <v/>
      </c>
      <c r="B296" s="56" t="str">
        <f aca="false">IFERROR(INDEX(L$6:L$401,MATCH(ROW()-5,J$6:J$401,0)),"")</f>
        <v/>
      </c>
      <c r="C296" s="52" t="str">
        <f aca="false">IFERROR(INDEX(M$6:M$401,MATCH(ROW()-5,J$6:J$401,0)),"")</f>
        <v/>
      </c>
      <c r="D296" s="52" t="str">
        <f aca="false">IFERROR(INDEX(N$6:N$401,MATCH(ROW()-5,J$6:J$401,0)),"")</f>
        <v/>
      </c>
      <c r="E296" s="56" t="str">
        <f aca="false">IFERROR(INDEX(O$6:O$401,MATCH(ROW()-5,J$6:J$401,0)),"")</f>
        <v/>
      </c>
      <c r="F296" s="52" t="str">
        <f aca="false">IFERROR(INDEX(P$6:P$401,MATCH(ROW()-5,J$6:J$401,0)),"")</f>
        <v/>
      </c>
      <c r="G296" s="48"/>
      <c r="H296" s="48"/>
      <c r="I296" s="48"/>
      <c r="J296" s="48" t="str">
        <f aca="false">IF(AND(MOVIMIENTOS!$B295&lt;&gt;"",NOT(AND(MOVIMIENTOS!$B295="PROCESO",MOVIMIENTOS!$C295&lt;&gt;"Chancho")),NOT(AND(MOVIMIENTOS!$B295="SALDO INICIAL",MOVIMIENTOS!$C295="Chancho"))),COUNT(J$6:J295)+1,"")</f>
        <v/>
      </c>
      <c r="K296" s="48" t="str">
        <f aca="false">IF(AND(MOVIMIENTOS!$B295&lt;&gt;"",NOT(AND(MOVIMIENTOS!$B295="PROCESO",MOVIMIENTOS!$C295&lt;&gt;"Chancho")),NOT(AND(MOVIMIENTOS!$B295="SALDO INICIAL",MOVIMIENTOS!$C295="Chancho"))),MOVIMIENTOS!$A295,"")</f>
        <v/>
      </c>
      <c r="L296" s="48" t="str">
        <f aca="false">IF(AND(MOVIMIENTOS!$B295&lt;&gt;"",NOT(AND(MOVIMIENTOS!$B295="PROCESO",MOVIMIENTOS!$C295&lt;&gt;"Chancho")),NOT(AND(MOVIMIENTOS!$B295="SALDO INICIAL",MOVIMIENTOS!$C295="Chancho"))),IF(MOVIMIENTOS!$B295="SALDO INICIAL","APERTURA ("&amp;MOVIMIENTOS!$C295&amp;")",IF(MOVIMIENTOS!$B295="COMPRA","INGRESO (compra)",IF(MOVIMIENTOS!$B295="PROCESO","CHANCHO (proceso)",IF(MOVIMIENTOS!$B295="ENVÍO A SUPESA","ENVÍO cal. "&amp;MOVIMIENTOS!$C295,IF(MOVIMIENTOS!$B295="VENTA CHANCHO","VENTA CHANCHO",IF(MOVIMIENTOS!$B295="VENTA","VENTA cal. "&amp;MOVIMIENTOS!$C295,IF(MOVIMIENTOS!$B295="REGALO","REGALO "&amp;MOVIMIENTOS!$C295,IF(MOVIMIENTOS!$B295="RECHAZO","RECHAZO cal. "&amp;MOVIMIENTOS!$C295&amp;" (va a reproceso)",IF(MOVIMIENTOS!$B295="DEVOLUCIÓN","DEVOLUCIÓN cal. "&amp;MOVIMIENTOS!$C295&amp;" (regresa intacta)",IF(MOVIMIENTOS!$B295="TRASIEGO","TRASIEGO cal. "&amp;MOVIMIENTOS!$C295,MOVIMIENTOS!$B295)))))))))),"")</f>
        <v/>
      </c>
      <c r="M296" s="48" t="str">
        <f aca="false">IF(AND(AND(MOVIMIENTOS!$B295&lt;&gt;"",NOT(AND(MOVIMIENTOS!$B295="PROCESO",MOVIMIENTOS!$C295&lt;&gt;"Chancho")),NOT(AND(MOVIMIENTOS!$B295="SALDO INICIAL",MOVIMIENTOS!$C295="Chancho"))),OR(MOVIMIENTOS!$B295="SALDO INICIAL",MOVIMIENTOS!$B295="COMPRA",MOVIMIENTOS!$B295="REPROCESO",MOVIMIENTOS!$B295="DEVOLUCIÓN",AND(MOVIMIENTOS!$B295="AJUSTE",MOVIMIENTOS!$C295&lt;&gt;"Chancho",N(MOVIMIENTOS!$F295)&gt;=0))),N(MOVIMIENTOS!$F295),"")</f>
        <v/>
      </c>
      <c r="N296" s="48" t="str">
        <f aca="false">IF(AND(AND(MOVIMIENTOS!$B295&lt;&gt;"",NOT(AND(MOVIMIENTOS!$B295="PROCESO",MOVIMIENTOS!$C295&lt;&gt;"Chancho")),NOT(AND(MOVIMIENTOS!$B295="SALDO INICIAL",MOVIMIENTOS!$C295="Chancho"))),OR(MOVIMIENTOS!$B295="ENVÍO A SUPESA",MOVIMIENTOS!$B295="MALOGRADO",MOVIMIENTOS!$B295="OTRA SALIDA",MOVIMIENTOS!$B295="TRASIEGO",AND(MOVIMIENTOS!$B295="PROCESO",MOVIMIENTOS!$C295="Chancho"),AND(MOVIMIENTOS!$B295="REGALO",MOVIMIENTOS!$C295&lt;&gt;"Chancho"),AND(MOVIMIENTOS!$B295="VENTA",MOVIMIENTOS!$C295&lt;&gt;"Chancho"),AND(MOVIMIENTOS!$B295="AJUSTE",MOVIMIENTOS!$C295&lt;&gt;"Chancho",N(MOVIMIENTOS!$F295)&lt;0))),IF(MOVIMIENTOS!$B295="AJUSTE",-N(MOVIMIENTOS!$F295),N(MOVIMIENTOS!$F295)),"")</f>
        <v/>
      </c>
      <c r="O296" s="48" t="str">
        <f aca="false">IF(AND(MOVIMIENTOS!$B295&lt;&gt;"",NOT(AND(MOVIMIENTOS!$B295="PROCESO",MOVIMIENTOS!$C295&lt;&gt;"Chancho")),NOT(AND(MOVIMIENTOS!$B295="SALDO INICIAL",MOVIMIENTOS!$C295="Chancho"))),IF(MOVIMIENTOS!$B295="RECHAZO",MOVIMIENTOS!$E295&amp;" jabas rechazadas · van a reproceso",IF(MOVIMIENTOS!$B295="REPROCESO",MOVIMIENTOS!$E295&amp;" kg recuperados (merma del día: "&amp;TEXT(SUMPRODUCT((MOVIMIENTOS!$A$5:$A$400=MOVIMIENTOS!$A295)*(MOVIMIENTOS!$B$5:$B$400="RECHAZO")*(MOVIMIENTOS!$D$5:$D$400="jabas")*MOVIMIENTOS!$E$5:$E$400*IFERROR(_xlfn.SWITCH(MOVIMIENTOS!$C$5:$C$400,"A",15,"P",18,"C",17,"M",17,0),0))-SUMPRODUCT((MOVIMIENTOS!$A$5:$A$400=MOVIMIENTOS!$A295)*(MOVIMIENTOS!$B$5:$B$400="REPROCESO")*MOVIMIENTOS!$I$5:$I$400),"+#,##0;-#,##0;0")&amp;" kg)",TRIM(IF(MOVIMIENTOS!$G295&lt;&gt;"",MOVIMIENTOS!$G295&amp;"  ","")&amp;IF(N(MOVIMIENTOS!$D295)&gt;0,MOVIMIENTOS!$D295&amp;" "&amp;MOVIMIENTOS!$D295,"")))),"")</f>
        <v/>
      </c>
      <c r="P296" s="48" t="n">
        <f aca="false">N(P295)+N(M296)-N(N296)</f>
        <v>-290.5</v>
      </c>
      <c r="Q296" s="48"/>
      <c r="R296" s="48"/>
      <c r="S296" s="48"/>
      <c r="T296" s="48"/>
    </row>
    <row r="297" customFormat="false" ht="15" hidden="false" customHeight="true" outlineLevel="0" collapsed="false">
      <c r="A297" s="51" t="str">
        <f aca="false">IFERROR(INDEX(K$6:K$401,MATCH(ROW()-5,J$6:J$401,0)),"")</f>
        <v/>
      </c>
      <c r="B297" s="56" t="str">
        <f aca="false">IFERROR(INDEX(L$6:L$401,MATCH(ROW()-5,J$6:J$401,0)),"")</f>
        <v/>
      </c>
      <c r="C297" s="52" t="str">
        <f aca="false">IFERROR(INDEX(M$6:M$401,MATCH(ROW()-5,J$6:J$401,0)),"")</f>
        <v/>
      </c>
      <c r="D297" s="52" t="str">
        <f aca="false">IFERROR(INDEX(N$6:N$401,MATCH(ROW()-5,J$6:J$401,0)),"")</f>
        <v/>
      </c>
      <c r="E297" s="56" t="str">
        <f aca="false">IFERROR(INDEX(O$6:O$401,MATCH(ROW()-5,J$6:J$401,0)),"")</f>
        <v/>
      </c>
      <c r="F297" s="52" t="str">
        <f aca="false">IFERROR(INDEX(P$6:P$401,MATCH(ROW()-5,J$6:J$401,0)),"")</f>
        <v/>
      </c>
      <c r="G297" s="48"/>
      <c r="H297" s="48"/>
      <c r="I297" s="48"/>
      <c r="J297" s="48" t="str">
        <f aca="false">IF(AND(MOVIMIENTOS!$B296&lt;&gt;"",NOT(AND(MOVIMIENTOS!$B296="PROCESO",MOVIMIENTOS!$C296&lt;&gt;"Chancho")),NOT(AND(MOVIMIENTOS!$B296="SALDO INICIAL",MOVIMIENTOS!$C296="Chancho"))),COUNT(J$6:J296)+1,"")</f>
        <v/>
      </c>
      <c r="K297" s="48" t="str">
        <f aca="false">IF(AND(MOVIMIENTOS!$B296&lt;&gt;"",NOT(AND(MOVIMIENTOS!$B296="PROCESO",MOVIMIENTOS!$C296&lt;&gt;"Chancho")),NOT(AND(MOVIMIENTOS!$B296="SALDO INICIAL",MOVIMIENTOS!$C296="Chancho"))),MOVIMIENTOS!$A296,"")</f>
        <v/>
      </c>
      <c r="L297" s="48" t="str">
        <f aca="false">IF(AND(MOVIMIENTOS!$B296&lt;&gt;"",NOT(AND(MOVIMIENTOS!$B296="PROCESO",MOVIMIENTOS!$C296&lt;&gt;"Chancho")),NOT(AND(MOVIMIENTOS!$B296="SALDO INICIAL",MOVIMIENTOS!$C296="Chancho"))),IF(MOVIMIENTOS!$B296="SALDO INICIAL","APERTURA ("&amp;MOVIMIENTOS!$C296&amp;")",IF(MOVIMIENTOS!$B296="COMPRA","INGRESO (compra)",IF(MOVIMIENTOS!$B296="PROCESO","CHANCHO (proceso)",IF(MOVIMIENTOS!$B296="ENVÍO A SUPESA","ENVÍO cal. "&amp;MOVIMIENTOS!$C296,IF(MOVIMIENTOS!$B296="VENTA CHANCHO","VENTA CHANCHO",IF(MOVIMIENTOS!$B296="VENTA","VENTA cal. "&amp;MOVIMIENTOS!$C296,IF(MOVIMIENTOS!$B296="REGALO","REGALO "&amp;MOVIMIENTOS!$C296,IF(MOVIMIENTOS!$B296="RECHAZO","RECHAZO cal. "&amp;MOVIMIENTOS!$C296&amp;" (va a reproceso)",IF(MOVIMIENTOS!$B296="DEVOLUCIÓN","DEVOLUCIÓN cal. "&amp;MOVIMIENTOS!$C296&amp;" (regresa intacta)",IF(MOVIMIENTOS!$B296="TRASIEGO","TRASIEGO cal. "&amp;MOVIMIENTOS!$C296,MOVIMIENTOS!$B296)))))))))),"")</f>
        <v/>
      </c>
      <c r="M297" s="48" t="str">
        <f aca="false">IF(AND(AND(MOVIMIENTOS!$B296&lt;&gt;"",NOT(AND(MOVIMIENTOS!$B296="PROCESO",MOVIMIENTOS!$C296&lt;&gt;"Chancho")),NOT(AND(MOVIMIENTOS!$B296="SALDO INICIAL",MOVIMIENTOS!$C296="Chancho"))),OR(MOVIMIENTOS!$B296="SALDO INICIAL",MOVIMIENTOS!$B296="COMPRA",MOVIMIENTOS!$B296="REPROCESO",MOVIMIENTOS!$B296="DEVOLUCIÓN",AND(MOVIMIENTOS!$B296="AJUSTE",MOVIMIENTOS!$C296&lt;&gt;"Chancho",N(MOVIMIENTOS!$F296)&gt;=0))),N(MOVIMIENTOS!$F296),"")</f>
        <v/>
      </c>
      <c r="N297" s="48" t="str">
        <f aca="false">IF(AND(AND(MOVIMIENTOS!$B296&lt;&gt;"",NOT(AND(MOVIMIENTOS!$B296="PROCESO",MOVIMIENTOS!$C296&lt;&gt;"Chancho")),NOT(AND(MOVIMIENTOS!$B296="SALDO INICIAL",MOVIMIENTOS!$C296="Chancho"))),OR(MOVIMIENTOS!$B296="ENVÍO A SUPESA",MOVIMIENTOS!$B296="MALOGRADO",MOVIMIENTOS!$B296="OTRA SALIDA",MOVIMIENTOS!$B296="TRASIEGO",AND(MOVIMIENTOS!$B296="PROCESO",MOVIMIENTOS!$C296="Chancho"),AND(MOVIMIENTOS!$B296="REGALO",MOVIMIENTOS!$C296&lt;&gt;"Chancho"),AND(MOVIMIENTOS!$B296="VENTA",MOVIMIENTOS!$C296&lt;&gt;"Chancho"),AND(MOVIMIENTOS!$B296="AJUSTE",MOVIMIENTOS!$C296&lt;&gt;"Chancho",N(MOVIMIENTOS!$F296)&lt;0))),IF(MOVIMIENTOS!$B296="AJUSTE",-N(MOVIMIENTOS!$F296),N(MOVIMIENTOS!$F296)),"")</f>
        <v/>
      </c>
      <c r="O297" s="48" t="str">
        <f aca="false">IF(AND(MOVIMIENTOS!$B296&lt;&gt;"",NOT(AND(MOVIMIENTOS!$B296="PROCESO",MOVIMIENTOS!$C296&lt;&gt;"Chancho")),NOT(AND(MOVIMIENTOS!$B296="SALDO INICIAL",MOVIMIENTOS!$C296="Chancho"))),IF(MOVIMIENTOS!$B296="RECHAZO",MOVIMIENTOS!$E296&amp;" jabas rechazadas · van a reproceso",IF(MOVIMIENTOS!$B296="REPROCESO",MOVIMIENTOS!$E296&amp;" kg recuperados (merma del día: "&amp;TEXT(SUMPRODUCT((MOVIMIENTOS!$A$5:$A$400=MOVIMIENTOS!$A296)*(MOVIMIENTOS!$B$5:$B$400="RECHAZO")*(MOVIMIENTOS!$D$5:$D$400="jabas")*MOVIMIENTOS!$E$5:$E$400*IFERROR(_xlfn.SWITCH(MOVIMIENTOS!$C$5:$C$400,"A",15,"P",18,"C",17,"M",17,0),0))-SUMPRODUCT((MOVIMIENTOS!$A$5:$A$400=MOVIMIENTOS!$A296)*(MOVIMIENTOS!$B$5:$B$400="REPROCESO")*MOVIMIENTOS!$I$5:$I$400),"+#,##0;-#,##0;0")&amp;" kg)",TRIM(IF(MOVIMIENTOS!$G296&lt;&gt;"",MOVIMIENTOS!$G296&amp;"  ","")&amp;IF(N(MOVIMIENTOS!$D296)&gt;0,MOVIMIENTOS!$D296&amp;" "&amp;MOVIMIENTOS!$D296,"")))),"")</f>
        <v/>
      </c>
      <c r="P297" s="48" t="n">
        <f aca="false">N(P296)+N(M297)-N(N297)</f>
        <v>-290.5</v>
      </c>
      <c r="Q297" s="48"/>
      <c r="R297" s="48"/>
      <c r="S297" s="48"/>
      <c r="T297" s="48"/>
    </row>
    <row r="298" customFormat="false" ht="15" hidden="false" customHeight="true" outlineLevel="0" collapsed="false">
      <c r="A298" s="51" t="str">
        <f aca="false">IFERROR(INDEX(K$6:K$401,MATCH(ROW()-5,J$6:J$401,0)),"")</f>
        <v/>
      </c>
      <c r="B298" s="56" t="str">
        <f aca="false">IFERROR(INDEX(L$6:L$401,MATCH(ROW()-5,J$6:J$401,0)),"")</f>
        <v/>
      </c>
      <c r="C298" s="52" t="str">
        <f aca="false">IFERROR(INDEX(M$6:M$401,MATCH(ROW()-5,J$6:J$401,0)),"")</f>
        <v/>
      </c>
      <c r="D298" s="52" t="str">
        <f aca="false">IFERROR(INDEX(N$6:N$401,MATCH(ROW()-5,J$6:J$401,0)),"")</f>
        <v/>
      </c>
      <c r="E298" s="56" t="str">
        <f aca="false">IFERROR(INDEX(O$6:O$401,MATCH(ROW()-5,J$6:J$401,0)),"")</f>
        <v/>
      </c>
      <c r="F298" s="52" t="str">
        <f aca="false">IFERROR(INDEX(P$6:P$401,MATCH(ROW()-5,J$6:J$401,0)),"")</f>
        <v/>
      </c>
      <c r="G298" s="48"/>
      <c r="H298" s="48"/>
      <c r="I298" s="48"/>
      <c r="J298" s="48" t="str">
        <f aca="false">IF(AND(MOVIMIENTOS!$B297&lt;&gt;"",NOT(AND(MOVIMIENTOS!$B297="PROCESO",MOVIMIENTOS!$C297&lt;&gt;"Chancho")),NOT(AND(MOVIMIENTOS!$B297="SALDO INICIAL",MOVIMIENTOS!$C297="Chancho"))),COUNT(J$6:J297)+1,"")</f>
        <v/>
      </c>
      <c r="K298" s="48" t="str">
        <f aca="false">IF(AND(MOVIMIENTOS!$B297&lt;&gt;"",NOT(AND(MOVIMIENTOS!$B297="PROCESO",MOVIMIENTOS!$C297&lt;&gt;"Chancho")),NOT(AND(MOVIMIENTOS!$B297="SALDO INICIAL",MOVIMIENTOS!$C297="Chancho"))),MOVIMIENTOS!$A297,"")</f>
        <v/>
      </c>
      <c r="L298" s="48" t="str">
        <f aca="false">IF(AND(MOVIMIENTOS!$B297&lt;&gt;"",NOT(AND(MOVIMIENTOS!$B297="PROCESO",MOVIMIENTOS!$C297&lt;&gt;"Chancho")),NOT(AND(MOVIMIENTOS!$B297="SALDO INICIAL",MOVIMIENTOS!$C297="Chancho"))),IF(MOVIMIENTOS!$B297="SALDO INICIAL","APERTURA ("&amp;MOVIMIENTOS!$C297&amp;")",IF(MOVIMIENTOS!$B297="COMPRA","INGRESO (compra)",IF(MOVIMIENTOS!$B297="PROCESO","CHANCHO (proceso)",IF(MOVIMIENTOS!$B297="ENVÍO A SUPESA","ENVÍO cal. "&amp;MOVIMIENTOS!$C297,IF(MOVIMIENTOS!$B297="VENTA CHANCHO","VENTA CHANCHO",IF(MOVIMIENTOS!$B297="VENTA","VENTA cal. "&amp;MOVIMIENTOS!$C297,IF(MOVIMIENTOS!$B297="REGALO","REGALO "&amp;MOVIMIENTOS!$C297,IF(MOVIMIENTOS!$B297="RECHAZO","RECHAZO cal. "&amp;MOVIMIENTOS!$C297&amp;" (va a reproceso)",IF(MOVIMIENTOS!$B297="DEVOLUCIÓN","DEVOLUCIÓN cal. "&amp;MOVIMIENTOS!$C297&amp;" (regresa intacta)",IF(MOVIMIENTOS!$B297="TRASIEGO","TRASIEGO cal. "&amp;MOVIMIENTOS!$C297,MOVIMIENTOS!$B297)))))))))),"")</f>
        <v/>
      </c>
      <c r="M298" s="48" t="str">
        <f aca="false">IF(AND(AND(MOVIMIENTOS!$B297&lt;&gt;"",NOT(AND(MOVIMIENTOS!$B297="PROCESO",MOVIMIENTOS!$C297&lt;&gt;"Chancho")),NOT(AND(MOVIMIENTOS!$B297="SALDO INICIAL",MOVIMIENTOS!$C297="Chancho"))),OR(MOVIMIENTOS!$B297="SALDO INICIAL",MOVIMIENTOS!$B297="COMPRA",MOVIMIENTOS!$B297="REPROCESO",MOVIMIENTOS!$B297="DEVOLUCIÓN",AND(MOVIMIENTOS!$B297="AJUSTE",MOVIMIENTOS!$C297&lt;&gt;"Chancho",N(MOVIMIENTOS!$F297)&gt;=0))),N(MOVIMIENTOS!$F297),"")</f>
        <v/>
      </c>
      <c r="N298" s="48" t="str">
        <f aca="false">IF(AND(AND(MOVIMIENTOS!$B297&lt;&gt;"",NOT(AND(MOVIMIENTOS!$B297="PROCESO",MOVIMIENTOS!$C297&lt;&gt;"Chancho")),NOT(AND(MOVIMIENTOS!$B297="SALDO INICIAL",MOVIMIENTOS!$C297="Chancho"))),OR(MOVIMIENTOS!$B297="ENVÍO A SUPESA",MOVIMIENTOS!$B297="MALOGRADO",MOVIMIENTOS!$B297="OTRA SALIDA",MOVIMIENTOS!$B297="TRASIEGO",AND(MOVIMIENTOS!$B297="PROCESO",MOVIMIENTOS!$C297="Chancho"),AND(MOVIMIENTOS!$B297="REGALO",MOVIMIENTOS!$C297&lt;&gt;"Chancho"),AND(MOVIMIENTOS!$B297="VENTA",MOVIMIENTOS!$C297&lt;&gt;"Chancho"),AND(MOVIMIENTOS!$B297="AJUSTE",MOVIMIENTOS!$C297&lt;&gt;"Chancho",N(MOVIMIENTOS!$F297)&lt;0))),IF(MOVIMIENTOS!$B297="AJUSTE",-N(MOVIMIENTOS!$F297),N(MOVIMIENTOS!$F297)),"")</f>
        <v/>
      </c>
      <c r="O298" s="48" t="str">
        <f aca="false">IF(AND(MOVIMIENTOS!$B297&lt;&gt;"",NOT(AND(MOVIMIENTOS!$B297="PROCESO",MOVIMIENTOS!$C297&lt;&gt;"Chancho")),NOT(AND(MOVIMIENTOS!$B297="SALDO INICIAL",MOVIMIENTOS!$C297="Chancho"))),IF(MOVIMIENTOS!$B297="RECHAZO",MOVIMIENTOS!$E297&amp;" jabas rechazadas · van a reproceso",IF(MOVIMIENTOS!$B297="REPROCESO",MOVIMIENTOS!$E297&amp;" kg recuperados (merma del día: "&amp;TEXT(SUMPRODUCT((MOVIMIENTOS!$A$5:$A$400=MOVIMIENTOS!$A297)*(MOVIMIENTOS!$B$5:$B$400="RECHAZO")*(MOVIMIENTOS!$D$5:$D$400="jabas")*MOVIMIENTOS!$E$5:$E$400*IFERROR(_xlfn.SWITCH(MOVIMIENTOS!$C$5:$C$400,"A",15,"P",18,"C",17,"M",17,0),0))-SUMPRODUCT((MOVIMIENTOS!$A$5:$A$400=MOVIMIENTOS!$A297)*(MOVIMIENTOS!$B$5:$B$400="REPROCESO")*MOVIMIENTOS!$I$5:$I$400),"+#,##0;-#,##0;0")&amp;" kg)",TRIM(IF(MOVIMIENTOS!$G297&lt;&gt;"",MOVIMIENTOS!$G297&amp;"  ","")&amp;IF(N(MOVIMIENTOS!$D297)&gt;0,MOVIMIENTOS!$D297&amp;" "&amp;MOVIMIENTOS!$D297,"")))),"")</f>
        <v/>
      </c>
      <c r="P298" s="48" t="n">
        <f aca="false">N(P297)+N(M298)-N(N298)</f>
        <v>-290.5</v>
      </c>
      <c r="Q298" s="48"/>
      <c r="R298" s="48"/>
      <c r="S298" s="48"/>
      <c r="T298" s="48"/>
    </row>
    <row r="299" customFormat="false" ht="15" hidden="false" customHeight="true" outlineLevel="0" collapsed="false">
      <c r="A299" s="51" t="str">
        <f aca="false">IFERROR(INDEX(K$6:K$401,MATCH(ROW()-5,J$6:J$401,0)),"")</f>
        <v/>
      </c>
      <c r="B299" s="56" t="str">
        <f aca="false">IFERROR(INDEX(L$6:L$401,MATCH(ROW()-5,J$6:J$401,0)),"")</f>
        <v/>
      </c>
      <c r="C299" s="52" t="str">
        <f aca="false">IFERROR(INDEX(M$6:M$401,MATCH(ROW()-5,J$6:J$401,0)),"")</f>
        <v/>
      </c>
      <c r="D299" s="52" t="str">
        <f aca="false">IFERROR(INDEX(N$6:N$401,MATCH(ROW()-5,J$6:J$401,0)),"")</f>
        <v/>
      </c>
      <c r="E299" s="56" t="str">
        <f aca="false">IFERROR(INDEX(O$6:O$401,MATCH(ROW()-5,J$6:J$401,0)),"")</f>
        <v/>
      </c>
      <c r="F299" s="52" t="str">
        <f aca="false">IFERROR(INDEX(P$6:P$401,MATCH(ROW()-5,J$6:J$401,0)),"")</f>
        <v/>
      </c>
      <c r="G299" s="48"/>
      <c r="H299" s="48"/>
      <c r="I299" s="48"/>
      <c r="J299" s="48" t="str">
        <f aca="false">IF(AND(MOVIMIENTOS!$B298&lt;&gt;"",NOT(AND(MOVIMIENTOS!$B298="PROCESO",MOVIMIENTOS!$C298&lt;&gt;"Chancho")),NOT(AND(MOVIMIENTOS!$B298="SALDO INICIAL",MOVIMIENTOS!$C298="Chancho"))),COUNT(J$6:J298)+1,"")</f>
        <v/>
      </c>
      <c r="K299" s="48" t="str">
        <f aca="false">IF(AND(MOVIMIENTOS!$B298&lt;&gt;"",NOT(AND(MOVIMIENTOS!$B298="PROCESO",MOVIMIENTOS!$C298&lt;&gt;"Chancho")),NOT(AND(MOVIMIENTOS!$B298="SALDO INICIAL",MOVIMIENTOS!$C298="Chancho"))),MOVIMIENTOS!$A298,"")</f>
        <v/>
      </c>
      <c r="L299" s="48" t="str">
        <f aca="false">IF(AND(MOVIMIENTOS!$B298&lt;&gt;"",NOT(AND(MOVIMIENTOS!$B298="PROCESO",MOVIMIENTOS!$C298&lt;&gt;"Chancho")),NOT(AND(MOVIMIENTOS!$B298="SALDO INICIAL",MOVIMIENTOS!$C298="Chancho"))),IF(MOVIMIENTOS!$B298="SALDO INICIAL","APERTURA ("&amp;MOVIMIENTOS!$C298&amp;")",IF(MOVIMIENTOS!$B298="COMPRA","INGRESO (compra)",IF(MOVIMIENTOS!$B298="PROCESO","CHANCHO (proceso)",IF(MOVIMIENTOS!$B298="ENVÍO A SUPESA","ENVÍO cal. "&amp;MOVIMIENTOS!$C298,IF(MOVIMIENTOS!$B298="VENTA CHANCHO","VENTA CHANCHO",IF(MOVIMIENTOS!$B298="VENTA","VENTA cal. "&amp;MOVIMIENTOS!$C298,IF(MOVIMIENTOS!$B298="REGALO","REGALO "&amp;MOVIMIENTOS!$C298,IF(MOVIMIENTOS!$B298="RECHAZO","RECHAZO cal. "&amp;MOVIMIENTOS!$C298&amp;" (va a reproceso)",IF(MOVIMIENTOS!$B298="DEVOLUCIÓN","DEVOLUCIÓN cal. "&amp;MOVIMIENTOS!$C298&amp;" (regresa intacta)",IF(MOVIMIENTOS!$B298="TRASIEGO","TRASIEGO cal. "&amp;MOVIMIENTOS!$C298,MOVIMIENTOS!$B298)))))))))),"")</f>
        <v/>
      </c>
      <c r="M299" s="48" t="str">
        <f aca="false">IF(AND(AND(MOVIMIENTOS!$B298&lt;&gt;"",NOT(AND(MOVIMIENTOS!$B298="PROCESO",MOVIMIENTOS!$C298&lt;&gt;"Chancho")),NOT(AND(MOVIMIENTOS!$B298="SALDO INICIAL",MOVIMIENTOS!$C298="Chancho"))),OR(MOVIMIENTOS!$B298="SALDO INICIAL",MOVIMIENTOS!$B298="COMPRA",MOVIMIENTOS!$B298="REPROCESO",MOVIMIENTOS!$B298="DEVOLUCIÓN",AND(MOVIMIENTOS!$B298="AJUSTE",MOVIMIENTOS!$C298&lt;&gt;"Chancho",N(MOVIMIENTOS!$F298)&gt;=0))),N(MOVIMIENTOS!$F298),"")</f>
        <v/>
      </c>
      <c r="N299" s="48" t="str">
        <f aca="false">IF(AND(AND(MOVIMIENTOS!$B298&lt;&gt;"",NOT(AND(MOVIMIENTOS!$B298="PROCESO",MOVIMIENTOS!$C298&lt;&gt;"Chancho")),NOT(AND(MOVIMIENTOS!$B298="SALDO INICIAL",MOVIMIENTOS!$C298="Chancho"))),OR(MOVIMIENTOS!$B298="ENVÍO A SUPESA",MOVIMIENTOS!$B298="MALOGRADO",MOVIMIENTOS!$B298="OTRA SALIDA",MOVIMIENTOS!$B298="TRASIEGO",AND(MOVIMIENTOS!$B298="PROCESO",MOVIMIENTOS!$C298="Chancho"),AND(MOVIMIENTOS!$B298="REGALO",MOVIMIENTOS!$C298&lt;&gt;"Chancho"),AND(MOVIMIENTOS!$B298="VENTA",MOVIMIENTOS!$C298&lt;&gt;"Chancho"),AND(MOVIMIENTOS!$B298="AJUSTE",MOVIMIENTOS!$C298&lt;&gt;"Chancho",N(MOVIMIENTOS!$F298)&lt;0))),IF(MOVIMIENTOS!$B298="AJUSTE",-N(MOVIMIENTOS!$F298),N(MOVIMIENTOS!$F298)),"")</f>
        <v/>
      </c>
      <c r="O299" s="48" t="str">
        <f aca="false">IF(AND(MOVIMIENTOS!$B298&lt;&gt;"",NOT(AND(MOVIMIENTOS!$B298="PROCESO",MOVIMIENTOS!$C298&lt;&gt;"Chancho")),NOT(AND(MOVIMIENTOS!$B298="SALDO INICIAL",MOVIMIENTOS!$C298="Chancho"))),IF(MOVIMIENTOS!$B298="RECHAZO",MOVIMIENTOS!$E298&amp;" jabas rechazadas · van a reproceso",IF(MOVIMIENTOS!$B298="REPROCESO",MOVIMIENTOS!$E298&amp;" kg recuperados (merma del día: "&amp;TEXT(SUMPRODUCT((MOVIMIENTOS!$A$5:$A$400=MOVIMIENTOS!$A298)*(MOVIMIENTOS!$B$5:$B$400="RECHAZO")*(MOVIMIENTOS!$D$5:$D$400="jabas")*MOVIMIENTOS!$E$5:$E$400*IFERROR(_xlfn.SWITCH(MOVIMIENTOS!$C$5:$C$400,"A",15,"P",18,"C",17,"M",17,0),0))-SUMPRODUCT((MOVIMIENTOS!$A$5:$A$400=MOVIMIENTOS!$A298)*(MOVIMIENTOS!$B$5:$B$400="REPROCESO")*MOVIMIENTOS!$I$5:$I$400),"+#,##0;-#,##0;0")&amp;" kg)",TRIM(IF(MOVIMIENTOS!$G298&lt;&gt;"",MOVIMIENTOS!$G298&amp;"  ","")&amp;IF(N(MOVIMIENTOS!$D298)&gt;0,MOVIMIENTOS!$D298&amp;" "&amp;MOVIMIENTOS!$D298,"")))),"")</f>
        <v/>
      </c>
      <c r="P299" s="48" t="n">
        <f aca="false">N(P298)+N(M299)-N(N299)</f>
        <v>-290.5</v>
      </c>
      <c r="Q299" s="48"/>
      <c r="R299" s="48"/>
      <c r="S299" s="48"/>
      <c r="T299" s="48"/>
    </row>
    <row r="300" customFormat="false" ht="15" hidden="false" customHeight="true" outlineLevel="0" collapsed="false">
      <c r="A300" s="51" t="str">
        <f aca="false">IFERROR(INDEX(K$6:K$401,MATCH(ROW()-5,J$6:J$401,0)),"")</f>
        <v/>
      </c>
      <c r="B300" s="56" t="str">
        <f aca="false">IFERROR(INDEX(L$6:L$401,MATCH(ROW()-5,J$6:J$401,0)),"")</f>
        <v/>
      </c>
      <c r="C300" s="52" t="str">
        <f aca="false">IFERROR(INDEX(M$6:M$401,MATCH(ROW()-5,J$6:J$401,0)),"")</f>
        <v/>
      </c>
      <c r="D300" s="52" t="str">
        <f aca="false">IFERROR(INDEX(N$6:N$401,MATCH(ROW()-5,J$6:J$401,0)),"")</f>
        <v/>
      </c>
      <c r="E300" s="56" t="str">
        <f aca="false">IFERROR(INDEX(O$6:O$401,MATCH(ROW()-5,J$6:J$401,0)),"")</f>
        <v/>
      </c>
      <c r="F300" s="52" t="str">
        <f aca="false">IFERROR(INDEX(P$6:P$401,MATCH(ROW()-5,J$6:J$401,0)),"")</f>
        <v/>
      </c>
      <c r="G300" s="48"/>
      <c r="H300" s="48"/>
      <c r="I300" s="48"/>
      <c r="J300" s="48" t="str">
        <f aca="false">IF(AND(MOVIMIENTOS!$B299&lt;&gt;"",NOT(AND(MOVIMIENTOS!$B299="PROCESO",MOVIMIENTOS!$C299&lt;&gt;"Chancho")),NOT(AND(MOVIMIENTOS!$B299="SALDO INICIAL",MOVIMIENTOS!$C299="Chancho"))),COUNT(J$6:J299)+1,"")</f>
        <v/>
      </c>
      <c r="K300" s="48" t="str">
        <f aca="false">IF(AND(MOVIMIENTOS!$B299&lt;&gt;"",NOT(AND(MOVIMIENTOS!$B299="PROCESO",MOVIMIENTOS!$C299&lt;&gt;"Chancho")),NOT(AND(MOVIMIENTOS!$B299="SALDO INICIAL",MOVIMIENTOS!$C299="Chancho"))),MOVIMIENTOS!$A299,"")</f>
        <v/>
      </c>
      <c r="L300" s="48" t="str">
        <f aca="false">IF(AND(MOVIMIENTOS!$B299&lt;&gt;"",NOT(AND(MOVIMIENTOS!$B299="PROCESO",MOVIMIENTOS!$C299&lt;&gt;"Chancho")),NOT(AND(MOVIMIENTOS!$B299="SALDO INICIAL",MOVIMIENTOS!$C299="Chancho"))),IF(MOVIMIENTOS!$B299="SALDO INICIAL","APERTURA ("&amp;MOVIMIENTOS!$C299&amp;")",IF(MOVIMIENTOS!$B299="COMPRA","INGRESO (compra)",IF(MOVIMIENTOS!$B299="PROCESO","CHANCHO (proceso)",IF(MOVIMIENTOS!$B299="ENVÍO A SUPESA","ENVÍO cal. "&amp;MOVIMIENTOS!$C299,IF(MOVIMIENTOS!$B299="VENTA CHANCHO","VENTA CHANCHO",IF(MOVIMIENTOS!$B299="VENTA","VENTA cal. "&amp;MOVIMIENTOS!$C299,IF(MOVIMIENTOS!$B299="REGALO","REGALO "&amp;MOVIMIENTOS!$C299,IF(MOVIMIENTOS!$B299="RECHAZO","RECHAZO cal. "&amp;MOVIMIENTOS!$C299&amp;" (va a reproceso)",IF(MOVIMIENTOS!$B299="DEVOLUCIÓN","DEVOLUCIÓN cal. "&amp;MOVIMIENTOS!$C299&amp;" (regresa intacta)",IF(MOVIMIENTOS!$B299="TRASIEGO","TRASIEGO cal. "&amp;MOVIMIENTOS!$C299,MOVIMIENTOS!$B299)))))))))),"")</f>
        <v/>
      </c>
      <c r="M300" s="48" t="str">
        <f aca="false">IF(AND(AND(MOVIMIENTOS!$B299&lt;&gt;"",NOT(AND(MOVIMIENTOS!$B299="PROCESO",MOVIMIENTOS!$C299&lt;&gt;"Chancho")),NOT(AND(MOVIMIENTOS!$B299="SALDO INICIAL",MOVIMIENTOS!$C299="Chancho"))),OR(MOVIMIENTOS!$B299="SALDO INICIAL",MOVIMIENTOS!$B299="COMPRA",MOVIMIENTOS!$B299="REPROCESO",MOVIMIENTOS!$B299="DEVOLUCIÓN",AND(MOVIMIENTOS!$B299="AJUSTE",MOVIMIENTOS!$C299&lt;&gt;"Chancho",N(MOVIMIENTOS!$F299)&gt;=0))),N(MOVIMIENTOS!$F299),"")</f>
        <v/>
      </c>
      <c r="N300" s="48" t="str">
        <f aca="false">IF(AND(AND(MOVIMIENTOS!$B299&lt;&gt;"",NOT(AND(MOVIMIENTOS!$B299="PROCESO",MOVIMIENTOS!$C299&lt;&gt;"Chancho")),NOT(AND(MOVIMIENTOS!$B299="SALDO INICIAL",MOVIMIENTOS!$C299="Chancho"))),OR(MOVIMIENTOS!$B299="ENVÍO A SUPESA",MOVIMIENTOS!$B299="MALOGRADO",MOVIMIENTOS!$B299="OTRA SALIDA",MOVIMIENTOS!$B299="TRASIEGO",AND(MOVIMIENTOS!$B299="PROCESO",MOVIMIENTOS!$C299="Chancho"),AND(MOVIMIENTOS!$B299="REGALO",MOVIMIENTOS!$C299&lt;&gt;"Chancho"),AND(MOVIMIENTOS!$B299="VENTA",MOVIMIENTOS!$C299&lt;&gt;"Chancho"),AND(MOVIMIENTOS!$B299="AJUSTE",MOVIMIENTOS!$C299&lt;&gt;"Chancho",N(MOVIMIENTOS!$F299)&lt;0))),IF(MOVIMIENTOS!$B299="AJUSTE",-N(MOVIMIENTOS!$F299),N(MOVIMIENTOS!$F299)),"")</f>
        <v/>
      </c>
      <c r="O300" s="48" t="str">
        <f aca="false">IF(AND(MOVIMIENTOS!$B299&lt;&gt;"",NOT(AND(MOVIMIENTOS!$B299="PROCESO",MOVIMIENTOS!$C299&lt;&gt;"Chancho")),NOT(AND(MOVIMIENTOS!$B299="SALDO INICIAL",MOVIMIENTOS!$C299="Chancho"))),IF(MOVIMIENTOS!$B299="RECHAZO",MOVIMIENTOS!$E299&amp;" jabas rechazadas · van a reproceso",IF(MOVIMIENTOS!$B299="REPROCESO",MOVIMIENTOS!$E299&amp;" kg recuperados (merma del día: "&amp;TEXT(SUMPRODUCT((MOVIMIENTOS!$A$5:$A$400=MOVIMIENTOS!$A299)*(MOVIMIENTOS!$B$5:$B$400="RECHAZO")*(MOVIMIENTOS!$D$5:$D$400="jabas")*MOVIMIENTOS!$E$5:$E$400*IFERROR(_xlfn.SWITCH(MOVIMIENTOS!$C$5:$C$400,"A",15,"P",18,"C",17,"M",17,0),0))-SUMPRODUCT((MOVIMIENTOS!$A$5:$A$400=MOVIMIENTOS!$A299)*(MOVIMIENTOS!$B$5:$B$400="REPROCESO")*MOVIMIENTOS!$I$5:$I$400),"+#,##0;-#,##0;0")&amp;" kg)",TRIM(IF(MOVIMIENTOS!$G299&lt;&gt;"",MOVIMIENTOS!$G299&amp;"  ","")&amp;IF(N(MOVIMIENTOS!$D299)&gt;0,MOVIMIENTOS!$D299&amp;" "&amp;MOVIMIENTOS!$D299,"")))),"")</f>
        <v/>
      </c>
      <c r="P300" s="48" t="n">
        <f aca="false">N(P299)+N(M300)-N(N300)</f>
        <v>-290.5</v>
      </c>
      <c r="Q300" s="48"/>
      <c r="R300" s="48"/>
      <c r="S300" s="48"/>
      <c r="T300" s="48"/>
    </row>
    <row r="301" customFormat="false" ht="15" hidden="false" customHeight="true" outlineLevel="0" collapsed="false">
      <c r="A301" s="51" t="str">
        <f aca="false">IFERROR(INDEX(K$6:K$401,MATCH(ROW()-5,J$6:J$401,0)),"")</f>
        <v/>
      </c>
      <c r="B301" s="56" t="str">
        <f aca="false">IFERROR(INDEX(L$6:L$401,MATCH(ROW()-5,J$6:J$401,0)),"")</f>
        <v/>
      </c>
      <c r="C301" s="52" t="str">
        <f aca="false">IFERROR(INDEX(M$6:M$401,MATCH(ROW()-5,J$6:J$401,0)),"")</f>
        <v/>
      </c>
      <c r="D301" s="52" t="str">
        <f aca="false">IFERROR(INDEX(N$6:N$401,MATCH(ROW()-5,J$6:J$401,0)),"")</f>
        <v/>
      </c>
      <c r="E301" s="56" t="str">
        <f aca="false">IFERROR(INDEX(O$6:O$401,MATCH(ROW()-5,J$6:J$401,0)),"")</f>
        <v/>
      </c>
      <c r="F301" s="52" t="str">
        <f aca="false">IFERROR(INDEX(P$6:P$401,MATCH(ROW()-5,J$6:J$401,0)),"")</f>
        <v/>
      </c>
      <c r="G301" s="48"/>
      <c r="H301" s="48"/>
      <c r="I301" s="48"/>
      <c r="J301" s="48" t="str">
        <f aca="false">IF(AND(MOVIMIENTOS!$B300&lt;&gt;"",NOT(AND(MOVIMIENTOS!$B300="PROCESO",MOVIMIENTOS!$C300&lt;&gt;"Chancho")),NOT(AND(MOVIMIENTOS!$B300="SALDO INICIAL",MOVIMIENTOS!$C300="Chancho"))),COUNT(J$6:J300)+1,"")</f>
        <v/>
      </c>
      <c r="K301" s="48" t="str">
        <f aca="false">IF(AND(MOVIMIENTOS!$B300&lt;&gt;"",NOT(AND(MOVIMIENTOS!$B300="PROCESO",MOVIMIENTOS!$C300&lt;&gt;"Chancho")),NOT(AND(MOVIMIENTOS!$B300="SALDO INICIAL",MOVIMIENTOS!$C300="Chancho"))),MOVIMIENTOS!$A300,"")</f>
        <v/>
      </c>
      <c r="L301" s="48" t="str">
        <f aca="false">IF(AND(MOVIMIENTOS!$B300&lt;&gt;"",NOT(AND(MOVIMIENTOS!$B300="PROCESO",MOVIMIENTOS!$C300&lt;&gt;"Chancho")),NOT(AND(MOVIMIENTOS!$B300="SALDO INICIAL",MOVIMIENTOS!$C300="Chancho"))),IF(MOVIMIENTOS!$B300="SALDO INICIAL","APERTURA ("&amp;MOVIMIENTOS!$C300&amp;")",IF(MOVIMIENTOS!$B300="COMPRA","INGRESO (compra)",IF(MOVIMIENTOS!$B300="PROCESO","CHANCHO (proceso)",IF(MOVIMIENTOS!$B300="ENVÍO A SUPESA","ENVÍO cal. "&amp;MOVIMIENTOS!$C300,IF(MOVIMIENTOS!$B300="VENTA CHANCHO","VENTA CHANCHO",IF(MOVIMIENTOS!$B300="VENTA","VENTA cal. "&amp;MOVIMIENTOS!$C300,IF(MOVIMIENTOS!$B300="REGALO","REGALO "&amp;MOVIMIENTOS!$C300,IF(MOVIMIENTOS!$B300="RECHAZO","RECHAZO cal. "&amp;MOVIMIENTOS!$C300&amp;" (va a reproceso)",IF(MOVIMIENTOS!$B300="DEVOLUCIÓN","DEVOLUCIÓN cal. "&amp;MOVIMIENTOS!$C300&amp;" (regresa intacta)",IF(MOVIMIENTOS!$B300="TRASIEGO","TRASIEGO cal. "&amp;MOVIMIENTOS!$C300,MOVIMIENTOS!$B300)))))))))),"")</f>
        <v/>
      </c>
      <c r="M301" s="48" t="str">
        <f aca="false">IF(AND(AND(MOVIMIENTOS!$B300&lt;&gt;"",NOT(AND(MOVIMIENTOS!$B300="PROCESO",MOVIMIENTOS!$C300&lt;&gt;"Chancho")),NOT(AND(MOVIMIENTOS!$B300="SALDO INICIAL",MOVIMIENTOS!$C300="Chancho"))),OR(MOVIMIENTOS!$B300="SALDO INICIAL",MOVIMIENTOS!$B300="COMPRA",MOVIMIENTOS!$B300="REPROCESO",MOVIMIENTOS!$B300="DEVOLUCIÓN",AND(MOVIMIENTOS!$B300="AJUSTE",MOVIMIENTOS!$C300&lt;&gt;"Chancho",N(MOVIMIENTOS!$F300)&gt;=0))),N(MOVIMIENTOS!$F300),"")</f>
        <v/>
      </c>
      <c r="N301" s="48" t="str">
        <f aca="false">IF(AND(AND(MOVIMIENTOS!$B300&lt;&gt;"",NOT(AND(MOVIMIENTOS!$B300="PROCESO",MOVIMIENTOS!$C300&lt;&gt;"Chancho")),NOT(AND(MOVIMIENTOS!$B300="SALDO INICIAL",MOVIMIENTOS!$C300="Chancho"))),OR(MOVIMIENTOS!$B300="ENVÍO A SUPESA",MOVIMIENTOS!$B300="MALOGRADO",MOVIMIENTOS!$B300="OTRA SALIDA",MOVIMIENTOS!$B300="TRASIEGO",AND(MOVIMIENTOS!$B300="PROCESO",MOVIMIENTOS!$C300="Chancho"),AND(MOVIMIENTOS!$B300="REGALO",MOVIMIENTOS!$C300&lt;&gt;"Chancho"),AND(MOVIMIENTOS!$B300="VENTA",MOVIMIENTOS!$C300&lt;&gt;"Chancho"),AND(MOVIMIENTOS!$B300="AJUSTE",MOVIMIENTOS!$C300&lt;&gt;"Chancho",N(MOVIMIENTOS!$F300)&lt;0))),IF(MOVIMIENTOS!$B300="AJUSTE",-N(MOVIMIENTOS!$F300),N(MOVIMIENTOS!$F300)),"")</f>
        <v/>
      </c>
      <c r="O301" s="48" t="str">
        <f aca="false">IF(AND(MOVIMIENTOS!$B300&lt;&gt;"",NOT(AND(MOVIMIENTOS!$B300="PROCESO",MOVIMIENTOS!$C300&lt;&gt;"Chancho")),NOT(AND(MOVIMIENTOS!$B300="SALDO INICIAL",MOVIMIENTOS!$C300="Chancho"))),IF(MOVIMIENTOS!$B300="RECHAZO",MOVIMIENTOS!$E300&amp;" jabas rechazadas · van a reproceso",IF(MOVIMIENTOS!$B300="REPROCESO",MOVIMIENTOS!$E300&amp;" kg recuperados (merma del día: "&amp;TEXT(SUMPRODUCT((MOVIMIENTOS!$A$5:$A$400=MOVIMIENTOS!$A300)*(MOVIMIENTOS!$B$5:$B$400="RECHAZO")*(MOVIMIENTOS!$D$5:$D$400="jabas")*MOVIMIENTOS!$E$5:$E$400*IFERROR(_xlfn.SWITCH(MOVIMIENTOS!$C$5:$C$400,"A",15,"P",18,"C",17,"M",17,0),0))-SUMPRODUCT((MOVIMIENTOS!$A$5:$A$400=MOVIMIENTOS!$A300)*(MOVIMIENTOS!$B$5:$B$400="REPROCESO")*MOVIMIENTOS!$I$5:$I$400),"+#,##0;-#,##0;0")&amp;" kg)",TRIM(IF(MOVIMIENTOS!$G300&lt;&gt;"",MOVIMIENTOS!$G300&amp;"  ","")&amp;IF(N(MOVIMIENTOS!$D300)&gt;0,MOVIMIENTOS!$D300&amp;" "&amp;MOVIMIENTOS!$D300,"")))),"")</f>
        <v/>
      </c>
      <c r="P301" s="48" t="n">
        <f aca="false">N(P300)+N(M301)-N(N301)</f>
        <v>-290.5</v>
      </c>
      <c r="Q301" s="48"/>
      <c r="R301" s="48"/>
      <c r="S301" s="48"/>
      <c r="T301" s="48"/>
    </row>
    <row r="302" customFormat="false" ht="15" hidden="false" customHeight="true" outlineLevel="0" collapsed="false">
      <c r="A302" s="51" t="str">
        <f aca="false">IFERROR(INDEX(K$6:K$401,MATCH(ROW()-5,J$6:J$401,0)),"")</f>
        <v/>
      </c>
      <c r="B302" s="56" t="str">
        <f aca="false">IFERROR(INDEX(L$6:L$401,MATCH(ROW()-5,J$6:J$401,0)),"")</f>
        <v/>
      </c>
      <c r="C302" s="52" t="str">
        <f aca="false">IFERROR(INDEX(M$6:M$401,MATCH(ROW()-5,J$6:J$401,0)),"")</f>
        <v/>
      </c>
      <c r="D302" s="52" t="str">
        <f aca="false">IFERROR(INDEX(N$6:N$401,MATCH(ROW()-5,J$6:J$401,0)),"")</f>
        <v/>
      </c>
      <c r="E302" s="56" t="str">
        <f aca="false">IFERROR(INDEX(O$6:O$401,MATCH(ROW()-5,J$6:J$401,0)),"")</f>
        <v/>
      </c>
      <c r="F302" s="52" t="str">
        <f aca="false">IFERROR(INDEX(P$6:P$401,MATCH(ROW()-5,J$6:J$401,0)),"")</f>
        <v/>
      </c>
      <c r="G302" s="48"/>
      <c r="H302" s="48"/>
      <c r="I302" s="48"/>
      <c r="J302" s="48" t="str">
        <f aca="false">IF(AND(MOVIMIENTOS!$B301&lt;&gt;"",NOT(AND(MOVIMIENTOS!$B301="PROCESO",MOVIMIENTOS!$C301&lt;&gt;"Chancho")),NOT(AND(MOVIMIENTOS!$B301="SALDO INICIAL",MOVIMIENTOS!$C301="Chancho"))),COUNT(J$6:J301)+1,"")</f>
        <v/>
      </c>
      <c r="K302" s="48" t="str">
        <f aca="false">IF(AND(MOVIMIENTOS!$B301&lt;&gt;"",NOT(AND(MOVIMIENTOS!$B301="PROCESO",MOVIMIENTOS!$C301&lt;&gt;"Chancho")),NOT(AND(MOVIMIENTOS!$B301="SALDO INICIAL",MOVIMIENTOS!$C301="Chancho"))),MOVIMIENTOS!$A301,"")</f>
        <v/>
      </c>
      <c r="L302" s="48" t="str">
        <f aca="false">IF(AND(MOVIMIENTOS!$B301&lt;&gt;"",NOT(AND(MOVIMIENTOS!$B301="PROCESO",MOVIMIENTOS!$C301&lt;&gt;"Chancho")),NOT(AND(MOVIMIENTOS!$B301="SALDO INICIAL",MOVIMIENTOS!$C301="Chancho"))),IF(MOVIMIENTOS!$B301="SALDO INICIAL","APERTURA ("&amp;MOVIMIENTOS!$C301&amp;")",IF(MOVIMIENTOS!$B301="COMPRA","INGRESO (compra)",IF(MOVIMIENTOS!$B301="PROCESO","CHANCHO (proceso)",IF(MOVIMIENTOS!$B301="ENVÍO A SUPESA","ENVÍO cal. "&amp;MOVIMIENTOS!$C301,IF(MOVIMIENTOS!$B301="VENTA CHANCHO","VENTA CHANCHO",IF(MOVIMIENTOS!$B301="VENTA","VENTA cal. "&amp;MOVIMIENTOS!$C301,IF(MOVIMIENTOS!$B301="REGALO","REGALO "&amp;MOVIMIENTOS!$C301,IF(MOVIMIENTOS!$B301="RECHAZO","RECHAZO cal. "&amp;MOVIMIENTOS!$C301&amp;" (va a reproceso)",IF(MOVIMIENTOS!$B301="DEVOLUCIÓN","DEVOLUCIÓN cal. "&amp;MOVIMIENTOS!$C301&amp;" (regresa intacta)",IF(MOVIMIENTOS!$B301="TRASIEGO","TRASIEGO cal. "&amp;MOVIMIENTOS!$C301,MOVIMIENTOS!$B301)))))))))),"")</f>
        <v/>
      </c>
      <c r="M302" s="48" t="str">
        <f aca="false">IF(AND(AND(MOVIMIENTOS!$B301&lt;&gt;"",NOT(AND(MOVIMIENTOS!$B301="PROCESO",MOVIMIENTOS!$C301&lt;&gt;"Chancho")),NOT(AND(MOVIMIENTOS!$B301="SALDO INICIAL",MOVIMIENTOS!$C301="Chancho"))),OR(MOVIMIENTOS!$B301="SALDO INICIAL",MOVIMIENTOS!$B301="COMPRA",MOVIMIENTOS!$B301="REPROCESO",MOVIMIENTOS!$B301="DEVOLUCIÓN",AND(MOVIMIENTOS!$B301="AJUSTE",MOVIMIENTOS!$C301&lt;&gt;"Chancho",N(MOVIMIENTOS!$F301)&gt;=0))),N(MOVIMIENTOS!$F301),"")</f>
        <v/>
      </c>
      <c r="N302" s="48" t="str">
        <f aca="false">IF(AND(AND(MOVIMIENTOS!$B301&lt;&gt;"",NOT(AND(MOVIMIENTOS!$B301="PROCESO",MOVIMIENTOS!$C301&lt;&gt;"Chancho")),NOT(AND(MOVIMIENTOS!$B301="SALDO INICIAL",MOVIMIENTOS!$C301="Chancho"))),OR(MOVIMIENTOS!$B301="ENVÍO A SUPESA",MOVIMIENTOS!$B301="MALOGRADO",MOVIMIENTOS!$B301="OTRA SALIDA",MOVIMIENTOS!$B301="TRASIEGO",AND(MOVIMIENTOS!$B301="PROCESO",MOVIMIENTOS!$C301="Chancho"),AND(MOVIMIENTOS!$B301="REGALO",MOVIMIENTOS!$C301&lt;&gt;"Chancho"),AND(MOVIMIENTOS!$B301="VENTA",MOVIMIENTOS!$C301&lt;&gt;"Chancho"),AND(MOVIMIENTOS!$B301="AJUSTE",MOVIMIENTOS!$C301&lt;&gt;"Chancho",N(MOVIMIENTOS!$F301)&lt;0))),IF(MOVIMIENTOS!$B301="AJUSTE",-N(MOVIMIENTOS!$F301),N(MOVIMIENTOS!$F301)),"")</f>
        <v/>
      </c>
      <c r="O302" s="48" t="str">
        <f aca="false">IF(AND(MOVIMIENTOS!$B301&lt;&gt;"",NOT(AND(MOVIMIENTOS!$B301="PROCESO",MOVIMIENTOS!$C301&lt;&gt;"Chancho")),NOT(AND(MOVIMIENTOS!$B301="SALDO INICIAL",MOVIMIENTOS!$C301="Chancho"))),IF(MOVIMIENTOS!$B301="RECHAZO",MOVIMIENTOS!$E301&amp;" jabas rechazadas · van a reproceso",IF(MOVIMIENTOS!$B301="REPROCESO",MOVIMIENTOS!$E301&amp;" kg recuperados (merma del día: "&amp;TEXT(SUMPRODUCT((MOVIMIENTOS!$A$5:$A$400=MOVIMIENTOS!$A301)*(MOVIMIENTOS!$B$5:$B$400="RECHAZO")*(MOVIMIENTOS!$D$5:$D$400="jabas")*MOVIMIENTOS!$E$5:$E$400*IFERROR(_xlfn.SWITCH(MOVIMIENTOS!$C$5:$C$400,"A",15,"P",18,"C",17,"M",17,0),0))-SUMPRODUCT((MOVIMIENTOS!$A$5:$A$400=MOVIMIENTOS!$A301)*(MOVIMIENTOS!$B$5:$B$400="REPROCESO")*MOVIMIENTOS!$I$5:$I$400),"+#,##0;-#,##0;0")&amp;" kg)",TRIM(IF(MOVIMIENTOS!$G301&lt;&gt;"",MOVIMIENTOS!$G301&amp;"  ","")&amp;IF(N(MOVIMIENTOS!$D301)&gt;0,MOVIMIENTOS!$D301&amp;" "&amp;MOVIMIENTOS!$D301,"")))),"")</f>
        <v/>
      </c>
      <c r="P302" s="48" t="n">
        <f aca="false">N(P301)+N(M302)-N(N302)</f>
        <v>-290.5</v>
      </c>
      <c r="Q302" s="48"/>
      <c r="R302" s="48"/>
      <c r="S302" s="48"/>
      <c r="T302" s="48"/>
    </row>
    <row r="303" customFormat="false" ht="15" hidden="false" customHeight="true" outlineLevel="0" collapsed="false">
      <c r="A303" s="51" t="str">
        <f aca="false">IFERROR(INDEX(K$6:K$401,MATCH(ROW()-5,J$6:J$401,0)),"")</f>
        <v/>
      </c>
      <c r="B303" s="56" t="str">
        <f aca="false">IFERROR(INDEX(L$6:L$401,MATCH(ROW()-5,J$6:J$401,0)),"")</f>
        <v/>
      </c>
      <c r="C303" s="52" t="str">
        <f aca="false">IFERROR(INDEX(M$6:M$401,MATCH(ROW()-5,J$6:J$401,0)),"")</f>
        <v/>
      </c>
      <c r="D303" s="52" t="str">
        <f aca="false">IFERROR(INDEX(N$6:N$401,MATCH(ROW()-5,J$6:J$401,0)),"")</f>
        <v/>
      </c>
      <c r="E303" s="56" t="str">
        <f aca="false">IFERROR(INDEX(O$6:O$401,MATCH(ROW()-5,J$6:J$401,0)),"")</f>
        <v/>
      </c>
      <c r="F303" s="52" t="str">
        <f aca="false">IFERROR(INDEX(P$6:P$401,MATCH(ROW()-5,J$6:J$401,0)),"")</f>
        <v/>
      </c>
      <c r="G303" s="48"/>
      <c r="H303" s="48"/>
      <c r="I303" s="48"/>
      <c r="J303" s="48" t="str">
        <f aca="false">IF(AND(MOVIMIENTOS!$B302&lt;&gt;"",NOT(AND(MOVIMIENTOS!$B302="PROCESO",MOVIMIENTOS!$C302&lt;&gt;"Chancho")),NOT(AND(MOVIMIENTOS!$B302="SALDO INICIAL",MOVIMIENTOS!$C302="Chancho"))),COUNT(J$6:J302)+1,"")</f>
        <v/>
      </c>
      <c r="K303" s="48" t="str">
        <f aca="false">IF(AND(MOVIMIENTOS!$B302&lt;&gt;"",NOT(AND(MOVIMIENTOS!$B302="PROCESO",MOVIMIENTOS!$C302&lt;&gt;"Chancho")),NOT(AND(MOVIMIENTOS!$B302="SALDO INICIAL",MOVIMIENTOS!$C302="Chancho"))),MOVIMIENTOS!$A302,"")</f>
        <v/>
      </c>
      <c r="L303" s="48" t="str">
        <f aca="false">IF(AND(MOVIMIENTOS!$B302&lt;&gt;"",NOT(AND(MOVIMIENTOS!$B302="PROCESO",MOVIMIENTOS!$C302&lt;&gt;"Chancho")),NOT(AND(MOVIMIENTOS!$B302="SALDO INICIAL",MOVIMIENTOS!$C302="Chancho"))),IF(MOVIMIENTOS!$B302="SALDO INICIAL","APERTURA ("&amp;MOVIMIENTOS!$C302&amp;")",IF(MOVIMIENTOS!$B302="COMPRA","INGRESO (compra)",IF(MOVIMIENTOS!$B302="PROCESO","CHANCHO (proceso)",IF(MOVIMIENTOS!$B302="ENVÍO A SUPESA","ENVÍO cal. "&amp;MOVIMIENTOS!$C302,IF(MOVIMIENTOS!$B302="VENTA CHANCHO","VENTA CHANCHO",IF(MOVIMIENTOS!$B302="VENTA","VENTA cal. "&amp;MOVIMIENTOS!$C302,IF(MOVIMIENTOS!$B302="REGALO","REGALO "&amp;MOVIMIENTOS!$C302,IF(MOVIMIENTOS!$B302="RECHAZO","RECHAZO cal. "&amp;MOVIMIENTOS!$C302&amp;" (va a reproceso)",IF(MOVIMIENTOS!$B302="DEVOLUCIÓN","DEVOLUCIÓN cal. "&amp;MOVIMIENTOS!$C302&amp;" (regresa intacta)",IF(MOVIMIENTOS!$B302="TRASIEGO","TRASIEGO cal. "&amp;MOVIMIENTOS!$C302,MOVIMIENTOS!$B302)))))))))),"")</f>
        <v/>
      </c>
      <c r="M303" s="48" t="str">
        <f aca="false">IF(AND(AND(MOVIMIENTOS!$B302&lt;&gt;"",NOT(AND(MOVIMIENTOS!$B302="PROCESO",MOVIMIENTOS!$C302&lt;&gt;"Chancho")),NOT(AND(MOVIMIENTOS!$B302="SALDO INICIAL",MOVIMIENTOS!$C302="Chancho"))),OR(MOVIMIENTOS!$B302="SALDO INICIAL",MOVIMIENTOS!$B302="COMPRA",MOVIMIENTOS!$B302="REPROCESO",MOVIMIENTOS!$B302="DEVOLUCIÓN",AND(MOVIMIENTOS!$B302="AJUSTE",MOVIMIENTOS!$C302&lt;&gt;"Chancho",N(MOVIMIENTOS!$F302)&gt;=0))),N(MOVIMIENTOS!$F302),"")</f>
        <v/>
      </c>
      <c r="N303" s="48" t="str">
        <f aca="false">IF(AND(AND(MOVIMIENTOS!$B302&lt;&gt;"",NOT(AND(MOVIMIENTOS!$B302="PROCESO",MOVIMIENTOS!$C302&lt;&gt;"Chancho")),NOT(AND(MOVIMIENTOS!$B302="SALDO INICIAL",MOVIMIENTOS!$C302="Chancho"))),OR(MOVIMIENTOS!$B302="ENVÍO A SUPESA",MOVIMIENTOS!$B302="MALOGRADO",MOVIMIENTOS!$B302="OTRA SALIDA",MOVIMIENTOS!$B302="TRASIEGO",AND(MOVIMIENTOS!$B302="PROCESO",MOVIMIENTOS!$C302="Chancho"),AND(MOVIMIENTOS!$B302="REGALO",MOVIMIENTOS!$C302&lt;&gt;"Chancho"),AND(MOVIMIENTOS!$B302="VENTA",MOVIMIENTOS!$C302&lt;&gt;"Chancho"),AND(MOVIMIENTOS!$B302="AJUSTE",MOVIMIENTOS!$C302&lt;&gt;"Chancho",N(MOVIMIENTOS!$F302)&lt;0))),IF(MOVIMIENTOS!$B302="AJUSTE",-N(MOVIMIENTOS!$F302),N(MOVIMIENTOS!$F302)),"")</f>
        <v/>
      </c>
      <c r="O303" s="48" t="str">
        <f aca="false">IF(AND(MOVIMIENTOS!$B302&lt;&gt;"",NOT(AND(MOVIMIENTOS!$B302="PROCESO",MOVIMIENTOS!$C302&lt;&gt;"Chancho")),NOT(AND(MOVIMIENTOS!$B302="SALDO INICIAL",MOVIMIENTOS!$C302="Chancho"))),IF(MOVIMIENTOS!$B302="RECHAZO",MOVIMIENTOS!$E302&amp;" jabas rechazadas · van a reproceso",IF(MOVIMIENTOS!$B302="REPROCESO",MOVIMIENTOS!$E302&amp;" kg recuperados (merma del día: "&amp;TEXT(SUMPRODUCT((MOVIMIENTOS!$A$5:$A$400=MOVIMIENTOS!$A302)*(MOVIMIENTOS!$B$5:$B$400="RECHAZO")*(MOVIMIENTOS!$D$5:$D$400="jabas")*MOVIMIENTOS!$E$5:$E$400*IFERROR(_xlfn.SWITCH(MOVIMIENTOS!$C$5:$C$400,"A",15,"P",18,"C",17,"M",17,0),0))-SUMPRODUCT((MOVIMIENTOS!$A$5:$A$400=MOVIMIENTOS!$A302)*(MOVIMIENTOS!$B$5:$B$400="REPROCESO")*MOVIMIENTOS!$I$5:$I$400),"+#,##0;-#,##0;0")&amp;" kg)",TRIM(IF(MOVIMIENTOS!$G302&lt;&gt;"",MOVIMIENTOS!$G302&amp;"  ","")&amp;IF(N(MOVIMIENTOS!$D302)&gt;0,MOVIMIENTOS!$D302&amp;" "&amp;MOVIMIENTOS!$D302,"")))),"")</f>
        <v/>
      </c>
      <c r="P303" s="48" t="n">
        <f aca="false">N(P302)+N(M303)-N(N303)</f>
        <v>-290.5</v>
      </c>
      <c r="Q303" s="48"/>
      <c r="R303" s="48"/>
      <c r="S303" s="48"/>
      <c r="T303" s="48"/>
    </row>
    <row r="304" customFormat="false" ht="15" hidden="false" customHeight="true" outlineLevel="0" collapsed="false">
      <c r="A304" s="51" t="str">
        <f aca="false">IFERROR(INDEX(K$6:K$401,MATCH(ROW()-5,J$6:J$401,0)),"")</f>
        <v/>
      </c>
      <c r="B304" s="56" t="str">
        <f aca="false">IFERROR(INDEX(L$6:L$401,MATCH(ROW()-5,J$6:J$401,0)),"")</f>
        <v/>
      </c>
      <c r="C304" s="52" t="str">
        <f aca="false">IFERROR(INDEX(M$6:M$401,MATCH(ROW()-5,J$6:J$401,0)),"")</f>
        <v/>
      </c>
      <c r="D304" s="52" t="str">
        <f aca="false">IFERROR(INDEX(N$6:N$401,MATCH(ROW()-5,J$6:J$401,0)),"")</f>
        <v/>
      </c>
      <c r="E304" s="56" t="str">
        <f aca="false">IFERROR(INDEX(O$6:O$401,MATCH(ROW()-5,J$6:J$401,0)),"")</f>
        <v/>
      </c>
      <c r="F304" s="52" t="str">
        <f aca="false">IFERROR(INDEX(P$6:P$401,MATCH(ROW()-5,J$6:J$401,0)),"")</f>
        <v/>
      </c>
      <c r="G304" s="48"/>
      <c r="H304" s="48"/>
      <c r="I304" s="48"/>
      <c r="J304" s="48" t="str">
        <f aca="false">IF(AND(MOVIMIENTOS!$B303&lt;&gt;"",NOT(AND(MOVIMIENTOS!$B303="PROCESO",MOVIMIENTOS!$C303&lt;&gt;"Chancho")),NOT(AND(MOVIMIENTOS!$B303="SALDO INICIAL",MOVIMIENTOS!$C303="Chancho"))),COUNT(J$6:J303)+1,"")</f>
        <v/>
      </c>
      <c r="K304" s="48" t="str">
        <f aca="false">IF(AND(MOVIMIENTOS!$B303&lt;&gt;"",NOT(AND(MOVIMIENTOS!$B303="PROCESO",MOVIMIENTOS!$C303&lt;&gt;"Chancho")),NOT(AND(MOVIMIENTOS!$B303="SALDO INICIAL",MOVIMIENTOS!$C303="Chancho"))),MOVIMIENTOS!$A303,"")</f>
        <v/>
      </c>
      <c r="L304" s="48" t="str">
        <f aca="false">IF(AND(MOVIMIENTOS!$B303&lt;&gt;"",NOT(AND(MOVIMIENTOS!$B303="PROCESO",MOVIMIENTOS!$C303&lt;&gt;"Chancho")),NOT(AND(MOVIMIENTOS!$B303="SALDO INICIAL",MOVIMIENTOS!$C303="Chancho"))),IF(MOVIMIENTOS!$B303="SALDO INICIAL","APERTURA ("&amp;MOVIMIENTOS!$C303&amp;")",IF(MOVIMIENTOS!$B303="COMPRA","INGRESO (compra)",IF(MOVIMIENTOS!$B303="PROCESO","CHANCHO (proceso)",IF(MOVIMIENTOS!$B303="ENVÍO A SUPESA","ENVÍO cal. "&amp;MOVIMIENTOS!$C303,IF(MOVIMIENTOS!$B303="VENTA CHANCHO","VENTA CHANCHO",IF(MOVIMIENTOS!$B303="VENTA","VENTA cal. "&amp;MOVIMIENTOS!$C303,IF(MOVIMIENTOS!$B303="REGALO","REGALO "&amp;MOVIMIENTOS!$C303,IF(MOVIMIENTOS!$B303="RECHAZO","RECHAZO cal. "&amp;MOVIMIENTOS!$C303&amp;" (va a reproceso)",IF(MOVIMIENTOS!$B303="DEVOLUCIÓN","DEVOLUCIÓN cal. "&amp;MOVIMIENTOS!$C303&amp;" (regresa intacta)",IF(MOVIMIENTOS!$B303="TRASIEGO","TRASIEGO cal. "&amp;MOVIMIENTOS!$C303,MOVIMIENTOS!$B303)))))))))),"")</f>
        <v/>
      </c>
      <c r="M304" s="48" t="str">
        <f aca="false">IF(AND(AND(MOVIMIENTOS!$B303&lt;&gt;"",NOT(AND(MOVIMIENTOS!$B303="PROCESO",MOVIMIENTOS!$C303&lt;&gt;"Chancho")),NOT(AND(MOVIMIENTOS!$B303="SALDO INICIAL",MOVIMIENTOS!$C303="Chancho"))),OR(MOVIMIENTOS!$B303="SALDO INICIAL",MOVIMIENTOS!$B303="COMPRA",MOVIMIENTOS!$B303="REPROCESO",MOVIMIENTOS!$B303="DEVOLUCIÓN",AND(MOVIMIENTOS!$B303="AJUSTE",MOVIMIENTOS!$C303&lt;&gt;"Chancho",N(MOVIMIENTOS!$F303)&gt;=0))),N(MOVIMIENTOS!$F303),"")</f>
        <v/>
      </c>
      <c r="N304" s="48" t="str">
        <f aca="false">IF(AND(AND(MOVIMIENTOS!$B303&lt;&gt;"",NOT(AND(MOVIMIENTOS!$B303="PROCESO",MOVIMIENTOS!$C303&lt;&gt;"Chancho")),NOT(AND(MOVIMIENTOS!$B303="SALDO INICIAL",MOVIMIENTOS!$C303="Chancho"))),OR(MOVIMIENTOS!$B303="ENVÍO A SUPESA",MOVIMIENTOS!$B303="MALOGRADO",MOVIMIENTOS!$B303="OTRA SALIDA",MOVIMIENTOS!$B303="TRASIEGO",AND(MOVIMIENTOS!$B303="PROCESO",MOVIMIENTOS!$C303="Chancho"),AND(MOVIMIENTOS!$B303="REGALO",MOVIMIENTOS!$C303&lt;&gt;"Chancho"),AND(MOVIMIENTOS!$B303="VENTA",MOVIMIENTOS!$C303&lt;&gt;"Chancho"),AND(MOVIMIENTOS!$B303="AJUSTE",MOVIMIENTOS!$C303&lt;&gt;"Chancho",N(MOVIMIENTOS!$F303)&lt;0))),IF(MOVIMIENTOS!$B303="AJUSTE",-N(MOVIMIENTOS!$F303),N(MOVIMIENTOS!$F303)),"")</f>
        <v/>
      </c>
      <c r="O304" s="48" t="str">
        <f aca="false">IF(AND(MOVIMIENTOS!$B303&lt;&gt;"",NOT(AND(MOVIMIENTOS!$B303="PROCESO",MOVIMIENTOS!$C303&lt;&gt;"Chancho")),NOT(AND(MOVIMIENTOS!$B303="SALDO INICIAL",MOVIMIENTOS!$C303="Chancho"))),IF(MOVIMIENTOS!$B303="RECHAZO",MOVIMIENTOS!$E303&amp;" jabas rechazadas · van a reproceso",IF(MOVIMIENTOS!$B303="REPROCESO",MOVIMIENTOS!$E303&amp;" kg recuperados (merma del día: "&amp;TEXT(SUMPRODUCT((MOVIMIENTOS!$A$5:$A$400=MOVIMIENTOS!$A303)*(MOVIMIENTOS!$B$5:$B$400="RECHAZO")*(MOVIMIENTOS!$D$5:$D$400="jabas")*MOVIMIENTOS!$E$5:$E$400*IFERROR(_xlfn.SWITCH(MOVIMIENTOS!$C$5:$C$400,"A",15,"P",18,"C",17,"M",17,0),0))-SUMPRODUCT((MOVIMIENTOS!$A$5:$A$400=MOVIMIENTOS!$A303)*(MOVIMIENTOS!$B$5:$B$400="REPROCESO")*MOVIMIENTOS!$I$5:$I$400),"+#,##0;-#,##0;0")&amp;" kg)",TRIM(IF(MOVIMIENTOS!$G303&lt;&gt;"",MOVIMIENTOS!$G303&amp;"  ","")&amp;IF(N(MOVIMIENTOS!$D303)&gt;0,MOVIMIENTOS!$D303&amp;" "&amp;MOVIMIENTOS!$D303,"")))),"")</f>
        <v/>
      </c>
      <c r="P304" s="48" t="n">
        <f aca="false">N(P303)+N(M304)-N(N304)</f>
        <v>-290.5</v>
      </c>
      <c r="Q304" s="48"/>
      <c r="R304" s="48"/>
      <c r="S304" s="48"/>
      <c r="T304" s="48"/>
    </row>
    <row r="305" customFormat="false" ht="15" hidden="false" customHeight="true" outlineLevel="0" collapsed="false">
      <c r="A305" s="51" t="str">
        <f aca="false">IFERROR(INDEX(K$6:K$401,MATCH(ROW()-5,J$6:J$401,0)),"")</f>
        <v/>
      </c>
      <c r="B305" s="56" t="str">
        <f aca="false">IFERROR(INDEX(L$6:L$401,MATCH(ROW()-5,J$6:J$401,0)),"")</f>
        <v/>
      </c>
      <c r="C305" s="52" t="str">
        <f aca="false">IFERROR(INDEX(M$6:M$401,MATCH(ROW()-5,J$6:J$401,0)),"")</f>
        <v/>
      </c>
      <c r="D305" s="52" t="str">
        <f aca="false">IFERROR(INDEX(N$6:N$401,MATCH(ROW()-5,J$6:J$401,0)),"")</f>
        <v/>
      </c>
      <c r="E305" s="56" t="str">
        <f aca="false">IFERROR(INDEX(O$6:O$401,MATCH(ROW()-5,J$6:J$401,0)),"")</f>
        <v/>
      </c>
      <c r="F305" s="52" t="str">
        <f aca="false">IFERROR(INDEX(P$6:P$401,MATCH(ROW()-5,J$6:J$401,0)),"")</f>
        <v/>
      </c>
      <c r="G305" s="48"/>
      <c r="H305" s="48"/>
      <c r="I305" s="48"/>
      <c r="J305" s="48" t="str">
        <f aca="false">IF(AND(MOVIMIENTOS!$B304&lt;&gt;"",NOT(AND(MOVIMIENTOS!$B304="PROCESO",MOVIMIENTOS!$C304&lt;&gt;"Chancho")),NOT(AND(MOVIMIENTOS!$B304="SALDO INICIAL",MOVIMIENTOS!$C304="Chancho"))),COUNT(J$6:J304)+1,"")</f>
        <v/>
      </c>
      <c r="K305" s="48" t="str">
        <f aca="false">IF(AND(MOVIMIENTOS!$B304&lt;&gt;"",NOT(AND(MOVIMIENTOS!$B304="PROCESO",MOVIMIENTOS!$C304&lt;&gt;"Chancho")),NOT(AND(MOVIMIENTOS!$B304="SALDO INICIAL",MOVIMIENTOS!$C304="Chancho"))),MOVIMIENTOS!$A304,"")</f>
        <v/>
      </c>
      <c r="L305" s="48" t="str">
        <f aca="false">IF(AND(MOVIMIENTOS!$B304&lt;&gt;"",NOT(AND(MOVIMIENTOS!$B304="PROCESO",MOVIMIENTOS!$C304&lt;&gt;"Chancho")),NOT(AND(MOVIMIENTOS!$B304="SALDO INICIAL",MOVIMIENTOS!$C304="Chancho"))),IF(MOVIMIENTOS!$B304="SALDO INICIAL","APERTURA ("&amp;MOVIMIENTOS!$C304&amp;")",IF(MOVIMIENTOS!$B304="COMPRA","INGRESO (compra)",IF(MOVIMIENTOS!$B304="PROCESO","CHANCHO (proceso)",IF(MOVIMIENTOS!$B304="ENVÍO A SUPESA","ENVÍO cal. "&amp;MOVIMIENTOS!$C304,IF(MOVIMIENTOS!$B304="VENTA CHANCHO","VENTA CHANCHO",IF(MOVIMIENTOS!$B304="VENTA","VENTA cal. "&amp;MOVIMIENTOS!$C304,IF(MOVIMIENTOS!$B304="REGALO","REGALO "&amp;MOVIMIENTOS!$C304,IF(MOVIMIENTOS!$B304="RECHAZO","RECHAZO cal. "&amp;MOVIMIENTOS!$C304&amp;" (va a reproceso)",IF(MOVIMIENTOS!$B304="DEVOLUCIÓN","DEVOLUCIÓN cal. "&amp;MOVIMIENTOS!$C304&amp;" (regresa intacta)",IF(MOVIMIENTOS!$B304="TRASIEGO","TRASIEGO cal. "&amp;MOVIMIENTOS!$C304,MOVIMIENTOS!$B304)))))))))),"")</f>
        <v/>
      </c>
      <c r="M305" s="48" t="str">
        <f aca="false">IF(AND(AND(MOVIMIENTOS!$B304&lt;&gt;"",NOT(AND(MOVIMIENTOS!$B304="PROCESO",MOVIMIENTOS!$C304&lt;&gt;"Chancho")),NOT(AND(MOVIMIENTOS!$B304="SALDO INICIAL",MOVIMIENTOS!$C304="Chancho"))),OR(MOVIMIENTOS!$B304="SALDO INICIAL",MOVIMIENTOS!$B304="COMPRA",MOVIMIENTOS!$B304="REPROCESO",MOVIMIENTOS!$B304="DEVOLUCIÓN",AND(MOVIMIENTOS!$B304="AJUSTE",MOVIMIENTOS!$C304&lt;&gt;"Chancho",N(MOVIMIENTOS!$F304)&gt;=0))),N(MOVIMIENTOS!$F304),"")</f>
        <v/>
      </c>
      <c r="N305" s="48" t="str">
        <f aca="false">IF(AND(AND(MOVIMIENTOS!$B304&lt;&gt;"",NOT(AND(MOVIMIENTOS!$B304="PROCESO",MOVIMIENTOS!$C304&lt;&gt;"Chancho")),NOT(AND(MOVIMIENTOS!$B304="SALDO INICIAL",MOVIMIENTOS!$C304="Chancho"))),OR(MOVIMIENTOS!$B304="ENVÍO A SUPESA",MOVIMIENTOS!$B304="MALOGRADO",MOVIMIENTOS!$B304="OTRA SALIDA",MOVIMIENTOS!$B304="TRASIEGO",AND(MOVIMIENTOS!$B304="PROCESO",MOVIMIENTOS!$C304="Chancho"),AND(MOVIMIENTOS!$B304="REGALO",MOVIMIENTOS!$C304&lt;&gt;"Chancho"),AND(MOVIMIENTOS!$B304="VENTA",MOVIMIENTOS!$C304&lt;&gt;"Chancho"),AND(MOVIMIENTOS!$B304="AJUSTE",MOVIMIENTOS!$C304&lt;&gt;"Chancho",N(MOVIMIENTOS!$F304)&lt;0))),IF(MOVIMIENTOS!$B304="AJUSTE",-N(MOVIMIENTOS!$F304),N(MOVIMIENTOS!$F304)),"")</f>
        <v/>
      </c>
      <c r="O305" s="48" t="str">
        <f aca="false">IF(AND(MOVIMIENTOS!$B304&lt;&gt;"",NOT(AND(MOVIMIENTOS!$B304="PROCESO",MOVIMIENTOS!$C304&lt;&gt;"Chancho")),NOT(AND(MOVIMIENTOS!$B304="SALDO INICIAL",MOVIMIENTOS!$C304="Chancho"))),IF(MOVIMIENTOS!$B304="RECHAZO",MOVIMIENTOS!$E304&amp;" jabas rechazadas · van a reproceso",IF(MOVIMIENTOS!$B304="REPROCESO",MOVIMIENTOS!$E304&amp;" kg recuperados (merma del día: "&amp;TEXT(SUMPRODUCT((MOVIMIENTOS!$A$5:$A$400=MOVIMIENTOS!$A304)*(MOVIMIENTOS!$B$5:$B$400="RECHAZO")*(MOVIMIENTOS!$D$5:$D$400="jabas")*MOVIMIENTOS!$E$5:$E$400*IFERROR(_xlfn.SWITCH(MOVIMIENTOS!$C$5:$C$400,"A",15,"P",18,"C",17,"M",17,0),0))-SUMPRODUCT((MOVIMIENTOS!$A$5:$A$400=MOVIMIENTOS!$A304)*(MOVIMIENTOS!$B$5:$B$400="REPROCESO")*MOVIMIENTOS!$I$5:$I$400),"+#,##0;-#,##0;0")&amp;" kg)",TRIM(IF(MOVIMIENTOS!$G304&lt;&gt;"",MOVIMIENTOS!$G304&amp;"  ","")&amp;IF(N(MOVIMIENTOS!$D304)&gt;0,MOVIMIENTOS!$D304&amp;" "&amp;MOVIMIENTOS!$D304,"")))),"")</f>
        <v/>
      </c>
      <c r="P305" s="48" t="n">
        <f aca="false">N(P304)+N(M305)-N(N305)</f>
        <v>-290.5</v>
      </c>
      <c r="Q305" s="48"/>
      <c r="R305" s="48"/>
      <c r="S305" s="48"/>
      <c r="T305" s="48"/>
    </row>
    <row r="306" customFormat="false" ht="15" hidden="false" customHeight="true" outlineLevel="0" collapsed="false">
      <c r="A306" s="51" t="str">
        <f aca="false">IFERROR(INDEX(K$6:K$401,MATCH(ROW()-5,J$6:J$401,0)),"")</f>
        <v/>
      </c>
      <c r="B306" s="56" t="str">
        <f aca="false">IFERROR(INDEX(L$6:L$401,MATCH(ROW()-5,J$6:J$401,0)),"")</f>
        <v/>
      </c>
      <c r="C306" s="52" t="str">
        <f aca="false">IFERROR(INDEX(M$6:M$401,MATCH(ROW()-5,J$6:J$401,0)),"")</f>
        <v/>
      </c>
      <c r="D306" s="52" t="str">
        <f aca="false">IFERROR(INDEX(N$6:N$401,MATCH(ROW()-5,J$6:J$401,0)),"")</f>
        <v/>
      </c>
      <c r="E306" s="56" t="str">
        <f aca="false">IFERROR(INDEX(O$6:O$401,MATCH(ROW()-5,J$6:J$401,0)),"")</f>
        <v/>
      </c>
      <c r="F306" s="52" t="str">
        <f aca="false">IFERROR(INDEX(P$6:P$401,MATCH(ROW()-5,J$6:J$401,0)),"")</f>
        <v/>
      </c>
      <c r="G306" s="48"/>
      <c r="H306" s="48"/>
      <c r="I306" s="48"/>
      <c r="J306" s="48" t="str">
        <f aca="false">IF(AND(MOVIMIENTOS!$B305&lt;&gt;"",NOT(AND(MOVIMIENTOS!$B305="PROCESO",MOVIMIENTOS!$C305&lt;&gt;"Chancho")),NOT(AND(MOVIMIENTOS!$B305="SALDO INICIAL",MOVIMIENTOS!$C305="Chancho"))),COUNT(J$6:J305)+1,"")</f>
        <v/>
      </c>
      <c r="K306" s="48" t="str">
        <f aca="false">IF(AND(MOVIMIENTOS!$B305&lt;&gt;"",NOT(AND(MOVIMIENTOS!$B305="PROCESO",MOVIMIENTOS!$C305&lt;&gt;"Chancho")),NOT(AND(MOVIMIENTOS!$B305="SALDO INICIAL",MOVIMIENTOS!$C305="Chancho"))),MOVIMIENTOS!$A305,"")</f>
        <v/>
      </c>
      <c r="L306" s="48" t="str">
        <f aca="false">IF(AND(MOVIMIENTOS!$B305&lt;&gt;"",NOT(AND(MOVIMIENTOS!$B305="PROCESO",MOVIMIENTOS!$C305&lt;&gt;"Chancho")),NOT(AND(MOVIMIENTOS!$B305="SALDO INICIAL",MOVIMIENTOS!$C305="Chancho"))),IF(MOVIMIENTOS!$B305="SALDO INICIAL","APERTURA ("&amp;MOVIMIENTOS!$C305&amp;")",IF(MOVIMIENTOS!$B305="COMPRA","INGRESO (compra)",IF(MOVIMIENTOS!$B305="PROCESO","CHANCHO (proceso)",IF(MOVIMIENTOS!$B305="ENVÍO A SUPESA","ENVÍO cal. "&amp;MOVIMIENTOS!$C305,IF(MOVIMIENTOS!$B305="VENTA CHANCHO","VENTA CHANCHO",IF(MOVIMIENTOS!$B305="VENTA","VENTA cal. "&amp;MOVIMIENTOS!$C305,IF(MOVIMIENTOS!$B305="REGALO","REGALO "&amp;MOVIMIENTOS!$C305,IF(MOVIMIENTOS!$B305="RECHAZO","RECHAZO cal. "&amp;MOVIMIENTOS!$C305&amp;" (va a reproceso)",IF(MOVIMIENTOS!$B305="DEVOLUCIÓN","DEVOLUCIÓN cal. "&amp;MOVIMIENTOS!$C305&amp;" (regresa intacta)",IF(MOVIMIENTOS!$B305="TRASIEGO","TRASIEGO cal. "&amp;MOVIMIENTOS!$C305,MOVIMIENTOS!$B305)))))))))),"")</f>
        <v/>
      </c>
      <c r="M306" s="48" t="str">
        <f aca="false">IF(AND(AND(MOVIMIENTOS!$B305&lt;&gt;"",NOT(AND(MOVIMIENTOS!$B305="PROCESO",MOVIMIENTOS!$C305&lt;&gt;"Chancho")),NOT(AND(MOVIMIENTOS!$B305="SALDO INICIAL",MOVIMIENTOS!$C305="Chancho"))),OR(MOVIMIENTOS!$B305="SALDO INICIAL",MOVIMIENTOS!$B305="COMPRA",MOVIMIENTOS!$B305="REPROCESO",MOVIMIENTOS!$B305="DEVOLUCIÓN",AND(MOVIMIENTOS!$B305="AJUSTE",MOVIMIENTOS!$C305&lt;&gt;"Chancho",N(MOVIMIENTOS!$F305)&gt;=0))),N(MOVIMIENTOS!$F305),"")</f>
        <v/>
      </c>
      <c r="N306" s="48" t="str">
        <f aca="false">IF(AND(AND(MOVIMIENTOS!$B305&lt;&gt;"",NOT(AND(MOVIMIENTOS!$B305="PROCESO",MOVIMIENTOS!$C305&lt;&gt;"Chancho")),NOT(AND(MOVIMIENTOS!$B305="SALDO INICIAL",MOVIMIENTOS!$C305="Chancho"))),OR(MOVIMIENTOS!$B305="ENVÍO A SUPESA",MOVIMIENTOS!$B305="MALOGRADO",MOVIMIENTOS!$B305="OTRA SALIDA",MOVIMIENTOS!$B305="TRASIEGO",AND(MOVIMIENTOS!$B305="PROCESO",MOVIMIENTOS!$C305="Chancho"),AND(MOVIMIENTOS!$B305="REGALO",MOVIMIENTOS!$C305&lt;&gt;"Chancho"),AND(MOVIMIENTOS!$B305="VENTA",MOVIMIENTOS!$C305&lt;&gt;"Chancho"),AND(MOVIMIENTOS!$B305="AJUSTE",MOVIMIENTOS!$C305&lt;&gt;"Chancho",N(MOVIMIENTOS!$F305)&lt;0))),IF(MOVIMIENTOS!$B305="AJUSTE",-N(MOVIMIENTOS!$F305),N(MOVIMIENTOS!$F305)),"")</f>
        <v/>
      </c>
      <c r="O306" s="48" t="str">
        <f aca="false">IF(AND(MOVIMIENTOS!$B305&lt;&gt;"",NOT(AND(MOVIMIENTOS!$B305="PROCESO",MOVIMIENTOS!$C305&lt;&gt;"Chancho")),NOT(AND(MOVIMIENTOS!$B305="SALDO INICIAL",MOVIMIENTOS!$C305="Chancho"))),IF(MOVIMIENTOS!$B305="RECHAZO",MOVIMIENTOS!$E305&amp;" jabas rechazadas · van a reproceso",IF(MOVIMIENTOS!$B305="REPROCESO",MOVIMIENTOS!$E305&amp;" kg recuperados (merma del día: "&amp;TEXT(SUMPRODUCT((MOVIMIENTOS!$A$5:$A$400=MOVIMIENTOS!$A305)*(MOVIMIENTOS!$B$5:$B$400="RECHAZO")*(MOVIMIENTOS!$D$5:$D$400="jabas")*MOVIMIENTOS!$E$5:$E$400*IFERROR(_xlfn.SWITCH(MOVIMIENTOS!$C$5:$C$400,"A",15,"P",18,"C",17,"M",17,0),0))-SUMPRODUCT((MOVIMIENTOS!$A$5:$A$400=MOVIMIENTOS!$A305)*(MOVIMIENTOS!$B$5:$B$400="REPROCESO")*MOVIMIENTOS!$I$5:$I$400),"+#,##0;-#,##0;0")&amp;" kg)",TRIM(IF(MOVIMIENTOS!$G305&lt;&gt;"",MOVIMIENTOS!$G305&amp;"  ","")&amp;IF(N(MOVIMIENTOS!$D305)&gt;0,MOVIMIENTOS!$D305&amp;" "&amp;MOVIMIENTOS!$D305,"")))),"")</f>
        <v/>
      </c>
      <c r="P306" s="48" t="n">
        <f aca="false">N(P305)+N(M306)-N(N306)</f>
        <v>-290.5</v>
      </c>
      <c r="Q306" s="48"/>
      <c r="R306" s="48"/>
      <c r="S306" s="48"/>
      <c r="T306" s="48"/>
    </row>
    <row r="307" customFormat="false" ht="15" hidden="false" customHeight="true" outlineLevel="0" collapsed="false">
      <c r="A307" s="51" t="str">
        <f aca="false">IFERROR(INDEX(K$6:K$401,MATCH(ROW()-5,J$6:J$401,0)),"")</f>
        <v/>
      </c>
      <c r="B307" s="56" t="str">
        <f aca="false">IFERROR(INDEX(L$6:L$401,MATCH(ROW()-5,J$6:J$401,0)),"")</f>
        <v/>
      </c>
      <c r="C307" s="52" t="str">
        <f aca="false">IFERROR(INDEX(M$6:M$401,MATCH(ROW()-5,J$6:J$401,0)),"")</f>
        <v/>
      </c>
      <c r="D307" s="52" t="str">
        <f aca="false">IFERROR(INDEX(N$6:N$401,MATCH(ROW()-5,J$6:J$401,0)),"")</f>
        <v/>
      </c>
      <c r="E307" s="56" t="str">
        <f aca="false">IFERROR(INDEX(O$6:O$401,MATCH(ROW()-5,J$6:J$401,0)),"")</f>
        <v/>
      </c>
      <c r="F307" s="52" t="str">
        <f aca="false">IFERROR(INDEX(P$6:P$401,MATCH(ROW()-5,J$6:J$401,0)),"")</f>
        <v/>
      </c>
      <c r="G307" s="48"/>
      <c r="H307" s="48"/>
      <c r="I307" s="48"/>
      <c r="J307" s="48" t="str">
        <f aca="false">IF(AND(MOVIMIENTOS!$B306&lt;&gt;"",NOT(AND(MOVIMIENTOS!$B306="PROCESO",MOVIMIENTOS!$C306&lt;&gt;"Chancho")),NOT(AND(MOVIMIENTOS!$B306="SALDO INICIAL",MOVIMIENTOS!$C306="Chancho"))),COUNT(J$6:J306)+1,"")</f>
        <v/>
      </c>
      <c r="K307" s="48" t="str">
        <f aca="false">IF(AND(MOVIMIENTOS!$B306&lt;&gt;"",NOT(AND(MOVIMIENTOS!$B306="PROCESO",MOVIMIENTOS!$C306&lt;&gt;"Chancho")),NOT(AND(MOVIMIENTOS!$B306="SALDO INICIAL",MOVIMIENTOS!$C306="Chancho"))),MOVIMIENTOS!$A306,"")</f>
        <v/>
      </c>
      <c r="L307" s="48" t="str">
        <f aca="false">IF(AND(MOVIMIENTOS!$B306&lt;&gt;"",NOT(AND(MOVIMIENTOS!$B306="PROCESO",MOVIMIENTOS!$C306&lt;&gt;"Chancho")),NOT(AND(MOVIMIENTOS!$B306="SALDO INICIAL",MOVIMIENTOS!$C306="Chancho"))),IF(MOVIMIENTOS!$B306="SALDO INICIAL","APERTURA ("&amp;MOVIMIENTOS!$C306&amp;")",IF(MOVIMIENTOS!$B306="COMPRA","INGRESO (compra)",IF(MOVIMIENTOS!$B306="PROCESO","CHANCHO (proceso)",IF(MOVIMIENTOS!$B306="ENVÍO A SUPESA","ENVÍO cal. "&amp;MOVIMIENTOS!$C306,IF(MOVIMIENTOS!$B306="VENTA CHANCHO","VENTA CHANCHO",IF(MOVIMIENTOS!$B306="VENTA","VENTA cal. "&amp;MOVIMIENTOS!$C306,IF(MOVIMIENTOS!$B306="REGALO","REGALO "&amp;MOVIMIENTOS!$C306,IF(MOVIMIENTOS!$B306="RECHAZO","RECHAZO cal. "&amp;MOVIMIENTOS!$C306&amp;" (va a reproceso)",IF(MOVIMIENTOS!$B306="DEVOLUCIÓN","DEVOLUCIÓN cal. "&amp;MOVIMIENTOS!$C306&amp;" (regresa intacta)",IF(MOVIMIENTOS!$B306="TRASIEGO","TRASIEGO cal. "&amp;MOVIMIENTOS!$C306,MOVIMIENTOS!$B306)))))))))),"")</f>
        <v/>
      </c>
      <c r="M307" s="48" t="str">
        <f aca="false">IF(AND(AND(MOVIMIENTOS!$B306&lt;&gt;"",NOT(AND(MOVIMIENTOS!$B306="PROCESO",MOVIMIENTOS!$C306&lt;&gt;"Chancho")),NOT(AND(MOVIMIENTOS!$B306="SALDO INICIAL",MOVIMIENTOS!$C306="Chancho"))),OR(MOVIMIENTOS!$B306="SALDO INICIAL",MOVIMIENTOS!$B306="COMPRA",MOVIMIENTOS!$B306="REPROCESO",MOVIMIENTOS!$B306="DEVOLUCIÓN",AND(MOVIMIENTOS!$B306="AJUSTE",MOVIMIENTOS!$C306&lt;&gt;"Chancho",N(MOVIMIENTOS!$F306)&gt;=0))),N(MOVIMIENTOS!$F306),"")</f>
        <v/>
      </c>
      <c r="N307" s="48" t="str">
        <f aca="false">IF(AND(AND(MOVIMIENTOS!$B306&lt;&gt;"",NOT(AND(MOVIMIENTOS!$B306="PROCESO",MOVIMIENTOS!$C306&lt;&gt;"Chancho")),NOT(AND(MOVIMIENTOS!$B306="SALDO INICIAL",MOVIMIENTOS!$C306="Chancho"))),OR(MOVIMIENTOS!$B306="ENVÍO A SUPESA",MOVIMIENTOS!$B306="MALOGRADO",MOVIMIENTOS!$B306="OTRA SALIDA",MOVIMIENTOS!$B306="TRASIEGO",AND(MOVIMIENTOS!$B306="PROCESO",MOVIMIENTOS!$C306="Chancho"),AND(MOVIMIENTOS!$B306="REGALO",MOVIMIENTOS!$C306&lt;&gt;"Chancho"),AND(MOVIMIENTOS!$B306="VENTA",MOVIMIENTOS!$C306&lt;&gt;"Chancho"),AND(MOVIMIENTOS!$B306="AJUSTE",MOVIMIENTOS!$C306&lt;&gt;"Chancho",N(MOVIMIENTOS!$F306)&lt;0))),IF(MOVIMIENTOS!$B306="AJUSTE",-N(MOVIMIENTOS!$F306),N(MOVIMIENTOS!$F306)),"")</f>
        <v/>
      </c>
      <c r="O307" s="48" t="str">
        <f aca="false">IF(AND(MOVIMIENTOS!$B306&lt;&gt;"",NOT(AND(MOVIMIENTOS!$B306="PROCESO",MOVIMIENTOS!$C306&lt;&gt;"Chancho")),NOT(AND(MOVIMIENTOS!$B306="SALDO INICIAL",MOVIMIENTOS!$C306="Chancho"))),IF(MOVIMIENTOS!$B306="RECHAZO",MOVIMIENTOS!$E306&amp;" jabas rechazadas · van a reproceso",IF(MOVIMIENTOS!$B306="REPROCESO",MOVIMIENTOS!$E306&amp;" kg recuperados (merma del día: "&amp;TEXT(SUMPRODUCT((MOVIMIENTOS!$A$5:$A$400=MOVIMIENTOS!$A306)*(MOVIMIENTOS!$B$5:$B$400="RECHAZO")*(MOVIMIENTOS!$D$5:$D$400="jabas")*MOVIMIENTOS!$E$5:$E$400*IFERROR(_xlfn.SWITCH(MOVIMIENTOS!$C$5:$C$400,"A",15,"P",18,"C",17,"M",17,0),0))-SUMPRODUCT((MOVIMIENTOS!$A$5:$A$400=MOVIMIENTOS!$A306)*(MOVIMIENTOS!$B$5:$B$400="REPROCESO")*MOVIMIENTOS!$I$5:$I$400),"+#,##0;-#,##0;0")&amp;" kg)",TRIM(IF(MOVIMIENTOS!$G306&lt;&gt;"",MOVIMIENTOS!$G306&amp;"  ","")&amp;IF(N(MOVIMIENTOS!$D306)&gt;0,MOVIMIENTOS!$D306&amp;" "&amp;MOVIMIENTOS!$D306,"")))),"")</f>
        <v/>
      </c>
      <c r="P307" s="48" t="n">
        <f aca="false">N(P306)+N(M307)-N(N307)</f>
        <v>-290.5</v>
      </c>
      <c r="Q307" s="48"/>
      <c r="R307" s="48"/>
      <c r="S307" s="48"/>
      <c r="T307" s="48"/>
    </row>
    <row r="308" customFormat="false" ht="15" hidden="false" customHeight="true" outlineLevel="0" collapsed="false">
      <c r="A308" s="51" t="str">
        <f aca="false">IFERROR(INDEX(K$6:K$401,MATCH(ROW()-5,J$6:J$401,0)),"")</f>
        <v/>
      </c>
      <c r="B308" s="56" t="str">
        <f aca="false">IFERROR(INDEX(L$6:L$401,MATCH(ROW()-5,J$6:J$401,0)),"")</f>
        <v/>
      </c>
      <c r="C308" s="52" t="str">
        <f aca="false">IFERROR(INDEX(M$6:M$401,MATCH(ROW()-5,J$6:J$401,0)),"")</f>
        <v/>
      </c>
      <c r="D308" s="52" t="str">
        <f aca="false">IFERROR(INDEX(N$6:N$401,MATCH(ROW()-5,J$6:J$401,0)),"")</f>
        <v/>
      </c>
      <c r="E308" s="56" t="str">
        <f aca="false">IFERROR(INDEX(O$6:O$401,MATCH(ROW()-5,J$6:J$401,0)),"")</f>
        <v/>
      </c>
      <c r="F308" s="52" t="str">
        <f aca="false">IFERROR(INDEX(P$6:P$401,MATCH(ROW()-5,J$6:J$401,0)),"")</f>
        <v/>
      </c>
      <c r="G308" s="48"/>
      <c r="H308" s="48"/>
      <c r="I308" s="48"/>
      <c r="J308" s="48" t="str">
        <f aca="false">IF(AND(MOVIMIENTOS!$B307&lt;&gt;"",NOT(AND(MOVIMIENTOS!$B307="PROCESO",MOVIMIENTOS!$C307&lt;&gt;"Chancho")),NOT(AND(MOVIMIENTOS!$B307="SALDO INICIAL",MOVIMIENTOS!$C307="Chancho"))),COUNT(J$6:J307)+1,"")</f>
        <v/>
      </c>
      <c r="K308" s="48" t="str">
        <f aca="false">IF(AND(MOVIMIENTOS!$B307&lt;&gt;"",NOT(AND(MOVIMIENTOS!$B307="PROCESO",MOVIMIENTOS!$C307&lt;&gt;"Chancho")),NOT(AND(MOVIMIENTOS!$B307="SALDO INICIAL",MOVIMIENTOS!$C307="Chancho"))),MOVIMIENTOS!$A307,"")</f>
        <v/>
      </c>
      <c r="L308" s="48" t="str">
        <f aca="false">IF(AND(MOVIMIENTOS!$B307&lt;&gt;"",NOT(AND(MOVIMIENTOS!$B307="PROCESO",MOVIMIENTOS!$C307&lt;&gt;"Chancho")),NOT(AND(MOVIMIENTOS!$B307="SALDO INICIAL",MOVIMIENTOS!$C307="Chancho"))),IF(MOVIMIENTOS!$B307="SALDO INICIAL","APERTURA ("&amp;MOVIMIENTOS!$C307&amp;")",IF(MOVIMIENTOS!$B307="COMPRA","INGRESO (compra)",IF(MOVIMIENTOS!$B307="PROCESO","CHANCHO (proceso)",IF(MOVIMIENTOS!$B307="ENVÍO A SUPESA","ENVÍO cal. "&amp;MOVIMIENTOS!$C307,IF(MOVIMIENTOS!$B307="VENTA CHANCHO","VENTA CHANCHO",IF(MOVIMIENTOS!$B307="VENTA","VENTA cal. "&amp;MOVIMIENTOS!$C307,IF(MOVIMIENTOS!$B307="REGALO","REGALO "&amp;MOVIMIENTOS!$C307,IF(MOVIMIENTOS!$B307="RECHAZO","RECHAZO cal. "&amp;MOVIMIENTOS!$C307&amp;" (va a reproceso)",IF(MOVIMIENTOS!$B307="DEVOLUCIÓN","DEVOLUCIÓN cal. "&amp;MOVIMIENTOS!$C307&amp;" (regresa intacta)",IF(MOVIMIENTOS!$B307="TRASIEGO","TRASIEGO cal. "&amp;MOVIMIENTOS!$C307,MOVIMIENTOS!$B307)))))))))),"")</f>
        <v/>
      </c>
      <c r="M308" s="48" t="str">
        <f aca="false">IF(AND(AND(MOVIMIENTOS!$B307&lt;&gt;"",NOT(AND(MOVIMIENTOS!$B307="PROCESO",MOVIMIENTOS!$C307&lt;&gt;"Chancho")),NOT(AND(MOVIMIENTOS!$B307="SALDO INICIAL",MOVIMIENTOS!$C307="Chancho"))),OR(MOVIMIENTOS!$B307="SALDO INICIAL",MOVIMIENTOS!$B307="COMPRA",MOVIMIENTOS!$B307="REPROCESO",MOVIMIENTOS!$B307="DEVOLUCIÓN",AND(MOVIMIENTOS!$B307="AJUSTE",MOVIMIENTOS!$C307&lt;&gt;"Chancho",N(MOVIMIENTOS!$F307)&gt;=0))),N(MOVIMIENTOS!$F307),"")</f>
        <v/>
      </c>
      <c r="N308" s="48" t="str">
        <f aca="false">IF(AND(AND(MOVIMIENTOS!$B307&lt;&gt;"",NOT(AND(MOVIMIENTOS!$B307="PROCESO",MOVIMIENTOS!$C307&lt;&gt;"Chancho")),NOT(AND(MOVIMIENTOS!$B307="SALDO INICIAL",MOVIMIENTOS!$C307="Chancho"))),OR(MOVIMIENTOS!$B307="ENVÍO A SUPESA",MOVIMIENTOS!$B307="MALOGRADO",MOVIMIENTOS!$B307="OTRA SALIDA",MOVIMIENTOS!$B307="TRASIEGO",AND(MOVIMIENTOS!$B307="PROCESO",MOVIMIENTOS!$C307="Chancho"),AND(MOVIMIENTOS!$B307="REGALO",MOVIMIENTOS!$C307&lt;&gt;"Chancho"),AND(MOVIMIENTOS!$B307="VENTA",MOVIMIENTOS!$C307&lt;&gt;"Chancho"),AND(MOVIMIENTOS!$B307="AJUSTE",MOVIMIENTOS!$C307&lt;&gt;"Chancho",N(MOVIMIENTOS!$F307)&lt;0))),IF(MOVIMIENTOS!$B307="AJUSTE",-N(MOVIMIENTOS!$F307),N(MOVIMIENTOS!$F307)),"")</f>
        <v/>
      </c>
      <c r="O308" s="48" t="str">
        <f aca="false">IF(AND(MOVIMIENTOS!$B307&lt;&gt;"",NOT(AND(MOVIMIENTOS!$B307="PROCESO",MOVIMIENTOS!$C307&lt;&gt;"Chancho")),NOT(AND(MOVIMIENTOS!$B307="SALDO INICIAL",MOVIMIENTOS!$C307="Chancho"))),IF(MOVIMIENTOS!$B307="RECHAZO",MOVIMIENTOS!$E307&amp;" jabas rechazadas · van a reproceso",IF(MOVIMIENTOS!$B307="REPROCESO",MOVIMIENTOS!$E307&amp;" kg recuperados (merma del día: "&amp;TEXT(SUMPRODUCT((MOVIMIENTOS!$A$5:$A$400=MOVIMIENTOS!$A307)*(MOVIMIENTOS!$B$5:$B$400="RECHAZO")*(MOVIMIENTOS!$D$5:$D$400="jabas")*MOVIMIENTOS!$E$5:$E$400*IFERROR(_xlfn.SWITCH(MOVIMIENTOS!$C$5:$C$400,"A",15,"P",18,"C",17,"M",17,0),0))-SUMPRODUCT((MOVIMIENTOS!$A$5:$A$400=MOVIMIENTOS!$A307)*(MOVIMIENTOS!$B$5:$B$400="REPROCESO")*MOVIMIENTOS!$I$5:$I$400),"+#,##0;-#,##0;0")&amp;" kg)",TRIM(IF(MOVIMIENTOS!$G307&lt;&gt;"",MOVIMIENTOS!$G307&amp;"  ","")&amp;IF(N(MOVIMIENTOS!$D307)&gt;0,MOVIMIENTOS!$D307&amp;" "&amp;MOVIMIENTOS!$D307,"")))),"")</f>
        <v/>
      </c>
      <c r="P308" s="48" t="n">
        <f aca="false">N(P307)+N(M308)-N(N308)</f>
        <v>-290.5</v>
      </c>
      <c r="Q308" s="48"/>
      <c r="R308" s="48"/>
      <c r="S308" s="48"/>
      <c r="T308" s="48"/>
    </row>
    <row r="309" customFormat="false" ht="15" hidden="false" customHeight="true" outlineLevel="0" collapsed="false">
      <c r="A309" s="51" t="str">
        <f aca="false">IFERROR(INDEX(K$6:K$401,MATCH(ROW()-5,J$6:J$401,0)),"")</f>
        <v/>
      </c>
      <c r="B309" s="56" t="str">
        <f aca="false">IFERROR(INDEX(L$6:L$401,MATCH(ROW()-5,J$6:J$401,0)),"")</f>
        <v/>
      </c>
      <c r="C309" s="52" t="str">
        <f aca="false">IFERROR(INDEX(M$6:M$401,MATCH(ROW()-5,J$6:J$401,0)),"")</f>
        <v/>
      </c>
      <c r="D309" s="52" t="str">
        <f aca="false">IFERROR(INDEX(N$6:N$401,MATCH(ROW()-5,J$6:J$401,0)),"")</f>
        <v/>
      </c>
      <c r="E309" s="56" t="str">
        <f aca="false">IFERROR(INDEX(O$6:O$401,MATCH(ROW()-5,J$6:J$401,0)),"")</f>
        <v/>
      </c>
      <c r="F309" s="52" t="str">
        <f aca="false">IFERROR(INDEX(P$6:P$401,MATCH(ROW()-5,J$6:J$401,0)),"")</f>
        <v/>
      </c>
      <c r="G309" s="48"/>
      <c r="H309" s="48"/>
      <c r="I309" s="48"/>
      <c r="J309" s="48" t="str">
        <f aca="false">IF(AND(MOVIMIENTOS!$B308&lt;&gt;"",NOT(AND(MOVIMIENTOS!$B308="PROCESO",MOVIMIENTOS!$C308&lt;&gt;"Chancho")),NOT(AND(MOVIMIENTOS!$B308="SALDO INICIAL",MOVIMIENTOS!$C308="Chancho"))),COUNT(J$6:J308)+1,"")</f>
        <v/>
      </c>
      <c r="K309" s="48" t="str">
        <f aca="false">IF(AND(MOVIMIENTOS!$B308&lt;&gt;"",NOT(AND(MOVIMIENTOS!$B308="PROCESO",MOVIMIENTOS!$C308&lt;&gt;"Chancho")),NOT(AND(MOVIMIENTOS!$B308="SALDO INICIAL",MOVIMIENTOS!$C308="Chancho"))),MOVIMIENTOS!$A308,"")</f>
        <v/>
      </c>
      <c r="L309" s="48" t="str">
        <f aca="false">IF(AND(MOVIMIENTOS!$B308&lt;&gt;"",NOT(AND(MOVIMIENTOS!$B308="PROCESO",MOVIMIENTOS!$C308&lt;&gt;"Chancho")),NOT(AND(MOVIMIENTOS!$B308="SALDO INICIAL",MOVIMIENTOS!$C308="Chancho"))),IF(MOVIMIENTOS!$B308="SALDO INICIAL","APERTURA ("&amp;MOVIMIENTOS!$C308&amp;")",IF(MOVIMIENTOS!$B308="COMPRA","INGRESO (compra)",IF(MOVIMIENTOS!$B308="PROCESO","CHANCHO (proceso)",IF(MOVIMIENTOS!$B308="ENVÍO A SUPESA","ENVÍO cal. "&amp;MOVIMIENTOS!$C308,IF(MOVIMIENTOS!$B308="VENTA CHANCHO","VENTA CHANCHO",IF(MOVIMIENTOS!$B308="VENTA","VENTA cal. "&amp;MOVIMIENTOS!$C308,IF(MOVIMIENTOS!$B308="REGALO","REGALO "&amp;MOVIMIENTOS!$C308,IF(MOVIMIENTOS!$B308="RECHAZO","RECHAZO cal. "&amp;MOVIMIENTOS!$C308&amp;" (va a reproceso)",IF(MOVIMIENTOS!$B308="DEVOLUCIÓN","DEVOLUCIÓN cal. "&amp;MOVIMIENTOS!$C308&amp;" (regresa intacta)",IF(MOVIMIENTOS!$B308="TRASIEGO","TRASIEGO cal. "&amp;MOVIMIENTOS!$C308,MOVIMIENTOS!$B308)))))))))),"")</f>
        <v/>
      </c>
      <c r="M309" s="48" t="str">
        <f aca="false">IF(AND(AND(MOVIMIENTOS!$B308&lt;&gt;"",NOT(AND(MOVIMIENTOS!$B308="PROCESO",MOVIMIENTOS!$C308&lt;&gt;"Chancho")),NOT(AND(MOVIMIENTOS!$B308="SALDO INICIAL",MOVIMIENTOS!$C308="Chancho"))),OR(MOVIMIENTOS!$B308="SALDO INICIAL",MOVIMIENTOS!$B308="COMPRA",MOVIMIENTOS!$B308="REPROCESO",MOVIMIENTOS!$B308="DEVOLUCIÓN",AND(MOVIMIENTOS!$B308="AJUSTE",MOVIMIENTOS!$C308&lt;&gt;"Chancho",N(MOVIMIENTOS!$F308)&gt;=0))),N(MOVIMIENTOS!$F308),"")</f>
        <v/>
      </c>
      <c r="N309" s="48" t="str">
        <f aca="false">IF(AND(AND(MOVIMIENTOS!$B308&lt;&gt;"",NOT(AND(MOVIMIENTOS!$B308="PROCESO",MOVIMIENTOS!$C308&lt;&gt;"Chancho")),NOT(AND(MOVIMIENTOS!$B308="SALDO INICIAL",MOVIMIENTOS!$C308="Chancho"))),OR(MOVIMIENTOS!$B308="ENVÍO A SUPESA",MOVIMIENTOS!$B308="MALOGRADO",MOVIMIENTOS!$B308="OTRA SALIDA",MOVIMIENTOS!$B308="TRASIEGO",AND(MOVIMIENTOS!$B308="PROCESO",MOVIMIENTOS!$C308="Chancho"),AND(MOVIMIENTOS!$B308="REGALO",MOVIMIENTOS!$C308&lt;&gt;"Chancho"),AND(MOVIMIENTOS!$B308="VENTA",MOVIMIENTOS!$C308&lt;&gt;"Chancho"),AND(MOVIMIENTOS!$B308="AJUSTE",MOVIMIENTOS!$C308&lt;&gt;"Chancho",N(MOVIMIENTOS!$F308)&lt;0))),IF(MOVIMIENTOS!$B308="AJUSTE",-N(MOVIMIENTOS!$F308),N(MOVIMIENTOS!$F308)),"")</f>
        <v/>
      </c>
      <c r="O309" s="48" t="str">
        <f aca="false">IF(AND(MOVIMIENTOS!$B308&lt;&gt;"",NOT(AND(MOVIMIENTOS!$B308="PROCESO",MOVIMIENTOS!$C308&lt;&gt;"Chancho")),NOT(AND(MOVIMIENTOS!$B308="SALDO INICIAL",MOVIMIENTOS!$C308="Chancho"))),IF(MOVIMIENTOS!$B308="RECHAZO",MOVIMIENTOS!$E308&amp;" jabas rechazadas · van a reproceso",IF(MOVIMIENTOS!$B308="REPROCESO",MOVIMIENTOS!$E308&amp;" kg recuperados (merma del día: "&amp;TEXT(SUMPRODUCT((MOVIMIENTOS!$A$5:$A$400=MOVIMIENTOS!$A308)*(MOVIMIENTOS!$B$5:$B$400="RECHAZO")*(MOVIMIENTOS!$D$5:$D$400="jabas")*MOVIMIENTOS!$E$5:$E$400*IFERROR(_xlfn.SWITCH(MOVIMIENTOS!$C$5:$C$400,"A",15,"P",18,"C",17,"M",17,0),0))-SUMPRODUCT((MOVIMIENTOS!$A$5:$A$400=MOVIMIENTOS!$A308)*(MOVIMIENTOS!$B$5:$B$400="REPROCESO")*MOVIMIENTOS!$I$5:$I$400),"+#,##0;-#,##0;0")&amp;" kg)",TRIM(IF(MOVIMIENTOS!$G308&lt;&gt;"",MOVIMIENTOS!$G308&amp;"  ","")&amp;IF(N(MOVIMIENTOS!$D308)&gt;0,MOVIMIENTOS!$D308&amp;" "&amp;MOVIMIENTOS!$D308,"")))),"")</f>
        <v/>
      </c>
      <c r="P309" s="48" t="n">
        <f aca="false">N(P308)+N(M309)-N(N309)</f>
        <v>-290.5</v>
      </c>
      <c r="Q309" s="48"/>
      <c r="R309" s="48"/>
      <c r="S309" s="48"/>
      <c r="T309" s="48"/>
    </row>
    <row r="310" customFormat="false" ht="15" hidden="false" customHeight="true" outlineLevel="0" collapsed="false">
      <c r="A310" s="51" t="str">
        <f aca="false">IFERROR(INDEX(K$6:K$401,MATCH(ROW()-5,J$6:J$401,0)),"")</f>
        <v/>
      </c>
      <c r="B310" s="56" t="str">
        <f aca="false">IFERROR(INDEX(L$6:L$401,MATCH(ROW()-5,J$6:J$401,0)),"")</f>
        <v/>
      </c>
      <c r="C310" s="52" t="str">
        <f aca="false">IFERROR(INDEX(M$6:M$401,MATCH(ROW()-5,J$6:J$401,0)),"")</f>
        <v/>
      </c>
      <c r="D310" s="52" t="str">
        <f aca="false">IFERROR(INDEX(N$6:N$401,MATCH(ROW()-5,J$6:J$401,0)),"")</f>
        <v/>
      </c>
      <c r="E310" s="56" t="str">
        <f aca="false">IFERROR(INDEX(O$6:O$401,MATCH(ROW()-5,J$6:J$401,0)),"")</f>
        <v/>
      </c>
      <c r="F310" s="52" t="str">
        <f aca="false">IFERROR(INDEX(P$6:P$401,MATCH(ROW()-5,J$6:J$401,0)),"")</f>
        <v/>
      </c>
      <c r="G310" s="48"/>
      <c r="H310" s="48"/>
      <c r="I310" s="48"/>
      <c r="J310" s="48" t="str">
        <f aca="false">IF(AND(MOVIMIENTOS!$B309&lt;&gt;"",NOT(AND(MOVIMIENTOS!$B309="PROCESO",MOVIMIENTOS!$C309&lt;&gt;"Chancho")),NOT(AND(MOVIMIENTOS!$B309="SALDO INICIAL",MOVIMIENTOS!$C309="Chancho"))),COUNT(J$6:J309)+1,"")</f>
        <v/>
      </c>
      <c r="K310" s="48" t="str">
        <f aca="false">IF(AND(MOVIMIENTOS!$B309&lt;&gt;"",NOT(AND(MOVIMIENTOS!$B309="PROCESO",MOVIMIENTOS!$C309&lt;&gt;"Chancho")),NOT(AND(MOVIMIENTOS!$B309="SALDO INICIAL",MOVIMIENTOS!$C309="Chancho"))),MOVIMIENTOS!$A309,"")</f>
        <v/>
      </c>
      <c r="L310" s="48" t="str">
        <f aca="false">IF(AND(MOVIMIENTOS!$B309&lt;&gt;"",NOT(AND(MOVIMIENTOS!$B309="PROCESO",MOVIMIENTOS!$C309&lt;&gt;"Chancho")),NOT(AND(MOVIMIENTOS!$B309="SALDO INICIAL",MOVIMIENTOS!$C309="Chancho"))),IF(MOVIMIENTOS!$B309="SALDO INICIAL","APERTURA ("&amp;MOVIMIENTOS!$C309&amp;")",IF(MOVIMIENTOS!$B309="COMPRA","INGRESO (compra)",IF(MOVIMIENTOS!$B309="PROCESO","CHANCHO (proceso)",IF(MOVIMIENTOS!$B309="ENVÍO A SUPESA","ENVÍO cal. "&amp;MOVIMIENTOS!$C309,IF(MOVIMIENTOS!$B309="VENTA CHANCHO","VENTA CHANCHO",IF(MOVIMIENTOS!$B309="VENTA","VENTA cal. "&amp;MOVIMIENTOS!$C309,IF(MOVIMIENTOS!$B309="REGALO","REGALO "&amp;MOVIMIENTOS!$C309,IF(MOVIMIENTOS!$B309="RECHAZO","RECHAZO cal. "&amp;MOVIMIENTOS!$C309&amp;" (va a reproceso)",IF(MOVIMIENTOS!$B309="DEVOLUCIÓN","DEVOLUCIÓN cal. "&amp;MOVIMIENTOS!$C309&amp;" (regresa intacta)",IF(MOVIMIENTOS!$B309="TRASIEGO","TRASIEGO cal. "&amp;MOVIMIENTOS!$C309,MOVIMIENTOS!$B309)))))))))),"")</f>
        <v/>
      </c>
      <c r="M310" s="48" t="str">
        <f aca="false">IF(AND(AND(MOVIMIENTOS!$B309&lt;&gt;"",NOT(AND(MOVIMIENTOS!$B309="PROCESO",MOVIMIENTOS!$C309&lt;&gt;"Chancho")),NOT(AND(MOVIMIENTOS!$B309="SALDO INICIAL",MOVIMIENTOS!$C309="Chancho"))),OR(MOVIMIENTOS!$B309="SALDO INICIAL",MOVIMIENTOS!$B309="COMPRA",MOVIMIENTOS!$B309="REPROCESO",MOVIMIENTOS!$B309="DEVOLUCIÓN",AND(MOVIMIENTOS!$B309="AJUSTE",MOVIMIENTOS!$C309&lt;&gt;"Chancho",N(MOVIMIENTOS!$F309)&gt;=0))),N(MOVIMIENTOS!$F309),"")</f>
        <v/>
      </c>
      <c r="N310" s="48" t="str">
        <f aca="false">IF(AND(AND(MOVIMIENTOS!$B309&lt;&gt;"",NOT(AND(MOVIMIENTOS!$B309="PROCESO",MOVIMIENTOS!$C309&lt;&gt;"Chancho")),NOT(AND(MOVIMIENTOS!$B309="SALDO INICIAL",MOVIMIENTOS!$C309="Chancho"))),OR(MOVIMIENTOS!$B309="ENVÍO A SUPESA",MOVIMIENTOS!$B309="MALOGRADO",MOVIMIENTOS!$B309="OTRA SALIDA",MOVIMIENTOS!$B309="TRASIEGO",AND(MOVIMIENTOS!$B309="PROCESO",MOVIMIENTOS!$C309="Chancho"),AND(MOVIMIENTOS!$B309="REGALO",MOVIMIENTOS!$C309&lt;&gt;"Chancho"),AND(MOVIMIENTOS!$B309="VENTA",MOVIMIENTOS!$C309&lt;&gt;"Chancho"),AND(MOVIMIENTOS!$B309="AJUSTE",MOVIMIENTOS!$C309&lt;&gt;"Chancho",N(MOVIMIENTOS!$F309)&lt;0))),IF(MOVIMIENTOS!$B309="AJUSTE",-N(MOVIMIENTOS!$F309),N(MOVIMIENTOS!$F309)),"")</f>
        <v/>
      </c>
      <c r="O310" s="48" t="str">
        <f aca="false">IF(AND(MOVIMIENTOS!$B309&lt;&gt;"",NOT(AND(MOVIMIENTOS!$B309="PROCESO",MOVIMIENTOS!$C309&lt;&gt;"Chancho")),NOT(AND(MOVIMIENTOS!$B309="SALDO INICIAL",MOVIMIENTOS!$C309="Chancho"))),IF(MOVIMIENTOS!$B309="RECHAZO",MOVIMIENTOS!$E309&amp;" jabas rechazadas · van a reproceso",IF(MOVIMIENTOS!$B309="REPROCESO",MOVIMIENTOS!$E309&amp;" kg recuperados (merma del día: "&amp;TEXT(SUMPRODUCT((MOVIMIENTOS!$A$5:$A$400=MOVIMIENTOS!$A309)*(MOVIMIENTOS!$B$5:$B$400="RECHAZO")*(MOVIMIENTOS!$D$5:$D$400="jabas")*MOVIMIENTOS!$E$5:$E$400*IFERROR(_xlfn.SWITCH(MOVIMIENTOS!$C$5:$C$400,"A",15,"P",18,"C",17,"M",17,0),0))-SUMPRODUCT((MOVIMIENTOS!$A$5:$A$400=MOVIMIENTOS!$A309)*(MOVIMIENTOS!$B$5:$B$400="REPROCESO")*MOVIMIENTOS!$I$5:$I$400),"+#,##0;-#,##0;0")&amp;" kg)",TRIM(IF(MOVIMIENTOS!$G309&lt;&gt;"",MOVIMIENTOS!$G309&amp;"  ","")&amp;IF(N(MOVIMIENTOS!$D309)&gt;0,MOVIMIENTOS!$D309&amp;" "&amp;MOVIMIENTOS!$D309,"")))),"")</f>
        <v/>
      </c>
      <c r="P310" s="48" t="n">
        <f aca="false">N(P309)+N(M310)-N(N310)</f>
        <v>-290.5</v>
      </c>
      <c r="Q310" s="48"/>
      <c r="R310" s="48"/>
      <c r="S310" s="48"/>
      <c r="T310" s="48"/>
    </row>
    <row r="311" customFormat="false" ht="15" hidden="false" customHeight="true" outlineLevel="0" collapsed="false">
      <c r="A311" s="51" t="str">
        <f aca="false">IFERROR(INDEX(K$6:K$401,MATCH(ROW()-5,J$6:J$401,0)),"")</f>
        <v/>
      </c>
      <c r="B311" s="56" t="str">
        <f aca="false">IFERROR(INDEX(L$6:L$401,MATCH(ROW()-5,J$6:J$401,0)),"")</f>
        <v/>
      </c>
      <c r="C311" s="52" t="str">
        <f aca="false">IFERROR(INDEX(M$6:M$401,MATCH(ROW()-5,J$6:J$401,0)),"")</f>
        <v/>
      </c>
      <c r="D311" s="52" t="str">
        <f aca="false">IFERROR(INDEX(N$6:N$401,MATCH(ROW()-5,J$6:J$401,0)),"")</f>
        <v/>
      </c>
      <c r="E311" s="56" t="str">
        <f aca="false">IFERROR(INDEX(O$6:O$401,MATCH(ROW()-5,J$6:J$401,0)),"")</f>
        <v/>
      </c>
      <c r="F311" s="52" t="str">
        <f aca="false">IFERROR(INDEX(P$6:P$401,MATCH(ROW()-5,J$6:J$401,0)),"")</f>
        <v/>
      </c>
      <c r="G311" s="48"/>
      <c r="H311" s="48"/>
      <c r="I311" s="48"/>
      <c r="J311" s="48" t="str">
        <f aca="false">IF(AND(MOVIMIENTOS!$B310&lt;&gt;"",NOT(AND(MOVIMIENTOS!$B310="PROCESO",MOVIMIENTOS!$C310&lt;&gt;"Chancho")),NOT(AND(MOVIMIENTOS!$B310="SALDO INICIAL",MOVIMIENTOS!$C310="Chancho"))),COUNT(J$6:J310)+1,"")</f>
        <v/>
      </c>
      <c r="K311" s="48" t="str">
        <f aca="false">IF(AND(MOVIMIENTOS!$B310&lt;&gt;"",NOT(AND(MOVIMIENTOS!$B310="PROCESO",MOVIMIENTOS!$C310&lt;&gt;"Chancho")),NOT(AND(MOVIMIENTOS!$B310="SALDO INICIAL",MOVIMIENTOS!$C310="Chancho"))),MOVIMIENTOS!$A310,"")</f>
        <v/>
      </c>
      <c r="L311" s="48" t="str">
        <f aca="false">IF(AND(MOVIMIENTOS!$B310&lt;&gt;"",NOT(AND(MOVIMIENTOS!$B310="PROCESO",MOVIMIENTOS!$C310&lt;&gt;"Chancho")),NOT(AND(MOVIMIENTOS!$B310="SALDO INICIAL",MOVIMIENTOS!$C310="Chancho"))),IF(MOVIMIENTOS!$B310="SALDO INICIAL","APERTURA ("&amp;MOVIMIENTOS!$C310&amp;")",IF(MOVIMIENTOS!$B310="COMPRA","INGRESO (compra)",IF(MOVIMIENTOS!$B310="PROCESO","CHANCHO (proceso)",IF(MOVIMIENTOS!$B310="ENVÍO A SUPESA","ENVÍO cal. "&amp;MOVIMIENTOS!$C310,IF(MOVIMIENTOS!$B310="VENTA CHANCHO","VENTA CHANCHO",IF(MOVIMIENTOS!$B310="VENTA","VENTA cal. "&amp;MOVIMIENTOS!$C310,IF(MOVIMIENTOS!$B310="REGALO","REGALO "&amp;MOVIMIENTOS!$C310,IF(MOVIMIENTOS!$B310="RECHAZO","RECHAZO cal. "&amp;MOVIMIENTOS!$C310&amp;" (va a reproceso)",IF(MOVIMIENTOS!$B310="DEVOLUCIÓN","DEVOLUCIÓN cal. "&amp;MOVIMIENTOS!$C310&amp;" (regresa intacta)",IF(MOVIMIENTOS!$B310="TRASIEGO","TRASIEGO cal. "&amp;MOVIMIENTOS!$C310,MOVIMIENTOS!$B310)))))))))),"")</f>
        <v/>
      </c>
      <c r="M311" s="48" t="str">
        <f aca="false">IF(AND(AND(MOVIMIENTOS!$B310&lt;&gt;"",NOT(AND(MOVIMIENTOS!$B310="PROCESO",MOVIMIENTOS!$C310&lt;&gt;"Chancho")),NOT(AND(MOVIMIENTOS!$B310="SALDO INICIAL",MOVIMIENTOS!$C310="Chancho"))),OR(MOVIMIENTOS!$B310="SALDO INICIAL",MOVIMIENTOS!$B310="COMPRA",MOVIMIENTOS!$B310="REPROCESO",MOVIMIENTOS!$B310="DEVOLUCIÓN",AND(MOVIMIENTOS!$B310="AJUSTE",MOVIMIENTOS!$C310&lt;&gt;"Chancho",N(MOVIMIENTOS!$F310)&gt;=0))),N(MOVIMIENTOS!$F310),"")</f>
        <v/>
      </c>
      <c r="N311" s="48" t="str">
        <f aca="false">IF(AND(AND(MOVIMIENTOS!$B310&lt;&gt;"",NOT(AND(MOVIMIENTOS!$B310="PROCESO",MOVIMIENTOS!$C310&lt;&gt;"Chancho")),NOT(AND(MOVIMIENTOS!$B310="SALDO INICIAL",MOVIMIENTOS!$C310="Chancho"))),OR(MOVIMIENTOS!$B310="ENVÍO A SUPESA",MOVIMIENTOS!$B310="MALOGRADO",MOVIMIENTOS!$B310="OTRA SALIDA",MOVIMIENTOS!$B310="TRASIEGO",AND(MOVIMIENTOS!$B310="PROCESO",MOVIMIENTOS!$C310="Chancho"),AND(MOVIMIENTOS!$B310="REGALO",MOVIMIENTOS!$C310&lt;&gt;"Chancho"),AND(MOVIMIENTOS!$B310="VENTA",MOVIMIENTOS!$C310&lt;&gt;"Chancho"),AND(MOVIMIENTOS!$B310="AJUSTE",MOVIMIENTOS!$C310&lt;&gt;"Chancho",N(MOVIMIENTOS!$F310)&lt;0))),IF(MOVIMIENTOS!$B310="AJUSTE",-N(MOVIMIENTOS!$F310),N(MOVIMIENTOS!$F310)),"")</f>
        <v/>
      </c>
      <c r="O311" s="48" t="str">
        <f aca="false">IF(AND(MOVIMIENTOS!$B310&lt;&gt;"",NOT(AND(MOVIMIENTOS!$B310="PROCESO",MOVIMIENTOS!$C310&lt;&gt;"Chancho")),NOT(AND(MOVIMIENTOS!$B310="SALDO INICIAL",MOVIMIENTOS!$C310="Chancho"))),IF(MOVIMIENTOS!$B310="RECHAZO",MOVIMIENTOS!$E310&amp;" jabas rechazadas · van a reproceso",IF(MOVIMIENTOS!$B310="REPROCESO",MOVIMIENTOS!$E310&amp;" kg recuperados (merma del día: "&amp;TEXT(SUMPRODUCT((MOVIMIENTOS!$A$5:$A$400=MOVIMIENTOS!$A310)*(MOVIMIENTOS!$B$5:$B$400="RECHAZO")*(MOVIMIENTOS!$D$5:$D$400="jabas")*MOVIMIENTOS!$E$5:$E$400*IFERROR(_xlfn.SWITCH(MOVIMIENTOS!$C$5:$C$400,"A",15,"P",18,"C",17,"M",17,0),0))-SUMPRODUCT((MOVIMIENTOS!$A$5:$A$400=MOVIMIENTOS!$A310)*(MOVIMIENTOS!$B$5:$B$400="REPROCESO")*MOVIMIENTOS!$I$5:$I$400),"+#,##0;-#,##0;0")&amp;" kg)",TRIM(IF(MOVIMIENTOS!$G310&lt;&gt;"",MOVIMIENTOS!$G310&amp;"  ","")&amp;IF(N(MOVIMIENTOS!$D310)&gt;0,MOVIMIENTOS!$D310&amp;" "&amp;MOVIMIENTOS!$D310,"")))),"")</f>
        <v/>
      </c>
      <c r="P311" s="48" t="n">
        <f aca="false">N(P310)+N(M311)-N(N311)</f>
        <v>-290.5</v>
      </c>
      <c r="Q311" s="48"/>
      <c r="R311" s="48"/>
      <c r="S311" s="48"/>
      <c r="T311" s="48"/>
    </row>
    <row r="312" customFormat="false" ht="15" hidden="false" customHeight="true" outlineLevel="0" collapsed="false">
      <c r="A312" s="51" t="str">
        <f aca="false">IFERROR(INDEX(K$6:K$401,MATCH(ROW()-5,J$6:J$401,0)),"")</f>
        <v/>
      </c>
      <c r="B312" s="56" t="str">
        <f aca="false">IFERROR(INDEX(L$6:L$401,MATCH(ROW()-5,J$6:J$401,0)),"")</f>
        <v/>
      </c>
      <c r="C312" s="52" t="str">
        <f aca="false">IFERROR(INDEX(M$6:M$401,MATCH(ROW()-5,J$6:J$401,0)),"")</f>
        <v/>
      </c>
      <c r="D312" s="52" t="str">
        <f aca="false">IFERROR(INDEX(N$6:N$401,MATCH(ROW()-5,J$6:J$401,0)),"")</f>
        <v/>
      </c>
      <c r="E312" s="56" t="str">
        <f aca="false">IFERROR(INDEX(O$6:O$401,MATCH(ROW()-5,J$6:J$401,0)),"")</f>
        <v/>
      </c>
      <c r="F312" s="52" t="str">
        <f aca="false">IFERROR(INDEX(P$6:P$401,MATCH(ROW()-5,J$6:J$401,0)),"")</f>
        <v/>
      </c>
      <c r="G312" s="48"/>
      <c r="H312" s="48"/>
      <c r="I312" s="48"/>
      <c r="J312" s="48" t="str">
        <f aca="false">IF(AND(MOVIMIENTOS!$B311&lt;&gt;"",NOT(AND(MOVIMIENTOS!$B311="PROCESO",MOVIMIENTOS!$C311&lt;&gt;"Chancho")),NOT(AND(MOVIMIENTOS!$B311="SALDO INICIAL",MOVIMIENTOS!$C311="Chancho"))),COUNT(J$6:J311)+1,"")</f>
        <v/>
      </c>
      <c r="K312" s="48" t="str">
        <f aca="false">IF(AND(MOVIMIENTOS!$B311&lt;&gt;"",NOT(AND(MOVIMIENTOS!$B311="PROCESO",MOVIMIENTOS!$C311&lt;&gt;"Chancho")),NOT(AND(MOVIMIENTOS!$B311="SALDO INICIAL",MOVIMIENTOS!$C311="Chancho"))),MOVIMIENTOS!$A311,"")</f>
        <v/>
      </c>
      <c r="L312" s="48" t="str">
        <f aca="false">IF(AND(MOVIMIENTOS!$B311&lt;&gt;"",NOT(AND(MOVIMIENTOS!$B311="PROCESO",MOVIMIENTOS!$C311&lt;&gt;"Chancho")),NOT(AND(MOVIMIENTOS!$B311="SALDO INICIAL",MOVIMIENTOS!$C311="Chancho"))),IF(MOVIMIENTOS!$B311="SALDO INICIAL","APERTURA ("&amp;MOVIMIENTOS!$C311&amp;")",IF(MOVIMIENTOS!$B311="COMPRA","INGRESO (compra)",IF(MOVIMIENTOS!$B311="PROCESO","CHANCHO (proceso)",IF(MOVIMIENTOS!$B311="ENVÍO A SUPESA","ENVÍO cal. "&amp;MOVIMIENTOS!$C311,IF(MOVIMIENTOS!$B311="VENTA CHANCHO","VENTA CHANCHO",IF(MOVIMIENTOS!$B311="VENTA","VENTA cal. "&amp;MOVIMIENTOS!$C311,IF(MOVIMIENTOS!$B311="REGALO","REGALO "&amp;MOVIMIENTOS!$C311,IF(MOVIMIENTOS!$B311="RECHAZO","RECHAZO cal. "&amp;MOVIMIENTOS!$C311&amp;" (va a reproceso)",IF(MOVIMIENTOS!$B311="DEVOLUCIÓN","DEVOLUCIÓN cal. "&amp;MOVIMIENTOS!$C311&amp;" (regresa intacta)",IF(MOVIMIENTOS!$B311="TRASIEGO","TRASIEGO cal. "&amp;MOVIMIENTOS!$C311,MOVIMIENTOS!$B311)))))))))),"")</f>
        <v/>
      </c>
      <c r="M312" s="48" t="str">
        <f aca="false">IF(AND(AND(MOVIMIENTOS!$B311&lt;&gt;"",NOT(AND(MOVIMIENTOS!$B311="PROCESO",MOVIMIENTOS!$C311&lt;&gt;"Chancho")),NOT(AND(MOVIMIENTOS!$B311="SALDO INICIAL",MOVIMIENTOS!$C311="Chancho"))),OR(MOVIMIENTOS!$B311="SALDO INICIAL",MOVIMIENTOS!$B311="COMPRA",MOVIMIENTOS!$B311="REPROCESO",MOVIMIENTOS!$B311="DEVOLUCIÓN",AND(MOVIMIENTOS!$B311="AJUSTE",MOVIMIENTOS!$C311&lt;&gt;"Chancho",N(MOVIMIENTOS!$F311)&gt;=0))),N(MOVIMIENTOS!$F311),"")</f>
        <v/>
      </c>
      <c r="N312" s="48" t="str">
        <f aca="false">IF(AND(AND(MOVIMIENTOS!$B311&lt;&gt;"",NOT(AND(MOVIMIENTOS!$B311="PROCESO",MOVIMIENTOS!$C311&lt;&gt;"Chancho")),NOT(AND(MOVIMIENTOS!$B311="SALDO INICIAL",MOVIMIENTOS!$C311="Chancho"))),OR(MOVIMIENTOS!$B311="ENVÍO A SUPESA",MOVIMIENTOS!$B311="MALOGRADO",MOVIMIENTOS!$B311="OTRA SALIDA",MOVIMIENTOS!$B311="TRASIEGO",AND(MOVIMIENTOS!$B311="PROCESO",MOVIMIENTOS!$C311="Chancho"),AND(MOVIMIENTOS!$B311="REGALO",MOVIMIENTOS!$C311&lt;&gt;"Chancho"),AND(MOVIMIENTOS!$B311="VENTA",MOVIMIENTOS!$C311&lt;&gt;"Chancho"),AND(MOVIMIENTOS!$B311="AJUSTE",MOVIMIENTOS!$C311&lt;&gt;"Chancho",N(MOVIMIENTOS!$F311)&lt;0))),IF(MOVIMIENTOS!$B311="AJUSTE",-N(MOVIMIENTOS!$F311),N(MOVIMIENTOS!$F311)),"")</f>
        <v/>
      </c>
      <c r="O312" s="48" t="str">
        <f aca="false">IF(AND(MOVIMIENTOS!$B311&lt;&gt;"",NOT(AND(MOVIMIENTOS!$B311="PROCESO",MOVIMIENTOS!$C311&lt;&gt;"Chancho")),NOT(AND(MOVIMIENTOS!$B311="SALDO INICIAL",MOVIMIENTOS!$C311="Chancho"))),IF(MOVIMIENTOS!$B311="RECHAZO",MOVIMIENTOS!$E311&amp;" jabas rechazadas · van a reproceso",IF(MOVIMIENTOS!$B311="REPROCESO",MOVIMIENTOS!$E311&amp;" kg recuperados (merma del día: "&amp;TEXT(SUMPRODUCT((MOVIMIENTOS!$A$5:$A$400=MOVIMIENTOS!$A311)*(MOVIMIENTOS!$B$5:$B$400="RECHAZO")*(MOVIMIENTOS!$D$5:$D$400="jabas")*MOVIMIENTOS!$E$5:$E$400*IFERROR(_xlfn.SWITCH(MOVIMIENTOS!$C$5:$C$400,"A",15,"P",18,"C",17,"M",17,0),0))-SUMPRODUCT((MOVIMIENTOS!$A$5:$A$400=MOVIMIENTOS!$A311)*(MOVIMIENTOS!$B$5:$B$400="REPROCESO")*MOVIMIENTOS!$I$5:$I$400),"+#,##0;-#,##0;0")&amp;" kg)",TRIM(IF(MOVIMIENTOS!$G311&lt;&gt;"",MOVIMIENTOS!$G311&amp;"  ","")&amp;IF(N(MOVIMIENTOS!$D311)&gt;0,MOVIMIENTOS!$D311&amp;" "&amp;MOVIMIENTOS!$D311,"")))),"")</f>
        <v/>
      </c>
      <c r="P312" s="48" t="n">
        <f aca="false">N(P311)+N(M312)-N(N312)</f>
        <v>-290.5</v>
      </c>
      <c r="Q312" s="48"/>
      <c r="R312" s="48"/>
      <c r="S312" s="48"/>
      <c r="T312" s="48"/>
    </row>
    <row r="313" customFormat="false" ht="15" hidden="false" customHeight="true" outlineLevel="0" collapsed="false">
      <c r="A313" s="51" t="str">
        <f aca="false">IFERROR(INDEX(K$6:K$401,MATCH(ROW()-5,J$6:J$401,0)),"")</f>
        <v/>
      </c>
      <c r="B313" s="56" t="str">
        <f aca="false">IFERROR(INDEX(L$6:L$401,MATCH(ROW()-5,J$6:J$401,0)),"")</f>
        <v/>
      </c>
      <c r="C313" s="52" t="str">
        <f aca="false">IFERROR(INDEX(M$6:M$401,MATCH(ROW()-5,J$6:J$401,0)),"")</f>
        <v/>
      </c>
      <c r="D313" s="52" t="str">
        <f aca="false">IFERROR(INDEX(N$6:N$401,MATCH(ROW()-5,J$6:J$401,0)),"")</f>
        <v/>
      </c>
      <c r="E313" s="56" t="str">
        <f aca="false">IFERROR(INDEX(O$6:O$401,MATCH(ROW()-5,J$6:J$401,0)),"")</f>
        <v/>
      </c>
      <c r="F313" s="52" t="str">
        <f aca="false">IFERROR(INDEX(P$6:P$401,MATCH(ROW()-5,J$6:J$401,0)),"")</f>
        <v/>
      </c>
      <c r="G313" s="48"/>
      <c r="H313" s="48"/>
      <c r="I313" s="48"/>
      <c r="J313" s="48" t="str">
        <f aca="false">IF(AND(MOVIMIENTOS!$B312&lt;&gt;"",NOT(AND(MOVIMIENTOS!$B312="PROCESO",MOVIMIENTOS!$C312&lt;&gt;"Chancho")),NOT(AND(MOVIMIENTOS!$B312="SALDO INICIAL",MOVIMIENTOS!$C312="Chancho"))),COUNT(J$6:J312)+1,"")</f>
        <v/>
      </c>
      <c r="K313" s="48" t="str">
        <f aca="false">IF(AND(MOVIMIENTOS!$B312&lt;&gt;"",NOT(AND(MOVIMIENTOS!$B312="PROCESO",MOVIMIENTOS!$C312&lt;&gt;"Chancho")),NOT(AND(MOVIMIENTOS!$B312="SALDO INICIAL",MOVIMIENTOS!$C312="Chancho"))),MOVIMIENTOS!$A312,"")</f>
        <v/>
      </c>
      <c r="L313" s="48" t="str">
        <f aca="false">IF(AND(MOVIMIENTOS!$B312&lt;&gt;"",NOT(AND(MOVIMIENTOS!$B312="PROCESO",MOVIMIENTOS!$C312&lt;&gt;"Chancho")),NOT(AND(MOVIMIENTOS!$B312="SALDO INICIAL",MOVIMIENTOS!$C312="Chancho"))),IF(MOVIMIENTOS!$B312="SALDO INICIAL","APERTURA ("&amp;MOVIMIENTOS!$C312&amp;")",IF(MOVIMIENTOS!$B312="COMPRA","INGRESO (compra)",IF(MOVIMIENTOS!$B312="PROCESO","CHANCHO (proceso)",IF(MOVIMIENTOS!$B312="ENVÍO A SUPESA","ENVÍO cal. "&amp;MOVIMIENTOS!$C312,IF(MOVIMIENTOS!$B312="VENTA CHANCHO","VENTA CHANCHO",IF(MOVIMIENTOS!$B312="VENTA","VENTA cal. "&amp;MOVIMIENTOS!$C312,IF(MOVIMIENTOS!$B312="REGALO","REGALO "&amp;MOVIMIENTOS!$C312,IF(MOVIMIENTOS!$B312="RECHAZO","RECHAZO cal. "&amp;MOVIMIENTOS!$C312&amp;" (va a reproceso)",IF(MOVIMIENTOS!$B312="DEVOLUCIÓN","DEVOLUCIÓN cal. "&amp;MOVIMIENTOS!$C312&amp;" (regresa intacta)",IF(MOVIMIENTOS!$B312="TRASIEGO","TRASIEGO cal. "&amp;MOVIMIENTOS!$C312,MOVIMIENTOS!$B312)))))))))),"")</f>
        <v/>
      </c>
      <c r="M313" s="48" t="str">
        <f aca="false">IF(AND(AND(MOVIMIENTOS!$B312&lt;&gt;"",NOT(AND(MOVIMIENTOS!$B312="PROCESO",MOVIMIENTOS!$C312&lt;&gt;"Chancho")),NOT(AND(MOVIMIENTOS!$B312="SALDO INICIAL",MOVIMIENTOS!$C312="Chancho"))),OR(MOVIMIENTOS!$B312="SALDO INICIAL",MOVIMIENTOS!$B312="COMPRA",MOVIMIENTOS!$B312="REPROCESO",MOVIMIENTOS!$B312="DEVOLUCIÓN",AND(MOVIMIENTOS!$B312="AJUSTE",MOVIMIENTOS!$C312&lt;&gt;"Chancho",N(MOVIMIENTOS!$F312)&gt;=0))),N(MOVIMIENTOS!$F312),"")</f>
        <v/>
      </c>
      <c r="N313" s="48" t="str">
        <f aca="false">IF(AND(AND(MOVIMIENTOS!$B312&lt;&gt;"",NOT(AND(MOVIMIENTOS!$B312="PROCESO",MOVIMIENTOS!$C312&lt;&gt;"Chancho")),NOT(AND(MOVIMIENTOS!$B312="SALDO INICIAL",MOVIMIENTOS!$C312="Chancho"))),OR(MOVIMIENTOS!$B312="ENVÍO A SUPESA",MOVIMIENTOS!$B312="MALOGRADO",MOVIMIENTOS!$B312="OTRA SALIDA",MOVIMIENTOS!$B312="TRASIEGO",AND(MOVIMIENTOS!$B312="PROCESO",MOVIMIENTOS!$C312="Chancho"),AND(MOVIMIENTOS!$B312="REGALO",MOVIMIENTOS!$C312&lt;&gt;"Chancho"),AND(MOVIMIENTOS!$B312="VENTA",MOVIMIENTOS!$C312&lt;&gt;"Chancho"),AND(MOVIMIENTOS!$B312="AJUSTE",MOVIMIENTOS!$C312&lt;&gt;"Chancho",N(MOVIMIENTOS!$F312)&lt;0))),IF(MOVIMIENTOS!$B312="AJUSTE",-N(MOVIMIENTOS!$F312),N(MOVIMIENTOS!$F312)),"")</f>
        <v/>
      </c>
      <c r="O313" s="48" t="str">
        <f aca="false">IF(AND(MOVIMIENTOS!$B312&lt;&gt;"",NOT(AND(MOVIMIENTOS!$B312="PROCESO",MOVIMIENTOS!$C312&lt;&gt;"Chancho")),NOT(AND(MOVIMIENTOS!$B312="SALDO INICIAL",MOVIMIENTOS!$C312="Chancho"))),IF(MOVIMIENTOS!$B312="RECHAZO",MOVIMIENTOS!$E312&amp;" jabas rechazadas · van a reproceso",IF(MOVIMIENTOS!$B312="REPROCESO",MOVIMIENTOS!$E312&amp;" kg recuperados (merma del día: "&amp;TEXT(SUMPRODUCT((MOVIMIENTOS!$A$5:$A$400=MOVIMIENTOS!$A312)*(MOVIMIENTOS!$B$5:$B$400="RECHAZO")*(MOVIMIENTOS!$D$5:$D$400="jabas")*MOVIMIENTOS!$E$5:$E$400*IFERROR(_xlfn.SWITCH(MOVIMIENTOS!$C$5:$C$400,"A",15,"P",18,"C",17,"M",17,0),0))-SUMPRODUCT((MOVIMIENTOS!$A$5:$A$400=MOVIMIENTOS!$A312)*(MOVIMIENTOS!$B$5:$B$400="REPROCESO")*MOVIMIENTOS!$I$5:$I$400),"+#,##0;-#,##0;0")&amp;" kg)",TRIM(IF(MOVIMIENTOS!$G312&lt;&gt;"",MOVIMIENTOS!$G312&amp;"  ","")&amp;IF(N(MOVIMIENTOS!$D312)&gt;0,MOVIMIENTOS!$D312&amp;" "&amp;MOVIMIENTOS!$D312,"")))),"")</f>
        <v/>
      </c>
      <c r="P313" s="48" t="n">
        <f aca="false">N(P312)+N(M313)-N(N313)</f>
        <v>-290.5</v>
      </c>
      <c r="Q313" s="48"/>
      <c r="R313" s="48"/>
      <c r="S313" s="48"/>
      <c r="T313" s="48"/>
    </row>
    <row r="314" customFormat="false" ht="15" hidden="false" customHeight="true" outlineLevel="0" collapsed="false">
      <c r="A314" s="51" t="str">
        <f aca="false">IFERROR(INDEX(K$6:K$401,MATCH(ROW()-5,J$6:J$401,0)),"")</f>
        <v/>
      </c>
      <c r="B314" s="56" t="str">
        <f aca="false">IFERROR(INDEX(L$6:L$401,MATCH(ROW()-5,J$6:J$401,0)),"")</f>
        <v/>
      </c>
      <c r="C314" s="52" t="str">
        <f aca="false">IFERROR(INDEX(M$6:M$401,MATCH(ROW()-5,J$6:J$401,0)),"")</f>
        <v/>
      </c>
      <c r="D314" s="52" t="str">
        <f aca="false">IFERROR(INDEX(N$6:N$401,MATCH(ROW()-5,J$6:J$401,0)),"")</f>
        <v/>
      </c>
      <c r="E314" s="56" t="str">
        <f aca="false">IFERROR(INDEX(O$6:O$401,MATCH(ROW()-5,J$6:J$401,0)),"")</f>
        <v/>
      </c>
      <c r="F314" s="52" t="str">
        <f aca="false">IFERROR(INDEX(P$6:P$401,MATCH(ROW()-5,J$6:J$401,0)),"")</f>
        <v/>
      </c>
      <c r="G314" s="48"/>
      <c r="H314" s="48"/>
      <c r="I314" s="48"/>
      <c r="J314" s="48" t="str">
        <f aca="false">IF(AND(MOVIMIENTOS!$B313&lt;&gt;"",NOT(AND(MOVIMIENTOS!$B313="PROCESO",MOVIMIENTOS!$C313&lt;&gt;"Chancho")),NOT(AND(MOVIMIENTOS!$B313="SALDO INICIAL",MOVIMIENTOS!$C313="Chancho"))),COUNT(J$6:J313)+1,"")</f>
        <v/>
      </c>
      <c r="K314" s="48" t="str">
        <f aca="false">IF(AND(MOVIMIENTOS!$B313&lt;&gt;"",NOT(AND(MOVIMIENTOS!$B313="PROCESO",MOVIMIENTOS!$C313&lt;&gt;"Chancho")),NOT(AND(MOVIMIENTOS!$B313="SALDO INICIAL",MOVIMIENTOS!$C313="Chancho"))),MOVIMIENTOS!$A313,"")</f>
        <v/>
      </c>
      <c r="L314" s="48" t="str">
        <f aca="false">IF(AND(MOVIMIENTOS!$B313&lt;&gt;"",NOT(AND(MOVIMIENTOS!$B313="PROCESO",MOVIMIENTOS!$C313&lt;&gt;"Chancho")),NOT(AND(MOVIMIENTOS!$B313="SALDO INICIAL",MOVIMIENTOS!$C313="Chancho"))),IF(MOVIMIENTOS!$B313="SALDO INICIAL","APERTURA ("&amp;MOVIMIENTOS!$C313&amp;")",IF(MOVIMIENTOS!$B313="COMPRA","INGRESO (compra)",IF(MOVIMIENTOS!$B313="PROCESO","CHANCHO (proceso)",IF(MOVIMIENTOS!$B313="ENVÍO A SUPESA","ENVÍO cal. "&amp;MOVIMIENTOS!$C313,IF(MOVIMIENTOS!$B313="VENTA CHANCHO","VENTA CHANCHO",IF(MOVIMIENTOS!$B313="VENTA","VENTA cal. "&amp;MOVIMIENTOS!$C313,IF(MOVIMIENTOS!$B313="REGALO","REGALO "&amp;MOVIMIENTOS!$C313,IF(MOVIMIENTOS!$B313="RECHAZO","RECHAZO cal. "&amp;MOVIMIENTOS!$C313&amp;" (va a reproceso)",IF(MOVIMIENTOS!$B313="DEVOLUCIÓN","DEVOLUCIÓN cal. "&amp;MOVIMIENTOS!$C313&amp;" (regresa intacta)",IF(MOVIMIENTOS!$B313="TRASIEGO","TRASIEGO cal. "&amp;MOVIMIENTOS!$C313,MOVIMIENTOS!$B313)))))))))),"")</f>
        <v/>
      </c>
      <c r="M314" s="48" t="str">
        <f aca="false">IF(AND(AND(MOVIMIENTOS!$B313&lt;&gt;"",NOT(AND(MOVIMIENTOS!$B313="PROCESO",MOVIMIENTOS!$C313&lt;&gt;"Chancho")),NOT(AND(MOVIMIENTOS!$B313="SALDO INICIAL",MOVIMIENTOS!$C313="Chancho"))),OR(MOVIMIENTOS!$B313="SALDO INICIAL",MOVIMIENTOS!$B313="COMPRA",MOVIMIENTOS!$B313="REPROCESO",MOVIMIENTOS!$B313="DEVOLUCIÓN",AND(MOVIMIENTOS!$B313="AJUSTE",MOVIMIENTOS!$C313&lt;&gt;"Chancho",N(MOVIMIENTOS!$F313)&gt;=0))),N(MOVIMIENTOS!$F313),"")</f>
        <v/>
      </c>
      <c r="N314" s="48" t="str">
        <f aca="false">IF(AND(AND(MOVIMIENTOS!$B313&lt;&gt;"",NOT(AND(MOVIMIENTOS!$B313="PROCESO",MOVIMIENTOS!$C313&lt;&gt;"Chancho")),NOT(AND(MOVIMIENTOS!$B313="SALDO INICIAL",MOVIMIENTOS!$C313="Chancho"))),OR(MOVIMIENTOS!$B313="ENVÍO A SUPESA",MOVIMIENTOS!$B313="MALOGRADO",MOVIMIENTOS!$B313="OTRA SALIDA",MOVIMIENTOS!$B313="TRASIEGO",AND(MOVIMIENTOS!$B313="PROCESO",MOVIMIENTOS!$C313="Chancho"),AND(MOVIMIENTOS!$B313="REGALO",MOVIMIENTOS!$C313&lt;&gt;"Chancho"),AND(MOVIMIENTOS!$B313="VENTA",MOVIMIENTOS!$C313&lt;&gt;"Chancho"),AND(MOVIMIENTOS!$B313="AJUSTE",MOVIMIENTOS!$C313&lt;&gt;"Chancho",N(MOVIMIENTOS!$F313)&lt;0))),IF(MOVIMIENTOS!$B313="AJUSTE",-N(MOVIMIENTOS!$F313),N(MOVIMIENTOS!$F313)),"")</f>
        <v/>
      </c>
      <c r="O314" s="48" t="str">
        <f aca="false">IF(AND(MOVIMIENTOS!$B313&lt;&gt;"",NOT(AND(MOVIMIENTOS!$B313="PROCESO",MOVIMIENTOS!$C313&lt;&gt;"Chancho")),NOT(AND(MOVIMIENTOS!$B313="SALDO INICIAL",MOVIMIENTOS!$C313="Chancho"))),IF(MOVIMIENTOS!$B313="RECHAZO",MOVIMIENTOS!$E313&amp;" jabas rechazadas · van a reproceso",IF(MOVIMIENTOS!$B313="REPROCESO",MOVIMIENTOS!$E313&amp;" kg recuperados (merma del día: "&amp;TEXT(SUMPRODUCT((MOVIMIENTOS!$A$5:$A$400=MOVIMIENTOS!$A313)*(MOVIMIENTOS!$B$5:$B$400="RECHAZO")*(MOVIMIENTOS!$D$5:$D$400="jabas")*MOVIMIENTOS!$E$5:$E$400*IFERROR(_xlfn.SWITCH(MOVIMIENTOS!$C$5:$C$400,"A",15,"P",18,"C",17,"M",17,0),0))-SUMPRODUCT((MOVIMIENTOS!$A$5:$A$400=MOVIMIENTOS!$A313)*(MOVIMIENTOS!$B$5:$B$400="REPROCESO")*MOVIMIENTOS!$I$5:$I$400),"+#,##0;-#,##0;0")&amp;" kg)",TRIM(IF(MOVIMIENTOS!$G313&lt;&gt;"",MOVIMIENTOS!$G313&amp;"  ","")&amp;IF(N(MOVIMIENTOS!$D313)&gt;0,MOVIMIENTOS!$D313&amp;" "&amp;MOVIMIENTOS!$D313,"")))),"")</f>
        <v/>
      </c>
      <c r="P314" s="48" t="n">
        <f aca="false">N(P313)+N(M314)-N(N314)</f>
        <v>-290.5</v>
      </c>
      <c r="Q314" s="48"/>
      <c r="R314" s="48"/>
      <c r="S314" s="48"/>
      <c r="T314" s="48"/>
    </row>
    <row r="315" customFormat="false" ht="15" hidden="false" customHeight="true" outlineLevel="0" collapsed="false">
      <c r="A315" s="51" t="str">
        <f aca="false">IFERROR(INDEX(K$6:K$401,MATCH(ROW()-5,J$6:J$401,0)),"")</f>
        <v/>
      </c>
      <c r="B315" s="56" t="str">
        <f aca="false">IFERROR(INDEX(L$6:L$401,MATCH(ROW()-5,J$6:J$401,0)),"")</f>
        <v/>
      </c>
      <c r="C315" s="52" t="str">
        <f aca="false">IFERROR(INDEX(M$6:M$401,MATCH(ROW()-5,J$6:J$401,0)),"")</f>
        <v/>
      </c>
      <c r="D315" s="52" t="str">
        <f aca="false">IFERROR(INDEX(N$6:N$401,MATCH(ROW()-5,J$6:J$401,0)),"")</f>
        <v/>
      </c>
      <c r="E315" s="56" t="str">
        <f aca="false">IFERROR(INDEX(O$6:O$401,MATCH(ROW()-5,J$6:J$401,0)),"")</f>
        <v/>
      </c>
      <c r="F315" s="52" t="str">
        <f aca="false">IFERROR(INDEX(P$6:P$401,MATCH(ROW()-5,J$6:J$401,0)),"")</f>
        <v/>
      </c>
      <c r="G315" s="48"/>
      <c r="H315" s="48"/>
      <c r="I315" s="48"/>
      <c r="J315" s="48" t="str">
        <f aca="false">IF(AND(MOVIMIENTOS!$B314&lt;&gt;"",NOT(AND(MOVIMIENTOS!$B314="PROCESO",MOVIMIENTOS!$C314&lt;&gt;"Chancho")),NOT(AND(MOVIMIENTOS!$B314="SALDO INICIAL",MOVIMIENTOS!$C314="Chancho"))),COUNT(J$6:J314)+1,"")</f>
        <v/>
      </c>
      <c r="K315" s="48" t="str">
        <f aca="false">IF(AND(MOVIMIENTOS!$B314&lt;&gt;"",NOT(AND(MOVIMIENTOS!$B314="PROCESO",MOVIMIENTOS!$C314&lt;&gt;"Chancho")),NOT(AND(MOVIMIENTOS!$B314="SALDO INICIAL",MOVIMIENTOS!$C314="Chancho"))),MOVIMIENTOS!$A314,"")</f>
        <v/>
      </c>
      <c r="L315" s="48" t="str">
        <f aca="false">IF(AND(MOVIMIENTOS!$B314&lt;&gt;"",NOT(AND(MOVIMIENTOS!$B314="PROCESO",MOVIMIENTOS!$C314&lt;&gt;"Chancho")),NOT(AND(MOVIMIENTOS!$B314="SALDO INICIAL",MOVIMIENTOS!$C314="Chancho"))),IF(MOVIMIENTOS!$B314="SALDO INICIAL","APERTURA ("&amp;MOVIMIENTOS!$C314&amp;")",IF(MOVIMIENTOS!$B314="COMPRA","INGRESO (compra)",IF(MOVIMIENTOS!$B314="PROCESO","CHANCHO (proceso)",IF(MOVIMIENTOS!$B314="ENVÍO A SUPESA","ENVÍO cal. "&amp;MOVIMIENTOS!$C314,IF(MOVIMIENTOS!$B314="VENTA CHANCHO","VENTA CHANCHO",IF(MOVIMIENTOS!$B314="VENTA","VENTA cal. "&amp;MOVIMIENTOS!$C314,IF(MOVIMIENTOS!$B314="REGALO","REGALO "&amp;MOVIMIENTOS!$C314,IF(MOVIMIENTOS!$B314="RECHAZO","RECHAZO cal. "&amp;MOVIMIENTOS!$C314&amp;" (va a reproceso)",IF(MOVIMIENTOS!$B314="DEVOLUCIÓN","DEVOLUCIÓN cal. "&amp;MOVIMIENTOS!$C314&amp;" (regresa intacta)",IF(MOVIMIENTOS!$B314="TRASIEGO","TRASIEGO cal. "&amp;MOVIMIENTOS!$C314,MOVIMIENTOS!$B314)))))))))),"")</f>
        <v/>
      </c>
      <c r="M315" s="48" t="str">
        <f aca="false">IF(AND(AND(MOVIMIENTOS!$B314&lt;&gt;"",NOT(AND(MOVIMIENTOS!$B314="PROCESO",MOVIMIENTOS!$C314&lt;&gt;"Chancho")),NOT(AND(MOVIMIENTOS!$B314="SALDO INICIAL",MOVIMIENTOS!$C314="Chancho"))),OR(MOVIMIENTOS!$B314="SALDO INICIAL",MOVIMIENTOS!$B314="COMPRA",MOVIMIENTOS!$B314="REPROCESO",MOVIMIENTOS!$B314="DEVOLUCIÓN",AND(MOVIMIENTOS!$B314="AJUSTE",MOVIMIENTOS!$C314&lt;&gt;"Chancho",N(MOVIMIENTOS!$F314)&gt;=0))),N(MOVIMIENTOS!$F314),"")</f>
        <v/>
      </c>
      <c r="N315" s="48" t="str">
        <f aca="false">IF(AND(AND(MOVIMIENTOS!$B314&lt;&gt;"",NOT(AND(MOVIMIENTOS!$B314="PROCESO",MOVIMIENTOS!$C314&lt;&gt;"Chancho")),NOT(AND(MOVIMIENTOS!$B314="SALDO INICIAL",MOVIMIENTOS!$C314="Chancho"))),OR(MOVIMIENTOS!$B314="ENVÍO A SUPESA",MOVIMIENTOS!$B314="MALOGRADO",MOVIMIENTOS!$B314="OTRA SALIDA",MOVIMIENTOS!$B314="TRASIEGO",AND(MOVIMIENTOS!$B314="PROCESO",MOVIMIENTOS!$C314="Chancho"),AND(MOVIMIENTOS!$B314="REGALO",MOVIMIENTOS!$C314&lt;&gt;"Chancho"),AND(MOVIMIENTOS!$B314="VENTA",MOVIMIENTOS!$C314&lt;&gt;"Chancho"),AND(MOVIMIENTOS!$B314="AJUSTE",MOVIMIENTOS!$C314&lt;&gt;"Chancho",N(MOVIMIENTOS!$F314)&lt;0))),IF(MOVIMIENTOS!$B314="AJUSTE",-N(MOVIMIENTOS!$F314),N(MOVIMIENTOS!$F314)),"")</f>
        <v/>
      </c>
      <c r="O315" s="48" t="str">
        <f aca="false">IF(AND(MOVIMIENTOS!$B314&lt;&gt;"",NOT(AND(MOVIMIENTOS!$B314="PROCESO",MOVIMIENTOS!$C314&lt;&gt;"Chancho")),NOT(AND(MOVIMIENTOS!$B314="SALDO INICIAL",MOVIMIENTOS!$C314="Chancho"))),IF(MOVIMIENTOS!$B314="RECHAZO",MOVIMIENTOS!$E314&amp;" jabas rechazadas · van a reproceso",IF(MOVIMIENTOS!$B314="REPROCESO",MOVIMIENTOS!$E314&amp;" kg recuperados (merma del día: "&amp;TEXT(SUMPRODUCT((MOVIMIENTOS!$A$5:$A$400=MOVIMIENTOS!$A314)*(MOVIMIENTOS!$B$5:$B$400="RECHAZO")*(MOVIMIENTOS!$D$5:$D$400="jabas")*MOVIMIENTOS!$E$5:$E$400*IFERROR(_xlfn.SWITCH(MOVIMIENTOS!$C$5:$C$400,"A",15,"P",18,"C",17,"M",17,0),0))-SUMPRODUCT((MOVIMIENTOS!$A$5:$A$400=MOVIMIENTOS!$A314)*(MOVIMIENTOS!$B$5:$B$400="REPROCESO")*MOVIMIENTOS!$I$5:$I$400),"+#,##0;-#,##0;0")&amp;" kg)",TRIM(IF(MOVIMIENTOS!$G314&lt;&gt;"",MOVIMIENTOS!$G314&amp;"  ","")&amp;IF(N(MOVIMIENTOS!$D314)&gt;0,MOVIMIENTOS!$D314&amp;" "&amp;MOVIMIENTOS!$D314,"")))),"")</f>
        <v/>
      </c>
      <c r="P315" s="48" t="n">
        <f aca="false">N(P314)+N(M315)-N(N315)</f>
        <v>-290.5</v>
      </c>
      <c r="Q315" s="48"/>
      <c r="R315" s="48"/>
      <c r="S315" s="48"/>
      <c r="T315" s="48"/>
    </row>
    <row r="316" customFormat="false" ht="15" hidden="false" customHeight="true" outlineLevel="0" collapsed="false">
      <c r="A316" s="51" t="str">
        <f aca="false">IFERROR(INDEX(K$6:K$401,MATCH(ROW()-5,J$6:J$401,0)),"")</f>
        <v/>
      </c>
      <c r="B316" s="56" t="str">
        <f aca="false">IFERROR(INDEX(L$6:L$401,MATCH(ROW()-5,J$6:J$401,0)),"")</f>
        <v/>
      </c>
      <c r="C316" s="52" t="str">
        <f aca="false">IFERROR(INDEX(M$6:M$401,MATCH(ROW()-5,J$6:J$401,0)),"")</f>
        <v/>
      </c>
      <c r="D316" s="52" t="str">
        <f aca="false">IFERROR(INDEX(N$6:N$401,MATCH(ROW()-5,J$6:J$401,0)),"")</f>
        <v/>
      </c>
      <c r="E316" s="56" t="str">
        <f aca="false">IFERROR(INDEX(O$6:O$401,MATCH(ROW()-5,J$6:J$401,0)),"")</f>
        <v/>
      </c>
      <c r="F316" s="52" t="str">
        <f aca="false">IFERROR(INDEX(P$6:P$401,MATCH(ROW()-5,J$6:J$401,0)),"")</f>
        <v/>
      </c>
      <c r="G316" s="48"/>
      <c r="H316" s="48"/>
      <c r="I316" s="48"/>
      <c r="J316" s="48" t="str">
        <f aca="false">IF(AND(MOVIMIENTOS!$B315&lt;&gt;"",NOT(AND(MOVIMIENTOS!$B315="PROCESO",MOVIMIENTOS!$C315&lt;&gt;"Chancho")),NOT(AND(MOVIMIENTOS!$B315="SALDO INICIAL",MOVIMIENTOS!$C315="Chancho"))),COUNT(J$6:J315)+1,"")</f>
        <v/>
      </c>
      <c r="K316" s="48" t="str">
        <f aca="false">IF(AND(MOVIMIENTOS!$B315&lt;&gt;"",NOT(AND(MOVIMIENTOS!$B315="PROCESO",MOVIMIENTOS!$C315&lt;&gt;"Chancho")),NOT(AND(MOVIMIENTOS!$B315="SALDO INICIAL",MOVIMIENTOS!$C315="Chancho"))),MOVIMIENTOS!$A315,"")</f>
        <v/>
      </c>
      <c r="L316" s="48" t="str">
        <f aca="false">IF(AND(MOVIMIENTOS!$B315&lt;&gt;"",NOT(AND(MOVIMIENTOS!$B315="PROCESO",MOVIMIENTOS!$C315&lt;&gt;"Chancho")),NOT(AND(MOVIMIENTOS!$B315="SALDO INICIAL",MOVIMIENTOS!$C315="Chancho"))),IF(MOVIMIENTOS!$B315="SALDO INICIAL","APERTURA ("&amp;MOVIMIENTOS!$C315&amp;")",IF(MOVIMIENTOS!$B315="COMPRA","INGRESO (compra)",IF(MOVIMIENTOS!$B315="PROCESO","CHANCHO (proceso)",IF(MOVIMIENTOS!$B315="ENVÍO A SUPESA","ENVÍO cal. "&amp;MOVIMIENTOS!$C315,IF(MOVIMIENTOS!$B315="VENTA CHANCHO","VENTA CHANCHO",IF(MOVIMIENTOS!$B315="VENTA","VENTA cal. "&amp;MOVIMIENTOS!$C315,IF(MOVIMIENTOS!$B315="REGALO","REGALO "&amp;MOVIMIENTOS!$C315,IF(MOVIMIENTOS!$B315="RECHAZO","RECHAZO cal. "&amp;MOVIMIENTOS!$C315&amp;" (va a reproceso)",IF(MOVIMIENTOS!$B315="DEVOLUCIÓN","DEVOLUCIÓN cal. "&amp;MOVIMIENTOS!$C315&amp;" (regresa intacta)",IF(MOVIMIENTOS!$B315="TRASIEGO","TRASIEGO cal. "&amp;MOVIMIENTOS!$C315,MOVIMIENTOS!$B315)))))))))),"")</f>
        <v/>
      </c>
      <c r="M316" s="48" t="str">
        <f aca="false">IF(AND(AND(MOVIMIENTOS!$B315&lt;&gt;"",NOT(AND(MOVIMIENTOS!$B315="PROCESO",MOVIMIENTOS!$C315&lt;&gt;"Chancho")),NOT(AND(MOVIMIENTOS!$B315="SALDO INICIAL",MOVIMIENTOS!$C315="Chancho"))),OR(MOVIMIENTOS!$B315="SALDO INICIAL",MOVIMIENTOS!$B315="COMPRA",MOVIMIENTOS!$B315="REPROCESO",MOVIMIENTOS!$B315="DEVOLUCIÓN",AND(MOVIMIENTOS!$B315="AJUSTE",MOVIMIENTOS!$C315&lt;&gt;"Chancho",N(MOVIMIENTOS!$F315)&gt;=0))),N(MOVIMIENTOS!$F315),"")</f>
        <v/>
      </c>
      <c r="N316" s="48" t="str">
        <f aca="false">IF(AND(AND(MOVIMIENTOS!$B315&lt;&gt;"",NOT(AND(MOVIMIENTOS!$B315="PROCESO",MOVIMIENTOS!$C315&lt;&gt;"Chancho")),NOT(AND(MOVIMIENTOS!$B315="SALDO INICIAL",MOVIMIENTOS!$C315="Chancho"))),OR(MOVIMIENTOS!$B315="ENVÍO A SUPESA",MOVIMIENTOS!$B315="MALOGRADO",MOVIMIENTOS!$B315="OTRA SALIDA",MOVIMIENTOS!$B315="TRASIEGO",AND(MOVIMIENTOS!$B315="PROCESO",MOVIMIENTOS!$C315="Chancho"),AND(MOVIMIENTOS!$B315="REGALO",MOVIMIENTOS!$C315&lt;&gt;"Chancho"),AND(MOVIMIENTOS!$B315="VENTA",MOVIMIENTOS!$C315&lt;&gt;"Chancho"),AND(MOVIMIENTOS!$B315="AJUSTE",MOVIMIENTOS!$C315&lt;&gt;"Chancho",N(MOVIMIENTOS!$F315)&lt;0))),IF(MOVIMIENTOS!$B315="AJUSTE",-N(MOVIMIENTOS!$F315),N(MOVIMIENTOS!$F315)),"")</f>
        <v/>
      </c>
      <c r="O316" s="48" t="str">
        <f aca="false">IF(AND(MOVIMIENTOS!$B315&lt;&gt;"",NOT(AND(MOVIMIENTOS!$B315="PROCESO",MOVIMIENTOS!$C315&lt;&gt;"Chancho")),NOT(AND(MOVIMIENTOS!$B315="SALDO INICIAL",MOVIMIENTOS!$C315="Chancho"))),IF(MOVIMIENTOS!$B315="RECHAZO",MOVIMIENTOS!$E315&amp;" jabas rechazadas · van a reproceso",IF(MOVIMIENTOS!$B315="REPROCESO",MOVIMIENTOS!$E315&amp;" kg recuperados (merma del día: "&amp;TEXT(SUMPRODUCT((MOVIMIENTOS!$A$5:$A$400=MOVIMIENTOS!$A315)*(MOVIMIENTOS!$B$5:$B$400="RECHAZO")*(MOVIMIENTOS!$D$5:$D$400="jabas")*MOVIMIENTOS!$E$5:$E$400*IFERROR(_xlfn.SWITCH(MOVIMIENTOS!$C$5:$C$400,"A",15,"P",18,"C",17,"M",17,0),0))-SUMPRODUCT((MOVIMIENTOS!$A$5:$A$400=MOVIMIENTOS!$A315)*(MOVIMIENTOS!$B$5:$B$400="REPROCESO")*MOVIMIENTOS!$I$5:$I$400),"+#,##0;-#,##0;0")&amp;" kg)",TRIM(IF(MOVIMIENTOS!$G315&lt;&gt;"",MOVIMIENTOS!$G315&amp;"  ","")&amp;IF(N(MOVIMIENTOS!$D315)&gt;0,MOVIMIENTOS!$D315&amp;" "&amp;MOVIMIENTOS!$D315,"")))),"")</f>
        <v/>
      </c>
      <c r="P316" s="48" t="n">
        <f aca="false">N(P315)+N(M316)-N(N316)</f>
        <v>-290.5</v>
      </c>
      <c r="Q316" s="48"/>
      <c r="R316" s="48"/>
      <c r="S316" s="48"/>
      <c r="T316" s="48"/>
    </row>
    <row r="317" customFormat="false" ht="15" hidden="false" customHeight="true" outlineLevel="0" collapsed="false">
      <c r="A317" s="51" t="str">
        <f aca="false">IFERROR(INDEX(K$6:K$401,MATCH(ROW()-5,J$6:J$401,0)),"")</f>
        <v/>
      </c>
      <c r="B317" s="56" t="str">
        <f aca="false">IFERROR(INDEX(L$6:L$401,MATCH(ROW()-5,J$6:J$401,0)),"")</f>
        <v/>
      </c>
      <c r="C317" s="52" t="str">
        <f aca="false">IFERROR(INDEX(M$6:M$401,MATCH(ROW()-5,J$6:J$401,0)),"")</f>
        <v/>
      </c>
      <c r="D317" s="52" t="str">
        <f aca="false">IFERROR(INDEX(N$6:N$401,MATCH(ROW()-5,J$6:J$401,0)),"")</f>
        <v/>
      </c>
      <c r="E317" s="56" t="str">
        <f aca="false">IFERROR(INDEX(O$6:O$401,MATCH(ROW()-5,J$6:J$401,0)),"")</f>
        <v/>
      </c>
      <c r="F317" s="52" t="str">
        <f aca="false">IFERROR(INDEX(P$6:P$401,MATCH(ROW()-5,J$6:J$401,0)),"")</f>
        <v/>
      </c>
      <c r="G317" s="48"/>
      <c r="H317" s="48"/>
      <c r="I317" s="48"/>
      <c r="J317" s="48" t="str">
        <f aca="false">IF(AND(MOVIMIENTOS!$B316&lt;&gt;"",NOT(AND(MOVIMIENTOS!$B316="PROCESO",MOVIMIENTOS!$C316&lt;&gt;"Chancho")),NOT(AND(MOVIMIENTOS!$B316="SALDO INICIAL",MOVIMIENTOS!$C316="Chancho"))),COUNT(J$6:J316)+1,"")</f>
        <v/>
      </c>
      <c r="K317" s="48" t="str">
        <f aca="false">IF(AND(MOVIMIENTOS!$B316&lt;&gt;"",NOT(AND(MOVIMIENTOS!$B316="PROCESO",MOVIMIENTOS!$C316&lt;&gt;"Chancho")),NOT(AND(MOVIMIENTOS!$B316="SALDO INICIAL",MOVIMIENTOS!$C316="Chancho"))),MOVIMIENTOS!$A316,"")</f>
        <v/>
      </c>
      <c r="L317" s="48" t="str">
        <f aca="false">IF(AND(MOVIMIENTOS!$B316&lt;&gt;"",NOT(AND(MOVIMIENTOS!$B316="PROCESO",MOVIMIENTOS!$C316&lt;&gt;"Chancho")),NOT(AND(MOVIMIENTOS!$B316="SALDO INICIAL",MOVIMIENTOS!$C316="Chancho"))),IF(MOVIMIENTOS!$B316="SALDO INICIAL","APERTURA ("&amp;MOVIMIENTOS!$C316&amp;")",IF(MOVIMIENTOS!$B316="COMPRA","INGRESO (compra)",IF(MOVIMIENTOS!$B316="PROCESO","CHANCHO (proceso)",IF(MOVIMIENTOS!$B316="ENVÍO A SUPESA","ENVÍO cal. "&amp;MOVIMIENTOS!$C316,IF(MOVIMIENTOS!$B316="VENTA CHANCHO","VENTA CHANCHO",IF(MOVIMIENTOS!$B316="VENTA","VENTA cal. "&amp;MOVIMIENTOS!$C316,IF(MOVIMIENTOS!$B316="REGALO","REGALO "&amp;MOVIMIENTOS!$C316,IF(MOVIMIENTOS!$B316="RECHAZO","RECHAZO cal. "&amp;MOVIMIENTOS!$C316&amp;" (va a reproceso)",IF(MOVIMIENTOS!$B316="DEVOLUCIÓN","DEVOLUCIÓN cal. "&amp;MOVIMIENTOS!$C316&amp;" (regresa intacta)",IF(MOVIMIENTOS!$B316="TRASIEGO","TRASIEGO cal. "&amp;MOVIMIENTOS!$C316,MOVIMIENTOS!$B316)))))))))),"")</f>
        <v/>
      </c>
      <c r="M317" s="48" t="str">
        <f aca="false">IF(AND(AND(MOVIMIENTOS!$B316&lt;&gt;"",NOT(AND(MOVIMIENTOS!$B316="PROCESO",MOVIMIENTOS!$C316&lt;&gt;"Chancho")),NOT(AND(MOVIMIENTOS!$B316="SALDO INICIAL",MOVIMIENTOS!$C316="Chancho"))),OR(MOVIMIENTOS!$B316="SALDO INICIAL",MOVIMIENTOS!$B316="COMPRA",MOVIMIENTOS!$B316="REPROCESO",MOVIMIENTOS!$B316="DEVOLUCIÓN",AND(MOVIMIENTOS!$B316="AJUSTE",MOVIMIENTOS!$C316&lt;&gt;"Chancho",N(MOVIMIENTOS!$F316)&gt;=0))),N(MOVIMIENTOS!$F316),"")</f>
        <v/>
      </c>
      <c r="N317" s="48" t="str">
        <f aca="false">IF(AND(AND(MOVIMIENTOS!$B316&lt;&gt;"",NOT(AND(MOVIMIENTOS!$B316="PROCESO",MOVIMIENTOS!$C316&lt;&gt;"Chancho")),NOT(AND(MOVIMIENTOS!$B316="SALDO INICIAL",MOVIMIENTOS!$C316="Chancho"))),OR(MOVIMIENTOS!$B316="ENVÍO A SUPESA",MOVIMIENTOS!$B316="MALOGRADO",MOVIMIENTOS!$B316="OTRA SALIDA",MOVIMIENTOS!$B316="TRASIEGO",AND(MOVIMIENTOS!$B316="PROCESO",MOVIMIENTOS!$C316="Chancho"),AND(MOVIMIENTOS!$B316="REGALO",MOVIMIENTOS!$C316&lt;&gt;"Chancho"),AND(MOVIMIENTOS!$B316="VENTA",MOVIMIENTOS!$C316&lt;&gt;"Chancho"),AND(MOVIMIENTOS!$B316="AJUSTE",MOVIMIENTOS!$C316&lt;&gt;"Chancho",N(MOVIMIENTOS!$F316)&lt;0))),IF(MOVIMIENTOS!$B316="AJUSTE",-N(MOVIMIENTOS!$F316),N(MOVIMIENTOS!$F316)),"")</f>
        <v/>
      </c>
      <c r="O317" s="48" t="str">
        <f aca="false">IF(AND(MOVIMIENTOS!$B316&lt;&gt;"",NOT(AND(MOVIMIENTOS!$B316="PROCESO",MOVIMIENTOS!$C316&lt;&gt;"Chancho")),NOT(AND(MOVIMIENTOS!$B316="SALDO INICIAL",MOVIMIENTOS!$C316="Chancho"))),IF(MOVIMIENTOS!$B316="RECHAZO",MOVIMIENTOS!$E316&amp;" jabas rechazadas · van a reproceso",IF(MOVIMIENTOS!$B316="REPROCESO",MOVIMIENTOS!$E316&amp;" kg recuperados (merma del día: "&amp;TEXT(SUMPRODUCT((MOVIMIENTOS!$A$5:$A$400=MOVIMIENTOS!$A316)*(MOVIMIENTOS!$B$5:$B$400="RECHAZO")*(MOVIMIENTOS!$D$5:$D$400="jabas")*MOVIMIENTOS!$E$5:$E$400*IFERROR(_xlfn.SWITCH(MOVIMIENTOS!$C$5:$C$400,"A",15,"P",18,"C",17,"M",17,0),0))-SUMPRODUCT((MOVIMIENTOS!$A$5:$A$400=MOVIMIENTOS!$A316)*(MOVIMIENTOS!$B$5:$B$400="REPROCESO")*MOVIMIENTOS!$I$5:$I$400),"+#,##0;-#,##0;0")&amp;" kg)",TRIM(IF(MOVIMIENTOS!$G316&lt;&gt;"",MOVIMIENTOS!$G316&amp;"  ","")&amp;IF(N(MOVIMIENTOS!$D316)&gt;0,MOVIMIENTOS!$D316&amp;" "&amp;MOVIMIENTOS!$D316,"")))),"")</f>
        <v/>
      </c>
      <c r="P317" s="48" t="n">
        <f aca="false">N(P316)+N(M317)-N(N317)</f>
        <v>-290.5</v>
      </c>
      <c r="Q317" s="48"/>
      <c r="R317" s="48"/>
      <c r="S317" s="48"/>
      <c r="T317" s="48"/>
    </row>
    <row r="318" customFormat="false" ht="15" hidden="false" customHeight="true" outlineLevel="0" collapsed="false">
      <c r="A318" s="51" t="str">
        <f aca="false">IFERROR(INDEX(K$6:K$401,MATCH(ROW()-5,J$6:J$401,0)),"")</f>
        <v/>
      </c>
      <c r="B318" s="56" t="str">
        <f aca="false">IFERROR(INDEX(L$6:L$401,MATCH(ROW()-5,J$6:J$401,0)),"")</f>
        <v/>
      </c>
      <c r="C318" s="52" t="str">
        <f aca="false">IFERROR(INDEX(M$6:M$401,MATCH(ROW()-5,J$6:J$401,0)),"")</f>
        <v/>
      </c>
      <c r="D318" s="52" t="str">
        <f aca="false">IFERROR(INDEX(N$6:N$401,MATCH(ROW()-5,J$6:J$401,0)),"")</f>
        <v/>
      </c>
      <c r="E318" s="56" t="str">
        <f aca="false">IFERROR(INDEX(O$6:O$401,MATCH(ROW()-5,J$6:J$401,0)),"")</f>
        <v/>
      </c>
      <c r="F318" s="52" t="str">
        <f aca="false">IFERROR(INDEX(P$6:P$401,MATCH(ROW()-5,J$6:J$401,0)),"")</f>
        <v/>
      </c>
      <c r="G318" s="48"/>
      <c r="H318" s="48"/>
      <c r="I318" s="48"/>
      <c r="J318" s="48" t="str">
        <f aca="false">IF(AND(MOVIMIENTOS!$B317&lt;&gt;"",NOT(AND(MOVIMIENTOS!$B317="PROCESO",MOVIMIENTOS!$C317&lt;&gt;"Chancho")),NOT(AND(MOVIMIENTOS!$B317="SALDO INICIAL",MOVIMIENTOS!$C317="Chancho"))),COUNT(J$6:J317)+1,"")</f>
        <v/>
      </c>
      <c r="K318" s="48" t="str">
        <f aca="false">IF(AND(MOVIMIENTOS!$B317&lt;&gt;"",NOT(AND(MOVIMIENTOS!$B317="PROCESO",MOVIMIENTOS!$C317&lt;&gt;"Chancho")),NOT(AND(MOVIMIENTOS!$B317="SALDO INICIAL",MOVIMIENTOS!$C317="Chancho"))),MOVIMIENTOS!$A317,"")</f>
        <v/>
      </c>
      <c r="L318" s="48" t="str">
        <f aca="false">IF(AND(MOVIMIENTOS!$B317&lt;&gt;"",NOT(AND(MOVIMIENTOS!$B317="PROCESO",MOVIMIENTOS!$C317&lt;&gt;"Chancho")),NOT(AND(MOVIMIENTOS!$B317="SALDO INICIAL",MOVIMIENTOS!$C317="Chancho"))),IF(MOVIMIENTOS!$B317="SALDO INICIAL","APERTURA ("&amp;MOVIMIENTOS!$C317&amp;")",IF(MOVIMIENTOS!$B317="COMPRA","INGRESO (compra)",IF(MOVIMIENTOS!$B317="PROCESO","CHANCHO (proceso)",IF(MOVIMIENTOS!$B317="ENVÍO A SUPESA","ENVÍO cal. "&amp;MOVIMIENTOS!$C317,IF(MOVIMIENTOS!$B317="VENTA CHANCHO","VENTA CHANCHO",IF(MOVIMIENTOS!$B317="VENTA","VENTA cal. "&amp;MOVIMIENTOS!$C317,IF(MOVIMIENTOS!$B317="REGALO","REGALO "&amp;MOVIMIENTOS!$C317,IF(MOVIMIENTOS!$B317="RECHAZO","RECHAZO cal. "&amp;MOVIMIENTOS!$C317&amp;" (va a reproceso)",IF(MOVIMIENTOS!$B317="DEVOLUCIÓN","DEVOLUCIÓN cal. "&amp;MOVIMIENTOS!$C317&amp;" (regresa intacta)",IF(MOVIMIENTOS!$B317="TRASIEGO","TRASIEGO cal. "&amp;MOVIMIENTOS!$C317,MOVIMIENTOS!$B317)))))))))),"")</f>
        <v/>
      </c>
      <c r="M318" s="48" t="str">
        <f aca="false">IF(AND(AND(MOVIMIENTOS!$B317&lt;&gt;"",NOT(AND(MOVIMIENTOS!$B317="PROCESO",MOVIMIENTOS!$C317&lt;&gt;"Chancho")),NOT(AND(MOVIMIENTOS!$B317="SALDO INICIAL",MOVIMIENTOS!$C317="Chancho"))),OR(MOVIMIENTOS!$B317="SALDO INICIAL",MOVIMIENTOS!$B317="COMPRA",MOVIMIENTOS!$B317="REPROCESO",MOVIMIENTOS!$B317="DEVOLUCIÓN",AND(MOVIMIENTOS!$B317="AJUSTE",MOVIMIENTOS!$C317&lt;&gt;"Chancho",N(MOVIMIENTOS!$F317)&gt;=0))),N(MOVIMIENTOS!$F317),"")</f>
        <v/>
      </c>
      <c r="N318" s="48" t="str">
        <f aca="false">IF(AND(AND(MOVIMIENTOS!$B317&lt;&gt;"",NOT(AND(MOVIMIENTOS!$B317="PROCESO",MOVIMIENTOS!$C317&lt;&gt;"Chancho")),NOT(AND(MOVIMIENTOS!$B317="SALDO INICIAL",MOVIMIENTOS!$C317="Chancho"))),OR(MOVIMIENTOS!$B317="ENVÍO A SUPESA",MOVIMIENTOS!$B317="MALOGRADO",MOVIMIENTOS!$B317="OTRA SALIDA",MOVIMIENTOS!$B317="TRASIEGO",AND(MOVIMIENTOS!$B317="PROCESO",MOVIMIENTOS!$C317="Chancho"),AND(MOVIMIENTOS!$B317="REGALO",MOVIMIENTOS!$C317&lt;&gt;"Chancho"),AND(MOVIMIENTOS!$B317="VENTA",MOVIMIENTOS!$C317&lt;&gt;"Chancho"),AND(MOVIMIENTOS!$B317="AJUSTE",MOVIMIENTOS!$C317&lt;&gt;"Chancho",N(MOVIMIENTOS!$F317)&lt;0))),IF(MOVIMIENTOS!$B317="AJUSTE",-N(MOVIMIENTOS!$F317),N(MOVIMIENTOS!$F317)),"")</f>
        <v/>
      </c>
      <c r="O318" s="48" t="str">
        <f aca="false">IF(AND(MOVIMIENTOS!$B317&lt;&gt;"",NOT(AND(MOVIMIENTOS!$B317="PROCESO",MOVIMIENTOS!$C317&lt;&gt;"Chancho")),NOT(AND(MOVIMIENTOS!$B317="SALDO INICIAL",MOVIMIENTOS!$C317="Chancho"))),IF(MOVIMIENTOS!$B317="RECHAZO",MOVIMIENTOS!$E317&amp;" jabas rechazadas · van a reproceso",IF(MOVIMIENTOS!$B317="REPROCESO",MOVIMIENTOS!$E317&amp;" kg recuperados (merma del día: "&amp;TEXT(SUMPRODUCT((MOVIMIENTOS!$A$5:$A$400=MOVIMIENTOS!$A317)*(MOVIMIENTOS!$B$5:$B$400="RECHAZO")*(MOVIMIENTOS!$D$5:$D$400="jabas")*MOVIMIENTOS!$E$5:$E$400*IFERROR(_xlfn.SWITCH(MOVIMIENTOS!$C$5:$C$400,"A",15,"P",18,"C",17,"M",17,0),0))-SUMPRODUCT((MOVIMIENTOS!$A$5:$A$400=MOVIMIENTOS!$A317)*(MOVIMIENTOS!$B$5:$B$400="REPROCESO")*MOVIMIENTOS!$I$5:$I$400),"+#,##0;-#,##0;0")&amp;" kg)",TRIM(IF(MOVIMIENTOS!$G317&lt;&gt;"",MOVIMIENTOS!$G317&amp;"  ","")&amp;IF(N(MOVIMIENTOS!$D317)&gt;0,MOVIMIENTOS!$D317&amp;" "&amp;MOVIMIENTOS!$D317,"")))),"")</f>
        <v/>
      </c>
      <c r="P318" s="48" t="n">
        <f aca="false">N(P317)+N(M318)-N(N318)</f>
        <v>-290.5</v>
      </c>
      <c r="Q318" s="48"/>
      <c r="R318" s="48"/>
      <c r="S318" s="48"/>
      <c r="T318" s="48"/>
    </row>
    <row r="319" customFormat="false" ht="15" hidden="false" customHeight="true" outlineLevel="0" collapsed="false">
      <c r="A319" s="51" t="str">
        <f aca="false">IFERROR(INDEX(K$6:K$401,MATCH(ROW()-5,J$6:J$401,0)),"")</f>
        <v/>
      </c>
      <c r="B319" s="56" t="str">
        <f aca="false">IFERROR(INDEX(L$6:L$401,MATCH(ROW()-5,J$6:J$401,0)),"")</f>
        <v/>
      </c>
      <c r="C319" s="52" t="str">
        <f aca="false">IFERROR(INDEX(M$6:M$401,MATCH(ROW()-5,J$6:J$401,0)),"")</f>
        <v/>
      </c>
      <c r="D319" s="52" t="str">
        <f aca="false">IFERROR(INDEX(N$6:N$401,MATCH(ROW()-5,J$6:J$401,0)),"")</f>
        <v/>
      </c>
      <c r="E319" s="56" t="str">
        <f aca="false">IFERROR(INDEX(O$6:O$401,MATCH(ROW()-5,J$6:J$401,0)),"")</f>
        <v/>
      </c>
      <c r="F319" s="52" t="str">
        <f aca="false">IFERROR(INDEX(P$6:P$401,MATCH(ROW()-5,J$6:J$401,0)),"")</f>
        <v/>
      </c>
      <c r="G319" s="48"/>
      <c r="H319" s="48"/>
      <c r="I319" s="48"/>
      <c r="J319" s="48" t="str">
        <f aca="false">IF(AND(MOVIMIENTOS!$B318&lt;&gt;"",NOT(AND(MOVIMIENTOS!$B318="PROCESO",MOVIMIENTOS!$C318&lt;&gt;"Chancho")),NOT(AND(MOVIMIENTOS!$B318="SALDO INICIAL",MOVIMIENTOS!$C318="Chancho"))),COUNT(J$6:J318)+1,"")</f>
        <v/>
      </c>
      <c r="K319" s="48" t="str">
        <f aca="false">IF(AND(MOVIMIENTOS!$B318&lt;&gt;"",NOT(AND(MOVIMIENTOS!$B318="PROCESO",MOVIMIENTOS!$C318&lt;&gt;"Chancho")),NOT(AND(MOVIMIENTOS!$B318="SALDO INICIAL",MOVIMIENTOS!$C318="Chancho"))),MOVIMIENTOS!$A318,"")</f>
        <v/>
      </c>
      <c r="L319" s="48" t="str">
        <f aca="false">IF(AND(MOVIMIENTOS!$B318&lt;&gt;"",NOT(AND(MOVIMIENTOS!$B318="PROCESO",MOVIMIENTOS!$C318&lt;&gt;"Chancho")),NOT(AND(MOVIMIENTOS!$B318="SALDO INICIAL",MOVIMIENTOS!$C318="Chancho"))),IF(MOVIMIENTOS!$B318="SALDO INICIAL","APERTURA ("&amp;MOVIMIENTOS!$C318&amp;")",IF(MOVIMIENTOS!$B318="COMPRA","INGRESO (compra)",IF(MOVIMIENTOS!$B318="PROCESO","CHANCHO (proceso)",IF(MOVIMIENTOS!$B318="ENVÍO A SUPESA","ENVÍO cal. "&amp;MOVIMIENTOS!$C318,IF(MOVIMIENTOS!$B318="VENTA CHANCHO","VENTA CHANCHO",IF(MOVIMIENTOS!$B318="VENTA","VENTA cal. "&amp;MOVIMIENTOS!$C318,IF(MOVIMIENTOS!$B318="REGALO","REGALO "&amp;MOVIMIENTOS!$C318,IF(MOVIMIENTOS!$B318="RECHAZO","RECHAZO cal. "&amp;MOVIMIENTOS!$C318&amp;" (va a reproceso)",IF(MOVIMIENTOS!$B318="DEVOLUCIÓN","DEVOLUCIÓN cal. "&amp;MOVIMIENTOS!$C318&amp;" (regresa intacta)",IF(MOVIMIENTOS!$B318="TRASIEGO","TRASIEGO cal. "&amp;MOVIMIENTOS!$C318,MOVIMIENTOS!$B318)))))))))),"")</f>
        <v/>
      </c>
      <c r="M319" s="48" t="str">
        <f aca="false">IF(AND(AND(MOVIMIENTOS!$B318&lt;&gt;"",NOT(AND(MOVIMIENTOS!$B318="PROCESO",MOVIMIENTOS!$C318&lt;&gt;"Chancho")),NOT(AND(MOVIMIENTOS!$B318="SALDO INICIAL",MOVIMIENTOS!$C318="Chancho"))),OR(MOVIMIENTOS!$B318="SALDO INICIAL",MOVIMIENTOS!$B318="COMPRA",MOVIMIENTOS!$B318="REPROCESO",MOVIMIENTOS!$B318="DEVOLUCIÓN",AND(MOVIMIENTOS!$B318="AJUSTE",MOVIMIENTOS!$C318&lt;&gt;"Chancho",N(MOVIMIENTOS!$F318)&gt;=0))),N(MOVIMIENTOS!$F318),"")</f>
        <v/>
      </c>
      <c r="N319" s="48" t="str">
        <f aca="false">IF(AND(AND(MOVIMIENTOS!$B318&lt;&gt;"",NOT(AND(MOVIMIENTOS!$B318="PROCESO",MOVIMIENTOS!$C318&lt;&gt;"Chancho")),NOT(AND(MOVIMIENTOS!$B318="SALDO INICIAL",MOVIMIENTOS!$C318="Chancho"))),OR(MOVIMIENTOS!$B318="ENVÍO A SUPESA",MOVIMIENTOS!$B318="MALOGRADO",MOVIMIENTOS!$B318="OTRA SALIDA",MOVIMIENTOS!$B318="TRASIEGO",AND(MOVIMIENTOS!$B318="PROCESO",MOVIMIENTOS!$C318="Chancho"),AND(MOVIMIENTOS!$B318="REGALO",MOVIMIENTOS!$C318&lt;&gt;"Chancho"),AND(MOVIMIENTOS!$B318="VENTA",MOVIMIENTOS!$C318&lt;&gt;"Chancho"),AND(MOVIMIENTOS!$B318="AJUSTE",MOVIMIENTOS!$C318&lt;&gt;"Chancho",N(MOVIMIENTOS!$F318)&lt;0))),IF(MOVIMIENTOS!$B318="AJUSTE",-N(MOVIMIENTOS!$F318),N(MOVIMIENTOS!$F318)),"")</f>
        <v/>
      </c>
      <c r="O319" s="48" t="str">
        <f aca="false">IF(AND(MOVIMIENTOS!$B318&lt;&gt;"",NOT(AND(MOVIMIENTOS!$B318="PROCESO",MOVIMIENTOS!$C318&lt;&gt;"Chancho")),NOT(AND(MOVIMIENTOS!$B318="SALDO INICIAL",MOVIMIENTOS!$C318="Chancho"))),IF(MOVIMIENTOS!$B318="RECHAZO",MOVIMIENTOS!$E318&amp;" jabas rechazadas · van a reproceso",IF(MOVIMIENTOS!$B318="REPROCESO",MOVIMIENTOS!$E318&amp;" kg recuperados (merma del día: "&amp;TEXT(SUMPRODUCT((MOVIMIENTOS!$A$5:$A$400=MOVIMIENTOS!$A318)*(MOVIMIENTOS!$B$5:$B$400="RECHAZO")*(MOVIMIENTOS!$D$5:$D$400="jabas")*MOVIMIENTOS!$E$5:$E$400*IFERROR(_xlfn.SWITCH(MOVIMIENTOS!$C$5:$C$400,"A",15,"P",18,"C",17,"M",17,0),0))-SUMPRODUCT((MOVIMIENTOS!$A$5:$A$400=MOVIMIENTOS!$A318)*(MOVIMIENTOS!$B$5:$B$400="REPROCESO")*MOVIMIENTOS!$I$5:$I$400),"+#,##0;-#,##0;0")&amp;" kg)",TRIM(IF(MOVIMIENTOS!$G318&lt;&gt;"",MOVIMIENTOS!$G318&amp;"  ","")&amp;IF(N(MOVIMIENTOS!$D318)&gt;0,MOVIMIENTOS!$D318&amp;" "&amp;MOVIMIENTOS!$D318,"")))),"")</f>
        <v/>
      </c>
      <c r="P319" s="48" t="n">
        <f aca="false">N(P318)+N(M319)-N(N319)</f>
        <v>-290.5</v>
      </c>
      <c r="Q319" s="48"/>
      <c r="R319" s="48"/>
      <c r="S319" s="48"/>
      <c r="T319" s="48"/>
    </row>
    <row r="320" customFormat="false" ht="15" hidden="false" customHeight="true" outlineLevel="0" collapsed="false">
      <c r="A320" s="51" t="str">
        <f aca="false">IFERROR(INDEX(K$6:K$401,MATCH(ROW()-5,J$6:J$401,0)),"")</f>
        <v/>
      </c>
      <c r="B320" s="56" t="str">
        <f aca="false">IFERROR(INDEX(L$6:L$401,MATCH(ROW()-5,J$6:J$401,0)),"")</f>
        <v/>
      </c>
      <c r="C320" s="52" t="str">
        <f aca="false">IFERROR(INDEX(M$6:M$401,MATCH(ROW()-5,J$6:J$401,0)),"")</f>
        <v/>
      </c>
      <c r="D320" s="52" t="str">
        <f aca="false">IFERROR(INDEX(N$6:N$401,MATCH(ROW()-5,J$6:J$401,0)),"")</f>
        <v/>
      </c>
      <c r="E320" s="56" t="str">
        <f aca="false">IFERROR(INDEX(O$6:O$401,MATCH(ROW()-5,J$6:J$401,0)),"")</f>
        <v/>
      </c>
      <c r="F320" s="52" t="str">
        <f aca="false">IFERROR(INDEX(P$6:P$401,MATCH(ROW()-5,J$6:J$401,0)),"")</f>
        <v/>
      </c>
      <c r="G320" s="48"/>
      <c r="H320" s="48"/>
      <c r="I320" s="48"/>
      <c r="J320" s="48" t="str">
        <f aca="false">IF(AND(MOVIMIENTOS!$B319&lt;&gt;"",NOT(AND(MOVIMIENTOS!$B319="PROCESO",MOVIMIENTOS!$C319&lt;&gt;"Chancho")),NOT(AND(MOVIMIENTOS!$B319="SALDO INICIAL",MOVIMIENTOS!$C319="Chancho"))),COUNT(J$6:J319)+1,"")</f>
        <v/>
      </c>
      <c r="K320" s="48" t="str">
        <f aca="false">IF(AND(MOVIMIENTOS!$B319&lt;&gt;"",NOT(AND(MOVIMIENTOS!$B319="PROCESO",MOVIMIENTOS!$C319&lt;&gt;"Chancho")),NOT(AND(MOVIMIENTOS!$B319="SALDO INICIAL",MOVIMIENTOS!$C319="Chancho"))),MOVIMIENTOS!$A319,"")</f>
        <v/>
      </c>
      <c r="L320" s="48" t="str">
        <f aca="false">IF(AND(MOVIMIENTOS!$B319&lt;&gt;"",NOT(AND(MOVIMIENTOS!$B319="PROCESO",MOVIMIENTOS!$C319&lt;&gt;"Chancho")),NOT(AND(MOVIMIENTOS!$B319="SALDO INICIAL",MOVIMIENTOS!$C319="Chancho"))),IF(MOVIMIENTOS!$B319="SALDO INICIAL","APERTURA ("&amp;MOVIMIENTOS!$C319&amp;")",IF(MOVIMIENTOS!$B319="COMPRA","INGRESO (compra)",IF(MOVIMIENTOS!$B319="PROCESO","CHANCHO (proceso)",IF(MOVIMIENTOS!$B319="ENVÍO A SUPESA","ENVÍO cal. "&amp;MOVIMIENTOS!$C319,IF(MOVIMIENTOS!$B319="VENTA CHANCHO","VENTA CHANCHO",IF(MOVIMIENTOS!$B319="VENTA","VENTA cal. "&amp;MOVIMIENTOS!$C319,IF(MOVIMIENTOS!$B319="REGALO","REGALO "&amp;MOVIMIENTOS!$C319,IF(MOVIMIENTOS!$B319="RECHAZO","RECHAZO cal. "&amp;MOVIMIENTOS!$C319&amp;" (va a reproceso)",IF(MOVIMIENTOS!$B319="DEVOLUCIÓN","DEVOLUCIÓN cal. "&amp;MOVIMIENTOS!$C319&amp;" (regresa intacta)",IF(MOVIMIENTOS!$B319="TRASIEGO","TRASIEGO cal. "&amp;MOVIMIENTOS!$C319,MOVIMIENTOS!$B319)))))))))),"")</f>
        <v/>
      </c>
      <c r="M320" s="48" t="str">
        <f aca="false">IF(AND(AND(MOVIMIENTOS!$B319&lt;&gt;"",NOT(AND(MOVIMIENTOS!$B319="PROCESO",MOVIMIENTOS!$C319&lt;&gt;"Chancho")),NOT(AND(MOVIMIENTOS!$B319="SALDO INICIAL",MOVIMIENTOS!$C319="Chancho"))),OR(MOVIMIENTOS!$B319="SALDO INICIAL",MOVIMIENTOS!$B319="COMPRA",MOVIMIENTOS!$B319="REPROCESO",MOVIMIENTOS!$B319="DEVOLUCIÓN",AND(MOVIMIENTOS!$B319="AJUSTE",MOVIMIENTOS!$C319&lt;&gt;"Chancho",N(MOVIMIENTOS!$F319)&gt;=0))),N(MOVIMIENTOS!$F319),"")</f>
        <v/>
      </c>
      <c r="N320" s="48" t="str">
        <f aca="false">IF(AND(AND(MOVIMIENTOS!$B319&lt;&gt;"",NOT(AND(MOVIMIENTOS!$B319="PROCESO",MOVIMIENTOS!$C319&lt;&gt;"Chancho")),NOT(AND(MOVIMIENTOS!$B319="SALDO INICIAL",MOVIMIENTOS!$C319="Chancho"))),OR(MOVIMIENTOS!$B319="ENVÍO A SUPESA",MOVIMIENTOS!$B319="MALOGRADO",MOVIMIENTOS!$B319="OTRA SALIDA",MOVIMIENTOS!$B319="TRASIEGO",AND(MOVIMIENTOS!$B319="PROCESO",MOVIMIENTOS!$C319="Chancho"),AND(MOVIMIENTOS!$B319="REGALO",MOVIMIENTOS!$C319&lt;&gt;"Chancho"),AND(MOVIMIENTOS!$B319="VENTA",MOVIMIENTOS!$C319&lt;&gt;"Chancho"),AND(MOVIMIENTOS!$B319="AJUSTE",MOVIMIENTOS!$C319&lt;&gt;"Chancho",N(MOVIMIENTOS!$F319)&lt;0))),IF(MOVIMIENTOS!$B319="AJUSTE",-N(MOVIMIENTOS!$F319),N(MOVIMIENTOS!$F319)),"")</f>
        <v/>
      </c>
      <c r="O320" s="48" t="str">
        <f aca="false">IF(AND(MOVIMIENTOS!$B319&lt;&gt;"",NOT(AND(MOVIMIENTOS!$B319="PROCESO",MOVIMIENTOS!$C319&lt;&gt;"Chancho")),NOT(AND(MOVIMIENTOS!$B319="SALDO INICIAL",MOVIMIENTOS!$C319="Chancho"))),IF(MOVIMIENTOS!$B319="RECHAZO",MOVIMIENTOS!$E319&amp;" jabas rechazadas · van a reproceso",IF(MOVIMIENTOS!$B319="REPROCESO",MOVIMIENTOS!$E319&amp;" kg recuperados (merma del día: "&amp;TEXT(SUMPRODUCT((MOVIMIENTOS!$A$5:$A$400=MOVIMIENTOS!$A319)*(MOVIMIENTOS!$B$5:$B$400="RECHAZO")*(MOVIMIENTOS!$D$5:$D$400="jabas")*MOVIMIENTOS!$E$5:$E$400*IFERROR(_xlfn.SWITCH(MOVIMIENTOS!$C$5:$C$400,"A",15,"P",18,"C",17,"M",17,0),0))-SUMPRODUCT((MOVIMIENTOS!$A$5:$A$400=MOVIMIENTOS!$A319)*(MOVIMIENTOS!$B$5:$B$400="REPROCESO")*MOVIMIENTOS!$I$5:$I$400),"+#,##0;-#,##0;0")&amp;" kg)",TRIM(IF(MOVIMIENTOS!$G319&lt;&gt;"",MOVIMIENTOS!$G319&amp;"  ","")&amp;IF(N(MOVIMIENTOS!$D319)&gt;0,MOVIMIENTOS!$D319&amp;" "&amp;MOVIMIENTOS!$D319,"")))),"")</f>
        <v/>
      </c>
      <c r="P320" s="48" t="n">
        <f aca="false">N(P319)+N(M320)-N(N320)</f>
        <v>-290.5</v>
      </c>
      <c r="Q320" s="48"/>
      <c r="R320" s="48"/>
      <c r="S320" s="48"/>
      <c r="T320" s="48"/>
    </row>
    <row r="321" customFormat="false" ht="15" hidden="false" customHeight="true" outlineLevel="0" collapsed="false">
      <c r="A321" s="51" t="str">
        <f aca="false">IFERROR(INDEX(K$6:K$401,MATCH(ROW()-5,J$6:J$401,0)),"")</f>
        <v/>
      </c>
      <c r="B321" s="56" t="str">
        <f aca="false">IFERROR(INDEX(L$6:L$401,MATCH(ROW()-5,J$6:J$401,0)),"")</f>
        <v/>
      </c>
      <c r="C321" s="52" t="str">
        <f aca="false">IFERROR(INDEX(M$6:M$401,MATCH(ROW()-5,J$6:J$401,0)),"")</f>
        <v/>
      </c>
      <c r="D321" s="52" t="str">
        <f aca="false">IFERROR(INDEX(N$6:N$401,MATCH(ROW()-5,J$6:J$401,0)),"")</f>
        <v/>
      </c>
      <c r="E321" s="56" t="str">
        <f aca="false">IFERROR(INDEX(O$6:O$401,MATCH(ROW()-5,J$6:J$401,0)),"")</f>
        <v/>
      </c>
      <c r="F321" s="52" t="str">
        <f aca="false">IFERROR(INDEX(P$6:P$401,MATCH(ROW()-5,J$6:J$401,0)),"")</f>
        <v/>
      </c>
      <c r="G321" s="48"/>
      <c r="H321" s="48"/>
      <c r="I321" s="48"/>
      <c r="J321" s="48" t="str">
        <f aca="false">IF(AND(MOVIMIENTOS!$B320&lt;&gt;"",NOT(AND(MOVIMIENTOS!$B320="PROCESO",MOVIMIENTOS!$C320&lt;&gt;"Chancho")),NOT(AND(MOVIMIENTOS!$B320="SALDO INICIAL",MOVIMIENTOS!$C320="Chancho"))),COUNT(J$6:J320)+1,"")</f>
        <v/>
      </c>
      <c r="K321" s="48" t="str">
        <f aca="false">IF(AND(MOVIMIENTOS!$B320&lt;&gt;"",NOT(AND(MOVIMIENTOS!$B320="PROCESO",MOVIMIENTOS!$C320&lt;&gt;"Chancho")),NOT(AND(MOVIMIENTOS!$B320="SALDO INICIAL",MOVIMIENTOS!$C320="Chancho"))),MOVIMIENTOS!$A320,"")</f>
        <v/>
      </c>
      <c r="L321" s="48" t="str">
        <f aca="false">IF(AND(MOVIMIENTOS!$B320&lt;&gt;"",NOT(AND(MOVIMIENTOS!$B320="PROCESO",MOVIMIENTOS!$C320&lt;&gt;"Chancho")),NOT(AND(MOVIMIENTOS!$B320="SALDO INICIAL",MOVIMIENTOS!$C320="Chancho"))),IF(MOVIMIENTOS!$B320="SALDO INICIAL","APERTURA ("&amp;MOVIMIENTOS!$C320&amp;")",IF(MOVIMIENTOS!$B320="COMPRA","INGRESO (compra)",IF(MOVIMIENTOS!$B320="PROCESO","CHANCHO (proceso)",IF(MOVIMIENTOS!$B320="ENVÍO A SUPESA","ENVÍO cal. "&amp;MOVIMIENTOS!$C320,IF(MOVIMIENTOS!$B320="VENTA CHANCHO","VENTA CHANCHO",IF(MOVIMIENTOS!$B320="VENTA","VENTA cal. "&amp;MOVIMIENTOS!$C320,IF(MOVIMIENTOS!$B320="REGALO","REGALO "&amp;MOVIMIENTOS!$C320,IF(MOVIMIENTOS!$B320="RECHAZO","RECHAZO cal. "&amp;MOVIMIENTOS!$C320&amp;" (va a reproceso)",IF(MOVIMIENTOS!$B320="DEVOLUCIÓN","DEVOLUCIÓN cal. "&amp;MOVIMIENTOS!$C320&amp;" (regresa intacta)",IF(MOVIMIENTOS!$B320="TRASIEGO","TRASIEGO cal. "&amp;MOVIMIENTOS!$C320,MOVIMIENTOS!$B320)))))))))),"")</f>
        <v/>
      </c>
      <c r="M321" s="48" t="str">
        <f aca="false">IF(AND(AND(MOVIMIENTOS!$B320&lt;&gt;"",NOT(AND(MOVIMIENTOS!$B320="PROCESO",MOVIMIENTOS!$C320&lt;&gt;"Chancho")),NOT(AND(MOVIMIENTOS!$B320="SALDO INICIAL",MOVIMIENTOS!$C320="Chancho"))),OR(MOVIMIENTOS!$B320="SALDO INICIAL",MOVIMIENTOS!$B320="COMPRA",MOVIMIENTOS!$B320="REPROCESO",MOVIMIENTOS!$B320="DEVOLUCIÓN",AND(MOVIMIENTOS!$B320="AJUSTE",MOVIMIENTOS!$C320&lt;&gt;"Chancho",N(MOVIMIENTOS!$F320)&gt;=0))),N(MOVIMIENTOS!$F320),"")</f>
        <v/>
      </c>
      <c r="N321" s="48" t="str">
        <f aca="false">IF(AND(AND(MOVIMIENTOS!$B320&lt;&gt;"",NOT(AND(MOVIMIENTOS!$B320="PROCESO",MOVIMIENTOS!$C320&lt;&gt;"Chancho")),NOT(AND(MOVIMIENTOS!$B320="SALDO INICIAL",MOVIMIENTOS!$C320="Chancho"))),OR(MOVIMIENTOS!$B320="ENVÍO A SUPESA",MOVIMIENTOS!$B320="MALOGRADO",MOVIMIENTOS!$B320="OTRA SALIDA",MOVIMIENTOS!$B320="TRASIEGO",AND(MOVIMIENTOS!$B320="PROCESO",MOVIMIENTOS!$C320="Chancho"),AND(MOVIMIENTOS!$B320="REGALO",MOVIMIENTOS!$C320&lt;&gt;"Chancho"),AND(MOVIMIENTOS!$B320="VENTA",MOVIMIENTOS!$C320&lt;&gt;"Chancho"),AND(MOVIMIENTOS!$B320="AJUSTE",MOVIMIENTOS!$C320&lt;&gt;"Chancho",N(MOVIMIENTOS!$F320)&lt;0))),IF(MOVIMIENTOS!$B320="AJUSTE",-N(MOVIMIENTOS!$F320),N(MOVIMIENTOS!$F320)),"")</f>
        <v/>
      </c>
      <c r="O321" s="48" t="str">
        <f aca="false">IF(AND(MOVIMIENTOS!$B320&lt;&gt;"",NOT(AND(MOVIMIENTOS!$B320="PROCESO",MOVIMIENTOS!$C320&lt;&gt;"Chancho")),NOT(AND(MOVIMIENTOS!$B320="SALDO INICIAL",MOVIMIENTOS!$C320="Chancho"))),IF(MOVIMIENTOS!$B320="RECHAZO",MOVIMIENTOS!$E320&amp;" jabas rechazadas · van a reproceso",IF(MOVIMIENTOS!$B320="REPROCESO",MOVIMIENTOS!$E320&amp;" kg recuperados (merma del día: "&amp;TEXT(SUMPRODUCT((MOVIMIENTOS!$A$5:$A$400=MOVIMIENTOS!$A320)*(MOVIMIENTOS!$B$5:$B$400="RECHAZO")*(MOVIMIENTOS!$D$5:$D$400="jabas")*MOVIMIENTOS!$E$5:$E$400*IFERROR(_xlfn.SWITCH(MOVIMIENTOS!$C$5:$C$400,"A",15,"P",18,"C",17,"M",17,0),0))-SUMPRODUCT((MOVIMIENTOS!$A$5:$A$400=MOVIMIENTOS!$A320)*(MOVIMIENTOS!$B$5:$B$400="REPROCESO")*MOVIMIENTOS!$I$5:$I$400),"+#,##0;-#,##0;0")&amp;" kg)",TRIM(IF(MOVIMIENTOS!$G320&lt;&gt;"",MOVIMIENTOS!$G320&amp;"  ","")&amp;IF(N(MOVIMIENTOS!$D320)&gt;0,MOVIMIENTOS!$D320&amp;" "&amp;MOVIMIENTOS!$D320,"")))),"")</f>
        <v/>
      </c>
      <c r="P321" s="48" t="n">
        <f aca="false">N(P320)+N(M321)-N(N321)</f>
        <v>-290.5</v>
      </c>
      <c r="Q321" s="48"/>
      <c r="R321" s="48"/>
      <c r="S321" s="48"/>
      <c r="T321" s="48"/>
    </row>
    <row r="322" customFormat="false" ht="15" hidden="false" customHeight="true" outlineLevel="0" collapsed="false">
      <c r="A322" s="51" t="str">
        <f aca="false">IFERROR(INDEX(K$6:K$401,MATCH(ROW()-5,J$6:J$401,0)),"")</f>
        <v/>
      </c>
      <c r="B322" s="56" t="str">
        <f aca="false">IFERROR(INDEX(L$6:L$401,MATCH(ROW()-5,J$6:J$401,0)),"")</f>
        <v/>
      </c>
      <c r="C322" s="52" t="str">
        <f aca="false">IFERROR(INDEX(M$6:M$401,MATCH(ROW()-5,J$6:J$401,0)),"")</f>
        <v/>
      </c>
      <c r="D322" s="52" t="str">
        <f aca="false">IFERROR(INDEX(N$6:N$401,MATCH(ROW()-5,J$6:J$401,0)),"")</f>
        <v/>
      </c>
      <c r="E322" s="56" t="str">
        <f aca="false">IFERROR(INDEX(O$6:O$401,MATCH(ROW()-5,J$6:J$401,0)),"")</f>
        <v/>
      </c>
      <c r="F322" s="52" t="str">
        <f aca="false">IFERROR(INDEX(P$6:P$401,MATCH(ROW()-5,J$6:J$401,0)),"")</f>
        <v/>
      </c>
      <c r="G322" s="48"/>
      <c r="H322" s="48"/>
      <c r="I322" s="48"/>
      <c r="J322" s="48" t="str">
        <f aca="false">IF(AND(MOVIMIENTOS!$B321&lt;&gt;"",NOT(AND(MOVIMIENTOS!$B321="PROCESO",MOVIMIENTOS!$C321&lt;&gt;"Chancho")),NOT(AND(MOVIMIENTOS!$B321="SALDO INICIAL",MOVIMIENTOS!$C321="Chancho"))),COUNT(J$6:J321)+1,"")</f>
        <v/>
      </c>
      <c r="K322" s="48" t="str">
        <f aca="false">IF(AND(MOVIMIENTOS!$B321&lt;&gt;"",NOT(AND(MOVIMIENTOS!$B321="PROCESO",MOVIMIENTOS!$C321&lt;&gt;"Chancho")),NOT(AND(MOVIMIENTOS!$B321="SALDO INICIAL",MOVIMIENTOS!$C321="Chancho"))),MOVIMIENTOS!$A321,"")</f>
        <v/>
      </c>
      <c r="L322" s="48" t="str">
        <f aca="false">IF(AND(MOVIMIENTOS!$B321&lt;&gt;"",NOT(AND(MOVIMIENTOS!$B321="PROCESO",MOVIMIENTOS!$C321&lt;&gt;"Chancho")),NOT(AND(MOVIMIENTOS!$B321="SALDO INICIAL",MOVIMIENTOS!$C321="Chancho"))),IF(MOVIMIENTOS!$B321="SALDO INICIAL","APERTURA ("&amp;MOVIMIENTOS!$C321&amp;")",IF(MOVIMIENTOS!$B321="COMPRA","INGRESO (compra)",IF(MOVIMIENTOS!$B321="PROCESO","CHANCHO (proceso)",IF(MOVIMIENTOS!$B321="ENVÍO A SUPESA","ENVÍO cal. "&amp;MOVIMIENTOS!$C321,IF(MOVIMIENTOS!$B321="VENTA CHANCHO","VENTA CHANCHO",IF(MOVIMIENTOS!$B321="VENTA","VENTA cal. "&amp;MOVIMIENTOS!$C321,IF(MOVIMIENTOS!$B321="REGALO","REGALO "&amp;MOVIMIENTOS!$C321,IF(MOVIMIENTOS!$B321="RECHAZO","RECHAZO cal. "&amp;MOVIMIENTOS!$C321&amp;" (va a reproceso)",IF(MOVIMIENTOS!$B321="DEVOLUCIÓN","DEVOLUCIÓN cal. "&amp;MOVIMIENTOS!$C321&amp;" (regresa intacta)",IF(MOVIMIENTOS!$B321="TRASIEGO","TRASIEGO cal. "&amp;MOVIMIENTOS!$C321,MOVIMIENTOS!$B321)))))))))),"")</f>
        <v/>
      </c>
      <c r="M322" s="48" t="str">
        <f aca="false">IF(AND(AND(MOVIMIENTOS!$B321&lt;&gt;"",NOT(AND(MOVIMIENTOS!$B321="PROCESO",MOVIMIENTOS!$C321&lt;&gt;"Chancho")),NOT(AND(MOVIMIENTOS!$B321="SALDO INICIAL",MOVIMIENTOS!$C321="Chancho"))),OR(MOVIMIENTOS!$B321="SALDO INICIAL",MOVIMIENTOS!$B321="COMPRA",MOVIMIENTOS!$B321="REPROCESO",MOVIMIENTOS!$B321="DEVOLUCIÓN",AND(MOVIMIENTOS!$B321="AJUSTE",MOVIMIENTOS!$C321&lt;&gt;"Chancho",N(MOVIMIENTOS!$F321)&gt;=0))),N(MOVIMIENTOS!$F321),"")</f>
        <v/>
      </c>
      <c r="N322" s="48" t="str">
        <f aca="false">IF(AND(AND(MOVIMIENTOS!$B321&lt;&gt;"",NOT(AND(MOVIMIENTOS!$B321="PROCESO",MOVIMIENTOS!$C321&lt;&gt;"Chancho")),NOT(AND(MOVIMIENTOS!$B321="SALDO INICIAL",MOVIMIENTOS!$C321="Chancho"))),OR(MOVIMIENTOS!$B321="ENVÍO A SUPESA",MOVIMIENTOS!$B321="MALOGRADO",MOVIMIENTOS!$B321="OTRA SALIDA",MOVIMIENTOS!$B321="TRASIEGO",AND(MOVIMIENTOS!$B321="PROCESO",MOVIMIENTOS!$C321="Chancho"),AND(MOVIMIENTOS!$B321="REGALO",MOVIMIENTOS!$C321&lt;&gt;"Chancho"),AND(MOVIMIENTOS!$B321="VENTA",MOVIMIENTOS!$C321&lt;&gt;"Chancho"),AND(MOVIMIENTOS!$B321="AJUSTE",MOVIMIENTOS!$C321&lt;&gt;"Chancho",N(MOVIMIENTOS!$F321)&lt;0))),IF(MOVIMIENTOS!$B321="AJUSTE",-N(MOVIMIENTOS!$F321),N(MOVIMIENTOS!$F321)),"")</f>
        <v/>
      </c>
      <c r="O322" s="48" t="str">
        <f aca="false">IF(AND(MOVIMIENTOS!$B321&lt;&gt;"",NOT(AND(MOVIMIENTOS!$B321="PROCESO",MOVIMIENTOS!$C321&lt;&gt;"Chancho")),NOT(AND(MOVIMIENTOS!$B321="SALDO INICIAL",MOVIMIENTOS!$C321="Chancho"))),IF(MOVIMIENTOS!$B321="RECHAZO",MOVIMIENTOS!$E321&amp;" jabas rechazadas · van a reproceso",IF(MOVIMIENTOS!$B321="REPROCESO",MOVIMIENTOS!$E321&amp;" kg recuperados (merma del día: "&amp;TEXT(SUMPRODUCT((MOVIMIENTOS!$A$5:$A$400=MOVIMIENTOS!$A321)*(MOVIMIENTOS!$B$5:$B$400="RECHAZO")*(MOVIMIENTOS!$D$5:$D$400="jabas")*MOVIMIENTOS!$E$5:$E$400*IFERROR(_xlfn.SWITCH(MOVIMIENTOS!$C$5:$C$400,"A",15,"P",18,"C",17,"M",17,0),0))-SUMPRODUCT((MOVIMIENTOS!$A$5:$A$400=MOVIMIENTOS!$A321)*(MOVIMIENTOS!$B$5:$B$400="REPROCESO")*MOVIMIENTOS!$I$5:$I$400),"+#,##0;-#,##0;0")&amp;" kg)",TRIM(IF(MOVIMIENTOS!$G321&lt;&gt;"",MOVIMIENTOS!$G321&amp;"  ","")&amp;IF(N(MOVIMIENTOS!$D321)&gt;0,MOVIMIENTOS!$D321&amp;" "&amp;MOVIMIENTOS!$D321,"")))),"")</f>
        <v/>
      </c>
      <c r="P322" s="48" t="n">
        <f aca="false">N(P321)+N(M322)-N(N322)</f>
        <v>-290.5</v>
      </c>
      <c r="Q322" s="48"/>
      <c r="R322" s="48"/>
      <c r="S322" s="48"/>
      <c r="T322" s="48"/>
    </row>
    <row r="323" customFormat="false" ht="15" hidden="false" customHeight="true" outlineLevel="0" collapsed="false">
      <c r="A323" s="51" t="str">
        <f aca="false">IFERROR(INDEX(K$6:K$401,MATCH(ROW()-5,J$6:J$401,0)),"")</f>
        <v/>
      </c>
      <c r="B323" s="56" t="str">
        <f aca="false">IFERROR(INDEX(L$6:L$401,MATCH(ROW()-5,J$6:J$401,0)),"")</f>
        <v/>
      </c>
      <c r="C323" s="52" t="str">
        <f aca="false">IFERROR(INDEX(M$6:M$401,MATCH(ROW()-5,J$6:J$401,0)),"")</f>
        <v/>
      </c>
      <c r="D323" s="52" t="str">
        <f aca="false">IFERROR(INDEX(N$6:N$401,MATCH(ROW()-5,J$6:J$401,0)),"")</f>
        <v/>
      </c>
      <c r="E323" s="56" t="str">
        <f aca="false">IFERROR(INDEX(O$6:O$401,MATCH(ROW()-5,J$6:J$401,0)),"")</f>
        <v/>
      </c>
      <c r="F323" s="52" t="str">
        <f aca="false">IFERROR(INDEX(P$6:P$401,MATCH(ROW()-5,J$6:J$401,0)),"")</f>
        <v/>
      </c>
      <c r="G323" s="48"/>
      <c r="H323" s="48"/>
      <c r="I323" s="48"/>
      <c r="J323" s="48" t="str">
        <f aca="false">IF(AND(MOVIMIENTOS!$B322&lt;&gt;"",NOT(AND(MOVIMIENTOS!$B322="PROCESO",MOVIMIENTOS!$C322&lt;&gt;"Chancho")),NOT(AND(MOVIMIENTOS!$B322="SALDO INICIAL",MOVIMIENTOS!$C322="Chancho"))),COUNT(J$6:J322)+1,"")</f>
        <v/>
      </c>
      <c r="K323" s="48" t="str">
        <f aca="false">IF(AND(MOVIMIENTOS!$B322&lt;&gt;"",NOT(AND(MOVIMIENTOS!$B322="PROCESO",MOVIMIENTOS!$C322&lt;&gt;"Chancho")),NOT(AND(MOVIMIENTOS!$B322="SALDO INICIAL",MOVIMIENTOS!$C322="Chancho"))),MOVIMIENTOS!$A322,"")</f>
        <v/>
      </c>
      <c r="L323" s="48" t="str">
        <f aca="false">IF(AND(MOVIMIENTOS!$B322&lt;&gt;"",NOT(AND(MOVIMIENTOS!$B322="PROCESO",MOVIMIENTOS!$C322&lt;&gt;"Chancho")),NOT(AND(MOVIMIENTOS!$B322="SALDO INICIAL",MOVIMIENTOS!$C322="Chancho"))),IF(MOVIMIENTOS!$B322="SALDO INICIAL","APERTURA ("&amp;MOVIMIENTOS!$C322&amp;")",IF(MOVIMIENTOS!$B322="COMPRA","INGRESO (compra)",IF(MOVIMIENTOS!$B322="PROCESO","CHANCHO (proceso)",IF(MOVIMIENTOS!$B322="ENVÍO A SUPESA","ENVÍO cal. "&amp;MOVIMIENTOS!$C322,IF(MOVIMIENTOS!$B322="VENTA CHANCHO","VENTA CHANCHO",IF(MOVIMIENTOS!$B322="VENTA","VENTA cal. "&amp;MOVIMIENTOS!$C322,IF(MOVIMIENTOS!$B322="REGALO","REGALO "&amp;MOVIMIENTOS!$C322,IF(MOVIMIENTOS!$B322="RECHAZO","RECHAZO cal. "&amp;MOVIMIENTOS!$C322&amp;" (va a reproceso)",IF(MOVIMIENTOS!$B322="DEVOLUCIÓN","DEVOLUCIÓN cal. "&amp;MOVIMIENTOS!$C322&amp;" (regresa intacta)",IF(MOVIMIENTOS!$B322="TRASIEGO","TRASIEGO cal. "&amp;MOVIMIENTOS!$C322,MOVIMIENTOS!$B322)))))))))),"")</f>
        <v/>
      </c>
      <c r="M323" s="48" t="str">
        <f aca="false">IF(AND(AND(MOVIMIENTOS!$B322&lt;&gt;"",NOT(AND(MOVIMIENTOS!$B322="PROCESO",MOVIMIENTOS!$C322&lt;&gt;"Chancho")),NOT(AND(MOVIMIENTOS!$B322="SALDO INICIAL",MOVIMIENTOS!$C322="Chancho"))),OR(MOVIMIENTOS!$B322="SALDO INICIAL",MOVIMIENTOS!$B322="COMPRA",MOVIMIENTOS!$B322="REPROCESO",MOVIMIENTOS!$B322="DEVOLUCIÓN",AND(MOVIMIENTOS!$B322="AJUSTE",MOVIMIENTOS!$C322&lt;&gt;"Chancho",N(MOVIMIENTOS!$F322)&gt;=0))),N(MOVIMIENTOS!$F322),"")</f>
        <v/>
      </c>
      <c r="N323" s="48" t="str">
        <f aca="false">IF(AND(AND(MOVIMIENTOS!$B322&lt;&gt;"",NOT(AND(MOVIMIENTOS!$B322="PROCESO",MOVIMIENTOS!$C322&lt;&gt;"Chancho")),NOT(AND(MOVIMIENTOS!$B322="SALDO INICIAL",MOVIMIENTOS!$C322="Chancho"))),OR(MOVIMIENTOS!$B322="ENVÍO A SUPESA",MOVIMIENTOS!$B322="MALOGRADO",MOVIMIENTOS!$B322="OTRA SALIDA",MOVIMIENTOS!$B322="TRASIEGO",AND(MOVIMIENTOS!$B322="PROCESO",MOVIMIENTOS!$C322="Chancho"),AND(MOVIMIENTOS!$B322="REGALO",MOVIMIENTOS!$C322&lt;&gt;"Chancho"),AND(MOVIMIENTOS!$B322="VENTA",MOVIMIENTOS!$C322&lt;&gt;"Chancho"),AND(MOVIMIENTOS!$B322="AJUSTE",MOVIMIENTOS!$C322&lt;&gt;"Chancho",N(MOVIMIENTOS!$F322)&lt;0))),IF(MOVIMIENTOS!$B322="AJUSTE",-N(MOVIMIENTOS!$F322),N(MOVIMIENTOS!$F322)),"")</f>
        <v/>
      </c>
      <c r="O323" s="48" t="str">
        <f aca="false">IF(AND(MOVIMIENTOS!$B322&lt;&gt;"",NOT(AND(MOVIMIENTOS!$B322="PROCESO",MOVIMIENTOS!$C322&lt;&gt;"Chancho")),NOT(AND(MOVIMIENTOS!$B322="SALDO INICIAL",MOVIMIENTOS!$C322="Chancho"))),IF(MOVIMIENTOS!$B322="RECHAZO",MOVIMIENTOS!$E322&amp;" jabas rechazadas · van a reproceso",IF(MOVIMIENTOS!$B322="REPROCESO",MOVIMIENTOS!$E322&amp;" kg recuperados (merma del día: "&amp;TEXT(SUMPRODUCT((MOVIMIENTOS!$A$5:$A$400=MOVIMIENTOS!$A322)*(MOVIMIENTOS!$B$5:$B$400="RECHAZO")*(MOVIMIENTOS!$D$5:$D$400="jabas")*MOVIMIENTOS!$E$5:$E$400*IFERROR(_xlfn.SWITCH(MOVIMIENTOS!$C$5:$C$400,"A",15,"P",18,"C",17,"M",17,0),0))-SUMPRODUCT((MOVIMIENTOS!$A$5:$A$400=MOVIMIENTOS!$A322)*(MOVIMIENTOS!$B$5:$B$400="REPROCESO")*MOVIMIENTOS!$I$5:$I$400),"+#,##0;-#,##0;0")&amp;" kg)",TRIM(IF(MOVIMIENTOS!$G322&lt;&gt;"",MOVIMIENTOS!$G322&amp;"  ","")&amp;IF(N(MOVIMIENTOS!$D322)&gt;0,MOVIMIENTOS!$D322&amp;" "&amp;MOVIMIENTOS!$D322,"")))),"")</f>
        <v/>
      </c>
      <c r="P323" s="48" t="n">
        <f aca="false">N(P322)+N(M323)-N(N323)</f>
        <v>-290.5</v>
      </c>
      <c r="Q323" s="48"/>
      <c r="R323" s="48"/>
      <c r="S323" s="48"/>
      <c r="T323" s="48"/>
    </row>
    <row r="324" customFormat="false" ht="15" hidden="false" customHeight="true" outlineLevel="0" collapsed="false">
      <c r="A324" s="51" t="str">
        <f aca="false">IFERROR(INDEX(K$6:K$401,MATCH(ROW()-5,J$6:J$401,0)),"")</f>
        <v/>
      </c>
      <c r="B324" s="56" t="str">
        <f aca="false">IFERROR(INDEX(L$6:L$401,MATCH(ROW()-5,J$6:J$401,0)),"")</f>
        <v/>
      </c>
      <c r="C324" s="52" t="str">
        <f aca="false">IFERROR(INDEX(M$6:M$401,MATCH(ROW()-5,J$6:J$401,0)),"")</f>
        <v/>
      </c>
      <c r="D324" s="52" t="str">
        <f aca="false">IFERROR(INDEX(N$6:N$401,MATCH(ROW()-5,J$6:J$401,0)),"")</f>
        <v/>
      </c>
      <c r="E324" s="56" t="str">
        <f aca="false">IFERROR(INDEX(O$6:O$401,MATCH(ROW()-5,J$6:J$401,0)),"")</f>
        <v/>
      </c>
      <c r="F324" s="52" t="str">
        <f aca="false">IFERROR(INDEX(P$6:P$401,MATCH(ROW()-5,J$6:J$401,0)),"")</f>
        <v/>
      </c>
      <c r="G324" s="48"/>
      <c r="H324" s="48"/>
      <c r="I324" s="48"/>
      <c r="J324" s="48" t="str">
        <f aca="false">IF(AND(MOVIMIENTOS!$B323&lt;&gt;"",NOT(AND(MOVIMIENTOS!$B323="PROCESO",MOVIMIENTOS!$C323&lt;&gt;"Chancho")),NOT(AND(MOVIMIENTOS!$B323="SALDO INICIAL",MOVIMIENTOS!$C323="Chancho"))),COUNT(J$6:J323)+1,"")</f>
        <v/>
      </c>
      <c r="K324" s="48" t="str">
        <f aca="false">IF(AND(MOVIMIENTOS!$B323&lt;&gt;"",NOT(AND(MOVIMIENTOS!$B323="PROCESO",MOVIMIENTOS!$C323&lt;&gt;"Chancho")),NOT(AND(MOVIMIENTOS!$B323="SALDO INICIAL",MOVIMIENTOS!$C323="Chancho"))),MOVIMIENTOS!$A323,"")</f>
        <v/>
      </c>
      <c r="L324" s="48" t="str">
        <f aca="false">IF(AND(MOVIMIENTOS!$B323&lt;&gt;"",NOT(AND(MOVIMIENTOS!$B323="PROCESO",MOVIMIENTOS!$C323&lt;&gt;"Chancho")),NOT(AND(MOVIMIENTOS!$B323="SALDO INICIAL",MOVIMIENTOS!$C323="Chancho"))),IF(MOVIMIENTOS!$B323="SALDO INICIAL","APERTURA ("&amp;MOVIMIENTOS!$C323&amp;")",IF(MOVIMIENTOS!$B323="COMPRA","INGRESO (compra)",IF(MOVIMIENTOS!$B323="PROCESO","CHANCHO (proceso)",IF(MOVIMIENTOS!$B323="ENVÍO A SUPESA","ENVÍO cal. "&amp;MOVIMIENTOS!$C323,IF(MOVIMIENTOS!$B323="VENTA CHANCHO","VENTA CHANCHO",IF(MOVIMIENTOS!$B323="VENTA","VENTA cal. "&amp;MOVIMIENTOS!$C323,IF(MOVIMIENTOS!$B323="REGALO","REGALO "&amp;MOVIMIENTOS!$C323,IF(MOVIMIENTOS!$B323="RECHAZO","RECHAZO cal. "&amp;MOVIMIENTOS!$C323&amp;" (va a reproceso)",IF(MOVIMIENTOS!$B323="DEVOLUCIÓN","DEVOLUCIÓN cal. "&amp;MOVIMIENTOS!$C323&amp;" (regresa intacta)",IF(MOVIMIENTOS!$B323="TRASIEGO","TRASIEGO cal. "&amp;MOVIMIENTOS!$C323,MOVIMIENTOS!$B323)))))))))),"")</f>
        <v/>
      </c>
      <c r="M324" s="48" t="str">
        <f aca="false">IF(AND(AND(MOVIMIENTOS!$B323&lt;&gt;"",NOT(AND(MOVIMIENTOS!$B323="PROCESO",MOVIMIENTOS!$C323&lt;&gt;"Chancho")),NOT(AND(MOVIMIENTOS!$B323="SALDO INICIAL",MOVIMIENTOS!$C323="Chancho"))),OR(MOVIMIENTOS!$B323="SALDO INICIAL",MOVIMIENTOS!$B323="COMPRA",MOVIMIENTOS!$B323="REPROCESO",MOVIMIENTOS!$B323="DEVOLUCIÓN",AND(MOVIMIENTOS!$B323="AJUSTE",MOVIMIENTOS!$C323&lt;&gt;"Chancho",N(MOVIMIENTOS!$F323)&gt;=0))),N(MOVIMIENTOS!$F323),"")</f>
        <v/>
      </c>
      <c r="N324" s="48" t="str">
        <f aca="false">IF(AND(AND(MOVIMIENTOS!$B323&lt;&gt;"",NOT(AND(MOVIMIENTOS!$B323="PROCESO",MOVIMIENTOS!$C323&lt;&gt;"Chancho")),NOT(AND(MOVIMIENTOS!$B323="SALDO INICIAL",MOVIMIENTOS!$C323="Chancho"))),OR(MOVIMIENTOS!$B323="ENVÍO A SUPESA",MOVIMIENTOS!$B323="MALOGRADO",MOVIMIENTOS!$B323="OTRA SALIDA",MOVIMIENTOS!$B323="TRASIEGO",AND(MOVIMIENTOS!$B323="PROCESO",MOVIMIENTOS!$C323="Chancho"),AND(MOVIMIENTOS!$B323="REGALO",MOVIMIENTOS!$C323&lt;&gt;"Chancho"),AND(MOVIMIENTOS!$B323="VENTA",MOVIMIENTOS!$C323&lt;&gt;"Chancho"),AND(MOVIMIENTOS!$B323="AJUSTE",MOVIMIENTOS!$C323&lt;&gt;"Chancho",N(MOVIMIENTOS!$F323)&lt;0))),IF(MOVIMIENTOS!$B323="AJUSTE",-N(MOVIMIENTOS!$F323),N(MOVIMIENTOS!$F323)),"")</f>
        <v/>
      </c>
      <c r="O324" s="48" t="str">
        <f aca="false">IF(AND(MOVIMIENTOS!$B323&lt;&gt;"",NOT(AND(MOVIMIENTOS!$B323="PROCESO",MOVIMIENTOS!$C323&lt;&gt;"Chancho")),NOT(AND(MOVIMIENTOS!$B323="SALDO INICIAL",MOVIMIENTOS!$C323="Chancho"))),IF(MOVIMIENTOS!$B323="RECHAZO",MOVIMIENTOS!$E323&amp;" jabas rechazadas · van a reproceso",IF(MOVIMIENTOS!$B323="REPROCESO",MOVIMIENTOS!$E323&amp;" kg recuperados (merma del día: "&amp;TEXT(SUMPRODUCT((MOVIMIENTOS!$A$5:$A$400=MOVIMIENTOS!$A323)*(MOVIMIENTOS!$B$5:$B$400="RECHAZO")*(MOVIMIENTOS!$D$5:$D$400="jabas")*MOVIMIENTOS!$E$5:$E$400*IFERROR(_xlfn.SWITCH(MOVIMIENTOS!$C$5:$C$400,"A",15,"P",18,"C",17,"M",17,0),0))-SUMPRODUCT((MOVIMIENTOS!$A$5:$A$400=MOVIMIENTOS!$A323)*(MOVIMIENTOS!$B$5:$B$400="REPROCESO")*MOVIMIENTOS!$I$5:$I$400),"+#,##0;-#,##0;0")&amp;" kg)",TRIM(IF(MOVIMIENTOS!$G323&lt;&gt;"",MOVIMIENTOS!$G323&amp;"  ","")&amp;IF(N(MOVIMIENTOS!$D323)&gt;0,MOVIMIENTOS!$D323&amp;" "&amp;MOVIMIENTOS!$D323,"")))),"")</f>
        <v/>
      </c>
      <c r="P324" s="48" t="n">
        <f aca="false">N(P323)+N(M324)-N(N324)</f>
        <v>-290.5</v>
      </c>
      <c r="Q324" s="48"/>
      <c r="R324" s="48"/>
      <c r="S324" s="48"/>
      <c r="T324" s="48"/>
    </row>
    <row r="325" customFormat="false" ht="15" hidden="false" customHeight="true" outlineLevel="0" collapsed="false">
      <c r="A325" s="51" t="str">
        <f aca="false">IFERROR(INDEX(K$6:K$401,MATCH(ROW()-5,J$6:J$401,0)),"")</f>
        <v/>
      </c>
      <c r="B325" s="56" t="str">
        <f aca="false">IFERROR(INDEX(L$6:L$401,MATCH(ROW()-5,J$6:J$401,0)),"")</f>
        <v/>
      </c>
      <c r="C325" s="52" t="str">
        <f aca="false">IFERROR(INDEX(M$6:M$401,MATCH(ROW()-5,J$6:J$401,0)),"")</f>
        <v/>
      </c>
      <c r="D325" s="52" t="str">
        <f aca="false">IFERROR(INDEX(N$6:N$401,MATCH(ROW()-5,J$6:J$401,0)),"")</f>
        <v/>
      </c>
      <c r="E325" s="56" t="str">
        <f aca="false">IFERROR(INDEX(O$6:O$401,MATCH(ROW()-5,J$6:J$401,0)),"")</f>
        <v/>
      </c>
      <c r="F325" s="52" t="str">
        <f aca="false">IFERROR(INDEX(P$6:P$401,MATCH(ROW()-5,J$6:J$401,0)),"")</f>
        <v/>
      </c>
      <c r="G325" s="48"/>
      <c r="H325" s="48"/>
      <c r="I325" s="48"/>
      <c r="J325" s="48" t="str">
        <f aca="false">IF(AND(MOVIMIENTOS!$B324&lt;&gt;"",NOT(AND(MOVIMIENTOS!$B324="PROCESO",MOVIMIENTOS!$C324&lt;&gt;"Chancho")),NOT(AND(MOVIMIENTOS!$B324="SALDO INICIAL",MOVIMIENTOS!$C324="Chancho"))),COUNT(J$6:J324)+1,"")</f>
        <v/>
      </c>
      <c r="K325" s="48" t="str">
        <f aca="false">IF(AND(MOVIMIENTOS!$B324&lt;&gt;"",NOT(AND(MOVIMIENTOS!$B324="PROCESO",MOVIMIENTOS!$C324&lt;&gt;"Chancho")),NOT(AND(MOVIMIENTOS!$B324="SALDO INICIAL",MOVIMIENTOS!$C324="Chancho"))),MOVIMIENTOS!$A324,"")</f>
        <v/>
      </c>
      <c r="L325" s="48" t="str">
        <f aca="false">IF(AND(MOVIMIENTOS!$B324&lt;&gt;"",NOT(AND(MOVIMIENTOS!$B324="PROCESO",MOVIMIENTOS!$C324&lt;&gt;"Chancho")),NOT(AND(MOVIMIENTOS!$B324="SALDO INICIAL",MOVIMIENTOS!$C324="Chancho"))),IF(MOVIMIENTOS!$B324="SALDO INICIAL","APERTURA ("&amp;MOVIMIENTOS!$C324&amp;")",IF(MOVIMIENTOS!$B324="COMPRA","INGRESO (compra)",IF(MOVIMIENTOS!$B324="PROCESO","CHANCHO (proceso)",IF(MOVIMIENTOS!$B324="ENVÍO A SUPESA","ENVÍO cal. "&amp;MOVIMIENTOS!$C324,IF(MOVIMIENTOS!$B324="VENTA CHANCHO","VENTA CHANCHO",IF(MOVIMIENTOS!$B324="VENTA","VENTA cal. "&amp;MOVIMIENTOS!$C324,IF(MOVIMIENTOS!$B324="REGALO","REGALO "&amp;MOVIMIENTOS!$C324,IF(MOVIMIENTOS!$B324="RECHAZO","RECHAZO cal. "&amp;MOVIMIENTOS!$C324&amp;" (va a reproceso)",IF(MOVIMIENTOS!$B324="DEVOLUCIÓN","DEVOLUCIÓN cal. "&amp;MOVIMIENTOS!$C324&amp;" (regresa intacta)",IF(MOVIMIENTOS!$B324="TRASIEGO","TRASIEGO cal. "&amp;MOVIMIENTOS!$C324,MOVIMIENTOS!$B324)))))))))),"")</f>
        <v/>
      </c>
      <c r="M325" s="48" t="str">
        <f aca="false">IF(AND(AND(MOVIMIENTOS!$B324&lt;&gt;"",NOT(AND(MOVIMIENTOS!$B324="PROCESO",MOVIMIENTOS!$C324&lt;&gt;"Chancho")),NOT(AND(MOVIMIENTOS!$B324="SALDO INICIAL",MOVIMIENTOS!$C324="Chancho"))),OR(MOVIMIENTOS!$B324="SALDO INICIAL",MOVIMIENTOS!$B324="COMPRA",MOVIMIENTOS!$B324="REPROCESO",MOVIMIENTOS!$B324="DEVOLUCIÓN",AND(MOVIMIENTOS!$B324="AJUSTE",MOVIMIENTOS!$C324&lt;&gt;"Chancho",N(MOVIMIENTOS!$F324)&gt;=0))),N(MOVIMIENTOS!$F324),"")</f>
        <v/>
      </c>
      <c r="N325" s="48" t="str">
        <f aca="false">IF(AND(AND(MOVIMIENTOS!$B324&lt;&gt;"",NOT(AND(MOVIMIENTOS!$B324="PROCESO",MOVIMIENTOS!$C324&lt;&gt;"Chancho")),NOT(AND(MOVIMIENTOS!$B324="SALDO INICIAL",MOVIMIENTOS!$C324="Chancho"))),OR(MOVIMIENTOS!$B324="ENVÍO A SUPESA",MOVIMIENTOS!$B324="MALOGRADO",MOVIMIENTOS!$B324="OTRA SALIDA",MOVIMIENTOS!$B324="TRASIEGO",AND(MOVIMIENTOS!$B324="PROCESO",MOVIMIENTOS!$C324="Chancho"),AND(MOVIMIENTOS!$B324="REGALO",MOVIMIENTOS!$C324&lt;&gt;"Chancho"),AND(MOVIMIENTOS!$B324="VENTA",MOVIMIENTOS!$C324&lt;&gt;"Chancho"),AND(MOVIMIENTOS!$B324="AJUSTE",MOVIMIENTOS!$C324&lt;&gt;"Chancho",N(MOVIMIENTOS!$F324)&lt;0))),IF(MOVIMIENTOS!$B324="AJUSTE",-N(MOVIMIENTOS!$F324),N(MOVIMIENTOS!$F324)),"")</f>
        <v/>
      </c>
      <c r="O325" s="48" t="str">
        <f aca="false">IF(AND(MOVIMIENTOS!$B324&lt;&gt;"",NOT(AND(MOVIMIENTOS!$B324="PROCESO",MOVIMIENTOS!$C324&lt;&gt;"Chancho")),NOT(AND(MOVIMIENTOS!$B324="SALDO INICIAL",MOVIMIENTOS!$C324="Chancho"))),IF(MOVIMIENTOS!$B324="RECHAZO",MOVIMIENTOS!$E324&amp;" jabas rechazadas · van a reproceso",IF(MOVIMIENTOS!$B324="REPROCESO",MOVIMIENTOS!$E324&amp;" kg recuperados (merma del día: "&amp;TEXT(SUMPRODUCT((MOVIMIENTOS!$A$5:$A$400=MOVIMIENTOS!$A324)*(MOVIMIENTOS!$B$5:$B$400="RECHAZO")*(MOVIMIENTOS!$D$5:$D$400="jabas")*MOVIMIENTOS!$E$5:$E$400*IFERROR(_xlfn.SWITCH(MOVIMIENTOS!$C$5:$C$400,"A",15,"P",18,"C",17,"M",17,0),0))-SUMPRODUCT((MOVIMIENTOS!$A$5:$A$400=MOVIMIENTOS!$A324)*(MOVIMIENTOS!$B$5:$B$400="REPROCESO")*MOVIMIENTOS!$I$5:$I$400),"+#,##0;-#,##0;0")&amp;" kg)",TRIM(IF(MOVIMIENTOS!$G324&lt;&gt;"",MOVIMIENTOS!$G324&amp;"  ","")&amp;IF(N(MOVIMIENTOS!$D324)&gt;0,MOVIMIENTOS!$D324&amp;" "&amp;MOVIMIENTOS!$D324,"")))),"")</f>
        <v/>
      </c>
      <c r="P325" s="48" t="n">
        <f aca="false">N(P324)+N(M325)-N(N325)</f>
        <v>-290.5</v>
      </c>
      <c r="Q325" s="48"/>
      <c r="R325" s="48"/>
      <c r="S325" s="48"/>
      <c r="T325" s="48"/>
    </row>
    <row r="326" customFormat="false" ht="15" hidden="false" customHeight="true" outlineLevel="0" collapsed="false">
      <c r="A326" s="51" t="str">
        <f aca="false">IFERROR(INDEX(K$6:K$401,MATCH(ROW()-5,J$6:J$401,0)),"")</f>
        <v/>
      </c>
      <c r="B326" s="56" t="str">
        <f aca="false">IFERROR(INDEX(L$6:L$401,MATCH(ROW()-5,J$6:J$401,0)),"")</f>
        <v/>
      </c>
      <c r="C326" s="52" t="str">
        <f aca="false">IFERROR(INDEX(M$6:M$401,MATCH(ROW()-5,J$6:J$401,0)),"")</f>
        <v/>
      </c>
      <c r="D326" s="52" t="str">
        <f aca="false">IFERROR(INDEX(N$6:N$401,MATCH(ROW()-5,J$6:J$401,0)),"")</f>
        <v/>
      </c>
      <c r="E326" s="56" t="str">
        <f aca="false">IFERROR(INDEX(O$6:O$401,MATCH(ROW()-5,J$6:J$401,0)),"")</f>
        <v/>
      </c>
      <c r="F326" s="52" t="str">
        <f aca="false">IFERROR(INDEX(P$6:P$401,MATCH(ROW()-5,J$6:J$401,0)),"")</f>
        <v/>
      </c>
      <c r="G326" s="48"/>
      <c r="H326" s="48"/>
      <c r="I326" s="48"/>
      <c r="J326" s="48" t="str">
        <f aca="false">IF(AND(MOVIMIENTOS!$B325&lt;&gt;"",NOT(AND(MOVIMIENTOS!$B325="PROCESO",MOVIMIENTOS!$C325&lt;&gt;"Chancho")),NOT(AND(MOVIMIENTOS!$B325="SALDO INICIAL",MOVIMIENTOS!$C325="Chancho"))),COUNT(J$6:J325)+1,"")</f>
        <v/>
      </c>
      <c r="K326" s="48" t="str">
        <f aca="false">IF(AND(MOVIMIENTOS!$B325&lt;&gt;"",NOT(AND(MOVIMIENTOS!$B325="PROCESO",MOVIMIENTOS!$C325&lt;&gt;"Chancho")),NOT(AND(MOVIMIENTOS!$B325="SALDO INICIAL",MOVIMIENTOS!$C325="Chancho"))),MOVIMIENTOS!$A325,"")</f>
        <v/>
      </c>
      <c r="L326" s="48" t="str">
        <f aca="false">IF(AND(MOVIMIENTOS!$B325&lt;&gt;"",NOT(AND(MOVIMIENTOS!$B325="PROCESO",MOVIMIENTOS!$C325&lt;&gt;"Chancho")),NOT(AND(MOVIMIENTOS!$B325="SALDO INICIAL",MOVIMIENTOS!$C325="Chancho"))),IF(MOVIMIENTOS!$B325="SALDO INICIAL","APERTURA ("&amp;MOVIMIENTOS!$C325&amp;")",IF(MOVIMIENTOS!$B325="COMPRA","INGRESO (compra)",IF(MOVIMIENTOS!$B325="PROCESO","CHANCHO (proceso)",IF(MOVIMIENTOS!$B325="ENVÍO A SUPESA","ENVÍO cal. "&amp;MOVIMIENTOS!$C325,IF(MOVIMIENTOS!$B325="VENTA CHANCHO","VENTA CHANCHO",IF(MOVIMIENTOS!$B325="VENTA","VENTA cal. "&amp;MOVIMIENTOS!$C325,IF(MOVIMIENTOS!$B325="REGALO","REGALO "&amp;MOVIMIENTOS!$C325,IF(MOVIMIENTOS!$B325="RECHAZO","RECHAZO cal. "&amp;MOVIMIENTOS!$C325&amp;" (va a reproceso)",IF(MOVIMIENTOS!$B325="DEVOLUCIÓN","DEVOLUCIÓN cal. "&amp;MOVIMIENTOS!$C325&amp;" (regresa intacta)",IF(MOVIMIENTOS!$B325="TRASIEGO","TRASIEGO cal. "&amp;MOVIMIENTOS!$C325,MOVIMIENTOS!$B325)))))))))),"")</f>
        <v/>
      </c>
      <c r="M326" s="48" t="str">
        <f aca="false">IF(AND(AND(MOVIMIENTOS!$B325&lt;&gt;"",NOT(AND(MOVIMIENTOS!$B325="PROCESO",MOVIMIENTOS!$C325&lt;&gt;"Chancho")),NOT(AND(MOVIMIENTOS!$B325="SALDO INICIAL",MOVIMIENTOS!$C325="Chancho"))),OR(MOVIMIENTOS!$B325="SALDO INICIAL",MOVIMIENTOS!$B325="COMPRA",MOVIMIENTOS!$B325="REPROCESO",MOVIMIENTOS!$B325="DEVOLUCIÓN",AND(MOVIMIENTOS!$B325="AJUSTE",MOVIMIENTOS!$C325&lt;&gt;"Chancho",N(MOVIMIENTOS!$F325)&gt;=0))),N(MOVIMIENTOS!$F325),"")</f>
        <v/>
      </c>
      <c r="N326" s="48" t="str">
        <f aca="false">IF(AND(AND(MOVIMIENTOS!$B325&lt;&gt;"",NOT(AND(MOVIMIENTOS!$B325="PROCESO",MOVIMIENTOS!$C325&lt;&gt;"Chancho")),NOT(AND(MOVIMIENTOS!$B325="SALDO INICIAL",MOVIMIENTOS!$C325="Chancho"))),OR(MOVIMIENTOS!$B325="ENVÍO A SUPESA",MOVIMIENTOS!$B325="MALOGRADO",MOVIMIENTOS!$B325="OTRA SALIDA",MOVIMIENTOS!$B325="TRASIEGO",AND(MOVIMIENTOS!$B325="PROCESO",MOVIMIENTOS!$C325="Chancho"),AND(MOVIMIENTOS!$B325="REGALO",MOVIMIENTOS!$C325&lt;&gt;"Chancho"),AND(MOVIMIENTOS!$B325="VENTA",MOVIMIENTOS!$C325&lt;&gt;"Chancho"),AND(MOVIMIENTOS!$B325="AJUSTE",MOVIMIENTOS!$C325&lt;&gt;"Chancho",N(MOVIMIENTOS!$F325)&lt;0))),IF(MOVIMIENTOS!$B325="AJUSTE",-N(MOVIMIENTOS!$F325),N(MOVIMIENTOS!$F325)),"")</f>
        <v/>
      </c>
      <c r="O326" s="48" t="str">
        <f aca="false">IF(AND(MOVIMIENTOS!$B325&lt;&gt;"",NOT(AND(MOVIMIENTOS!$B325="PROCESO",MOVIMIENTOS!$C325&lt;&gt;"Chancho")),NOT(AND(MOVIMIENTOS!$B325="SALDO INICIAL",MOVIMIENTOS!$C325="Chancho"))),IF(MOVIMIENTOS!$B325="RECHAZO",MOVIMIENTOS!$E325&amp;" jabas rechazadas · van a reproceso",IF(MOVIMIENTOS!$B325="REPROCESO",MOVIMIENTOS!$E325&amp;" kg recuperados (merma del día: "&amp;TEXT(SUMPRODUCT((MOVIMIENTOS!$A$5:$A$400=MOVIMIENTOS!$A325)*(MOVIMIENTOS!$B$5:$B$400="RECHAZO")*(MOVIMIENTOS!$D$5:$D$400="jabas")*MOVIMIENTOS!$E$5:$E$400*IFERROR(_xlfn.SWITCH(MOVIMIENTOS!$C$5:$C$400,"A",15,"P",18,"C",17,"M",17,0),0))-SUMPRODUCT((MOVIMIENTOS!$A$5:$A$400=MOVIMIENTOS!$A325)*(MOVIMIENTOS!$B$5:$B$400="REPROCESO")*MOVIMIENTOS!$I$5:$I$400),"+#,##0;-#,##0;0")&amp;" kg)",TRIM(IF(MOVIMIENTOS!$G325&lt;&gt;"",MOVIMIENTOS!$G325&amp;"  ","")&amp;IF(N(MOVIMIENTOS!$D325)&gt;0,MOVIMIENTOS!$D325&amp;" "&amp;MOVIMIENTOS!$D325,"")))),"")</f>
        <v/>
      </c>
      <c r="P326" s="48" t="n">
        <f aca="false">N(P325)+N(M326)-N(N326)</f>
        <v>-290.5</v>
      </c>
      <c r="Q326" s="48"/>
      <c r="R326" s="48"/>
      <c r="S326" s="48"/>
      <c r="T326" s="48"/>
    </row>
    <row r="327" customFormat="false" ht="15" hidden="false" customHeight="true" outlineLevel="0" collapsed="false">
      <c r="A327" s="51" t="str">
        <f aca="false">IFERROR(INDEX(K$6:K$401,MATCH(ROW()-5,J$6:J$401,0)),"")</f>
        <v/>
      </c>
      <c r="B327" s="56" t="str">
        <f aca="false">IFERROR(INDEX(L$6:L$401,MATCH(ROW()-5,J$6:J$401,0)),"")</f>
        <v/>
      </c>
      <c r="C327" s="52" t="str">
        <f aca="false">IFERROR(INDEX(M$6:M$401,MATCH(ROW()-5,J$6:J$401,0)),"")</f>
        <v/>
      </c>
      <c r="D327" s="52" t="str">
        <f aca="false">IFERROR(INDEX(N$6:N$401,MATCH(ROW()-5,J$6:J$401,0)),"")</f>
        <v/>
      </c>
      <c r="E327" s="56" t="str">
        <f aca="false">IFERROR(INDEX(O$6:O$401,MATCH(ROW()-5,J$6:J$401,0)),"")</f>
        <v/>
      </c>
      <c r="F327" s="52" t="str">
        <f aca="false">IFERROR(INDEX(P$6:P$401,MATCH(ROW()-5,J$6:J$401,0)),"")</f>
        <v/>
      </c>
      <c r="G327" s="48"/>
      <c r="H327" s="48"/>
      <c r="I327" s="48"/>
      <c r="J327" s="48" t="str">
        <f aca="false">IF(AND(MOVIMIENTOS!$B326&lt;&gt;"",NOT(AND(MOVIMIENTOS!$B326="PROCESO",MOVIMIENTOS!$C326&lt;&gt;"Chancho")),NOT(AND(MOVIMIENTOS!$B326="SALDO INICIAL",MOVIMIENTOS!$C326="Chancho"))),COUNT(J$6:J326)+1,"")</f>
        <v/>
      </c>
      <c r="K327" s="48" t="str">
        <f aca="false">IF(AND(MOVIMIENTOS!$B326&lt;&gt;"",NOT(AND(MOVIMIENTOS!$B326="PROCESO",MOVIMIENTOS!$C326&lt;&gt;"Chancho")),NOT(AND(MOVIMIENTOS!$B326="SALDO INICIAL",MOVIMIENTOS!$C326="Chancho"))),MOVIMIENTOS!$A326,"")</f>
        <v/>
      </c>
      <c r="L327" s="48" t="str">
        <f aca="false">IF(AND(MOVIMIENTOS!$B326&lt;&gt;"",NOT(AND(MOVIMIENTOS!$B326="PROCESO",MOVIMIENTOS!$C326&lt;&gt;"Chancho")),NOT(AND(MOVIMIENTOS!$B326="SALDO INICIAL",MOVIMIENTOS!$C326="Chancho"))),IF(MOVIMIENTOS!$B326="SALDO INICIAL","APERTURA ("&amp;MOVIMIENTOS!$C326&amp;")",IF(MOVIMIENTOS!$B326="COMPRA","INGRESO (compra)",IF(MOVIMIENTOS!$B326="PROCESO","CHANCHO (proceso)",IF(MOVIMIENTOS!$B326="ENVÍO A SUPESA","ENVÍO cal. "&amp;MOVIMIENTOS!$C326,IF(MOVIMIENTOS!$B326="VENTA CHANCHO","VENTA CHANCHO",IF(MOVIMIENTOS!$B326="VENTA","VENTA cal. "&amp;MOVIMIENTOS!$C326,IF(MOVIMIENTOS!$B326="REGALO","REGALO "&amp;MOVIMIENTOS!$C326,IF(MOVIMIENTOS!$B326="RECHAZO","RECHAZO cal. "&amp;MOVIMIENTOS!$C326&amp;" (va a reproceso)",IF(MOVIMIENTOS!$B326="DEVOLUCIÓN","DEVOLUCIÓN cal. "&amp;MOVIMIENTOS!$C326&amp;" (regresa intacta)",IF(MOVIMIENTOS!$B326="TRASIEGO","TRASIEGO cal. "&amp;MOVIMIENTOS!$C326,MOVIMIENTOS!$B326)))))))))),"")</f>
        <v/>
      </c>
      <c r="M327" s="48" t="str">
        <f aca="false">IF(AND(AND(MOVIMIENTOS!$B326&lt;&gt;"",NOT(AND(MOVIMIENTOS!$B326="PROCESO",MOVIMIENTOS!$C326&lt;&gt;"Chancho")),NOT(AND(MOVIMIENTOS!$B326="SALDO INICIAL",MOVIMIENTOS!$C326="Chancho"))),OR(MOVIMIENTOS!$B326="SALDO INICIAL",MOVIMIENTOS!$B326="COMPRA",MOVIMIENTOS!$B326="REPROCESO",MOVIMIENTOS!$B326="DEVOLUCIÓN",AND(MOVIMIENTOS!$B326="AJUSTE",MOVIMIENTOS!$C326&lt;&gt;"Chancho",N(MOVIMIENTOS!$F326)&gt;=0))),N(MOVIMIENTOS!$F326),"")</f>
        <v/>
      </c>
      <c r="N327" s="48" t="str">
        <f aca="false">IF(AND(AND(MOVIMIENTOS!$B326&lt;&gt;"",NOT(AND(MOVIMIENTOS!$B326="PROCESO",MOVIMIENTOS!$C326&lt;&gt;"Chancho")),NOT(AND(MOVIMIENTOS!$B326="SALDO INICIAL",MOVIMIENTOS!$C326="Chancho"))),OR(MOVIMIENTOS!$B326="ENVÍO A SUPESA",MOVIMIENTOS!$B326="MALOGRADO",MOVIMIENTOS!$B326="OTRA SALIDA",MOVIMIENTOS!$B326="TRASIEGO",AND(MOVIMIENTOS!$B326="PROCESO",MOVIMIENTOS!$C326="Chancho"),AND(MOVIMIENTOS!$B326="REGALO",MOVIMIENTOS!$C326&lt;&gt;"Chancho"),AND(MOVIMIENTOS!$B326="VENTA",MOVIMIENTOS!$C326&lt;&gt;"Chancho"),AND(MOVIMIENTOS!$B326="AJUSTE",MOVIMIENTOS!$C326&lt;&gt;"Chancho",N(MOVIMIENTOS!$F326)&lt;0))),IF(MOVIMIENTOS!$B326="AJUSTE",-N(MOVIMIENTOS!$F326),N(MOVIMIENTOS!$F326)),"")</f>
        <v/>
      </c>
      <c r="O327" s="48" t="str">
        <f aca="false">IF(AND(MOVIMIENTOS!$B326&lt;&gt;"",NOT(AND(MOVIMIENTOS!$B326="PROCESO",MOVIMIENTOS!$C326&lt;&gt;"Chancho")),NOT(AND(MOVIMIENTOS!$B326="SALDO INICIAL",MOVIMIENTOS!$C326="Chancho"))),IF(MOVIMIENTOS!$B326="RECHAZO",MOVIMIENTOS!$E326&amp;" jabas rechazadas · van a reproceso",IF(MOVIMIENTOS!$B326="REPROCESO",MOVIMIENTOS!$E326&amp;" kg recuperados (merma del día: "&amp;TEXT(SUMPRODUCT((MOVIMIENTOS!$A$5:$A$400=MOVIMIENTOS!$A326)*(MOVIMIENTOS!$B$5:$B$400="RECHAZO")*(MOVIMIENTOS!$D$5:$D$400="jabas")*MOVIMIENTOS!$E$5:$E$400*IFERROR(_xlfn.SWITCH(MOVIMIENTOS!$C$5:$C$400,"A",15,"P",18,"C",17,"M",17,0),0))-SUMPRODUCT((MOVIMIENTOS!$A$5:$A$400=MOVIMIENTOS!$A326)*(MOVIMIENTOS!$B$5:$B$400="REPROCESO")*MOVIMIENTOS!$I$5:$I$400),"+#,##0;-#,##0;0")&amp;" kg)",TRIM(IF(MOVIMIENTOS!$G326&lt;&gt;"",MOVIMIENTOS!$G326&amp;"  ","")&amp;IF(N(MOVIMIENTOS!$D326)&gt;0,MOVIMIENTOS!$D326&amp;" "&amp;MOVIMIENTOS!$D326,"")))),"")</f>
        <v/>
      </c>
      <c r="P327" s="48" t="n">
        <f aca="false">N(P326)+N(M327)-N(N327)</f>
        <v>-290.5</v>
      </c>
      <c r="Q327" s="48"/>
      <c r="R327" s="48"/>
      <c r="S327" s="48"/>
      <c r="T327" s="48"/>
    </row>
    <row r="328" customFormat="false" ht="15" hidden="false" customHeight="true" outlineLevel="0" collapsed="false">
      <c r="A328" s="51" t="str">
        <f aca="false">IFERROR(INDEX(K$6:K$401,MATCH(ROW()-5,J$6:J$401,0)),"")</f>
        <v/>
      </c>
      <c r="B328" s="56" t="str">
        <f aca="false">IFERROR(INDEX(L$6:L$401,MATCH(ROW()-5,J$6:J$401,0)),"")</f>
        <v/>
      </c>
      <c r="C328" s="52" t="str">
        <f aca="false">IFERROR(INDEX(M$6:M$401,MATCH(ROW()-5,J$6:J$401,0)),"")</f>
        <v/>
      </c>
      <c r="D328" s="52" t="str">
        <f aca="false">IFERROR(INDEX(N$6:N$401,MATCH(ROW()-5,J$6:J$401,0)),"")</f>
        <v/>
      </c>
      <c r="E328" s="56" t="str">
        <f aca="false">IFERROR(INDEX(O$6:O$401,MATCH(ROW()-5,J$6:J$401,0)),"")</f>
        <v/>
      </c>
      <c r="F328" s="52" t="str">
        <f aca="false">IFERROR(INDEX(P$6:P$401,MATCH(ROW()-5,J$6:J$401,0)),"")</f>
        <v/>
      </c>
      <c r="G328" s="48"/>
      <c r="H328" s="48"/>
      <c r="I328" s="48"/>
      <c r="J328" s="48" t="str">
        <f aca="false">IF(AND(MOVIMIENTOS!$B327&lt;&gt;"",NOT(AND(MOVIMIENTOS!$B327="PROCESO",MOVIMIENTOS!$C327&lt;&gt;"Chancho")),NOT(AND(MOVIMIENTOS!$B327="SALDO INICIAL",MOVIMIENTOS!$C327="Chancho"))),COUNT(J$6:J327)+1,"")</f>
        <v/>
      </c>
      <c r="K328" s="48" t="str">
        <f aca="false">IF(AND(MOVIMIENTOS!$B327&lt;&gt;"",NOT(AND(MOVIMIENTOS!$B327="PROCESO",MOVIMIENTOS!$C327&lt;&gt;"Chancho")),NOT(AND(MOVIMIENTOS!$B327="SALDO INICIAL",MOVIMIENTOS!$C327="Chancho"))),MOVIMIENTOS!$A327,"")</f>
        <v/>
      </c>
      <c r="L328" s="48" t="str">
        <f aca="false">IF(AND(MOVIMIENTOS!$B327&lt;&gt;"",NOT(AND(MOVIMIENTOS!$B327="PROCESO",MOVIMIENTOS!$C327&lt;&gt;"Chancho")),NOT(AND(MOVIMIENTOS!$B327="SALDO INICIAL",MOVIMIENTOS!$C327="Chancho"))),IF(MOVIMIENTOS!$B327="SALDO INICIAL","APERTURA ("&amp;MOVIMIENTOS!$C327&amp;")",IF(MOVIMIENTOS!$B327="COMPRA","INGRESO (compra)",IF(MOVIMIENTOS!$B327="PROCESO","CHANCHO (proceso)",IF(MOVIMIENTOS!$B327="ENVÍO A SUPESA","ENVÍO cal. "&amp;MOVIMIENTOS!$C327,IF(MOVIMIENTOS!$B327="VENTA CHANCHO","VENTA CHANCHO",IF(MOVIMIENTOS!$B327="VENTA","VENTA cal. "&amp;MOVIMIENTOS!$C327,IF(MOVIMIENTOS!$B327="REGALO","REGALO "&amp;MOVIMIENTOS!$C327,IF(MOVIMIENTOS!$B327="RECHAZO","RECHAZO cal. "&amp;MOVIMIENTOS!$C327&amp;" (va a reproceso)",IF(MOVIMIENTOS!$B327="DEVOLUCIÓN","DEVOLUCIÓN cal. "&amp;MOVIMIENTOS!$C327&amp;" (regresa intacta)",IF(MOVIMIENTOS!$B327="TRASIEGO","TRASIEGO cal. "&amp;MOVIMIENTOS!$C327,MOVIMIENTOS!$B327)))))))))),"")</f>
        <v/>
      </c>
      <c r="M328" s="48" t="str">
        <f aca="false">IF(AND(AND(MOVIMIENTOS!$B327&lt;&gt;"",NOT(AND(MOVIMIENTOS!$B327="PROCESO",MOVIMIENTOS!$C327&lt;&gt;"Chancho")),NOT(AND(MOVIMIENTOS!$B327="SALDO INICIAL",MOVIMIENTOS!$C327="Chancho"))),OR(MOVIMIENTOS!$B327="SALDO INICIAL",MOVIMIENTOS!$B327="COMPRA",MOVIMIENTOS!$B327="REPROCESO",MOVIMIENTOS!$B327="DEVOLUCIÓN",AND(MOVIMIENTOS!$B327="AJUSTE",MOVIMIENTOS!$C327&lt;&gt;"Chancho",N(MOVIMIENTOS!$F327)&gt;=0))),N(MOVIMIENTOS!$F327),"")</f>
        <v/>
      </c>
      <c r="N328" s="48" t="str">
        <f aca="false">IF(AND(AND(MOVIMIENTOS!$B327&lt;&gt;"",NOT(AND(MOVIMIENTOS!$B327="PROCESO",MOVIMIENTOS!$C327&lt;&gt;"Chancho")),NOT(AND(MOVIMIENTOS!$B327="SALDO INICIAL",MOVIMIENTOS!$C327="Chancho"))),OR(MOVIMIENTOS!$B327="ENVÍO A SUPESA",MOVIMIENTOS!$B327="MALOGRADO",MOVIMIENTOS!$B327="OTRA SALIDA",MOVIMIENTOS!$B327="TRASIEGO",AND(MOVIMIENTOS!$B327="PROCESO",MOVIMIENTOS!$C327="Chancho"),AND(MOVIMIENTOS!$B327="REGALO",MOVIMIENTOS!$C327&lt;&gt;"Chancho"),AND(MOVIMIENTOS!$B327="VENTA",MOVIMIENTOS!$C327&lt;&gt;"Chancho"),AND(MOVIMIENTOS!$B327="AJUSTE",MOVIMIENTOS!$C327&lt;&gt;"Chancho",N(MOVIMIENTOS!$F327)&lt;0))),IF(MOVIMIENTOS!$B327="AJUSTE",-N(MOVIMIENTOS!$F327),N(MOVIMIENTOS!$F327)),"")</f>
        <v/>
      </c>
      <c r="O328" s="48" t="str">
        <f aca="false">IF(AND(MOVIMIENTOS!$B327&lt;&gt;"",NOT(AND(MOVIMIENTOS!$B327="PROCESO",MOVIMIENTOS!$C327&lt;&gt;"Chancho")),NOT(AND(MOVIMIENTOS!$B327="SALDO INICIAL",MOVIMIENTOS!$C327="Chancho"))),IF(MOVIMIENTOS!$B327="RECHAZO",MOVIMIENTOS!$E327&amp;" jabas rechazadas · van a reproceso",IF(MOVIMIENTOS!$B327="REPROCESO",MOVIMIENTOS!$E327&amp;" kg recuperados (merma del día: "&amp;TEXT(SUMPRODUCT((MOVIMIENTOS!$A$5:$A$400=MOVIMIENTOS!$A327)*(MOVIMIENTOS!$B$5:$B$400="RECHAZO")*(MOVIMIENTOS!$D$5:$D$400="jabas")*MOVIMIENTOS!$E$5:$E$400*IFERROR(_xlfn.SWITCH(MOVIMIENTOS!$C$5:$C$400,"A",15,"P",18,"C",17,"M",17,0),0))-SUMPRODUCT((MOVIMIENTOS!$A$5:$A$400=MOVIMIENTOS!$A327)*(MOVIMIENTOS!$B$5:$B$400="REPROCESO")*MOVIMIENTOS!$I$5:$I$400),"+#,##0;-#,##0;0")&amp;" kg)",TRIM(IF(MOVIMIENTOS!$G327&lt;&gt;"",MOVIMIENTOS!$G327&amp;"  ","")&amp;IF(N(MOVIMIENTOS!$D327)&gt;0,MOVIMIENTOS!$D327&amp;" "&amp;MOVIMIENTOS!$D327,"")))),"")</f>
        <v/>
      </c>
      <c r="P328" s="48" t="n">
        <f aca="false">N(P327)+N(M328)-N(N328)</f>
        <v>-290.5</v>
      </c>
      <c r="Q328" s="48"/>
      <c r="R328" s="48"/>
      <c r="S328" s="48"/>
      <c r="T328" s="48"/>
    </row>
    <row r="329" customFormat="false" ht="15" hidden="false" customHeight="true" outlineLevel="0" collapsed="false">
      <c r="A329" s="51" t="str">
        <f aca="false">IFERROR(INDEX(K$6:K$401,MATCH(ROW()-5,J$6:J$401,0)),"")</f>
        <v/>
      </c>
      <c r="B329" s="56" t="str">
        <f aca="false">IFERROR(INDEX(L$6:L$401,MATCH(ROW()-5,J$6:J$401,0)),"")</f>
        <v/>
      </c>
      <c r="C329" s="52" t="str">
        <f aca="false">IFERROR(INDEX(M$6:M$401,MATCH(ROW()-5,J$6:J$401,0)),"")</f>
        <v/>
      </c>
      <c r="D329" s="52" t="str">
        <f aca="false">IFERROR(INDEX(N$6:N$401,MATCH(ROW()-5,J$6:J$401,0)),"")</f>
        <v/>
      </c>
      <c r="E329" s="56" t="str">
        <f aca="false">IFERROR(INDEX(O$6:O$401,MATCH(ROW()-5,J$6:J$401,0)),"")</f>
        <v/>
      </c>
      <c r="F329" s="52" t="str">
        <f aca="false">IFERROR(INDEX(P$6:P$401,MATCH(ROW()-5,J$6:J$401,0)),"")</f>
        <v/>
      </c>
      <c r="G329" s="48"/>
      <c r="H329" s="48"/>
      <c r="I329" s="48"/>
      <c r="J329" s="48" t="str">
        <f aca="false">IF(AND(MOVIMIENTOS!$B328&lt;&gt;"",NOT(AND(MOVIMIENTOS!$B328="PROCESO",MOVIMIENTOS!$C328&lt;&gt;"Chancho")),NOT(AND(MOVIMIENTOS!$B328="SALDO INICIAL",MOVIMIENTOS!$C328="Chancho"))),COUNT(J$6:J328)+1,"")</f>
        <v/>
      </c>
      <c r="K329" s="48" t="str">
        <f aca="false">IF(AND(MOVIMIENTOS!$B328&lt;&gt;"",NOT(AND(MOVIMIENTOS!$B328="PROCESO",MOVIMIENTOS!$C328&lt;&gt;"Chancho")),NOT(AND(MOVIMIENTOS!$B328="SALDO INICIAL",MOVIMIENTOS!$C328="Chancho"))),MOVIMIENTOS!$A328,"")</f>
        <v/>
      </c>
      <c r="L329" s="48" t="str">
        <f aca="false">IF(AND(MOVIMIENTOS!$B328&lt;&gt;"",NOT(AND(MOVIMIENTOS!$B328="PROCESO",MOVIMIENTOS!$C328&lt;&gt;"Chancho")),NOT(AND(MOVIMIENTOS!$B328="SALDO INICIAL",MOVIMIENTOS!$C328="Chancho"))),IF(MOVIMIENTOS!$B328="SALDO INICIAL","APERTURA ("&amp;MOVIMIENTOS!$C328&amp;")",IF(MOVIMIENTOS!$B328="COMPRA","INGRESO (compra)",IF(MOVIMIENTOS!$B328="PROCESO","CHANCHO (proceso)",IF(MOVIMIENTOS!$B328="ENVÍO A SUPESA","ENVÍO cal. "&amp;MOVIMIENTOS!$C328,IF(MOVIMIENTOS!$B328="VENTA CHANCHO","VENTA CHANCHO",IF(MOVIMIENTOS!$B328="VENTA","VENTA cal. "&amp;MOVIMIENTOS!$C328,IF(MOVIMIENTOS!$B328="REGALO","REGALO "&amp;MOVIMIENTOS!$C328,IF(MOVIMIENTOS!$B328="RECHAZO","RECHAZO cal. "&amp;MOVIMIENTOS!$C328&amp;" (va a reproceso)",IF(MOVIMIENTOS!$B328="DEVOLUCIÓN","DEVOLUCIÓN cal. "&amp;MOVIMIENTOS!$C328&amp;" (regresa intacta)",IF(MOVIMIENTOS!$B328="TRASIEGO","TRASIEGO cal. "&amp;MOVIMIENTOS!$C328,MOVIMIENTOS!$B328)))))))))),"")</f>
        <v/>
      </c>
      <c r="M329" s="48" t="str">
        <f aca="false">IF(AND(AND(MOVIMIENTOS!$B328&lt;&gt;"",NOT(AND(MOVIMIENTOS!$B328="PROCESO",MOVIMIENTOS!$C328&lt;&gt;"Chancho")),NOT(AND(MOVIMIENTOS!$B328="SALDO INICIAL",MOVIMIENTOS!$C328="Chancho"))),OR(MOVIMIENTOS!$B328="SALDO INICIAL",MOVIMIENTOS!$B328="COMPRA",MOVIMIENTOS!$B328="REPROCESO",MOVIMIENTOS!$B328="DEVOLUCIÓN",AND(MOVIMIENTOS!$B328="AJUSTE",MOVIMIENTOS!$C328&lt;&gt;"Chancho",N(MOVIMIENTOS!$F328)&gt;=0))),N(MOVIMIENTOS!$F328),"")</f>
        <v/>
      </c>
      <c r="N329" s="48" t="str">
        <f aca="false">IF(AND(AND(MOVIMIENTOS!$B328&lt;&gt;"",NOT(AND(MOVIMIENTOS!$B328="PROCESO",MOVIMIENTOS!$C328&lt;&gt;"Chancho")),NOT(AND(MOVIMIENTOS!$B328="SALDO INICIAL",MOVIMIENTOS!$C328="Chancho"))),OR(MOVIMIENTOS!$B328="ENVÍO A SUPESA",MOVIMIENTOS!$B328="MALOGRADO",MOVIMIENTOS!$B328="OTRA SALIDA",MOVIMIENTOS!$B328="TRASIEGO",AND(MOVIMIENTOS!$B328="PROCESO",MOVIMIENTOS!$C328="Chancho"),AND(MOVIMIENTOS!$B328="REGALO",MOVIMIENTOS!$C328&lt;&gt;"Chancho"),AND(MOVIMIENTOS!$B328="VENTA",MOVIMIENTOS!$C328&lt;&gt;"Chancho"),AND(MOVIMIENTOS!$B328="AJUSTE",MOVIMIENTOS!$C328&lt;&gt;"Chancho",N(MOVIMIENTOS!$F328)&lt;0))),IF(MOVIMIENTOS!$B328="AJUSTE",-N(MOVIMIENTOS!$F328),N(MOVIMIENTOS!$F328)),"")</f>
        <v/>
      </c>
      <c r="O329" s="48" t="str">
        <f aca="false">IF(AND(MOVIMIENTOS!$B328&lt;&gt;"",NOT(AND(MOVIMIENTOS!$B328="PROCESO",MOVIMIENTOS!$C328&lt;&gt;"Chancho")),NOT(AND(MOVIMIENTOS!$B328="SALDO INICIAL",MOVIMIENTOS!$C328="Chancho"))),IF(MOVIMIENTOS!$B328="RECHAZO",MOVIMIENTOS!$E328&amp;" jabas rechazadas · van a reproceso",IF(MOVIMIENTOS!$B328="REPROCESO",MOVIMIENTOS!$E328&amp;" kg recuperados (merma del día: "&amp;TEXT(SUMPRODUCT((MOVIMIENTOS!$A$5:$A$400=MOVIMIENTOS!$A328)*(MOVIMIENTOS!$B$5:$B$400="RECHAZO")*(MOVIMIENTOS!$D$5:$D$400="jabas")*MOVIMIENTOS!$E$5:$E$400*IFERROR(_xlfn.SWITCH(MOVIMIENTOS!$C$5:$C$400,"A",15,"P",18,"C",17,"M",17,0),0))-SUMPRODUCT((MOVIMIENTOS!$A$5:$A$400=MOVIMIENTOS!$A328)*(MOVIMIENTOS!$B$5:$B$400="REPROCESO")*MOVIMIENTOS!$I$5:$I$400),"+#,##0;-#,##0;0")&amp;" kg)",TRIM(IF(MOVIMIENTOS!$G328&lt;&gt;"",MOVIMIENTOS!$G328&amp;"  ","")&amp;IF(N(MOVIMIENTOS!$D328)&gt;0,MOVIMIENTOS!$D328&amp;" "&amp;MOVIMIENTOS!$D328,"")))),"")</f>
        <v/>
      </c>
      <c r="P329" s="48" t="n">
        <f aca="false">N(P328)+N(M329)-N(N329)</f>
        <v>-290.5</v>
      </c>
      <c r="Q329" s="48"/>
      <c r="R329" s="48"/>
      <c r="S329" s="48"/>
      <c r="T329" s="48"/>
    </row>
    <row r="330" customFormat="false" ht="15" hidden="false" customHeight="true" outlineLevel="0" collapsed="false">
      <c r="A330" s="51" t="str">
        <f aca="false">IFERROR(INDEX(K$6:K$401,MATCH(ROW()-5,J$6:J$401,0)),"")</f>
        <v/>
      </c>
      <c r="B330" s="56" t="str">
        <f aca="false">IFERROR(INDEX(L$6:L$401,MATCH(ROW()-5,J$6:J$401,0)),"")</f>
        <v/>
      </c>
      <c r="C330" s="52" t="str">
        <f aca="false">IFERROR(INDEX(M$6:M$401,MATCH(ROW()-5,J$6:J$401,0)),"")</f>
        <v/>
      </c>
      <c r="D330" s="52" t="str">
        <f aca="false">IFERROR(INDEX(N$6:N$401,MATCH(ROW()-5,J$6:J$401,0)),"")</f>
        <v/>
      </c>
      <c r="E330" s="56" t="str">
        <f aca="false">IFERROR(INDEX(O$6:O$401,MATCH(ROW()-5,J$6:J$401,0)),"")</f>
        <v/>
      </c>
      <c r="F330" s="52" t="str">
        <f aca="false">IFERROR(INDEX(P$6:P$401,MATCH(ROW()-5,J$6:J$401,0)),"")</f>
        <v/>
      </c>
      <c r="G330" s="48"/>
      <c r="H330" s="48"/>
      <c r="I330" s="48"/>
      <c r="J330" s="48" t="str">
        <f aca="false">IF(AND(MOVIMIENTOS!$B329&lt;&gt;"",NOT(AND(MOVIMIENTOS!$B329="PROCESO",MOVIMIENTOS!$C329&lt;&gt;"Chancho")),NOT(AND(MOVIMIENTOS!$B329="SALDO INICIAL",MOVIMIENTOS!$C329="Chancho"))),COUNT(J$6:J329)+1,"")</f>
        <v/>
      </c>
      <c r="K330" s="48" t="str">
        <f aca="false">IF(AND(MOVIMIENTOS!$B329&lt;&gt;"",NOT(AND(MOVIMIENTOS!$B329="PROCESO",MOVIMIENTOS!$C329&lt;&gt;"Chancho")),NOT(AND(MOVIMIENTOS!$B329="SALDO INICIAL",MOVIMIENTOS!$C329="Chancho"))),MOVIMIENTOS!$A329,"")</f>
        <v/>
      </c>
      <c r="L330" s="48" t="str">
        <f aca="false">IF(AND(MOVIMIENTOS!$B329&lt;&gt;"",NOT(AND(MOVIMIENTOS!$B329="PROCESO",MOVIMIENTOS!$C329&lt;&gt;"Chancho")),NOT(AND(MOVIMIENTOS!$B329="SALDO INICIAL",MOVIMIENTOS!$C329="Chancho"))),IF(MOVIMIENTOS!$B329="SALDO INICIAL","APERTURA ("&amp;MOVIMIENTOS!$C329&amp;")",IF(MOVIMIENTOS!$B329="COMPRA","INGRESO (compra)",IF(MOVIMIENTOS!$B329="PROCESO","CHANCHO (proceso)",IF(MOVIMIENTOS!$B329="ENVÍO A SUPESA","ENVÍO cal. "&amp;MOVIMIENTOS!$C329,IF(MOVIMIENTOS!$B329="VENTA CHANCHO","VENTA CHANCHO",IF(MOVIMIENTOS!$B329="VENTA","VENTA cal. "&amp;MOVIMIENTOS!$C329,IF(MOVIMIENTOS!$B329="REGALO","REGALO "&amp;MOVIMIENTOS!$C329,IF(MOVIMIENTOS!$B329="RECHAZO","RECHAZO cal. "&amp;MOVIMIENTOS!$C329&amp;" (va a reproceso)",IF(MOVIMIENTOS!$B329="DEVOLUCIÓN","DEVOLUCIÓN cal. "&amp;MOVIMIENTOS!$C329&amp;" (regresa intacta)",IF(MOVIMIENTOS!$B329="TRASIEGO","TRASIEGO cal. "&amp;MOVIMIENTOS!$C329,MOVIMIENTOS!$B329)))))))))),"")</f>
        <v/>
      </c>
      <c r="M330" s="48" t="str">
        <f aca="false">IF(AND(AND(MOVIMIENTOS!$B329&lt;&gt;"",NOT(AND(MOVIMIENTOS!$B329="PROCESO",MOVIMIENTOS!$C329&lt;&gt;"Chancho")),NOT(AND(MOVIMIENTOS!$B329="SALDO INICIAL",MOVIMIENTOS!$C329="Chancho"))),OR(MOVIMIENTOS!$B329="SALDO INICIAL",MOVIMIENTOS!$B329="COMPRA",MOVIMIENTOS!$B329="REPROCESO",MOVIMIENTOS!$B329="DEVOLUCIÓN",AND(MOVIMIENTOS!$B329="AJUSTE",MOVIMIENTOS!$C329&lt;&gt;"Chancho",N(MOVIMIENTOS!$F329)&gt;=0))),N(MOVIMIENTOS!$F329),"")</f>
        <v/>
      </c>
      <c r="N330" s="48" t="str">
        <f aca="false">IF(AND(AND(MOVIMIENTOS!$B329&lt;&gt;"",NOT(AND(MOVIMIENTOS!$B329="PROCESO",MOVIMIENTOS!$C329&lt;&gt;"Chancho")),NOT(AND(MOVIMIENTOS!$B329="SALDO INICIAL",MOVIMIENTOS!$C329="Chancho"))),OR(MOVIMIENTOS!$B329="ENVÍO A SUPESA",MOVIMIENTOS!$B329="MALOGRADO",MOVIMIENTOS!$B329="OTRA SALIDA",MOVIMIENTOS!$B329="TRASIEGO",AND(MOVIMIENTOS!$B329="PROCESO",MOVIMIENTOS!$C329="Chancho"),AND(MOVIMIENTOS!$B329="REGALO",MOVIMIENTOS!$C329&lt;&gt;"Chancho"),AND(MOVIMIENTOS!$B329="VENTA",MOVIMIENTOS!$C329&lt;&gt;"Chancho"),AND(MOVIMIENTOS!$B329="AJUSTE",MOVIMIENTOS!$C329&lt;&gt;"Chancho",N(MOVIMIENTOS!$F329)&lt;0))),IF(MOVIMIENTOS!$B329="AJUSTE",-N(MOVIMIENTOS!$F329),N(MOVIMIENTOS!$F329)),"")</f>
        <v/>
      </c>
      <c r="O330" s="48" t="str">
        <f aca="false">IF(AND(MOVIMIENTOS!$B329&lt;&gt;"",NOT(AND(MOVIMIENTOS!$B329="PROCESO",MOVIMIENTOS!$C329&lt;&gt;"Chancho")),NOT(AND(MOVIMIENTOS!$B329="SALDO INICIAL",MOVIMIENTOS!$C329="Chancho"))),IF(MOVIMIENTOS!$B329="RECHAZO",MOVIMIENTOS!$E329&amp;" jabas rechazadas · van a reproceso",IF(MOVIMIENTOS!$B329="REPROCESO",MOVIMIENTOS!$E329&amp;" kg recuperados (merma del día: "&amp;TEXT(SUMPRODUCT((MOVIMIENTOS!$A$5:$A$400=MOVIMIENTOS!$A329)*(MOVIMIENTOS!$B$5:$B$400="RECHAZO")*(MOVIMIENTOS!$D$5:$D$400="jabas")*MOVIMIENTOS!$E$5:$E$400*IFERROR(_xlfn.SWITCH(MOVIMIENTOS!$C$5:$C$400,"A",15,"P",18,"C",17,"M",17,0),0))-SUMPRODUCT((MOVIMIENTOS!$A$5:$A$400=MOVIMIENTOS!$A329)*(MOVIMIENTOS!$B$5:$B$400="REPROCESO")*MOVIMIENTOS!$I$5:$I$400),"+#,##0;-#,##0;0")&amp;" kg)",TRIM(IF(MOVIMIENTOS!$G329&lt;&gt;"",MOVIMIENTOS!$G329&amp;"  ","")&amp;IF(N(MOVIMIENTOS!$D329)&gt;0,MOVIMIENTOS!$D329&amp;" "&amp;MOVIMIENTOS!$D329,"")))),"")</f>
        <v/>
      </c>
      <c r="P330" s="48" t="n">
        <f aca="false">N(P329)+N(M330)-N(N330)</f>
        <v>-290.5</v>
      </c>
      <c r="Q330" s="48"/>
      <c r="R330" s="48"/>
      <c r="S330" s="48"/>
      <c r="T330" s="48"/>
    </row>
    <row r="331" customFormat="false" ht="15" hidden="false" customHeight="true" outlineLevel="0" collapsed="false">
      <c r="A331" s="51" t="str">
        <f aca="false">IFERROR(INDEX(K$6:K$401,MATCH(ROW()-5,J$6:J$401,0)),"")</f>
        <v/>
      </c>
      <c r="B331" s="56" t="str">
        <f aca="false">IFERROR(INDEX(L$6:L$401,MATCH(ROW()-5,J$6:J$401,0)),"")</f>
        <v/>
      </c>
      <c r="C331" s="52" t="str">
        <f aca="false">IFERROR(INDEX(M$6:M$401,MATCH(ROW()-5,J$6:J$401,0)),"")</f>
        <v/>
      </c>
      <c r="D331" s="52" t="str">
        <f aca="false">IFERROR(INDEX(N$6:N$401,MATCH(ROW()-5,J$6:J$401,0)),"")</f>
        <v/>
      </c>
      <c r="E331" s="56" t="str">
        <f aca="false">IFERROR(INDEX(O$6:O$401,MATCH(ROW()-5,J$6:J$401,0)),"")</f>
        <v/>
      </c>
      <c r="F331" s="52" t="str">
        <f aca="false">IFERROR(INDEX(P$6:P$401,MATCH(ROW()-5,J$6:J$401,0)),"")</f>
        <v/>
      </c>
      <c r="G331" s="48"/>
      <c r="H331" s="48"/>
      <c r="I331" s="48"/>
      <c r="J331" s="48" t="str">
        <f aca="false">IF(AND(MOVIMIENTOS!$B330&lt;&gt;"",NOT(AND(MOVIMIENTOS!$B330="PROCESO",MOVIMIENTOS!$C330&lt;&gt;"Chancho")),NOT(AND(MOVIMIENTOS!$B330="SALDO INICIAL",MOVIMIENTOS!$C330="Chancho"))),COUNT(J$6:J330)+1,"")</f>
        <v/>
      </c>
      <c r="K331" s="48" t="str">
        <f aca="false">IF(AND(MOVIMIENTOS!$B330&lt;&gt;"",NOT(AND(MOVIMIENTOS!$B330="PROCESO",MOVIMIENTOS!$C330&lt;&gt;"Chancho")),NOT(AND(MOVIMIENTOS!$B330="SALDO INICIAL",MOVIMIENTOS!$C330="Chancho"))),MOVIMIENTOS!$A330,"")</f>
        <v/>
      </c>
      <c r="L331" s="48" t="str">
        <f aca="false">IF(AND(MOVIMIENTOS!$B330&lt;&gt;"",NOT(AND(MOVIMIENTOS!$B330="PROCESO",MOVIMIENTOS!$C330&lt;&gt;"Chancho")),NOT(AND(MOVIMIENTOS!$B330="SALDO INICIAL",MOVIMIENTOS!$C330="Chancho"))),IF(MOVIMIENTOS!$B330="SALDO INICIAL","APERTURA ("&amp;MOVIMIENTOS!$C330&amp;")",IF(MOVIMIENTOS!$B330="COMPRA","INGRESO (compra)",IF(MOVIMIENTOS!$B330="PROCESO","CHANCHO (proceso)",IF(MOVIMIENTOS!$B330="ENVÍO A SUPESA","ENVÍO cal. "&amp;MOVIMIENTOS!$C330,IF(MOVIMIENTOS!$B330="VENTA CHANCHO","VENTA CHANCHO",IF(MOVIMIENTOS!$B330="VENTA","VENTA cal. "&amp;MOVIMIENTOS!$C330,IF(MOVIMIENTOS!$B330="REGALO","REGALO "&amp;MOVIMIENTOS!$C330,IF(MOVIMIENTOS!$B330="RECHAZO","RECHAZO cal. "&amp;MOVIMIENTOS!$C330&amp;" (va a reproceso)",IF(MOVIMIENTOS!$B330="DEVOLUCIÓN","DEVOLUCIÓN cal. "&amp;MOVIMIENTOS!$C330&amp;" (regresa intacta)",IF(MOVIMIENTOS!$B330="TRASIEGO","TRASIEGO cal. "&amp;MOVIMIENTOS!$C330,MOVIMIENTOS!$B330)))))))))),"")</f>
        <v/>
      </c>
      <c r="M331" s="48" t="str">
        <f aca="false">IF(AND(AND(MOVIMIENTOS!$B330&lt;&gt;"",NOT(AND(MOVIMIENTOS!$B330="PROCESO",MOVIMIENTOS!$C330&lt;&gt;"Chancho")),NOT(AND(MOVIMIENTOS!$B330="SALDO INICIAL",MOVIMIENTOS!$C330="Chancho"))),OR(MOVIMIENTOS!$B330="SALDO INICIAL",MOVIMIENTOS!$B330="COMPRA",MOVIMIENTOS!$B330="REPROCESO",MOVIMIENTOS!$B330="DEVOLUCIÓN",AND(MOVIMIENTOS!$B330="AJUSTE",MOVIMIENTOS!$C330&lt;&gt;"Chancho",N(MOVIMIENTOS!$F330)&gt;=0))),N(MOVIMIENTOS!$F330),"")</f>
        <v/>
      </c>
      <c r="N331" s="48" t="str">
        <f aca="false">IF(AND(AND(MOVIMIENTOS!$B330&lt;&gt;"",NOT(AND(MOVIMIENTOS!$B330="PROCESO",MOVIMIENTOS!$C330&lt;&gt;"Chancho")),NOT(AND(MOVIMIENTOS!$B330="SALDO INICIAL",MOVIMIENTOS!$C330="Chancho"))),OR(MOVIMIENTOS!$B330="ENVÍO A SUPESA",MOVIMIENTOS!$B330="MALOGRADO",MOVIMIENTOS!$B330="OTRA SALIDA",MOVIMIENTOS!$B330="TRASIEGO",AND(MOVIMIENTOS!$B330="PROCESO",MOVIMIENTOS!$C330="Chancho"),AND(MOVIMIENTOS!$B330="REGALO",MOVIMIENTOS!$C330&lt;&gt;"Chancho"),AND(MOVIMIENTOS!$B330="VENTA",MOVIMIENTOS!$C330&lt;&gt;"Chancho"),AND(MOVIMIENTOS!$B330="AJUSTE",MOVIMIENTOS!$C330&lt;&gt;"Chancho",N(MOVIMIENTOS!$F330)&lt;0))),IF(MOVIMIENTOS!$B330="AJUSTE",-N(MOVIMIENTOS!$F330),N(MOVIMIENTOS!$F330)),"")</f>
        <v/>
      </c>
      <c r="O331" s="48" t="str">
        <f aca="false">IF(AND(MOVIMIENTOS!$B330&lt;&gt;"",NOT(AND(MOVIMIENTOS!$B330="PROCESO",MOVIMIENTOS!$C330&lt;&gt;"Chancho")),NOT(AND(MOVIMIENTOS!$B330="SALDO INICIAL",MOVIMIENTOS!$C330="Chancho"))),IF(MOVIMIENTOS!$B330="RECHAZO",MOVIMIENTOS!$E330&amp;" jabas rechazadas · van a reproceso",IF(MOVIMIENTOS!$B330="REPROCESO",MOVIMIENTOS!$E330&amp;" kg recuperados (merma del día: "&amp;TEXT(SUMPRODUCT((MOVIMIENTOS!$A$5:$A$400=MOVIMIENTOS!$A330)*(MOVIMIENTOS!$B$5:$B$400="RECHAZO")*(MOVIMIENTOS!$D$5:$D$400="jabas")*MOVIMIENTOS!$E$5:$E$400*IFERROR(_xlfn.SWITCH(MOVIMIENTOS!$C$5:$C$400,"A",15,"P",18,"C",17,"M",17,0),0))-SUMPRODUCT((MOVIMIENTOS!$A$5:$A$400=MOVIMIENTOS!$A330)*(MOVIMIENTOS!$B$5:$B$400="REPROCESO")*MOVIMIENTOS!$I$5:$I$400),"+#,##0;-#,##0;0")&amp;" kg)",TRIM(IF(MOVIMIENTOS!$G330&lt;&gt;"",MOVIMIENTOS!$G330&amp;"  ","")&amp;IF(N(MOVIMIENTOS!$D330)&gt;0,MOVIMIENTOS!$D330&amp;" "&amp;MOVIMIENTOS!$D330,"")))),"")</f>
        <v/>
      </c>
      <c r="P331" s="48" t="n">
        <f aca="false">N(P330)+N(M331)-N(N331)</f>
        <v>-290.5</v>
      </c>
      <c r="Q331" s="48"/>
      <c r="R331" s="48"/>
      <c r="S331" s="48"/>
      <c r="T331" s="48"/>
    </row>
    <row r="332" customFormat="false" ht="15" hidden="false" customHeight="true" outlineLevel="0" collapsed="false">
      <c r="A332" s="51" t="str">
        <f aca="false">IFERROR(INDEX(K$6:K$401,MATCH(ROW()-5,J$6:J$401,0)),"")</f>
        <v/>
      </c>
      <c r="B332" s="56" t="str">
        <f aca="false">IFERROR(INDEX(L$6:L$401,MATCH(ROW()-5,J$6:J$401,0)),"")</f>
        <v/>
      </c>
      <c r="C332" s="52" t="str">
        <f aca="false">IFERROR(INDEX(M$6:M$401,MATCH(ROW()-5,J$6:J$401,0)),"")</f>
        <v/>
      </c>
      <c r="D332" s="52" t="str">
        <f aca="false">IFERROR(INDEX(N$6:N$401,MATCH(ROW()-5,J$6:J$401,0)),"")</f>
        <v/>
      </c>
      <c r="E332" s="56" t="str">
        <f aca="false">IFERROR(INDEX(O$6:O$401,MATCH(ROW()-5,J$6:J$401,0)),"")</f>
        <v/>
      </c>
      <c r="F332" s="52" t="str">
        <f aca="false">IFERROR(INDEX(P$6:P$401,MATCH(ROW()-5,J$6:J$401,0)),"")</f>
        <v/>
      </c>
      <c r="G332" s="48"/>
      <c r="H332" s="48"/>
      <c r="I332" s="48"/>
      <c r="J332" s="48" t="str">
        <f aca="false">IF(AND(MOVIMIENTOS!$B331&lt;&gt;"",NOT(AND(MOVIMIENTOS!$B331="PROCESO",MOVIMIENTOS!$C331&lt;&gt;"Chancho")),NOT(AND(MOVIMIENTOS!$B331="SALDO INICIAL",MOVIMIENTOS!$C331="Chancho"))),COUNT(J$6:J331)+1,"")</f>
        <v/>
      </c>
      <c r="K332" s="48" t="str">
        <f aca="false">IF(AND(MOVIMIENTOS!$B331&lt;&gt;"",NOT(AND(MOVIMIENTOS!$B331="PROCESO",MOVIMIENTOS!$C331&lt;&gt;"Chancho")),NOT(AND(MOVIMIENTOS!$B331="SALDO INICIAL",MOVIMIENTOS!$C331="Chancho"))),MOVIMIENTOS!$A331,"")</f>
        <v/>
      </c>
      <c r="L332" s="48" t="str">
        <f aca="false">IF(AND(MOVIMIENTOS!$B331&lt;&gt;"",NOT(AND(MOVIMIENTOS!$B331="PROCESO",MOVIMIENTOS!$C331&lt;&gt;"Chancho")),NOT(AND(MOVIMIENTOS!$B331="SALDO INICIAL",MOVIMIENTOS!$C331="Chancho"))),IF(MOVIMIENTOS!$B331="SALDO INICIAL","APERTURA ("&amp;MOVIMIENTOS!$C331&amp;")",IF(MOVIMIENTOS!$B331="COMPRA","INGRESO (compra)",IF(MOVIMIENTOS!$B331="PROCESO","CHANCHO (proceso)",IF(MOVIMIENTOS!$B331="ENVÍO A SUPESA","ENVÍO cal. "&amp;MOVIMIENTOS!$C331,IF(MOVIMIENTOS!$B331="VENTA CHANCHO","VENTA CHANCHO",IF(MOVIMIENTOS!$B331="VENTA","VENTA cal. "&amp;MOVIMIENTOS!$C331,IF(MOVIMIENTOS!$B331="REGALO","REGALO "&amp;MOVIMIENTOS!$C331,IF(MOVIMIENTOS!$B331="RECHAZO","RECHAZO cal. "&amp;MOVIMIENTOS!$C331&amp;" (va a reproceso)",IF(MOVIMIENTOS!$B331="DEVOLUCIÓN","DEVOLUCIÓN cal. "&amp;MOVIMIENTOS!$C331&amp;" (regresa intacta)",IF(MOVIMIENTOS!$B331="TRASIEGO","TRASIEGO cal. "&amp;MOVIMIENTOS!$C331,MOVIMIENTOS!$B331)))))))))),"")</f>
        <v/>
      </c>
      <c r="M332" s="48" t="str">
        <f aca="false">IF(AND(AND(MOVIMIENTOS!$B331&lt;&gt;"",NOT(AND(MOVIMIENTOS!$B331="PROCESO",MOVIMIENTOS!$C331&lt;&gt;"Chancho")),NOT(AND(MOVIMIENTOS!$B331="SALDO INICIAL",MOVIMIENTOS!$C331="Chancho"))),OR(MOVIMIENTOS!$B331="SALDO INICIAL",MOVIMIENTOS!$B331="COMPRA",MOVIMIENTOS!$B331="REPROCESO",MOVIMIENTOS!$B331="DEVOLUCIÓN",AND(MOVIMIENTOS!$B331="AJUSTE",MOVIMIENTOS!$C331&lt;&gt;"Chancho",N(MOVIMIENTOS!$F331)&gt;=0))),N(MOVIMIENTOS!$F331),"")</f>
        <v/>
      </c>
      <c r="N332" s="48" t="str">
        <f aca="false">IF(AND(AND(MOVIMIENTOS!$B331&lt;&gt;"",NOT(AND(MOVIMIENTOS!$B331="PROCESO",MOVIMIENTOS!$C331&lt;&gt;"Chancho")),NOT(AND(MOVIMIENTOS!$B331="SALDO INICIAL",MOVIMIENTOS!$C331="Chancho"))),OR(MOVIMIENTOS!$B331="ENVÍO A SUPESA",MOVIMIENTOS!$B331="MALOGRADO",MOVIMIENTOS!$B331="OTRA SALIDA",MOVIMIENTOS!$B331="TRASIEGO",AND(MOVIMIENTOS!$B331="PROCESO",MOVIMIENTOS!$C331="Chancho"),AND(MOVIMIENTOS!$B331="REGALO",MOVIMIENTOS!$C331&lt;&gt;"Chancho"),AND(MOVIMIENTOS!$B331="VENTA",MOVIMIENTOS!$C331&lt;&gt;"Chancho"),AND(MOVIMIENTOS!$B331="AJUSTE",MOVIMIENTOS!$C331&lt;&gt;"Chancho",N(MOVIMIENTOS!$F331)&lt;0))),IF(MOVIMIENTOS!$B331="AJUSTE",-N(MOVIMIENTOS!$F331),N(MOVIMIENTOS!$F331)),"")</f>
        <v/>
      </c>
      <c r="O332" s="48" t="str">
        <f aca="false">IF(AND(MOVIMIENTOS!$B331&lt;&gt;"",NOT(AND(MOVIMIENTOS!$B331="PROCESO",MOVIMIENTOS!$C331&lt;&gt;"Chancho")),NOT(AND(MOVIMIENTOS!$B331="SALDO INICIAL",MOVIMIENTOS!$C331="Chancho"))),IF(MOVIMIENTOS!$B331="RECHAZO",MOVIMIENTOS!$E331&amp;" jabas rechazadas · van a reproceso",IF(MOVIMIENTOS!$B331="REPROCESO",MOVIMIENTOS!$E331&amp;" kg recuperados (merma del día: "&amp;TEXT(SUMPRODUCT((MOVIMIENTOS!$A$5:$A$400=MOVIMIENTOS!$A331)*(MOVIMIENTOS!$B$5:$B$400="RECHAZO")*(MOVIMIENTOS!$D$5:$D$400="jabas")*MOVIMIENTOS!$E$5:$E$400*IFERROR(_xlfn.SWITCH(MOVIMIENTOS!$C$5:$C$400,"A",15,"P",18,"C",17,"M",17,0),0))-SUMPRODUCT((MOVIMIENTOS!$A$5:$A$400=MOVIMIENTOS!$A331)*(MOVIMIENTOS!$B$5:$B$400="REPROCESO")*MOVIMIENTOS!$I$5:$I$400),"+#,##0;-#,##0;0")&amp;" kg)",TRIM(IF(MOVIMIENTOS!$G331&lt;&gt;"",MOVIMIENTOS!$G331&amp;"  ","")&amp;IF(N(MOVIMIENTOS!$D331)&gt;0,MOVIMIENTOS!$D331&amp;" "&amp;MOVIMIENTOS!$D331,"")))),"")</f>
        <v/>
      </c>
      <c r="P332" s="48" t="n">
        <f aca="false">N(P331)+N(M332)-N(N332)</f>
        <v>-290.5</v>
      </c>
      <c r="Q332" s="48"/>
      <c r="R332" s="48"/>
      <c r="S332" s="48"/>
      <c r="T332" s="48"/>
    </row>
    <row r="333" customFormat="false" ht="15" hidden="false" customHeight="true" outlineLevel="0" collapsed="false">
      <c r="A333" s="51" t="str">
        <f aca="false">IFERROR(INDEX(K$6:K$401,MATCH(ROW()-5,J$6:J$401,0)),"")</f>
        <v/>
      </c>
      <c r="B333" s="56" t="str">
        <f aca="false">IFERROR(INDEX(L$6:L$401,MATCH(ROW()-5,J$6:J$401,0)),"")</f>
        <v/>
      </c>
      <c r="C333" s="52" t="str">
        <f aca="false">IFERROR(INDEX(M$6:M$401,MATCH(ROW()-5,J$6:J$401,0)),"")</f>
        <v/>
      </c>
      <c r="D333" s="52" t="str">
        <f aca="false">IFERROR(INDEX(N$6:N$401,MATCH(ROW()-5,J$6:J$401,0)),"")</f>
        <v/>
      </c>
      <c r="E333" s="56" t="str">
        <f aca="false">IFERROR(INDEX(O$6:O$401,MATCH(ROW()-5,J$6:J$401,0)),"")</f>
        <v/>
      </c>
      <c r="F333" s="52" t="str">
        <f aca="false">IFERROR(INDEX(P$6:P$401,MATCH(ROW()-5,J$6:J$401,0)),"")</f>
        <v/>
      </c>
      <c r="G333" s="48"/>
      <c r="H333" s="48"/>
      <c r="I333" s="48"/>
      <c r="J333" s="48" t="str">
        <f aca="false">IF(AND(MOVIMIENTOS!$B332&lt;&gt;"",NOT(AND(MOVIMIENTOS!$B332="PROCESO",MOVIMIENTOS!$C332&lt;&gt;"Chancho")),NOT(AND(MOVIMIENTOS!$B332="SALDO INICIAL",MOVIMIENTOS!$C332="Chancho"))),COUNT(J$6:J332)+1,"")</f>
        <v/>
      </c>
      <c r="K333" s="48" t="str">
        <f aca="false">IF(AND(MOVIMIENTOS!$B332&lt;&gt;"",NOT(AND(MOVIMIENTOS!$B332="PROCESO",MOVIMIENTOS!$C332&lt;&gt;"Chancho")),NOT(AND(MOVIMIENTOS!$B332="SALDO INICIAL",MOVIMIENTOS!$C332="Chancho"))),MOVIMIENTOS!$A332,"")</f>
        <v/>
      </c>
      <c r="L333" s="48" t="str">
        <f aca="false">IF(AND(MOVIMIENTOS!$B332&lt;&gt;"",NOT(AND(MOVIMIENTOS!$B332="PROCESO",MOVIMIENTOS!$C332&lt;&gt;"Chancho")),NOT(AND(MOVIMIENTOS!$B332="SALDO INICIAL",MOVIMIENTOS!$C332="Chancho"))),IF(MOVIMIENTOS!$B332="SALDO INICIAL","APERTURA ("&amp;MOVIMIENTOS!$C332&amp;")",IF(MOVIMIENTOS!$B332="COMPRA","INGRESO (compra)",IF(MOVIMIENTOS!$B332="PROCESO","CHANCHO (proceso)",IF(MOVIMIENTOS!$B332="ENVÍO A SUPESA","ENVÍO cal. "&amp;MOVIMIENTOS!$C332,IF(MOVIMIENTOS!$B332="VENTA CHANCHO","VENTA CHANCHO",IF(MOVIMIENTOS!$B332="VENTA","VENTA cal. "&amp;MOVIMIENTOS!$C332,IF(MOVIMIENTOS!$B332="REGALO","REGALO "&amp;MOVIMIENTOS!$C332,IF(MOVIMIENTOS!$B332="RECHAZO","RECHAZO cal. "&amp;MOVIMIENTOS!$C332&amp;" (va a reproceso)",IF(MOVIMIENTOS!$B332="DEVOLUCIÓN","DEVOLUCIÓN cal. "&amp;MOVIMIENTOS!$C332&amp;" (regresa intacta)",IF(MOVIMIENTOS!$B332="TRASIEGO","TRASIEGO cal. "&amp;MOVIMIENTOS!$C332,MOVIMIENTOS!$B332)))))))))),"")</f>
        <v/>
      </c>
      <c r="M333" s="48" t="str">
        <f aca="false">IF(AND(AND(MOVIMIENTOS!$B332&lt;&gt;"",NOT(AND(MOVIMIENTOS!$B332="PROCESO",MOVIMIENTOS!$C332&lt;&gt;"Chancho")),NOT(AND(MOVIMIENTOS!$B332="SALDO INICIAL",MOVIMIENTOS!$C332="Chancho"))),OR(MOVIMIENTOS!$B332="SALDO INICIAL",MOVIMIENTOS!$B332="COMPRA",MOVIMIENTOS!$B332="REPROCESO",MOVIMIENTOS!$B332="DEVOLUCIÓN",AND(MOVIMIENTOS!$B332="AJUSTE",MOVIMIENTOS!$C332&lt;&gt;"Chancho",N(MOVIMIENTOS!$F332)&gt;=0))),N(MOVIMIENTOS!$F332),"")</f>
        <v/>
      </c>
      <c r="N333" s="48" t="str">
        <f aca="false">IF(AND(AND(MOVIMIENTOS!$B332&lt;&gt;"",NOT(AND(MOVIMIENTOS!$B332="PROCESO",MOVIMIENTOS!$C332&lt;&gt;"Chancho")),NOT(AND(MOVIMIENTOS!$B332="SALDO INICIAL",MOVIMIENTOS!$C332="Chancho"))),OR(MOVIMIENTOS!$B332="ENVÍO A SUPESA",MOVIMIENTOS!$B332="MALOGRADO",MOVIMIENTOS!$B332="OTRA SALIDA",MOVIMIENTOS!$B332="TRASIEGO",AND(MOVIMIENTOS!$B332="PROCESO",MOVIMIENTOS!$C332="Chancho"),AND(MOVIMIENTOS!$B332="REGALO",MOVIMIENTOS!$C332&lt;&gt;"Chancho"),AND(MOVIMIENTOS!$B332="VENTA",MOVIMIENTOS!$C332&lt;&gt;"Chancho"),AND(MOVIMIENTOS!$B332="AJUSTE",MOVIMIENTOS!$C332&lt;&gt;"Chancho",N(MOVIMIENTOS!$F332)&lt;0))),IF(MOVIMIENTOS!$B332="AJUSTE",-N(MOVIMIENTOS!$F332),N(MOVIMIENTOS!$F332)),"")</f>
        <v/>
      </c>
      <c r="O333" s="48" t="str">
        <f aca="false">IF(AND(MOVIMIENTOS!$B332&lt;&gt;"",NOT(AND(MOVIMIENTOS!$B332="PROCESO",MOVIMIENTOS!$C332&lt;&gt;"Chancho")),NOT(AND(MOVIMIENTOS!$B332="SALDO INICIAL",MOVIMIENTOS!$C332="Chancho"))),IF(MOVIMIENTOS!$B332="RECHAZO",MOVIMIENTOS!$E332&amp;" jabas rechazadas · van a reproceso",IF(MOVIMIENTOS!$B332="REPROCESO",MOVIMIENTOS!$E332&amp;" kg recuperados (merma del día: "&amp;TEXT(SUMPRODUCT((MOVIMIENTOS!$A$5:$A$400=MOVIMIENTOS!$A332)*(MOVIMIENTOS!$B$5:$B$400="RECHAZO")*(MOVIMIENTOS!$D$5:$D$400="jabas")*MOVIMIENTOS!$E$5:$E$400*IFERROR(_xlfn.SWITCH(MOVIMIENTOS!$C$5:$C$400,"A",15,"P",18,"C",17,"M",17,0),0))-SUMPRODUCT((MOVIMIENTOS!$A$5:$A$400=MOVIMIENTOS!$A332)*(MOVIMIENTOS!$B$5:$B$400="REPROCESO")*MOVIMIENTOS!$I$5:$I$400),"+#,##0;-#,##0;0")&amp;" kg)",TRIM(IF(MOVIMIENTOS!$G332&lt;&gt;"",MOVIMIENTOS!$G332&amp;"  ","")&amp;IF(N(MOVIMIENTOS!$D332)&gt;0,MOVIMIENTOS!$D332&amp;" "&amp;MOVIMIENTOS!$D332,"")))),"")</f>
        <v/>
      </c>
      <c r="P333" s="48" t="n">
        <f aca="false">N(P332)+N(M333)-N(N333)</f>
        <v>-290.5</v>
      </c>
      <c r="Q333" s="48"/>
      <c r="R333" s="48"/>
      <c r="S333" s="48"/>
      <c r="T333" s="48"/>
    </row>
    <row r="334" customFormat="false" ht="15" hidden="false" customHeight="true" outlineLevel="0" collapsed="false">
      <c r="A334" s="51" t="str">
        <f aca="false">IFERROR(INDEX(K$6:K$401,MATCH(ROW()-5,J$6:J$401,0)),"")</f>
        <v/>
      </c>
      <c r="B334" s="56" t="str">
        <f aca="false">IFERROR(INDEX(L$6:L$401,MATCH(ROW()-5,J$6:J$401,0)),"")</f>
        <v/>
      </c>
      <c r="C334" s="52" t="str">
        <f aca="false">IFERROR(INDEX(M$6:M$401,MATCH(ROW()-5,J$6:J$401,0)),"")</f>
        <v/>
      </c>
      <c r="D334" s="52" t="str">
        <f aca="false">IFERROR(INDEX(N$6:N$401,MATCH(ROW()-5,J$6:J$401,0)),"")</f>
        <v/>
      </c>
      <c r="E334" s="56" t="str">
        <f aca="false">IFERROR(INDEX(O$6:O$401,MATCH(ROW()-5,J$6:J$401,0)),"")</f>
        <v/>
      </c>
      <c r="F334" s="52" t="str">
        <f aca="false">IFERROR(INDEX(P$6:P$401,MATCH(ROW()-5,J$6:J$401,0)),"")</f>
        <v/>
      </c>
      <c r="G334" s="48"/>
      <c r="H334" s="48"/>
      <c r="I334" s="48"/>
      <c r="J334" s="48" t="str">
        <f aca="false">IF(AND(MOVIMIENTOS!$B333&lt;&gt;"",NOT(AND(MOVIMIENTOS!$B333="PROCESO",MOVIMIENTOS!$C333&lt;&gt;"Chancho")),NOT(AND(MOVIMIENTOS!$B333="SALDO INICIAL",MOVIMIENTOS!$C333="Chancho"))),COUNT(J$6:J333)+1,"")</f>
        <v/>
      </c>
      <c r="K334" s="48" t="str">
        <f aca="false">IF(AND(MOVIMIENTOS!$B333&lt;&gt;"",NOT(AND(MOVIMIENTOS!$B333="PROCESO",MOVIMIENTOS!$C333&lt;&gt;"Chancho")),NOT(AND(MOVIMIENTOS!$B333="SALDO INICIAL",MOVIMIENTOS!$C333="Chancho"))),MOVIMIENTOS!$A333,"")</f>
        <v/>
      </c>
      <c r="L334" s="48" t="str">
        <f aca="false">IF(AND(MOVIMIENTOS!$B333&lt;&gt;"",NOT(AND(MOVIMIENTOS!$B333="PROCESO",MOVIMIENTOS!$C333&lt;&gt;"Chancho")),NOT(AND(MOVIMIENTOS!$B333="SALDO INICIAL",MOVIMIENTOS!$C333="Chancho"))),IF(MOVIMIENTOS!$B333="SALDO INICIAL","APERTURA ("&amp;MOVIMIENTOS!$C333&amp;")",IF(MOVIMIENTOS!$B333="COMPRA","INGRESO (compra)",IF(MOVIMIENTOS!$B333="PROCESO","CHANCHO (proceso)",IF(MOVIMIENTOS!$B333="ENVÍO A SUPESA","ENVÍO cal. "&amp;MOVIMIENTOS!$C333,IF(MOVIMIENTOS!$B333="VENTA CHANCHO","VENTA CHANCHO",IF(MOVIMIENTOS!$B333="VENTA","VENTA cal. "&amp;MOVIMIENTOS!$C333,IF(MOVIMIENTOS!$B333="REGALO","REGALO "&amp;MOVIMIENTOS!$C333,IF(MOVIMIENTOS!$B333="RECHAZO","RECHAZO cal. "&amp;MOVIMIENTOS!$C333&amp;" (va a reproceso)",IF(MOVIMIENTOS!$B333="DEVOLUCIÓN","DEVOLUCIÓN cal. "&amp;MOVIMIENTOS!$C333&amp;" (regresa intacta)",IF(MOVIMIENTOS!$B333="TRASIEGO","TRASIEGO cal. "&amp;MOVIMIENTOS!$C333,MOVIMIENTOS!$B333)))))))))),"")</f>
        <v/>
      </c>
      <c r="M334" s="48" t="str">
        <f aca="false">IF(AND(AND(MOVIMIENTOS!$B333&lt;&gt;"",NOT(AND(MOVIMIENTOS!$B333="PROCESO",MOVIMIENTOS!$C333&lt;&gt;"Chancho")),NOT(AND(MOVIMIENTOS!$B333="SALDO INICIAL",MOVIMIENTOS!$C333="Chancho"))),OR(MOVIMIENTOS!$B333="SALDO INICIAL",MOVIMIENTOS!$B333="COMPRA",MOVIMIENTOS!$B333="REPROCESO",MOVIMIENTOS!$B333="DEVOLUCIÓN",AND(MOVIMIENTOS!$B333="AJUSTE",MOVIMIENTOS!$C333&lt;&gt;"Chancho",N(MOVIMIENTOS!$F333)&gt;=0))),N(MOVIMIENTOS!$F333),"")</f>
        <v/>
      </c>
      <c r="N334" s="48" t="str">
        <f aca="false">IF(AND(AND(MOVIMIENTOS!$B333&lt;&gt;"",NOT(AND(MOVIMIENTOS!$B333="PROCESO",MOVIMIENTOS!$C333&lt;&gt;"Chancho")),NOT(AND(MOVIMIENTOS!$B333="SALDO INICIAL",MOVIMIENTOS!$C333="Chancho"))),OR(MOVIMIENTOS!$B333="ENVÍO A SUPESA",MOVIMIENTOS!$B333="MALOGRADO",MOVIMIENTOS!$B333="OTRA SALIDA",MOVIMIENTOS!$B333="TRASIEGO",AND(MOVIMIENTOS!$B333="PROCESO",MOVIMIENTOS!$C333="Chancho"),AND(MOVIMIENTOS!$B333="REGALO",MOVIMIENTOS!$C333&lt;&gt;"Chancho"),AND(MOVIMIENTOS!$B333="VENTA",MOVIMIENTOS!$C333&lt;&gt;"Chancho"),AND(MOVIMIENTOS!$B333="AJUSTE",MOVIMIENTOS!$C333&lt;&gt;"Chancho",N(MOVIMIENTOS!$F333)&lt;0))),IF(MOVIMIENTOS!$B333="AJUSTE",-N(MOVIMIENTOS!$F333),N(MOVIMIENTOS!$F333)),"")</f>
        <v/>
      </c>
      <c r="O334" s="48" t="str">
        <f aca="false">IF(AND(MOVIMIENTOS!$B333&lt;&gt;"",NOT(AND(MOVIMIENTOS!$B333="PROCESO",MOVIMIENTOS!$C333&lt;&gt;"Chancho")),NOT(AND(MOVIMIENTOS!$B333="SALDO INICIAL",MOVIMIENTOS!$C333="Chancho"))),IF(MOVIMIENTOS!$B333="RECHAZO",MOVIMIENTOS!$E333&amp;" jabas rechazadas · van a reproceso",IF(MOVIMIENTOS!$B333="REPROCESO",MOVIMIENTOS!$E333&amp;" kg recuperados (merma del día: "&amp;TEXT(SUMPRODUCT((MOVIMIENTOS!$A$5:$A$400=MOVIMIENTOS!$A333)*(MOVIMIENTOS!$B$5:$B$400="RECHAZO")*(MOVIMIENTOS!$D$5:$D$400="jabas")*MOVIMIENTOS!$E$5:$E$400*IFERROR(_xlfn.SWITCH(MOVIMIENTOS!$C$5:$C$400,"A",15,"P",18,"C",17,"M",17,0),0))-SUMPRODUCT((MOVIMIENTOS!$A$5:$A$400=MOVIMIENTOS!$A333)*(MOVIMIENTOS!$B$5:$B$400="REPROCESO")*MOVIMIENTOS!$I$5:$I$400),"+#,##0;-#,##0;0")&amp;" kg)",TRIM(IF(MOVIMIENTOS!$G333&lt;&gt;"",MOVIMIENTOS!$G333&amp;"  ","")&amp;IF(N(MOVIMIENTOS!$D333)&gt;0,MOVIMIENTOS!$D333&amp;" "&amp;MOVIMIENTOS!$D333,"")))),"")</f>
        <v/>
      </c>
      <c r="P334" s="48" t="n">
        <f aca="false">N(P333)+N(M334)-N(N334)</f>
        <v>-290.5</v>
      </c>
      <c r="Q334" s="48"/>
      <c r="R334" s="48"/>
      <c r="S334" s="48"/>
      <c r="T334" s="48"/>
    </row>
    <row r="335" customFormat="false" ht="15" hidden="false" customHeight="true" outlineLevel="0" collapsed="false">
      <c r="A335" s="51" t="str">
        <f aca="false">IFERROR(INDEX(K$6:K$401,MATCH(ROW()-5,J$6:J$401,0)),"")</f>
        <v/>
      </c>
      <c r="B335" s="56" t="str">
        <f aca="false">IFERROR(INDEX(L$6:L$401,MATCH(ROW()-5,J$6:J$401,0)),"")</f>
        <v/>
      </c>
      <c r="C335" s="52" t="str">
        <f aca="false">IFERROR(INDEX(M$6:M$401,MATCH(ROW()-5,J$6:J$401,0)),"")</f>
        <v/>
      </c>
      <c r="D335" s="52" t="str">
        <f aca="false">IFERROR(INDEX(N$6:N$401,MATCH(ROW()-5,J$6:J$401,0)),"")</f>
        <v/>
      </c>
      <c r="E335" s="56" t="str">
        <f aca="false">IFERROR(INDEX(O$6:O$401,MATCH(ROW()-5,J$6:J$401,0)),"")</f>
        <v/>
      </c>
      <c r="F335" s="52" t="str">
        <f aca="false">IFERROR(INDEX(P$6:P$401,MATCH(ROW()-5,J$6:J$401,0)),"")</f>
        <v/>
      </c>
      <c r="G335" s="48"/>
      <c r="H335" s="48"/>
      <c r="I335" s="48"/>
      <c r="J335" s="48" t="str">
        <f aca="false">IF(AND(MOVIMIENTOS!$B334&lt;&gt;"",NOT(AND(MOVIMIENTOS!$B334="PROCESO",MOVIMIENTOS!$C334&lt;&gt;"Chancho")),NOT(AND(MOVIMIENTOS!$B334="SALDO INICIAL",MOVIMIENTOS!$C334="Chancho"))),COUNT(J$6:J334)+1,"")</f>
        <v/>
      </c>
      <c r="K335" s="48" t="str">
        <f aca="false">IF(AND(MOVIMIENTOS!$B334&lt;&gt;"",NOT(AND(MOVIMIENTOS!$B334="PROCESO",MOVIMIENTOS!$C334&lt;&gt;"Chancho")),NOT(AND(MOVIMIENTOS!$B334="SALDO INICIAL",MOVIMIENTOS!$C334="Chancho"))),MOVIMIENTOS!$A334,"")</f>
        <v/>
      </c>
      <c r="L335" s="48" t="str">
        <f aca="false">IF(AND(MOVIMIENTOS!$B334&lt;&gt;"",NOT(AND(MOVIMIENTOS!$B334="PROCESO",MOVIMIENTOS!$C334&lt;&gt;"Chancho")),NOT(AND(MOVIMIENTOS!$B334="SALDO INICIAL",MOVIMIENTOS!$C334="Chancho"))),IF(MOVIMIENTOS!$B334="SALDO INICIAL","APERTURA ("&amp;MOVIMIENTOS!$C334&amp;")",IF(MOVIMIENTOS!$B334="COMPRA","INGRESO (compra)",IF(MOVIMIENTOS!$B334="PROCESO","CHANCHO (proceso)",IF(MOVIMIENTOS!$B334="ENVÍO A SUPESA","ENVÍO cal. "&amp;MOVIMIENTOS!$C334,IF(MOVIMIENTOS!$B334="VENTA CHANCHO","VENTA CHANCHO",IF(MOVIMIENTOS!$B334="VENTA","VENTA cal. "&amp;MOVIMIENTOS!$C334,IF(MOVIMIENTOS!$B334="REGALO","REGALO "&amp;MOVIMIENTOS!$C334,IF(MOVIMIENTOS!$B334="RECHAZO","RECHAZO cal. "&amp;MOVIMIENTOS!$C334&amp;" (va a reproceso)",IF(MOVIMIENTOS!$B334="DEVOLUCIÓN","DEVOLUCIÓN cal. "&amp;MOVIMIENTOS!$C334&amp;" (regresa intacta)",IF(MOVIMIENTOS!$B334="TRASIEGO","TRASIEGO cal. "&amp;MOVIMIENTOS!$C334,MOVIMIENTOS!$B334)))))))))),"")</f>
        <v/>
      </c>
      <c r="M335" s="48" t="str">
        <f aca="false">IF(AND(AND(MOVIMIENTOS!$B334&lt;&gt;"",NOT(AND(MOVIMIENTOS!$B334="PROCESO",MOVIMIENTOS!$C334&lt;&gt;"Chancho")),NOT(AND(MOVIMIENTOS!$B334="SALDO INICIAL",MOVIMIENTOS!$C334="Chancho"))),OR(MOVIMIENTOS!$B334="SALDO INICIAL",MOVIMIENTOS!$B334="COMPRA",MOVIMIENTOS!$B334="REPROCESO",MOVIMIENTOS!$B334="DEVOLUCIÓN",AND(MOVIMIENTOS!$B334="AJUSTE",MOVIMIENTOS!$C334&lt;&gt;"Chancho",N(MOVIMIENTOS!$F334)&gt;=0))),N(MOVIMIENTOS!$F334),"")</f>
        <v/>
      </c>
      <c r="N335" s="48" t="str">
        <f aca="false">IF(AND(AND(MOVIMIENTOS!$B334&lt;&gt;"",NOT(AND(MOVIMIENTOS!$B334="PROCESO",MOVIMIENTOS!$C334&lt;&gt;"Chancho")),NOT(AND(MOVIMIENTOS!$B334="SALDO INICIAL",MOVIMIENTOS!$C334="Chancho"))),OR(MOVIMIENTOS!$B334="ENVÍO A SUPESA",MOVIMIENTOS!$B334="MALOGRADO",MOVIMIENTOS!$B334="OTRA SALIDA",MOVIMIENTOS!$B334="TRASIEGO",AND(MOVIMIENTOS!$B334="PROCESO",MOVIMIENTOS!$C334="Chancho"),AND(MOVIMIENTOS!$B334="REGALO",MOVIMIENTOS!$C334&lt;&gt;"Chancho"),AND(MOVIMIENTOS!$B334="VENTA",MOVIMIENTOS!$C334&lt;&gt;"Chancho"),AND(MOVIMIENTOS!$B334="AJUSTE",MOVIMIENTOS!$C334&lt;&gt;"Chancho",N(MOVIMIENTOS!$F334)&lt;0))),IF(MOVIMIENTOS!$B334="AJUSTE",-N(MOVIMIENTOS!$F334),N(MOVIMIENTOS!$F334)),"")</f>
        <v/>
      </c>
      <c r="O335" s="48" t="str">
        <f aca="false">IF(AND(MOVIMIENTOS!$B334&lt;&gt;"",NOT(AND(MOVIMIENTOS!$B334="PROCESO",MOVIMIENTOS!$C334&lt;&gt;"Chancho")),NOT(AND(MOVIMIENTOS!$B334="SALDO INICIAL",MOVIMIENTOS!$C334="Chancho"))),IF(MOVIMIENTOS!$B334="RECHAZO",MOVIMIENTOS!$E334&amp;" jabas rechazadas · van a reproceso",IF(MOVIMIENTOS!$B334="REPROCESO",MOVIMIENTOS!$E334&amp;" kg recuperados (merma del día: "&amp;TEXT(SUMPRODUCT((MOVIMIENTOS!$A$5:$A$400=MOVIMIENTOS!$A334)*(MOVIMIENTOS!$B$5:$B$400="RECHAZO")*(MOVIMIENTOS!$D$5:$D$400="jabas")*MOVIMIENTOS!$E$5:$E$400*IFERROR(_xlfn.SWITCH(MOVIMIENTOS!$C$5:$C$400,"A",15,"P",18,"C",17,"M",17,0),0))-SUMPRODUCT((MOVIMIENTOS!$A$5:$A$400=MOVIMIENTOS!$A334)*(MOVIMIENTOS!$B$5:$B$400="REPROCESO")*MOVIMIENTOS!$I$5:$I$400),"+#,##0;-#,##0;0")&amp;" kg)",TRIM(IF(MOVIMIENTOS!$G334&lt;&gt;"",MOVIMIENTOS!$G334&amp;"  ","")&amp;IF(N(MOVIMIENTOS!$D334)&gt;0,MOVIMIENTOS!$D334&amp;" "&amp;MOVIMIENTOS!$D334,"")))),"")</f>
        <v/>
      </c>
      <c r="P335" s="48" t="n">
        <f aca="false">N(P334)+N(M335)-N(N335)</f>
        <v>-290.5</v>
      </c>
      <c r="Q335" s="48"/>
      <c r="R335" s="48"/>
      <c r="S335" s="48"/>
      <c r="T335" s="48"/>
    </row>
    <row r="336" customFormat="false" ht="15" hidden="false" customHeight="true" outlineLevel="0" collapsed="false">
      <c r="A336" s="51" t="str">
        <f aca="false">IFERROR(INDEX(K$6:K$401,MATCH(ROW()-5,J$6:J$401,0)),"")</f>
        <v/>
      </c>
      <c r="B336" s="56" t="str">
        <f aca="false">IFERROR(INDEX(L$6:L$401,MATCH(ROW()-5,J$6:J$401,0)),"")</f>
        <v/>
      </c>
      <c r="C336" s="52" t="str">
        <f aca="false">IFERROR(INDEX(M$6:M$401,MATCH(ROW()-5,J$6:J$401,0)),"")</f>
        <v/>
      </c>
      <c r="D336" s="52" t="str">
        <f aca="false">IFERROR(INDEX(N$6:N$401,MATCH(ROW()-5,J$6:J$401,0)),"")</f>
        <v/>
      </c>
      <c r="E336" s="56" t="str">
        <f aca="false">IFERROR(INDEX(O$6:O$401,MATCH(ROW()-5,J$6:J$401,0)),"")</f>
        <v/>
      </c>
      <c r="F336" s="52" t="str">
        <f aca="false">IFERROR(INDEX(P$6:P$401,MATCH(ROW()-5,J$6:J$401,0)),"")</f>
        <v/>
      </c>
      <c r="G336" s="48"/>
      <c r="H336" s="48"/>
      <c r="I336" s="48"/>
      <c r="J336" s="48" t="str">
        <f aca="false">IF(AND(MOVIMIENTOS!$B335&lt;&gt;"",NOT(AND(MOVIMIENTOS!$B335="PROCESO",MOVIMIENTOS!$C335&lt;&gt;"Chancho")),NOT(AND(MOVIMIENTOS!$B335="SALDO INICIAL",MOVIMIENTOS!$C335="Chancho"))),COUNT(J$6:J335)+1,"")</f>
        <v/>
      </c>
      <c r="K336" s="48" t="str">
        <f aca="false">IF(AND(MOVIMIENTOS!$B335&lt;&gt;"",NOT(AND(MOVIMIENTOS!$B335="PROCESO",MOVIMIENTOS!$C335&lt;&gt;"Chancho")),NOT(AND(MOVIMIENTOS!$B335="SALDO INICIAL",MOVIMIENTOS!$C335="Chancho"))),MOVIMIENTOS!$A335,"")</f>
        <v/>
      </c>
      <c r="L336" s="48" t="str">
        <f aca="false">IF(AND(MOVIMIENTOS!$B335&lt;&gt;"",NOT(AND(MOVIMIENTOS!$B335="PROCESO",MOVIMIENTOS!$C335&lt;&gt;"Chancho")),NOT(AND(MOVIMIENTOS!$B335="SALDO INICIAL",MOVIMIENTOS!$C335="Chancho"))),IF(MOVIMIENTOS!$B335="SALDO INICIAL","APERTURA ("&amp;MOVIMIENTOS!$C335&amp;")",IF(MOVIMIENTOS!$B335="COMPRA","INGRESO (compra)",IF(MOVIMIENTOS!$B335="PROCESO","CHANCHO (proceso)",IF(MOVIMIENTOS!$B335="ENVÍO A SUPESA","ENVÍO cal. "&amp;MOVIMIENTOS!$C335,IF(MOVIMIENTOS!$B335="VENTA CHANCHO","VENTA CHANCHO",IF(MOVIMIENTOS!$B335="VENTA","VENTA cal. "&amp;MOVIMIENTOS!$C335,IF(MOVIMIENTOS!$B335="REGALO","REGALO "&amp;MOVIMIENTOS!$C335,IF(MOVIMIENTOS!$B335="RECHAZO","RECHAZO cal. "&amp;MOVIMIENTOS!$C335&amp;" (va a reproceso)",IF(MOVIMIENTOS!$B335="DEVOLUCIÓN","DEVOLUCIÓN cal. "&amp;MOVIMIENTOS!$C335&amp;" (regresa intacta)",IF(MOVIMIENTOS!$B335="TRASIEGO","TRASIEGO cal. "&amp;MOVIMIENTOS!$C335,MOVIMIENTOS!$B335)))))))))),"")</f>
        <v/>
      </c>
      <c r="M336" s="48" t="str">
        <f aca="false">IF(AND(AND(MOVIMIENTOS!$B335&lt;&gt;"",NOT(AND(MOVIMIENTOS!$B335="PROCESO",MOVIMIENTOS!$C335&lt;&gt;"Chancho")),NOT(AND(MOVIMIENTOS!$B335="SALDO INICIAL",MOVIMIENTOS!$C335="Chancho"))),OR(MOVIMIENTOS!$B335="SALDO INICIAL",MOVIMIENTOS!$B335="COMPRA",MOVIMIENTOS!$B335="REPROCESO",MOVIMIENTOS!$B335="DEVOLUCIÓN",AND(MOVIMIENTOS!$B335="AJUSTE",MOVIMIENTOS!$C335&lt;&gt;"Chancho",N(MOVIMIENTOS!$F335)&gt;=0))),N(MOVIMIENTOS!$F335),"")</f>
        <v/>
      </c>
      <c r="N336" s="48" t="str">
        <f aca="false">IF(AND(AND(MOVIMIENTOS!$B335&lt;&gt;"",NOT(AND(MOVIMIENTOS!$B335="PROCESO",MOVIMIENTOS!$C335&lt;&gt;"Chancho")),NOT(AND(MOVIMIENTOS!$B335="SALDO INICIAL",MOVIMIENTOS!$C335="Chancho"))),OR(MOVIMIENTOS!$B335="ENVÍO A SUPESA",MOVIMIENTOS!$B335="MALOGRADO",MOVIMIENTOS!$B335="OTRA SALIDA",MOVIMIENTOS!$B335="TRASIEGO",AND(MOVIMIENTOS!$B335="PROCESO",MOVIMIENTOS!$C335="Chancho"),AND(MOVIMIENTOS!$B335="REGALO",MOVIMIENTOS!$C335&lt;&gt;"Chancho"),AND(MOVIMIENTOS!$B335="VENTA",MOVIMIENTOS!$C335&lt;&gt;"Chancho"),AND(MOVIMIENTOS!$B335="AJUSTE",MOVIMIENTOS!$C335&lt;&gt;"Chancho",N(MOVIMIENTOS!$F335)&lt;0))),IF(MOVIMIENTOS!$B335="AJUSTE",-N(MOVIMIENTOS!$F335),N(MOVIMIENTOS!$F335)),"")</f>
        <v/>
      </c>
      <c r="O336" s="48" t="str">
        <f aca="false">IF(AND(MOVIMIENTOS!$B335&lt;&gt;"",NOT(AND(MOVIMIENTOS!$B335="PROCESO",MOVIMIENTOS!$C335&lt;&gt;"Chancho")),NOT(AND(MOVIMIENTOS!$B335="SALDO INICIAL",MOVIMIENTOS!$C335="Chancho"))),IF(MOVIMIENTOS!$B335="RECHAZO",MOVIMIENTOS!$E335&amp;" jabas rechazadas · van a reproceso",IF(MOVIMIENTOS!$B335="REPROCESO",MOVIMIENTOS!$E335&amp;" kg recuperados (merma del día: "&amp;TEXT(SUMPRODUCT((MOVIMIENTOS!$A$5:$A$400=MOVIMIENTOS!$A335)*(MOVIMIENTOS!$B$5:$B$400="RECHAZO")*(MOVIMIENTOS!$D$5:$D$400="jabas")*MOVIMIENTOS!$E$5:$E$400*IFERROR(_xlfn.SWITCH(MOVIMIENTOS!$C$5:$C$400,"A",15,"P",18,"C",17,"M",17,0),0))-SUMPRODUCT((MOVIMIENTOS!$A$5:$A$400=MOVIMIENTOS!$A335)*(MOVIMIENTOS!$B$5:$B$400="REPROCESO")*MOVIMIENTOS!$I$5:$I$400),"+#,##0;-#,##0;0")&amp;" kg)",TRIM(IF(MOVIMIENTOS!$G335&lt;&gt;"",MOVIMIENTOS!$G335&amp;"  ","")&amp;IF(N(MOVIMIENTOS!$D335)&gt;0,MOVIMIENTOS!$D335&amp;" "&amp;MOVIMIENTOS!$D335,"")))),"")</f>
        <v/>
      </c>
      <c r="P336" s="48" t="n">
        <f aca="false">N(P335)+N(M336)-N(N336)</f>
        <v>-290.5</v>
      </c>
      <c r="Q336" s="48"/>
      <c r="R336" s="48"/>
      <c r="S336" s="48"/>
      <c r="T336" s="48"/>
    </row>
    <row r="337" customFormat="false" ht="15" hidden="false" customHeight="true" outlineLevel="0" collapsed="false">
      <c r="A337" s="51" t="str">
        <f aca="false">IFERROR(INDEX(K$6:K$401,MATCH(ROW()-5,J$6:J$401,0)),"")</f>
        <v/>
      </c>
      <c r="B337" s="56" t="str">
        <f aca="false">IFERROR(INDEX(L$6:L$401,MATCH(ROW()-5,J$6:J$401,0)),"")</f>
        <v/>
      </c>
      <c r="C337" s="52" t="str">
        <f aca="false">IFERROR(INDEX(M$6:M$401,MATCH(ROW()-5,J$6:J$401,0)),"")</f>
        <v/>
      </c>
      <c r="D337" s="52" t="str">
        <f aca="false">IFERROR(INDEX(N$6:N$401,MATCH(ROW()-5,J$6:J$401,0)),"")</f>
        <v/>
      </c>
      <c r="E337" s="56" t="str">
        <f aca="false">IFERROR(INDEX(O$6:O$401,MATCH(ROW()-5,J$6:J$401,0)),"")</f>
        <v/>
      </c>
      <c r="F337" s="52" t="str">
        <f aca="false">IFERROR(INDEX(P$6:P$401,MATCH(ROW()-5,J$6:J$401,0)),"")</f>
        <v/>
      </c>
      <c r="G337" s="48"/>
      <c r="H337" s="48"/>
      <c r="I337" s="48"/>
      <c r="J337" s="48" t="str">
        <f aca="false">IF(AND(MOVIMIENTOS!$B336&lt;&gt;"",NOT(AND(MOVIMIENTOS!$B336="PROCESO",MOVIMIENTOS!$C336&lt;&gt;"Chancho")),NOT(AND(MOVIMIENTOS!$B336="SALDO INICIAL",MOVIMIENTOS!$C336="Chancho"))),COUNT(J$6:J336)+1,"")</f>
        <v/>
      </c>
      <c r="K337" s="48" t="str">
        <f aca="false">IF(AND(MOVIMIENTOS!$B336&lt;&gt;"",NOT(AND(MOVIMIENTOS!$B336="PROCESO",MOVIMIENTOS!$C336&lt;&gt;"Chancho")),NOT(AND(MOVIMIENTOS!$B336="SALDO INICIAL",MOVIMIENTOS!$C336="Chancho"))),MOVIMIENTOS!$A336,"")</f>
        <v/>
      </c>
      <c r="L337" s="48" t="str">
        <f aca="false">IF(AND(MOVIMIENTOS!$B336&lt;&gt;"",NOT(AND(MOVIMIENTOS!$B336="PROCESO",MOVIMIENTOS!$C336&lt;&gt;"Chancho")),NOT(AND(MOVIMIENTOS!$B336="SALDO INICIAL",MOVIMIENTOS!$C336="Chancho"))),IF(MOVIMIENTOS!$B336="SALDO INICIAL","APERTURA ("&amp;MOVIMIENTOS!$C336&amp;")",IF(MOVIMIENTOS!$B336="COMPRA","INGRESO (compra)",IF(MOVIMIENTOS!$B336="PROCESO","CHANCHO (proceso)",IF(MOVIMIENTOS!$B336="ENVÍO A SUPESA","ENVÍO cal. "&amp;MOVIMIENTOS!$C336,IF(MOVIMIENTOS!$B336="VENTA CHANCHO","VENTA CHANCHO",IF(MOVIMIENTOS!$B336="VENTA","VENTA cal. "&amp;MOVIMIENTOS!$C336,IF(MOVIMIENTOS!$B336="REGALO","REGALO "&amp;MOVIMIENTOS!$C336,IF(MOVIMIENTOS!$B336="RECHAZO","RECHAZO cal. "&amp;MOVIMIENTOS!$C336&amp;" (va a reproceso)",IF(MOVIMIENTOS!$B336="DEVOLUCIÓN","DEVOLUCIÓN cal. "&amp;MOVIMIENTOS!$C336&amp;" (regresa intacta)",IF(MOVIMIENTOS!$B336="TRASIEGO","TRASIEGO cal. "&amp;MOVIMIENTOS!$C336,MOVIMIENTOS!$B336)))))))))),"")</f>
        <v/>
      </c>
      <c r="M337" s="48" t="str">
        <f aca="false">IF(AND(AND(MOVIMIENTOS!$B336&lt;&gt;"",NOT(AND(MOVIMIENTOS!$B336="PROCESO",MOVIMIENTOS!$C336&lt;&gt;"Chancho")),NOT(AND(MOVIMIENTOS!$B336="SALDO INICIAL",MOVIMIENTOS!$C336="Chancho"))),OR(MOVIMIENTOS!$B336="SALDO INICIAL",MOVIMIENTOS!$B336="COMPRA",MOVIMIENTOS!$B336="REPROCESO",MOVIMIENTOS!$B336="DEVOLUCIÓN",AND(MOVIMIENTOS!$B336="AJUSTE",MOVIMIENTOS!$C336&lt;&gt;"Chancho",N(MOVIMIENTOS!$F336)&gt;=0))),N(MOVIMIENTOS!$F336),"")</f>
        <v/>
      </c>
      <c r="N337" s="48" t="str">
        <f aca="false">IF(AND(AND(MOVIMIENTOS!$B336&lt;&gt;"",NOT(AND(MOVIMIENTOS!$B336="PROCESO",MOVIMIENTOS!$C336&lt;&gt;"Chancho")),NOT(AND(MOVIMIENTOS!$B336="SALDO INICIAL",MOVIMIENTOS!$C336="Chancho"))),OR(MOVIMIENTOS!$B336="ENVÍO A SUPESA",MOVIMIENTOS!$B336="MALOGRADO",MOVIMIENTOS!$B336="OTRA SALIDA",MOVIMIENTOS!$B336="TRASIEGO",AND(MOVIMIENTOS!$B336="PROCESO",MOVIMIENTOS!$C336="Chancho"),AND(MOVIMIENTOS!$B336="REGALO",MOVIMIENTOS!$C336&lt;&gt;"Chancho"),AND(MOVIMIENTOS!$B336="VENTA",MOVIMIENTOS!$C336&lt;&gt;"Chancho"),AND(MOVIMIENTOS!$B336="AJUSTE",MOVIMIENTOS!$C336&lt;&gt;"Chancho",N(MOVIMIENTOS!$F336)&lt;0))),IF(MOVIMIENTOS!$B336="AJUSTE",-N(MOVIMIENTOS!$F336),N(MOVIMIENTOS!$F336)),"")</f>
        <v/>
      </c>
      <c r="O337" s="48" t="str">
        <f aca="false">IF(AND(MOVIMIENTOS!$B336&lt;&gt;"",NOT(AND(MOVIMIENTOS!$B336="PROCESO",MOVIMIENTOS!$C336&lt;&gt;"Chancho")),NOT(AND(MOVIMIENTOS!$B336="SALDO INICIAL",MOVIMIENTOS!$C336="Chancho"))),IF(MOVIMIENTOS!$B336="RECHAZO",MOVIMIENTOS!$E336&amp;" jabas rechazadas · van a reproceso",IF(MOVIMIENTOS!$B336="REPROCESO",MOVIMIENTOS!$E336&amp;" kg recuperados (merma del día: "&amp;TEXT(SUMPRODUCT((MOVIMIENTOS!$A$5:$A$400=MOVIMIENTOS!$A336)*(MOVIMIENTOS!$B$5:$B$400="RECHAZO")*(MOVIMIENTOS!$D$5:$D$400="jabas")*MOVIMIENTOS!$E$5:$E$400*IFERROR(_xlfn.SWITCH(MOVIMIENTOS!$C$5:$C$400,"A",15,"P",18,"C",17,"M",17,0),0))-SUMPRODUCT((MOVIMIENTOS!$A$5:$A$400=MOVIMIENTOS!$A336)*(MOVIMIENTOS!$B$5:$B$400="REPROCESO")*MOVIMIENTOS!$I$5:$I$400),"+#,##0;-#,##0;0")&amp;" kg)",TRIM(IF(MOVIMIENTOS!$G336&lt;&gt;"",MOVIMIENTOS!$G336&amp;"  ","")&amp;IF(N(MOVIMIENTOS!$D336)&gt;0,MOVIMIENTOS!$D336&amp;" "&amp;MOVIMIENTOS!$D336,"")))),"")</f>
        <v/>
      </c>
      <c r="P337" s="48" t="n">
        <f aca="false">N(P336)+N(M337)-N(N337)</f>
        <v>-290.5</v>
      </c>
      <c r="Q337" s="48"/>
      <c r="R337" s="48"/>
      <c r="S337" s="48"/>
      <c r="T337" s="48"/>
    </row>
    <row r="338" customFormat="false" ht="15" hidden="false" customHeight="true" outlineLevel="0" collapsed="false">
      <c r="A338" s="51" t="str">
        <f aca="false">IFERROR(INDEX(K$6:K$401,MATCH(ROW()-5,J$6:J$401,0)),"")</f>
        <v/>
      </c>
      <c r="B338" s="56" t="str">
        <f aca="false">IFERROR(INDEX(L$6:L$401,MATCH(ROW()-5,J$6:J$401,0)),"")</f>
        <v/>
      </c>
      <c r="C338" s="52" t="str">
        <f aca="false">IFERROR(INDEX(M$6:M$401,MATCH(ROW()-5,J$6:J$401,0)),"")</f>
        <v/>
      </c>
      <c r="D338" s="52" t="str">
        <f aca="false">IFERROR(INDEX(N$6:N$401,MATCH(ROW()-5,J$6:J$401,0)),"")</f>
        <v/>
      </c>
      <c r="E338" s="56" t="str">
        <f aca="false">IFERROR(INDEX(O$6:O$401,MATCH(ROW()-5,J$6:J$401,0)),"")</f>
        <v/>
      </c>
      <c r="F338" s="52" t="str">
        <f aca="false">IFERROR(INDEX(P$6:P$401,MATCH(ROW()-5,J$6:J$401,0)),"")</f>
        <v/>
      </c>
      <c r="G338" s="48"/>
      <c r="H338" s="48"/>
      <c r="I338" s="48"/>
      <c r="J338" s="48" t="str">
        <f aca="false">IF(AND(MOVIMIENTOS!$B337&lt;&gt;"",NOT(AND(MOVIMIENTOS!$B337="PROCESO",MOVIMIENTOS!$C337&lt;&gt;"Chancho")),NOT(AND(MOVIMIENTOS!$B337="SALDO INICIAL",MOVIMIENTOS!$C337="Chancho"))),COUNT(J$6:J337)+1,"")</f>
        <v/>
      </c>
      <c r="K338" s="48" t="str">
        <f aca="false">IF(AND(MOVIMIENTOS!$B337&lt;&gt;"",NOT(AND(MOVIMIENTOS!$B337="PROCESO",MOVIMIENTOS!$C337&lt;&gt;"Chancho")),NOT(AND(MOVIMIENTOS!$B337="SALDO INICIAL",MOVIMIENTOS!$C337="Chancho"))),MOVIMIENTOS!$A337,"")</f>
        <v/>
      </c>
      <c r="L338" s="48" t="str">
        <f aca="false">IF(AND(MOVIMIENTOS!$B337&lt;&gt;"",NOT(AND(MOVIMIENTOS!$B337="PROCESO",MOVIMIENTOS!$C337&lt;&gt;"Chancho")),NOT(AND(MOVIMIENTOS!$B337="SALDO INICIAL",MOVIMIENTOS!$C337="Chancho"))),IF(MOVIMIENTOS!$B337="SALDO INICIAL","APERTURA ("&amp;MOVIMIENTOS!$C337&amp;")",IF(MOVIMIENTOS!$B337="COMPRA","INGRESO (compra)",IF(MOVIMIENTOS!$B337="PROCESO","CHANCHO (proceso)",IF(MOVIMIENTOS!$B337="ENVÍO A SUPESA","ENVÍO cal. "&amp;MOVIMIENTOS!$C337,IF(MOVIMIENTOS!$B337="VENTA CHANCHO","VENTA CHANCHO",IF(MOVIMIENTOS!$B337="VENTA","VENTA cal. "&amp;MOVIMIENTOS!$C337,IF(MOVIMIENTOS!$B337="REGALO","REGALO "&amp;MOVIMIENTOS!$C337,IF(MOVIMIENTOS!$B337="RECHAZO","RECHAZO cal. "&amp;MOVIMIENTOS!$C337&amp;" (va a reproceso)",IF(MOVIMIENTOS!$B337="DEVOLUCIÓN","DEVOLUCIÓN cal. "&amp;MOVIMIENTOS!$C337&amp;" (regresa intacta)",IF(MOVIMIENTOS!$B337="TRASIEGO","TRASIEGO cal. "&amp;MOVIMIENTOS!$C337,MOVIMIENTOS!$B337)))))))))),"")</f>
        <v/>
      </c>
      <c r="M338" s="48" t="str">
        <f aca="false">IF(AND(AND(MOVIMIENTOS!$B337&lt;&gt;"",NOT(AND(MOVIMIENTOS!$B337="PROCESO",MOVIMIENTOS!$C337&lt;&gt;"Chancho")),NOT(AND(MOVIMIENTOS!$B337="SALDO INICIAL",MOVIMIENTOS!$C337="Chancho"))),OR(MOVIMIENTOS!$B337="SALDO INICIAL",MOVIMIENTOS!$B337="COMPRA",MOVIMIENTOS!$B337="REPROCESO",MOVIMIENTOS!$B337="DEVOLUCIÓN",AND(MOVIMIENTOS!$B337="AJUSTE",MOVIMIENTOS!$C337&lt;&gt;"Chancho",N(MOVIMIENTOS!$F337)&gt;=0))),N(MOVIMIENTOS!$F337),"")</f>
        <v/>
      </c>
      <c r="N338" s="48" t="str">
        <f aca="false">IF(AND(AND(MOVIMIENTOS!$B337&lt;&gt;"",NOT(AND(MOVIMIENTOS!$B337="PROCESO",MOVIMIENTOS!$C337&lt;&gt;"Chancho")),NOT(AND(MOVIMIENTOS!$B337="SALDO INICIAL",MOVIMIENTOS!$C337="Chancho"))),OR(MOVIMIENTOS!$B337="ENVÍO A SUPESA",MOVIMIENTOS!$B337="MALOGRADO",MOVIMIENTOS!$B337="OTRA SALIDA",MOVIMIENTOS!$B337="TRASIEGO",AND(MOVIMIENTOS!$B337="PROCESO",MOVIMIENTOS!$C337="Chancho"),AND(MOVIMIENTOS!$B337="REGALO",MOVIMIENTOS!$C337&lt;&gt;"Chancho"),AND(MOVIMIENTOS!$B337="VENTA",MOVIMIENTOS!$C337&lt;&gt;"Chancho"),AND(MOVIMIENTOS!$B337="AJUSTE",MOVIMIENTOS!$C337&lt;&gt;"Chancho",N(MOVIMIENTOS!$F337)&lt;0))),IF(MOVIMIENTOS!$B337="AJUSTE",-N(MOVIMIENTOS!$F337),N(MOVIMIENTOS!$F337)),"")</f>
        <v/>
      </c>
      <c r="O338" s="48" t="str">
        <f aca="false">IF(AND(MOVIMIENTOS!$B337&lt;&gt;"",NOT(AND(MOVIMIENTOS!$B337="PROCESO",MOVIMIENTOS!$C337&lt;&gt;"Chancho")),NOT(AND(MOVIMIENTOS!$B337="SALDO INICIAL",MOVIMIENTOS!$C337="Chancho"))),IF(MOVIMIENTOS!$B337="RECHAZO",MOVIMIENTOS!$E337&amp;" jabas rechazadas · van a reproceso",IF(MOVIMIENTOS!$B337="REPROCESO",MOVIMIENTOS!$E337&amp;" kg recuperados (merma del día: "&amp;TEXT(SUMPRODUCT((MOVIMIENTOS!$A$5:$A$400=MOVIMIENTOS!$A337)*(MOVIMIENTOS!$B$5:$B$400="RECHAZO")*(MOVIMIENTOS!$D$5:$D$400="jabas")*MOVIMIENTOS!$E$5:$E$400*IFERROR(_xlfn.SWITCH(MOVIMIENTOS!$C$5:$C$400,"A",15,"P",18,"C",17,"M",17,0),0))-SUMPRODUCT((MOVIMIENTOS!$A$5:$A$400=MOVIMIENTOS!$A337)*(MOVIMIENTOS!$B$5:$B$400="REPROCESO")*MOVIMIENTOS!$I$5:$I$400),"+#,##0;-#,##0;0")&amp;" kg)",TRIM(IF(MOVIMIENTOS!$G337&lt;&gt;"",MOVIMIENTOS!$G337&amp;"  ","")&amp;IF(N(MOVIMIENTOS!$D337)&gt;0,MOVIMIENTOS!$D337&amp;" "&amp;MOVIMIENTOS!$D337,"")))),"")</f>
        <v/>
      </c>
      <c r="P338" s="48" t="n">
        <f aca="false">N(P337)+N(M338)-N(N338)</f>
        <v>-290.5</v>
      </c>
      <c r="Q338" s="48"/>
      <c r="R338" s="48"/>
      <c r="S338" s="48"/>
      <c r="T338" s="48"/>
    </row>
    <row r="339" customFormat="false" ht="15" hidden="false" customHeight="true" outlineLevel="0" collapsed="false">
      <c r="A339" s="51" t="str">
        <f aca="false">IFERROR(INDEX(K$6:K$401,MATCH(ROW()-5,J$6:J$401,0)),"")</f>
        <v/>
      </c>
      <c r="B339" s="56" t="str">
        <f aca="false">IFERROR(INDEX(L$6:L$401,MATCH(ROW()-5,J$6:J$401,0)),"")</f>
        <v/>
      </c>
      <c r="C339" s="52" t="str">
        <f aca="false">IFERROR(INDEX(M$6:M$401,MATCH(ROW()-5,J$6:J$401,0)),"")</f>
        <v/>
      </c>
      <c r="D339" s="52" t="str">
        <f aca="false">IFERROR(INDEX(N$6:N$401,MATCH(ROW()-5,J$6:J$401,0)),"")</f>
        <v/>
      </c>
      <c r="E339" s="56" t="str">
        <f aca="false">IFERROR(INDEX(O$6:O$401,MATCH(ROW()-5,J$6:J$401,0)),"")</f>
        <v/>
      </c>
      <c r="F339" s="52" t="str">
        <f aca="false">IFERROR(INDEX(P$6:P$401,MATCH(ROW()-5,J$6:J$401,0)),"")</f>
        <v/>
      </c>
      <c r="G339" s="48"/>
      <c r="H339" s="48"/>
      <c r="I339" s="48"/>
      <c r="J339" s="48" t="str">
        <f aca="false">IF(AND(MOVIMIENTOS!$B338&lt;&gt;"",NOT(AND(MOVIMIENTOS!$B338="PROCESO",MOVIMIENTOS!$C338&lt;&gt;"Chancho")),NOT(AND(MOVIMIENTOS!$B338="SALDO INICIAL",MOVIMIENTOS!$C338="Chancho"))),COUNT(J$6:J338)+1,"")</f>
        <v/>
      </c>
      <c r="K339" s="48" t="str">
        <f aca="false">IF(AND(MOVIMIENTOS!$B338&lt;&gt;"",NOT(AND(MOVIMIENTOS!$B338="PROCESO",MOVIMIENTOS!$C338&lt;&gt;"Chancho")),NOT(AND(MOVIMIENTOS!$B338="SALDO INICIAL",MOVIMIENTOS!$C338="Chancho"))),MOVIMIENTOS!$A338,"")</f>
        <v/>
      </c>
      <c r="L339" s="48" t="str">
        <f aca="false">IF(AND(MOVIMIENTOS!$B338&lt;&gt;"",NOT(AND(MOVIMIENTOS!$B338="PROCESO",MOVIMIENTOS!$C338&lt;&gt;"Chancho")),NOT(AND(MOVIMIENTOS!$B338="SALDO INICIAL",MOVIMIENTOS!$C338="Chancho"))),IF(MOVIMIENTOS!$B338="SALDO INICIAL","APERTURA ("&amp;MOVIMIENTOS!$C338&amp;")",IF(MOVIMIENTOS!$B338="COMPRA","INGRESO (compra)",IF(MOVIMIENTOS!$B338="PROCESO","CHANCHO (proceso)",IF(MOVIMIENTOS!$B338="ENVÍO A SUPESA","ENVÍO cal. "&amp;MOVIMIENTOS!$C338,IF(MOVIMIENTOS!$B338="VENTA CHANCHO","VENTA CHANCHO",IF(MOVIMIENTOS!$B338="VENTA","VENTA cal. "&amp;MOVIMIENTOS!$C338,IF(MOVIMIENTOS!$B338="REGALO","REGALO "&amp;MOVIMIENTOS!$C338,IF(MOVIMIENTOS!$B338="RECHAZO","RECHAZO cal. "&amp;MOVIMIENTOS!$C338&amp;" (va a reproceso)",IF(MOVIMIENTOS!$B338="DEVOLUCIÓN","DEVOLUCIÓN cal. "&amp;MOVIMIENTOS!$C338&amp;" (regresa intacta)",IF(MOVIMIENTOS!$B338="TRASIEGO","TRASIEGO cal. "&amp;MOVIMIENTOS!$C338,MOVIMIENTOS!$B338)))))))))),"")</f>
        <v/>
      </c>
      <c r="M339" s="48" t="str">
        <f aca="false">IF(AND(AND(MOVIMIENTOS!$B338&lt;&gt;"",NOT(AND(MOVIMIENTOS!$B338="PROCESO",MOVIMIENTOS!$C338&lt;&gt;"Chancho")),NOT(AND(MOVIMIENTOS!$B338="SALDO INICIAL",MOVIMIENTOS!$C338="Chancho"))),OR(MOVIMIENTOS!$B338="SALDO INICIAL",MOVIMIENTOS!$B338="COMPRA",MOVIMIENTOS!$B338="REPROCESO",MOVIMIENTOS!$B338="DEVOLUCIÓN",AND(MOVIMIENTOS!$B338="AJUSTE",MOVIMIENTOS!$C338&lt;&gt;"Chancho",N(MOVIMIENTOS!$F338)&gt;=0))),N(MOVIMIENTOS!$F338),"")</f>
        <v/>
      </c>
      <c r="N339" s="48" t="str">
        <f aca="false">IF(AND(AND(MOVIMIENTOS!$B338&lt;&gt;"",NOT(AND(MOVIMIENTOS!$B338="PROCESO",MOVIMIENTOS!$C338&lt;&gt;"Chancho")),NOT(AND(MOVIMIENTOS!$B338="SALDO INICIAL",MOVIMIENTOS!$C338="Chancho"))),OR(MOVIMIENTOS!$B338="ENVÍO A SUPESA",MOVIMIENTOS!$B338="MALOGRADO",MOVIMIENTOS!$B338="OTRA SALIDA",MOVIMIENTOS!$B338="TRASIEGO",AND(MOVIMIENTOS!$B338="PROCESO",MOVIMIENTOS!$C338="Chancho"),AND(MOVIMIENTOS!$B338="REGALO",MOVIMIENTOS!$C338&lt;&gt;"Chancho"),AND(MOVIMIENTOS!$B338="VENTA",MOVIMIENTOS!$C338&lt;&gt;"Chancho"),AND(MOVIMIENTOS!$B338="AJUSTE",MOVIMIENTOS!$C338&lt;&gt;"Chancho",N(MOVIMIENTOS!$F338)&lt;0))),IF(MOVIMIENTOS!$B338="AJUSTE",-N(MOVIMIENTOS!$F338),N(MOVIMIENTOS!$F338)),"")</f>
        <v/>
      </c>
      <c r="O339" s="48" t="str">
        <f aca="false">IF(AND(MOVIMIENTOS!$B338&lt;&gt;"",NOT(AND(MOVIMIENTOS!$B338="PROCESO",MOVIMIENTOS!$C338&lt;&gt;"Chancho")),NOT(AND(MOVIMIENTOS!$B338="SALDO INICIAL",MOVIMIENTOS!$C338="Chancho"))),IF(MOVIMIENTOS!$B338="RECHAZO",MOVIMIENTOS!$E338&amp;" jabas rechazadas · van a reproceso",IF(MOVIMIENTOS!$B338="REPROCESO",MOVIMIENTOS!$E338&amp;" kg recuperados (merma del día: "&amp;TEXT(SUMPRODUCT((MOVIMIENTOS!$A$5:$A$400=MOVIMIENTOS!$A338)*(MOVIMIENTOS!$B$5:$B$400="RECHAZO")*(MOVIMIENTOS!$D$5:$D$400="jabas")*MOVIMIENTOS!$E$5:$E$400*IFERROR(_xlfn.SWITCH(MOVIMIENTOS!$C$5:$C$400,"A",15,"P",18,"C",17,"M",17,0),0))-SUMPRODUCT((MOVIMIENTOS!$A$5:$A$400=MOVIMIENTOS!$A338)*(MOVIMIENTOS!$B$5:$B$400="REPROCESO")*MOVIMIENTOS!$I$5:$I$400),"+#,##0;-#,##0;0")&amp;" kg)",TRIM(IF(MOVIMIENTOS!$G338&lt;&gt;"",MOVIMIENTOS!$G338&amp;"  ","")&amp;IF(N(MOVIMIENTOS!$D338)&gt;0,MOVIMIENTOS!$D338&amp;" "&amp;MOVIMIENTOS!$D338,"")))),"")</f>
        <v/>
      </c>
      <c r="P339" s="48" t="n">
        <f aca="false">N(P338)+N(M339)-N(N339)</f>
        <v>-290.5</v>
      </c>
      <c r="Q339" s="48"/>
      <c r="R339" s="48"/>
      <c r="S339" s="48"/>
      <c r="T339" s="48"/>
    </row>
    <row r="340" customFormat="false" ht="15" hidden="false" customHeight="true" outlineLevel="0" collapsed="false">
      <c r="A340" s="51" t="str">
        <f aca="false">IFERROR(INDEX(K$6:K$401,MATCH(ROW()-5,J$6:J$401,0)),"")</f>
        <v/>
      </c>
      <c r="B340" s="56" t="str">
        <f aca="false">IFERROR(INDEX(L$6:L$401,MATCH(ROW()-5,J$6:J$401,0)),"")</f>
        <v/>
      </c>
      <c r="C340" s="52" t="str">
        <f aca="false">IFERROR(INDEX(M$6:M$401,MATCH(ROW()-5,J$6:J$401,0)),"")</f>
        <v/>
      </c>
      <c r="D340" s="52" t="str">
        <f aca="false">IFERROR(INDEX(N$6:N$401,MATCH(ROW()-5,J$6:J$401,0)),"")</f>
        <v/>
      </c>
      <c r="E340" s="56" t="str">
        <f aca="false">IFERROR(INDEX(O$6:O$401,MATCH(ROW()-5,J$6:J$401,0)),"")</f>
        <v/>
      </c>
      <c r="F340" s="52" t="str">
        <f aca="false">IFERROR(INDEX(P$6:P$401,MATCH(ROW()-5,J$6:J$401,0)),"")</f>
        <v/>
      </c>
      <c r="G340" s="48"/>
      <c r="H340" s="48"/>
      <c r="I340" s="48"/>
      <c r="J340" s="48" t="str">
        <f aca="false">IF(AND(MOVIMIENTOS!$B339&lt;&gt;"",NOT(AND(MOVIMIENTOS!$B339="PROCESO",MOVIMIENTOS!$C339&lt;&gt;"Chancho")),NOT(AND(MOVIMIENTOS!$B339="SALDO INICIAL",MOVIMIENTOS!$C339="Chancho"))),COUNT(J$6:J339)+1,"")</f>
        <v/>
      </c>
      <c r="K340" s="48" t="str">
        <f aca="false">IF(AND(MOVIMIENTOS!$B339&lt;&gt;"",NOT(AND(MOVIMIENTOS!$B339="PROCESO",MOVIMIENTOS!$C339&lt;&gt;"Chancho")),NOT(AND(MOVIMIENTOS!$B339="SALDO INICIAL",MOVIMIENTOS!$C339="Chancho"))),MOVIMIENTOS!$A339,"")</f>
        <v/>
      </c>
      <c r="L340" s="48" t="str">
        <f aca="false">IF(AND(MOVIMIENTOS!$B339&lt;&gt;"",NOT(AND(MOVIMIENTOS!$B339="PROCESO",MOVIMIENTOS!$C339&lt;&gt;"Chancho")),NOT(AND(MOVIMIENTOS!$B339="SALDO INICIAL",MOVIMIENTOS!$C339="Chancho"))),IF(MOVIMIENTOS!$B339="SALDO INICIAL","APERTURA ("&amp;MOVIMIENTOS!$C339&amp;")",IF(MOVIMIENTOS!$B339="COMPRA","INGRESO (compra)",IF(MOVIMIENTOS!$B339="PROCESO","CHANCHO (proceso)",IF(MOVIMIENTOS!$B339="ENVÍO A SUPESA","ENVÍO cal. "&amp;MOVIMIENTOS!$C339,IF(MOVIMIENTOS!$B339="VENTA CHANCHO","VENTA CHANCHO",IF(MOVIMIENTOS!$B339="VENTA","VENTA cal. "&amp;MOVIMIENTOS!$C339,IF(MOVIMIENTOS!$B339="REGALO","REGALO "&amp;MOVIMIENTOS!$C339,IF(MOVIMIENTOS!$B339="RECHAZO","RECHAZO cal. "&amp;MOVIMIENTOS!$C339&amp;" (va a reproceso)",IF(MOVIMIENTOS!$B339="DEVOLUCIÓN","DEVOLUCIÓN cal. "&amp;MOVIMIENTOS!$C339&amp;" (regresa intacta)",IF(MOVIMIENTOS!$B339="TRASIEGO","TRASIEGO cal. "&amp;MOVIMIENTOS!$C339,MOVIMIENTOS!$B339)))))))))),"")</f>
        <v/>
      </c>
      <c r="M340" s="48" t="str">
        <f aca="false">IF(AND(AND(MOVIMIENTOS!$B339&lt;&gt;"",NOT(AND(MOVIMIENTOS!$B339="PROCESO",MOVIMIENTOS!$C339&lt;&gt;"Chancho")),NOT(AND(MOVIMIENTOS!$B339="SALDO INICIAL",MOVIMIENTOS!$C339="Chancho"))),OR(MOVIMIENTOS!$B339="SALDO INICIAL",MOVIMIENTOS!$B339="COMPRA",MOVIMIENTOS!$B339="REPROCESO",MOVIMIENTOS!$B339="DEVOLUCIÓN",AND(MOVIMIENTOS!$B339="AJUSTE",MOVIMIENTOS!$C339&lt;&gt;"Chancho",N(MOVIMIENTOS!$F339)&gt;=0))),N(MOVIMIENTOS!$F339),"")</f>
        <v/>
      </c>
      <c r="N340" s="48" t="str">
        <f aca="false">IF(AND(AND(MOVIMIENTOS!$B339&lt;&gt;"",NOT(AND(MOVIMIENTOS!$B339="PROCESO",MOVIMIENTOS!$C339&lt;&gt;"Chancho")),NOT(AND(MOVIMIENTOS!$B339="SALDO INICIAL",MOVIMIENTOS!$C339="Chancho"))),OR(MOVIMIENTOS!$B339="ENVÍO A SUPESA",MOVIMIENTOS!$B339="MALOGRADO",MOVIMIENTOS!$B339="OTRA SALIDA",MOVIMIENTOS!$B339="TRASIEGO",AND(MOVIMIENTOS!$B339="PROCESO",MOVIMIENTOS!$C339="Chancho"),AND(MOVIMIENTOS!$B339="REGALO",MOVIMIENTOS!$C339&lt;&gt;"Chancho"),AND(MOVIMIENTOS!$B339="VENTA",MOVIMIENTOS!$C339&lt;&gt;"Chancho"),AND(MOVIMIENTOS!$B339="AJUSTE",MOVIMIENTOS!$C339&lt;&gt;"Chancho",N(MOVIMIENTOS!$F339)&lt;0))),IF(MOVIMIENTOS!$B339="AJUSTE",-N(MOVIMIENTOS!$F339),N(MOVIMIENTOS!$F339)),"")</f>
        <v/>
      </c>
      <c r="O340" s="48" t="str">
        <f aca="false">IF(AND(MOVIMIENTOS!$B339&lt;&gt;"",NOT(AND(MOVIMIENTOS!$B339="PROCESO",MOVIMIENTOS!$C339&lt;&gt;"Chancho")),NOT(AND(MOVIMIENTOS!$B339="SALDO INICIAL",MOVIMIENTOS!$C339="Chancho"))),IF(MOVIMIENTOS!$B339="RECHAZO",MOVIMIENTOS!$E339&amp;" jabas rechazadas · van a reproceso",IF(MOVIMIENTOS!$B339="REPROCESO",MOVIMIENTOS!$E339&amp;" kg recuperados (merma del día: "&amp;TEXT(SUMPRODUCT((MOVIMIENTOS!$A$5:$A$400=MOVIMIENTOS!$A339)*(MOVIMIENTOS!$B$5:$B$400="RECHAZO")*(MOVIMIENTOS!$D$5:$D$400="jabas")*MOVIMIENTOS!$E$5:$E$400*IFERROR(_xlfn.SWITCH(MOVIMIENTOS!$C$5:$C$400,"A",15,"P",18,"C",17,"M",17,0),0))-SUMPRODUCT((MOVIMIENTOS!$A$5:$A$400=MOVIMIENTOS!$A339)*(MOVIMIENTOS!$B$5:$B$400="REPROCESO")*MOVIMIENTOS!$I$5:$I$400),"+#,##0;-#,##0;0")&amp;" kg)",TRIM(IF(MOVIMIENTOS!$G339&lt;&gt;"",MOVIMIENTOS!$G339&amp;"  ","")&amp;IF(N(MOVIMIENTOS!$D339)&gt;0,MOVIMIENTOS!$D339&amp;" "&amp;MOVIMIENTOS!$D339,"")))),"")</f>
        <v/>
      </c>
      <c r="P340" s="48" t="n">
        <f aca="false">N(P339)+N(M340)-N(N340)</f>
        <v>-290.5</v>
      </c>
      <c r="Q340" s="48"/>
      <c r="R340" s="48"/>
      <c r="S340" s="48"/>
      <c r="T340" s="48"/>
    </row>
    <row r="341" customFormat="false" ht="15" hidden="false" customHeight="true" outlineLevel="0" collapsed="false">
      <c r="A341" s="51" t="str">
        <f aca="false">IFERROR(INDEX(K$6:K$401,MATCH(ROW()-5,J$6:J$401,0)),"")</f>
        <v/>
      </c>
      <c r="B341" s="56" t="str">
        <f aca="false">IFERROR(INDEX(L$6:L$401,MATCH(ROW()-5,J$6:J$401,0)),"")</f>
        <v/>
      </c>
      <c r="C341" s="52" t="str">
        <f aca="false">IFERROR(INDEX(M$6:M$401,MATCH(ROW()-5,J$6:J$401,0)),"")</f>
        <v/>
      </c>
      <c r="D341" s="52" t="str">
        <f aca="false">IFERROR(INDEX(N$6:N$401,MATCH(ROW()-5,J$6:J$401,0)),"")</f>
        <v/>
      </c>
      <c r="E341" s="56" t="str">
        <f aca="false">IFERROR(INDEX(O$6:O$401,MATCH(ROW()-5,J$6:J$401,0)),"")</f>
        <v/>
      </c>
      <c r="F341" s="52" t="str">
        <f aca="false">IFERROR(INDEX(P$6:P$401,MATCH(ROW()-5,J$6:J$401,0)),"")</f>
        <v/>
      </c>
      <c r="G341" s="48"/>
      <c r="H341" s="48"/>
      <c r="I341" s="48"/>
      <c r="J341" s="48" t="str">
        <f aca="false">IF(AND(MOVIMIENTOS!$B340&lt;&gt;"",NOT(AND(MOVIMIENTOS!$B340="PROCESO",MOVIMIENTOS!$C340&lt;&gt;"Chancho")),NOT(AND(MOVIMIENTOS!$B340="SALDO INICIAL",MOVIMIENTOS!$C340="Chancho"))),COUNT(J$6:J340)+1,"")</f>
        <v/>
      </c>
      <c r="K341" s="48" t="str">
        <f aca="false">IF(AND(MOVIMIENTOS!$B340&lt;&gt;"",NOT(AND(MOVIMIENTOS!$B340="PROCESO",MOVIMIENTOS!$C340&lt;&gt;"Chancho")),NOT(AND(MOVIMIENTOS!$B340="SALDO INICIAL",MOVIMIENTOS!$C340="Chancho"))),MOVIMIENTOS!$A340,"")</f>
        <v/>
      </c>
      <c r="L341" s="48" t="str">
        <f aca="false">IF(AND(MOVIMIENTOS!$B340&lt;&gt;"",NOT(AND(MOVIMIENTOS!$B340="PROCESO",MOVIMIENTOS!$C340&lt;&gt;"Chancho")),NOT(AND(MOVIMIENTOS!$B340="SALDO INICIAL",MOVIMIENTOS!$C340="Chancho"))),IF(MOVIMIENTOS!$B340="SALDO INICIAL","APERTURA ("&amp;MOVIMIENTOS!$C340&amp;")",IF(MOVIMIENTOS!$B340="COMPRA","INGRESO (compra)",IF(MOVIMIENTOS!$B340="PROCESO","CHANCHO (proceso)",IF(MOVIMIENTOS!$B340="ENVÍO A SUPESA","ENVÍO cal. "&amp;MOVIMIENTOS!$C340,IF(MOVIMIENTOS!$B340="VENTA CHANCHO","VENTA CHANCHO",IF(MOVIMIENTOS!$B340="VENTA","VENTA cal. "&amp;MOVIMIENTOS!$C340,IF(MOVIMIENTOS!$B340="REGALO","REGALO "&amp;MOVIMIENTOS!$C340,IF(MOVIMIENTOS!$B340="RECHAZO","RECHAZO cal. "&amp;MOVIMIENTOS!$C340&amp;" (va a reproceso)",IF(MOVIMIENTOS!$B340="DEVOLUCIÓN","DEVOLUCIÓN cal. "&amp;MOVIMIENTOS!$C340&amp;" (regresa intacta)",IF(MOVIMIENTOS!$B340="TRASIEGO","TRASIEGO cal. "&amp;MOVIMIENTOS!$C340,MOVIMIENTOS!$B340)))))))))),"")</f>
        <v/>
      </c>
      <c r="M341" s="48" t="str">
        <f aca="false">IF(AND(AND(MOVIMIENTOS!$B340&lt;&gt;"",NOT(AND(MOVIMIENTOS!$B340="PROCESO",MOVIMIENTOS!$C340&lt;&gt;"Chancho")),NOT(AND(MOVIMIENTOS!$B340="SALDO INICIAL",MOVIMIENTOS!$C340="Chancho"))),OR(MOVIMIENTOS!$B340="SALDO INICIAL",MOVIMIENTOS!$B340="COMPRA",MOVIMIENTOS!$B340="REPROCESO",MOVIMIENTOS!$B340="DEVOLUCIÓN",AND(MOVIMIENTOS!$B340="AJUSTE",MOVIMIENTOS!$C340&lt;&gt;"Chancho",N(MOVIMIENTOS!$F340)&gt;=0))),N(MOVIMIENTOS!$F340),"")</f>
        <v/>
      </c>
      <c r="N341" s="48" t="str">
        <f aca="false">IF(AND(AND(MOVIMIENTOS!$B340&lt;&gt;"",NOT(AND(MOVIMIENTOS!$B340="PROCESO",MOVIMIENTOS!$C340&lt;&gt;"Chancho")),NOT(AND(MOVIMIENTOS!$B340="SALDO INICIAL",MOVIMIENTOS!$C340="Chancho"))),OR(MOVIMIENTOS!$B340="ENVÍO A SUPESA",MOVIMIENTOS!$B340="MALOGRADO",MOVIMIENTOS!$B340="OTRA SALIDA",MOVIMIENTOS!$B340="TRASIEGO",AND(MOVIMIENTOS!$B340="PROCESO",MOVIMIENTOS!$C340="Chancho"),AND(MOVIMIENTOS!$B340="REGALO",MOVIMIENTOS!$C340&lt;&gt;"Chancho"),AND(MOVIMIENTOS!$B340="VENTA",MOVIMIENTOS!$C340&lt;&gt;"Chancho"),AND(MOVIMIENTOS!$B340="AJUSTE",MOVIMIENTOS!$C340&lt;&gt;"Chancho",N(MOVIMIENTOS!$F340)&lt;0))),IF(MOVIMIENTOS!$B340="AJUSTE",-N(MOVIMIENTOS!$F340),N(MOVIMIENTOS!$F340)),"")</f>
        <v/>
      </c>
      <c r="O341" s="48" t="str">
        <f aca="false">IF(AND(MOVIMIENTOS!$B340&lt;&gt;"",NOT(AND(MOVIMIENTOS!$B340="PROCESO",MOVIMIENTOS!$C340&lt;&gt;"Chancho")),NOT(AND(MOVIMIENTOS!$B340="SALDO INICIAL",MOVIMIENTOS!$C340="Chancho"))),IF(MOVIMIENTOS!$B340="RECHAZO",MOVIMIENTOS!$E340&amp;" jabas rechazadas · van a reproceso",IF(MOVIMIENTOS!$B340="REPROCESO",MOVIMIENTOS!$E340&amp;" kg recuperados (merma del día: "&amp;TEXT(SUMPRODUCT((MOVIMIENTOS!$A$5:$A$400=MOVIMIENTOS!$A340)*(MOVIMIENTOS!$B$5:$B$400="RECHAZO")*(MOVIMIENTOS!$D$5:$D$400="jabas")*MOVIMIENTOS!$E$5:$E$400*IFERROR(_xlfn.SWITCH(MOVIMIENTOS!$C$5:$C$400,"A",15,"P",18,"C",17,"M",17,0),0))-SUMPRODUCT((MOVIMIENTOS!$A$5:$A$400=MOVIMIENTOS!$A340)*(MOVIMIENTOS!$B$5:$B$400="REPROCESO")*MOVIMIENTOS!$I$5:$I$400),"+#,##0;-#,##0;0")&amp;" kg)",TRIM(IF(MOVIMIENTOS!$G340&lt;&gt;"",MOVIMIENTOS!$G340&amp;"  ","")&amp;IF(N(MOVIMIENTOS!$D340)&gt;0,MOVIMIENTOS!$D340&amp;" "&amp;MOVIMIENTOS!$D340,"")))),"")</f>
        <v/>
      </c>
      <c r="P341" s="48" t="n">
        <f aca="false">N(P340)+N(M341)-N(N341)</f>
        <v>-290.5</v>
      </c>
      <c r="Q341" s="48"/>
      <c r="R341" s="48"/>
      <c r="S341" s="48"/>
      <c r="T341" s="48"/>
    </row>
    <row r="342" customFormat="false" ht="15" hidden="false" customHeight="true" outlineLevel="0" collapsed="false">
      <c r="A342" s="51" t="str">
        <f aca="false">IFERROR(INDEX(K$6:K$401,MATCH(ROW()-5,J$6:J$401,0)),"")</f>
        <v/>
      </c>
      <c r="B342" s="56" t="str">
        <f aca="false">IFERROR(INDEX(L$6:L$401,MATCH(ROW()-5,J$6:J$401,0)),"")</f>
        <v/>
      </c>
      <c r="C342" s="52" t="str">
        <f aca="false">IFERROR(INDEX(M$6:M$401,MATCH(ROW()-5,J$6:J$401,0)),"")</f>
        <v/>
      </c>
      <c r="D342" s="52" t="str">
        <f aca="false">IFERROR(INDEX(N$6:N$401,MATCH(ROW()-5,J$6:J$401,0)),"")</f>
        <v/>
      </c>
      <c r="E342" s="56" t="str">
        <f aca="false">IFERROR(INDEX(O$6:O$401,MATCH(ROW()-5,J$6:J$401,0)),"")</f>
        <v/>
      </c>
      <c r="F342" s="52" t="str">
        <f aca="false">IFERROR(INDEX(P$6:P$401,MATCH(ROW()-5,J$6:J$401,0)),"")</f>
        <v/>
      </c>
      <c r="G342" s="48"/>
      <c r="H342" s="48"/>
      <c r="I342" s="48"/>
      <c r="J342" s="48" t="str">
        <f aca="false">IF(AND(MOVIMIENTOS!$B341&lt;&gt;"",NOT(AND(MOVIMIENTOS!$B341="PROCESO",MOVIMIENTOS!$C341&lt;&gt;"Chancho")),NOT(AND(MOVIMIENTOS!$B341="SALDO INICIAL",MOVIMIENTOS!$C341="Chancho"))),COUNT(J$6:J341)+1,"")</f>
        <v/>
      </c>
      <c r="K342" s="48" t="str">
        <f aca="false">IF(AND(MOVIMIENTOS!$B341&lt;&gt;"",NOT(AND(MOVIMIENTOS!$B341="PROCESO",MOVIMIENTOS!$C341&lt;&gt;"Chancho")),NOT(AND(MOVIMIENTOS!$B341="SALDO INICIAL",MOVIMIENTOS!$C341="Chancho"))),MOVIMIENTOS!$A341,"")</f>
        <v/>
      </c>
      <c r="L342" s="48" t="str">
        <f aca="false">IF(AND(MOVIMIENTOS!$B341&lt;&gt;"",NOT(AND(MOVIMIENTOS!$B341="PROCESO",MOVIMIENTOS!$C341&lt;&gt;"Chancho")),NOT(AND(MOVIMIENTOS!$B341="SALDO INICIAL",MOVIMIENTOS!$C341="Chancho"))),IF(MOVIMIENTOS!$B341="SALDO INICIAL","APERTURA ("&amp;MOVIMIENTOS!$C341&amp;")",IF(MOVIMIENTOS!$B341="COMPRA","INGRESO (compra)",IF(MOVIMIENTOS!$B341="PROCESO","CHANCHO (proceso)",IF(MOVIMIENTOS!$B341="ENVÍO A SUPESA","ENVÍO cal. "&amp;MOVIMIENTOS!$C341,IF(MOVIMIENTOS!$B341="VENTA CHANCHO","VENTA CHANCHO",IF(MOVIMIENTOS!$B341="VENTA","VENTA cal. "&amp;MOVIMIENTOS!$C341,IF(MOVIMIENTOS!$B341="REGALO","REGALO "&amp;MOVIMIENTOS!$C341,IF(MOVIMIENTOS!$B341="RECHAZO","RECHAZO cal. "&amp;MOVIMIENTOS!$C341&amp;" (va a reproceso)",IF(MOVIMIENTOS!$B341="DEVOLUCIÓN","DEVOLUCIÓN cal. "&amp;MOVIMIENTOS!$C341&amp;" (regresa intacta)",IF(MOVIMIENTOS!$B341="TRASIEGO","TRASIEGO cal. "&amp;MOVIMIENTOS!$C341,MOVIMIENTOS!$B341)))))))))),"")</f>
        <v/>
      </c>
      <c r="M342" s="48" t="str">
        <f aca="false">IF(AND(AND(MOVIMIENTOS!$B341&lt;&gt;"",NOT(AND(MOVIMIENTOS!$B341="PROCESO",MOVIMIENTOS!$C341&lt;&gt;"Chancho")),NOT(AND(MOVIMIENTOS!$B341="SALDO INICIAL",MOVIMIENTOS!$C341="Chancho"))),OR(MOVIMIENTOS!$B341="SALDO INICIAL",MOVIMIENTOS!$B341="COMPRA",MOVIMIENTOS!$B341="REPROCESO",MOVIMIENTOS!$B341="DEVOLUCIÓN",AND(MOVIMIENTOS!$B341="AJUSTE",MOVIMIENTOS!$C341&lt;&gt;"Chancho",N(MOVIMIENTOS!$F341)&gt;=0))),N(MOVIMIENTOS!$F341),"")</f>
        <v/>
      </c>
      <c r="N342" s="48" t="str">
        <f aca="false">IF(AND(AND(MOVIMIENTOS!$B341&lt;&gt;"",NOT(AND(MOVIMIENTOS!$B341="PROCESO",MOVIMIENTOS!$C341&lt;&gt;"Chancho")),NOT(AND(MOVIMIENTOS!$B341="SALDO INICIAL",MOVIMIENTOS!$C341="Chancho"))),OR(MOVIMIENTOS!$B341="ENVÍO A SUPESA",MOVIMIENTOS!$B341="MALOGRADO",MOVIMIENTOS!$B341="OTRA SALIDA",MOVIMIENTOS!$B341="TRASIEGO",AND(MOVIMIENTOS!$B341="PROCESO",MOVIMIENTOS!$C341="Chancho"),AND(MOVIMIENTOS!$B341="REGALO",MOVIMIENTOS!$C341&lt;&gt;"Chancho"),AND(MOVIMIENTOS!$B341="VENTA",MOVIMIENTOS!$C341&lt;&gt;"Chancho"),AND(MOVIMIENTOS!$B341="AJUSTE",MOVIMIENTOS!$C341&lt;&gt;"Chancho",N(MOVIMIENTOS!$F341)&lt;0))),IF(MOVIMIENTOS!$B341="AJUSTE",-N(MOVIMIENTOS!$F341),N(MOVIMIENTOS!$F341)),"")</f>
        <v/>
      </c>
      <c r="O342" s="48" t="str">
        <f aca="false">IF(AND(MOVIMIENTOS!$B341&lt;&gt;"",NOT(AND(MOVIMIENTOS!$B341="PROCESO",MOVIMIENTOS!$C341&lt;&gt;"Chancho")),NOT(AND(MOVIMIENTOS!$B341="SALDO INICIAL",MOVIMIENTOS!$C341="Chancho"))),IF(MOVIMIENTOS!$B341="RECHAZO",MOVIMIENTOS!$E341&amp;" jabas rechazadas · van a reproceso",IF(MOVIMIENTOS!$B341="REPROCESO",MOVIMIENTOS!$E341&amp;" kg recuperados (merma del día: "&amp;TEXT(SUMPRODUCT((MOVIMIENTOS!$A$5:$A$400=MOVIMIENTOS!$A341)*(MOVIMIENTOS!$B$5:$B$400="RECHAZO")*(MOVIMIENTOS!$D$5:$D$400="jabas")*MOVIMIENTOS!$E$5:$E$400*IFERROR(_xlfn.SWITCH(MOVIMIENTOS!$C$5:$C$400,"A",15,"P",18,"C",17,"M",17,0),0))-SUMPRODUCT((MOVIMIENTOS!$A$5:$A$400=MOVIMIENTOS!$A341)*(MOVIMIENTOS!$B$5:$B$400="REPROCESO")*MOVIMIENTOS!$I$5:$I$400),"+#,##0;-#,##0;0")&amp;" kg)",TRIM(IF(MOVIMIENTOS!$G341&lt;&gt;"",MOVIMIENTOS!$G341&amp;"  ","")&amp;IF(N(MOVIMIENTOS!$D341)&gt;0,MOVIMIENTOS!$D341&amp;" "&amp;MOVIMIENTOS!$D341,"")))),"")</f>
        <v/>
      </c>
      <c r="P342" s="48" t="n">
        <f aca="false">N(P341)+N(M342)-N(N342)</f>
        <v>-290.5</v>
      </c>
      <c r="Q342" s="48"/>
      <c r="R342" s="48"/>
      <c r="S342" s="48"/>
      <c r="T342" s="48"/>
    </row>
    <row r="343" customFormat="false" ht="15" hidden="false" customHeight="true" outlineLevel="0" collapsed="false">
      <c r="A343" s="51" t="str">
        <f aca="false">IFERROR(INDEX(K$6:K$401,MATCH(ROW()-5,J$6:J$401,0)),"")</f>
        <v/>
      </c>
      <c r="B343" s="56" t="str">
        <f aca="false">IFERROR(INDEX(L$6:L$401,MATCH(ROW()-5,J$6:J$401,0)),"")</f>
        <v/>
      </c>
      <c r="C343" s="52" t="str">
        <f aca="false">IFERROR(INDEX(M$6:M$401,MATCH(ROW()-5,J$6:J$401,0)),"")</f>
        <v/>
      </c>
      <c r="D343" s="52" t="str">
        <f aca="false">IFERROR(INDEX(N$6:N$401,MATCH(ROW()-5,J$6:J$401,0)),"")</f>
        <v/>
      </c>
      <c r="E343" s="56" t="str">
        <f aca="false">IFERROR(INDEX(O$6:O$401,MATCH(ROW()-5,J$6:J$401,0)),"")</f>
        <v/>
      </c>
      <c r="F343" s="52" t="str">
        <f aca="false">IFERROR(INDEX(P$6:P$401,MATCH(ROW()-5,J$6:J$401,0)),"")</f>
        <v/>
      </c>
      <c r="G343" s="48"/>
      <c r="H343" s="48"/>
      <c r="I343" s="48"/>
      <c r="J343" s="48" t="str">
        <f aca="false">IF(AND(MOVIMIENTOS!$B342&lt;&gt;"",NOT(AND(MOVIMIENTOS!$B342="PROCESO",MOVIMIENTOS!$C342&lt;&gt;"Chancho")),NOT(AND(MOVIMIENTOS!$B342="SALDO INICIAL",MOVIMIENTOS!$C342="Chancho"))),COUNT(J$6:J342)+1,"")</f>
        <v/>
      </c>
      <c r="K343" s="48" t="str">
        <f aca="false">IF(AND(MOVIMIENTOS!$B342&lt;&gt;"",NOT(AND(MOVIMIENTOS!$B342="PROCESO",MOVIMIENTOS!$C342&lt;&gt;"Chancho")),NOT(AND(MOVIMIENTOS!$B342="SALDO INICIAL",MOVIMIENTOS!$C342="Chancho"))),MOVIMIENTOS!$A342,"")</f>
        <v/>
      </c>
      <c r="L343" s="48" t="str">
        <f aca="false">IF(AND(MOVIMIENTOS!$B342&lt;&gt;"",NOT(AND(MOVIMIENTOS!$B342="PROCESO",MOVIMIENTOS!$C342&lt;&gt;"Chancho")),NOT(AND(MOVIMIENTOS!$B342="SALDO INICIAL",MOVIMIENTOS!$C342="Chancho"))),IF(MOVIMIENTOS!$B342="SALDO INICIAL","APERTURA ("&amp;MOVIMIENTOS!$C342&amp;")",IF(MOVIMIENTOS!$B342="COMPRA","INGRESO (compra)",IF(MOVIMIENTOS!$B342="PROCESO","CHANCHO (proceso)",IF(MOVIMIENTOS!$B342="ENVÍO A SUPESA","ENVÍO cal. "&amp;MOVIMIENTOS!$C342,IF(MOVIMIENTOS!$B342="VENTA CHANCHO","VENTA CHANCHO",IF(MOVIMIENTOS!$B342="VENTA","VENTA cal. "&amp;MOVIMIENTOS!$C342,IF(MOVIMIENTOS!$B342="REGALO","REGALO "&amp;MOVIMIENTOS!$C342,IF(MOVIMIENTOS!$B342="RECHAZO","RECHAZO cal. "&amp;MOVIMIENTOS!$C342&amp;" (va a reproceso)",IF(MOVIMIENTOS!$B342="DEVOLUCIÓN","DEVOLUCIÓN cal. "&amp;MOVIMIENTOS!$C342&amp;" (regresa intacta)",IF(MOVIMIENTOS!$B342="TRASIEGO","TRASIEGO cal. "&amp;MOVIMIENTOS!$C342,MOVIMIENTOS!$B342)))))))))),"")</f>
        <v/>
      </c>
      <c r="M343" s="48" t="str">
        <f aca="false">IF(AND(AND(MOVIMIENTOS!$B342&lt;&gt;"",NOT(AND(MOVIMIENTOS!$B342="PROCESO",MOVIMIENTOS!$C342&lt;&gt;"Chancho")),NOT(AND(MOVIMIENTOS!$B342="SALDO INICIAL",MOVIMIENTOS!$C342="Chancho"))),OR(MOVIMIENTOS!$B342="SALDO INICIAL",MOVIMIENTOS!$B342="COMPRA",MOVIMIENTOS!$B342="REPROCESO",MOVIMIENTOS!$B342="DEVOLUCIÓN",AND(MOVIMIENTOS!$B342="AJUSTE",MOVIMIENTOS!$C342&lt;&gt;"Chancho",N(MOVIMIENTOS!$F342)&gt;=0))),N(MOVIMIENTOS!$F342),"")</f>
        <v/>
      </c>
      <c r="N343" s="48" t="str">
        <f aca="false">IF(AND(AND(MOVIMIENTOS!$B342&lt;&gt;"",NOT(AND(MOVIMIENTOS!$B342="PROCESO",MOVIMIENTOS!$C342&lt;&gt;"Chancho")),NOT(AND(MOVIMIENTOS!$B342="SALDO INICIAL",MOVIMIENTOS!$C342="Chancho"))),OR(MOVIMIENTOS!$B342="ENVÍO A SUPESA",MOVIMIENTOS!$B342="MALOGRADO",MOVIMIENTOS!$B342="OTRA SALIDA",MOVIMIENTOS!$B342="TRASIEGO",AND(MOVIMIENTOS!$B342="PROCESO",MOVIMIENTOS!$C342="Chancho"),AND(MOVIMIENTOS!$B342="REGALO",MOVIMIENTOS!$C342&lt;&gt;"Chancho"),AND(MOVIMIENTOS!$B342="VENTA",MOVIMIENTOS!$C342&lt;&gt;"Chancho"),AND(MOVIMIENTOS!$B342="AJUSTE",MOVIMIENTOS!$C342&lt;&gt;"Chancho",N(MOVIMIENTOS!$F342)&lt;0))),IF(MOVIMIENTOS!$B342="AJUSTE",-N(MOVIMIENTOS!$F342),N(MOVIMIENTOS!$F342)),"")</f>
        <v/>
      </c>
      <c r="O343" s="48" t="str">
        <f aca="false">IF(AND(MOVIMIENTOS!$B342&lt;&gt;"",NOT(AND(MOVIMIENTOS!$B342="PROCESO",MOVIMIENTOS!$C342&lt;&gt;"Chancho")),NOT(AND(MOVIMIENTOS!$B342="SALDO INICIAL",MOVIMIENTOS!$C342="Chancho"))),IF(MOVIMIENTOS!$B342="RECHAZO",MOVIMIENTOS!$E342&amp;" jabas rechazadas · van a reproceso",IF(MOVIMIENTOS!$B342="REPROCESO",MOVIMIENTOS!$E342&amp;" kg recuperados (merma del día: "&amp;TEXT(SUMPRODUCT((MOVIMIENTOS!$A$5:$A$400=MOVIMIENTOS!$A342)*(MOVIMIENTOS!$B$5:$B$400="RECHAZO")*(MOVIMIENTOS!$D$5:$D$400="jabas")*MOVIMIENTOS!$E$5:$E$400*IFERROR(_xlfn.SWITCH(MOVIMIENTOS!$C$5:$C$400,"A",15,"P",18,"C",17,"M",17,0),0))-SUMPRODUCT((MOVIMIENTOS!$A$5:$A$400=MOVIMIENTOS!$A342)*(MOVIMIENTOS!$B$5:$B$400="REPROCESO")*MOVIMIENTOS!$I$5:$I$400),"+#,##0;-#,##0;0")&amp;" kg)",TRIM(IF(MOVIMIENTOS!$G342&lt;&gt;"",MOVIMIENTOS!$G342&amp;"  ","")&amp;IF(N(MOVIMIENTOS!$D342)&gt;0,MOVIMIENTOS!$D342&amp;" "&amp;MOVIMIENTOS!$D342,"")))),"")</f>
        <v/>
      </c>
      <c r="P343" s="48" t="n">
        <f aca="false">N(P342)+N(M343)-N(N343)</f>
        <v>-290.5</v>
      </c>
      <c r="Q343" s="48"/>
      <c r="R343" s="48"/>
      <c r="S343" s="48"/>
      <c r="T343" s="48"/>
    </row>
    <row r="344" customFormat="false" ht="15" hidden="false" customHeight="true" outlineLevel="0" collapsed="false">
      <c r="A344" s="51" t="str">
        <f aca="false">IFERROR(INDEX(K$6:K$401,MATCH(ROW()-5,J$6:J$401,0)),"")</f>
        <v/>
      </c>
      <c r="B344" s="56" t="str">
        <f aca="false">IFERROR(INDEX(L$6:L$401,MATCH(ROW()-5,J$6:J$401,0)),"")</f>
        <v/>
      </c>
      <c r="C344" s="52" t="str">
        <f aca="false">IFERROR(INDEX(M$6:M$401,MATCH(ROW()-5,J$6:J$401,0)),"")</f>
        <v/>
      </c>
      <c r="D344" s="52" t="str">
        <f aca="false">IFERROR(INDEX(N$6:N$401,MATCH(ROW()-5,J$6:J$401,0)),"")</f>
        <v/>
      </c>
      <c r="E344" s="56" t="str">
        <f aca="false">IFERROR(INDEX(O$6:O$401,MATCH(ROW()-5,J$6:J$401,0)),"")</f>
        <v/>
      </c>
      <c r="F344" s="52" t="str">
        <f aca="false">IFERROR(INDEX(P$6:P$401,MATCH(ROW()-5,J$6:J$401,0)),"")</f>
        <v/>
      </c>
      <c r="G344" s="48"/>
      <c r="H344" s="48"/>
      <c r="I344" s="48"/>
      <c r="J344" s="48" t="str">
        <f aca="false">IF(AND(MOVIMIENTOS!$B343&lt;&gt;"",NOT(AND(MOVIMIENTOS!$B343="PROCESO",MOVIMIENTOS!$C343&lt;&gt;"Chancho")),NOT(AND(MOVIMIENTOS!$B343="SALDO INICIAL",MOVIMIENTOS!$C343="Chancho"))),COUNT(J$6:J343)+1,"")</f>
        <v/>
      </c>
      <c r="K344" s="48" t="str">
        <f aca="false">IF(AND(MOVIMIENTOS!$B343&lt;&gt;"",NOT(AND(MOVIMIENTOS!$B343="PROCESO",MOVIMIENTOS!$C343&lt;&gt;"Chancho")),NOT(AND(MOVIMIENTOS!$B343="SALDO INICIAL",MOVIMIENTOS!$C343="Chancho"))),MOVIMIENTOS!$A343,"")</f>
        <v/>
      </c>
      <c r="L344" s="48" t="str">
        <f aca="false">IF(AND(MOVIMIENTOS!$B343&lt;&gt;"",NOT(AND(MOVIMIENTOS!$B343="PROCESO",MOVIMIENTOS!$C343&lt;&gt;"Chancho")),NOT(AND(MOVIMIENTOS!$B343="SALDO INICIAL",MOVIMIENTOS!$C343="Chancho"))),IF(MOVIMIENTOS!$B343="SALDO INICIAL","APERTURA ("&amp;MOVIMIENTOS!$C343&amp;")",IF(MOVIMIENTOS!$B343="COMPRA","INGRESO (compra)",IF(MOVIMIENTOS!$B343="PROCESO","CHANCHO (proceso)",IF(MOVIMIENTOS!$B343="ENVÍO A SUPESA","ENVÍO cal. "&amp;MOVIMIENTOS!$C343,IF(MOVIMIENTOS!$B343="VENTA CHANCHO","VENTA CHANCHO",IF(MOVIMIENTOS!$B343="VENTA","VENTA cal. "&amp;MOVIMIENTOS!$C343,IF(MOVIMIENTOS!$B343="REGALO","REGALO "&amp;MOVIMIENTOS!$C343,IF(MOVIMIENTOS!$B343="RECHAZO","RECHAZO cal. "&amp;MOVIMIENTOS!$C343&amp;" (va a reproceso)",IF(MOVIMIENTOS!$B343="DEVOLUCIÓN","DEVOLUCIÓN cal. "&amp;MOVIMIENTOS!$C343&amp;" (regresa intacta)",IF(MOVIMIENTOS!$B343="TRASIEGO","TRASIEGO cal. "&amp;MOVIMIENTOS!$C343,MOVIMIENTOS!$B343)))))))))),"")</f>
        <v/>
      </c>
      <c r="M344" s="48" t="str">
        <f aca="false">IF(AND(AND(MOVIMIENTOS!$B343&lt;&gt;"",NOT(AND(MOVIMIENTOS!$B343="PROCESO",MOVIMIENTOS!$C343&lt;&gt;"Chancho")),NOT(AND(MOVIMIENTOS!$B343="SALDO INICIAL",MOVIMIENTOS!$C343="Chancho"))),OR(MOVIMIENTOS!$B343="SALDO INICIAL",MOVIMIENTOS!$B343="COMPRA",MOVIMIENTOS!$B343="REPROCESO",MOVIMIENTOS!$B343="DEVOLUCIÓN",AND(MOVIMIENTOS!$B343="AJUSTE",MOVIMIENTOS!$C343&lt;&gt;"Chancho",N(MOVIMIENTOS!$F343)&gt;=0))),N(MOVIMIENTOS!$F343),"")</f>
        <v/>
      </c>
      <c r="N344" s="48" t="str">
        <f aca="false">IF(AND(AND(MOVIMIENTOS!$B343&lt;&gt;"",NOT(AND(MOVIMIENTOS!$B343="PROCESO",MOVIMIENTOS!$C343&lt;&gt;"Chancho")),NOT(AND(MOVIMIENTOS!$B343="SALDO INICIAL",MOVIMIENTOS!$C343="Chancho"))),OR(MOVIMIENTOS!$B343="ENVÍO A SUPESA",MOVIMIENTOS!$B343="MALOGRADO",MOVIMIENTOS!$B343="OTRA SALIDA",MOVIMIENTOS!$B343="TRASIEGO",AND(MOVIMIENTOS!$B343="PROCESO",MOVIMIENTOS!$C343="Chancho"),AND(MOVIMIENTOS!$B343="REGALO",MOVIMIENTOS!$C343&lt;&gt;"Chancho"),AND(MOVIMIENTOS!$B343="VENTA",MOVIMIENTOS!$C343&lt;&gt;"Chancho"),AND(MOVIMIENTOS!$B343="AJUSTE",MOVIMIENTOS!$C343&lt;&gt;"Chancho",N(MOVIMIENTOS!$F343)&lt;0))),IF(MOVIMIENTOS!$B343="AJUSTE",-N(MOVIMIENTOS!$F343),N(MOVIMIENTOS!$F343)),"")</f>
        <v/>
      </c>
      <c r="O344" s="48" t="str">
        <f aca="false">IF(AND(MOVIMIENTOS!$B343&lt;&gt;"",NOT(AND(MOVIMIENTOS!$B343="PROCESO",MOVIMIENTOS!$C343&lt;&gt;"Chancho")),NOT(AND(MOVIMIENTOS!$B343="SALDO INICIAL",MOVIMIENTOS!$C343="Chancho"))),IF(MOVIMIENTOS!$B343="RECHAZO",MOVIMIENTOS!$E343&amp;" jabas rechazadas · van a reproceso",IF(MOVIMIENTOS!$B343="REPROCESO",MOVIMIENTOS!$E343&amp;" kg recuperados (merma del día: "&amp;TEXT(SUMPRODUCT((MOVIMIENTOS!$A$5:$A$400=MOVIMIENTOS!$A343)*(MOVIMIENTOS!$B$5:$B$400="RECHAZO")*(MOVIMIENTOS!$D$5:$D$400="jabas")*MOVIMIENTOS!$E$5:$E$400*IFERROR(_xlfn.SWITCH(MOVIMIENTOS!$C$5:$C$400,"A",15,"P",18,"C",17,"M",17,0),0))-SUMPRODUCT((MOVIMIENTOS!$A$5:$A$400=MOVIMIENTOS!$A343)*(MOVIMIENTOS!$B$5:$B$400="REPROCESO")*MOVIMIENTOS!$I$5:$I$400),"+#,##0;-#,##0;0")&amp;" kg)",TRIM(IF(MOVIMIENTOS!$G343&lt;&gt;"",MOVIMIENTOS!$G343&amp;"  ","")&amp;IF(N(MOVIMIENTOS!$D343)&gt;0,MOVIMIENTOS!$D343&amp;" "&amp;MOVIMIENTOS!$D343,"")))),"")</f>
        <v/>
      </c>
      <c r="P344" s="48" t="n">
        <f aca="false">N(P343)+N(M344)-N(N344)</f>
        <v>-290.5</v>
      </c>
      <c r="Q344" s="48"/>
      <c r="R344" s="48"/>
      <c r="S344" s="48"/>
      <c r="T344" s="48"/>
    </row>
    <row r="345" customFormat="false" ht="15" hidden="false" customHeight="true" outlineLevel="0" collapsed="false">
      <c r="A345" s="51" t="str">
        <f aca="false">IFERROR(INDEX(K$6:K$401,MATCH(ROW()-5,J$6:J$401,0)),"")</f>
        <v/>
      </c>
      <c r="B345" s="56" t="str">
        <f aca="false">IFERROR(INDEX(L$6:L$401,MATCH(ROW()-5,J$6:J$401,0)),"")</f>
        <v/>
      </c>
      <c r="C345" s="52" t="str">
        <f aca="false">IFERROR(INDEX(M$6:M$401,MATCH(ROW()-5,J$6:J$401,0)),"")</f>
        <v/>
      </c>
      <c r="D345" s="52" t="str">
        <f aca="false">IFERROR(INDEX(N$6:N$401,MATCH(ROW()-5,J$6:J$401,0)),"")</f>
        <v/>
      </c>
      <c r="E345" s="56" t="str">
        <f aca="false">IFERROR(INDEX(O$6:O$401,MATCH(ROW()-5,J$6:J$401,0)),"")</f>
        <v/>
      </c>
      <c r="F345" s="52" t="str">
        <f aca="false">IFERROR(INDEX(P$6:P$401,MATCH(ROW()-5,J$6:J$401,0)),"")</f>
        <v/>
      </c>
      <c r="G345" s="48"/>
      <c r="H345" s="48"/>
      <c r="I345" s="48"/>
      <c r="J345" s="48" t="str">
        <f aca="false">IF(AND(MOVIMIENTOS!$B344&lt;&gt;"",NOT(AND(MOVIMIENTOS!$B344="PROCESO",MOVIMIENTOS!$C344&lt;&gt;"Chancho")),NOT(AND(MOVIMIENTOS!$B344="SALDO INICIAL",MOVIMIENTOS!$C344="Chancho"))),COUNT(J$6:J344)+1,"")</f>
        <v/>
      </c>
      <c r="K345" s="48" t="str">
        <f aca="false">IF(AND(MOVIMIENTOS!$B344&lt;&gt;"",NOT(AND(MOVIMIENTOS!$B344="PROCESO",MOVIMIENTOS!$C344&lt;&gt;"Chancho")),NOT(AND(MOVIMIENTOS!$B344="SALDO INICIAL",MOVIMIENTOS!$C344="Chancho"))),MOVIMIENTOS!$A344,"")</f>
        <v/>
      </c>
      <c r="L345" s="48" t="str">
        <f aca="false">IF(AND(MOVIMIENTOS!$B344&lt;&gt;"",NOT(AND(MOVIMIENTOS!$B344="PROCESO",MOVIMIENTOS!$C344&lt;&gt;"Chancho")),NOT(AND(MOVIMIENTOS!$B344="SALDO INICIAL",MOVIMIENTOS!$C344="Chancho"))),IF(MOVIMIENTOS!$B344="SALDO INICIAL","APERTURA ("&amp;MOVIMIENTOS!$C344&amp;")",IF(MOVIMIENTOS!$B344="COMPRA","INGRESO (compra)",IF(MOVIMIENTOS!$B344="PROCESO","CHANCHO (proceso)",IF(MOVIMIENTOS!$B344="ENVÍO A SUPESA","ENVÍO cal. "&amp;MOVIMIENTOS!$C344,IF(MOVIMIENTOS!$B344="VENTA CHANCHO","VENTA CHANCHO",IF(MOVIMIENTOS!$B344="VENTA","VENTA cal. "&amp;MOVIMIENTOS!$C344,IF(MOVIMIENTOS!$B344="REGALO","REGALO "&amp;MOVIMIENTOS!$C344,IF(MOVIMIENTOS!$B344="RECHAZO","RECHAZO cal. "&amp;MOVIMIENTOS!$C344&amp;" (va a reproceso)",IF(MOVIMIENTOS!$B344="DEVOLUCIÓN","DEVOLUCIÓN cal. "&amp;MOVIMIENTOS!$C344&amp;" (regresa intacta)",IF(MOVIMIENTOS!$B344="TRASIEGO","TRASIEGO cal. "&amp;MOVIMIENTOS!$C344,MOVIMIENTOS!$B344)))))))))),"")</f>
        <v/>
      </c>
      <c r="M345" s="48" t="str">
        <f aca="false">IF(AND(AND(MOVIMIENTOS!$B344&lt;&gt;"",NOT(AND(MOVIMIENTOS!$B344="PROCESO",MOVIMIENTOS!$C344&lt;&gt;"Chancho")),NOT(AND(MOVIMIENTOS!$B344="SALDO INICIAL",MOVIMIENTOS!$C344="Chancho"))),OR(MOVIMIENTOS!$B344="SALDO INICIAL",MOVIMIENTOS!$B344="COMPRA",MOVIMIENTOS!$B344="REPROCESO",MOVIMIENTOS!$B344="DEVOLUCIÓN",AND(MOVIMIENTOS!$B344="AJUSTE",MOVIMIENTOS!$C344&lt;&gt;"Chancho",N(MOVIMIENTOS!$F344)&gt;=0))),N(MOVIMIENTOS!$F344),"")</f>
        <v/>
      </c>
      <c r="N345" s="48" t="str">
        <f aca="false">IF(AND(AND(MOVIMIENTOS!$B344&lt;&gt;"",NOT(AND(MOVIMIENTOS!$B344="PROCESO",MOVIMIENTOS!$C344&lt;&gt;"Chancho")),NOT(AND(MOVIMIENTOS!$B344="SALDO INICIAL",MOVIMIENTOS!$C344="Chancho"))),OR(MOVIMIENTOS!$B344="ENVÍO A SUPESA",MOVIMIENTOS!$B344="MALOGRADO",MOVIMIENTOS!$B344="OTRA SALIDA",MOVIMIENTOS!$B344="TRASIEGO",AND(MOVIMIENTOS!$B344="PROCESO",MOVIMIENTOS!$C344="Chancho"),AND(MOVIMIENTOS!$B344="REGALO",MOVIMIENTOS!$C344&lt;&gt;"Chancho"),AND(MOVIMIENTOS!$B344="VENTA",MOVIMIENTOS!$C344&lt;&gt;"Chancho"),AND(MOVIMIENTOS!$B344="AJUSTE",MOVIMIENTOS!$C344&lt;&gt;"Chancho",N(MOVIMIENTOS!$F344)&lt;0))),IF(MOVIMIENTOS!$B344="AJUSTE",-N(MOVIMIENTOS!$F344),N(MOVIMIENTOS!$F344)),"")</f>
        <v/>
      </c>
      <c r="O345" s="48" t="str">
        <f aca="false">IF(AND(MOVIMIENTOS!$B344&lt;&gt;"",NOT(AND(MOVIMIENTOS!$B344="PROCESO",MOVIMIENTOS!$C344&lt;&gt;"Chancho")),NOT(AND(MOVIMIENTOS!$B344="SALDO INICIAL",MOVIMIENTOS!$C344="Chancho"))),IF(MOVIMIENTOS!$B344="RECHAZO",MOVIMIENTOS!$E344&amp;" jabas rechazadas · van a reproceso",IF(MOVIMIENTOS!$B344="REPROCESO",MOVIMIENTOS!$E344&amp;" kg recuperados (merma del día: "&amp;TEXT(SUMPRODUCT((MOVIMIENTOS!$A$5:$A$400=MOVIMIENTOS!$A344)*(MOVIMIENTOS!$B$5:$B$400="RECHAZO")*(MOVIMIENTOS!$D$5:$D$400="jabas")*MOVIMIENTOS!$E$5:$E$400*IFERROR(_xlfn.SWITCH(MOVIMIENTOS!$C$5:$C$400,"A",15,"P",18,"C",17,"M",17,0),0))-SUMPRODUCT((MOVIMIENTOS!$A$5:$A$400=MOVIMIENTOS!$A344)*(MOVIMIENTOS!$B$5:$B$400="REPROCESO")*MOVIMIENTOS!$I$5:$I$400),"+#,##0;-#,##0;0")&amp;" kg)",TRIM(IF(MOVIMIENTOS!$G344&lt;&gt;"",MOVIMIENTOS!$G344&amp;"  ","")&amp;IF(N(MOVIMIENTOS!$D344)&gt;0,MOVIMIENTOS!$D344&amp;" "&amp;MOVIMIENTOS!$D344,"")))),"")</f>
        <v/>
      </c>
      <c r="P345" s="48" t="n">
        <f aca="false">N(P344)+N(M345)-N(N345)</f>
        <v>-290.5</v>
      </c>
      <c r="Q345" s="48"/>
      <c r="R345" s="48"/>
      <c r="S345" s="48"/>
      <c r="T345" s="48"/>
    </row>
    <row r="346" customFormat="false" ht="15" hidden="false" customHeight="true" outlineLevel="0" collapsed="false">
      <c r="A346" s="51" t="str">
        <f aca="false">IFERROR(INDEX(K$6:K$401,MATCH(ROW()-5,J$6:J$401,0)),"")</f>
        <v/>
      </c>
      <c r="B346" s="56" t="str">
        <f aca="false">IFERROR(INDEX(L$6:L$401,MATCH(ROW()-5,J$6:J$401,0)),"")</f>
        <v/>
      </c>
      <c r="C346" s="52" t="str">
        <f aca="false">IFERROR(INDEX(M$6:M$401,MATCH(ROW()-5,J$6:J$401,0)),"")</f>
        <v/>
      </c>
      <c r="D346" s="52" t="str">
        <f aca="false">IFERROR(INDEX(N$6:N$401,MATCH(ROW()-5,J$6:J$401,0)),"")</f>
        <v/>
      </c>
      <c r="E346" s="56" t="str">
        <f aca="false">IFERROR(INDEX(O$6:O$401,MATCH(ROW()-5,J$6:J$401,0)),"")</f>
        <v/>
      </c>
      <c r="F346" s="52" t="str">
        <f aca="false">IFERROR(INDEX(P$6:P$401,MATCH(ROW()-5,J$6:J$401,0)),"")</f>
        <v/>
      </c>
      <c r="G346" s="48"/>
      <c r="H346" s="48"/>
      <c r="I346" s="48"/>
      <c r="J346" s="48" t="str">
        <f aca="false">IF(AND(MOVIMIENTOS!$B345&lt;&gt;"",NOT(AND(MOVIMIENTOS!$B345="PROCESO",MOVIMIENTOS!$C345&lt;&gt;"Chancho")),NOT(AND(MOVIMIENTOS!$B345="SALDO INICIAL",MOVIMIENTOS!$C345="Chancho"))),COUNT(J$6:J345)+1,"")</f>
        <v/>
      </c>
      <c r="K346" s="48" t="str">
        <f aca="false">IF(AND(MOVIMIENTOS!$B345&lt;&gt;"",NOT(AND(MOVIMIENTOS!$B345="PROCESO",MOVIMIENTOS!$C345&lt;&gt;"Chancho")),NOT(AND(MOVIMIENTOS!$B345="SALDO INICIAL",MOVIMIENTOS!$C345="Chancho"))),MOVIMIENTOS!$A345,"")</f>
        <v/>
      </c>
      <c r="L346" s="48" t="str">
        <f aca="false">IF(AND(MOVIMIENTOS!$B345&lt;&gt;"",NOT(AND(MOVIMIENTOS!$B345="PROCESO",MOVIMIENTOS!$C345&lt;&gt;"Chancho")),NOT(AND(MOVIMIENTOS!$B345="SALDO INICIAL",MOVIMIENTOS!$C345="Chancho"))),IF(MOVIMIENTOS!$B345="SALDO INICIAL","APERTURA ("&amp;MOVIMIENTOS!$C345&amp;")",IF(MOVIMIENTOS!$B345="COMPRA","INGRESO (compra)",IF(MOVIMIENTOS!$B345="PROCESO","CHANCHO (proceso)",IF(MOVIMIENTOS!$B345="ENVÍO A SUPESA","ENVÍO cal. "&amp;MOVIMIENTOS!$C345,IF(MOVIMIENTOS!$B345="VENTA CHANCHO","VENTA CHANCHO",IF(MOVIMIENTOS!$B345="VENTA","VENTA cal. "&amp;MOVIMIENTOS!$C345,IF(MOVIMIENTOS!$B345="REGALO","REGALO "&amp;MOVIMIENTOS!$C345,IF(MOVIMIENTOS!$B345="RECHAZO","RECHAZO cal. "&amp;MOVIMIENTOS!$C345&amp;" (va a reproceso)",IF(MOVIMIENTOS!$B345="DEVOLUCIÓN","DEVOLUCIÓN cal. "&amp;MOVIMIENTOS!$C345&amp;" (regresa intacta)",IF(MOVIMIENTOS!$B345="TRASIEGO","TRASIEGO cal. "&amp;MOVIMIENTOS!$C345,MOVIMIENTOS!$B345)))))))))),"")</f>
        <v/>
      </c>
      <c r="M346" s="48" t="str">
        <f aca="false">IF(AND(AND(MOVIMIENTOS!$B345&lt;&gt;"",NOT(AND(MOVIMIENTOS!$B345="PROCESO",MOVIMIENTOS!$C345&lt;&gt;"Chancho")),NOT(AND(MOVIMIENTOS!$B345="SALDO INICIAL",MOVIMIENTOS!$C345="Chancho"))),OR(MOVIMIENTOS!$B345="SALDO INICIAL",MOVIMIENTOS!$B345="COMPRA",MOVIMIENTOS!$B345="REPROCESO",MOVIMIENTOS!$B345="DEVOLUCIÓN",AND(MOVIMIENTOS!$B345="AJUSTE",MOVIMIENTOS!$C345&lt;&gt;"Chancho",N(MOVIMIENTOS!$F345)&gt;=0))),N(MOVIMIENTOS!$F345),"")</f>
        <v/>
      </c>
      <c r="N346" s="48" t="str">
        <f aca="false">IF(AND(AND(MOVIMIENTOS!$B345&lt;&gt;"",NOT(AND(MOVIMIENTOS!$B345="PROCESO",MOVIMIENTOS!$C345&lt;&gt;"Chancho")),NOT(AND(MOVIMIENTOS!$B345="SALDO INICIAL",MOVIMIENTOS!$C345="Chancho"))),OR(MOVIMIENTOS!$B345="ENVÍO A SUPESA",MOVIMIENTOS!$B345="MALOGRADO",MOVIMIENTOS!$B345="OTRA SALIDA",MOVIMIENTOS!$B345="TRASIEGO",AND(MOVIMIENTOS!$B345="PROCESO",MOVIMIENTOS!$C345="Chancho"),AND(MOVIMIENTOS!$B345="REGALO",MOVIMIENTOS!$C345&lt;&gt;"Chancho"),AND(MOVIMIENTOS!$B345="VENTA",MOVIMIENTOS!$C345&lt;&gt;"Chancho"),AND(MOVIMIENTOS!$B345="AJUSTE",MOVIMIENTOS!$C345&lt;&gt;"Chancho",N(MOVIMIENTOS!$F345)&lt;0))),IF(MOVIMIENTOS!$B345="AJUSTE",-N(MOVIMIENTOS!$F345),N(MOVIMIENTOS!$F345)),"")</f>
        <v/>
      </c>
      <c r="O346" s="48" t="str">
        <f aca="false">IF(AND(MOVIMIENTOS!$B345&lt;&gt;"",NOT(AND(MOVIMIENTOS!$B345="PROCESO",MOVIMIENTOS!$C345&lt;&gt;"Chancho")),NOT(AND(MOVIMIENTOS!$B345="SALDO INICIAL",MOVIMIENTOS!$C345="Chancho"))),IF(MOVIMIENTOS!$B345="RECHAZO",MOVIMIENTOS!$E345&amp;" jabas rechazadas · van a reproceso",IF(MOVIMIENTOS!$B345="REPROCESO",MOVIMIENTOS!$E345&amp;" kg recuperados (merma del día: "&amp;TEXT(SUMPRODUCT((MOVIMIENTOS!$A$5:$A$400=MOVIMIENTOS!$A345)*(MOVIMIENTOS!$B$5:$B$400="RECHAZO")*(MOVIMIENTOS!$D$5:$D$400="jabas")*MOVIMIENTOS!$E$5:$E$400*IFERROR(_xlfn.SWITCH(MOVIMIENTOS!$C$5:$C$400,"A",15,"P",18,"C",17,"M",17,0),0))-SUMPRODUCT((MOVIMIENTOS!$A$5:$A$400=MOVIMIENTOS!$A345)*(MOVIMIENTOS!$B$5:$B$400="REPROCESO")*MOVIMIENTOS!$I$5:$I$400),"+#,##0;-#,##0;0")&amp;" kg)",TRIM(IF(MOVIMIENTOS!$G345&lt;&gt;"",MOVIMIENTOS!$G345&amp;"  ","")&amp;IF(N(MOVIMIENTOS!$D345)&gt;0,MOVIMIENTOS!$D345&amp;" "&amp;MOVIMIENTOS!$D345,"")))),"")</f>
        <v/>
      </c>
      <c r="P346" s="48" t="n">
        <f aca="false">N(P345)+N(M346)-N(N346)</f>
        <v>-290.5</v>
      </c>
      <c r="Q346" s="48"/>
      <c r="R346" s="48"/>
      <c r="S346" s="48"/>
      <c r="T346" s="48"/>
    </row>
    <row r="347" customFormat="false" ht="15" hidden="false" customHeight="true" outlineLevel="0" collapsed="false">
      <c r="A347" s="51" t="str">
        <f aca="false">IFERROR(INDEX(K$6:K$401,MATCH(ROW()-5,J$6:J$401,0)),"")</f>
        <v/>
      </c>
      <c r="B347" s="56" t="str">
        <f aca="false">IFERROR(INDEX(L$6:L$401,MATCH(ROW()-5,J$6:J$401,0)),"")</f>
        <v/>
      </c>
      <c r="C347" s="52" t="str">
        <f aca="false">IFERROR(INDEX(M$6:M$401,MATCH(ROW()-5,J$6:J$401,0)),"")</f>
        <v/>
      </c>
      <c r="D347" s="52" t="str">
        <f aca="false">IFERROR(INDEX(N$6:N$401,MATCH(ROW()-5,J$6:J$401,0)),"")</f>
        <v/>
      </c>
      <c r="E347" s="56" t="str">
        <f aca="false">IFERROR(INDEX(O$6:O$401,MATCH(ROW()-5,J$6:J$401,0)),"")</f>
        <v/>
      </c>
      <c r="F347" s="52" t="str">
        <f aca="false">IFERROR(INDEX(P$6:P$401,MATCH(ROW()-5,J$6:J$401,0)),"")</f>
        <v/>
      </c>
      <c r="G347" s="48"/>
      <c r="H347" s="48"/>
      <c r="I347" s="48"/>
      <c r="J347" s="48" t="str">
        <f aca="false">IF(AND(MOVIMIENTOS!$B346&lt;&gt;"",NOT(AND(MOVIMIENTOS!$B346="PROCESO",MOVIMIENTOS!$C346&lt;&gt;"Chancho")),NOT(AND(MOVIMIENTOS!$B346="SALDO INICIAL",MOVIMIENTOS!$C346="Chancho"))),COUNT(J$6:J346)+1,"")</f>
        <v/>
      </c>
      <c r="K347" s="48" t="str">
        <f aca="false">IF(AND(MOVIMIENTOS!$B346&lt;&gt;"",NOT(AND(MOVIMIENTOS!$B346="PROCESO",MOVIMIENTOS!$C346&lt;&gt;"Chancho")),NOT(AND(MOVIMIENTOS!$B346="SALDO INICIAL",MOVIMIENTOS!$C346="Chancho"))),MOVIMIENTOS!$A346,"")</f>
        <v/>
      </c>
      <c r="L347" s="48" t="str">
        <f aca="false">IF(AND(MOVIMIENTOS!$B346&lt;&gt;"",NOT(AND(MOVIMIENTOS!$B346="PROCESO",MOVIMIENTOS!$C346&lt;&gt;"Chancho")),NOT(AND(MOVIMIENTOS!$B346="SALDO INICIAL",MOVIMIENTOS!$C346="Chancho"))),IF(MOVIMIENTOS!$B346="SALDO INICIAL","APERTURA ("&amp;MOVIMIENTOS!$C346&amp;")",IF(MOVIMIENTOS!$B346="COMPRA","INGRESO (compra)",IF(MOVIMIENTOS!$B346="PROCESO","CHANCHO (proceso)",IF(MOVIMIENTOS!$B346="ENVÍO A SUPESA","ENVÍO cal. "&amp;MOVIMIENTOS!$C346,IF(MOVIMIENTOS!$B346="VENTA CHANCHO","VENTA CHANCHO",IF(MOVIMIENTOS!$B346="VENTA","VENTA cal. "&amp;MOVIMIENTOS!$C346,IF(MOVIMIENTOS!$B346="REGALO","REGALO "&amp;MOVIMIENTOS!$C346,IF(MOVIMIENTOS!$B346="RECHAZO","RECHAZO cal. "&amp;MOVIMIENTOS!$C346&amp;" (va a reproceso)",IF(MOVIMIENTOS!$B346="DEVOLUCIÓN","DEVOLUCIÓN cal. "&amp;MOVIMIENTOS!$C346&amp;" (regresa intacta)",IF(MOVIMIENTOS!$B346="TRASIEGO","TRASIEGO cal. "&amp;MOVIMIENTOS!$C346,MOVIMIENTOS!$B346)))))))))),"")</f>
        <v/>
      </c>
      <c r="M347" s="48" t="str">
        <f aca="false">IF(AND(AND(MOVIMIENTOS!$B346&lt;&gt;"",NOT(AND(MOVIMIENTOS!$B346="PROCESO",MOVIMIENTOS!$C346&lt;&gt;"Chancho")),NOT(AND(MOVIMIENTOS!$B346="SALDO INICIAL",MOVIMIENTOS!$C346="Chancho"))),OR(MOVIMIENTOS!$B346="SALDO INICIAL",MOVIMIENTOS!$B346="COMPRA",MOVIMIENTOS!$B346="REPROCESO",MOVIMIENTOS!$B346="DEVOLUCIÓN",AND(MOVIMIENTOS!$B346="AJUSTE",MOVIMIENTOS!$C346&lt;&gt;"Chancho",N(MOVIMIENTOS!$F346)&gt;=0))),N(MOVIMIENTOS!$F346),"")</f>
        <v/>
      </c>
      <c r="N347" s="48" t="str">
        <f aca="false">IF(AND(AND(MOVIMIENTOS!$B346&lt;&gt;"",NOT(AND(MOVIMIENTOS!$B346="PROCESO",MOVIMIENTOS!$C346&lt;&gt;"Chancho")),NOT(AND(MOVIMIENTOS!$B346="SALDO INICIAL",MOVIMIENTOS!$C346="Chancho"))),OR(MOVIMIENTOS!$B346="ENVÍO A SUPESA",MOVIMIENTOS!$B346="MALOGRADO",MOVIMIENTOS!$B346="OTRA SALIDA",MOVIMIENTOS!$B346="TRASIEGO",AND(MOVIMIENTOS!$B346="PROCESO",MOVIMIENTOS!$C346="Chancho"),AND(MOVIMIENTOS!$B346="REGALO",MOVIMIENTOS!$C346&lt;&gt;"Chancho"),AND(MOVIMIENTOS!$B346="VENTA",MOVIMIENTOS!$C346&lt;&gt;"Chancho"),AND(MOVIMIENTOS!$B346="AJUSTE",MOVIMIENTOS!$C346&lt;&gt;"Chancho",N(MOVIMIENTOS!$F346)&lt;0))),IF(MOVIMIENTOS!$B346="AJUSTE",-N(MOVIMIENTOS!$F346),N(MOVIMIENTOS!$F346)),"")</f>
        <v/>
      </c>
      <c r="O347" s="48" t="str">
        <f aca="false">IF(AND(MOVIMIENTOS!$B346&lt;&gt;"",NOT(AND(MOVIMIENTOS!$B346="PROCESO",MOVIMIENTOS!$C346&lt;&gt;"Chancho")),NOT(AND(MOVIMIENTOS!$B346="SALDO INICIAL",MOVIMIENTOS!$C346="Chancho"))),IF(MOVIMIENTOS!$B346="RECHAZO",MOVIMIENTOS!$E346&amp;" jabas rechazadas · van a reproceso",IF(MOVIMIENTOS!$B346="REPROCESO",MOVIMIENTOS!$E346&amp;" kg recuperados (merma del día: "&amp;TEXT(SUMPRODUCT((MOVIMIENTOS!$A$5:$A$400=MOVIMIENTOS!$A346)*(MOVIMIENTOS!$B$5:$B$400="RECHAZO")*(MOVIMIENTOS!$D$5:$D$400="jabas")*MOVIMIENTOS!$E$5:$E$400*IFERROR(_xlfn.SWITCH(MOVIMIENTOS!$C$5:$C$400,"A",15,"P",18,"C",17,"M",17,0),0))-SUMPRODUCT((MOVIMIENTOS!$A$5:$A$400=MOVIMIENTOS!$A346)*(MOVIMIENTOS!$B$5:$B$400="REPROCESO")*MOVIMIENTOS!$I$5:$I$400),"+#,##0;-#,##0;0")&amp;" kg)",TRIM(IF(MOVIMIENTOS!$G346&lt;&gt;"",MOVIMIENTOS!$G346&amp;"  ","")&amp;IF(N(MOVIMIENTOS!$D346)&gt;0,MOVIMIENTOS!$D346&amp;" "&amp;MOVIMIENTOS!$D346,"")))),"")</f>
        <v/>
      </c>
      <c r="P347" s="48" t="n">
        <f aca="false">N(P346)+N(M347)-N(N347)</f>
        <v>-290.5</v>
      </c>
      <c r="Q347" s="48"/>
      <c r="R347" s="48"/>
      <c r="S347" s="48"/>
      <c r="T347" s="48"/>
    </row>
    <row r="348" customFormat="false" ht="15" hidden="false" customHeight="true" outlineLevel="0" collapsed="false">
      <c r="A348" s="51" t="str">
        <f aca="false">IFERROR(INDEX(K$6:K$401,MATCH(ROW()-5,J$6:J$401,0)),"")</f>
        <v/>
      </c>
      <c r="B348" s="56" t="str">
        <f aca="false">IFERROR(INDEX(L$6:L$401,MATCH(ROW()-5,J$6:J$401,0)),"")</f>
        <v/>
      </c>
      <c r="C348" s="52" t="str">
        <f aca="false">IFERROR(INDEX(M$6:M$401,MATCH(ROW()-5,J$6:J$401,0)),"")</f>
        <v/>
      </c>
      <c r="D348" s="52" t="str">
        <f aca="false">IFERROR(INDEX(N$6:N$401,MATCH(ROW()-5,J$6:J$401,0)),"")</f>
        <v/>
      </c>
      <c r="E348" s="56" t="str">
        <f aca="false">IFERROR(INDEX(O$6:O$401,MATCH(ROW()-5,J$6:J$401,0)),"")</f>
        <v/>
      </c>
      <c r="F348" s="52" t="str">
        <f aca="false">IFERROR(INDEX(P$6:P$401,MATCH(ROW()-5,J$6:J$401,0)),"")</f>
        <v/>
      </c>
      <c r="G348" s="48"/>
      <c r="H348" s="48"/>
      <c r="I348" s="48"/>
      <c r="J348" s="48" t="str">
        <f aca="false">IF(AND(MOVIMIENTOS!$B347&lt;&gt;"",NOT(AND(MOVIMIENTOS!$B347="PROCESO",MOVIMIENTOS!$C347&lt;&gt;"Chancho")),NOT(AND(MOVIMIENTOS!$B347="SALDO INICIAL",MOVIMIENTOS!$C347="Chancho"))),COUNT(J$6:J347)+1,"")</f>
        <v/>
      </c>
      <c r="K348" s="48" t="str">
        <f aca="false">IF(AND(MOVIMIENTOS!$B347&lt;&gt;"",NOT(AND(MOVIMIENTOS!$B347="PROCESO",MOVIMIENTOS!$C347&lt;&gt;"Chancho")),NOT(AND(MOVIMIENTOS!$B347="SALDO INICIAL",MOVIMIENTOS!$C347="Chancho"))),MOVIMIENTOS!$A347,"")</f>
        <v/>
      </c>
      <c r="L348" s="48" t="str">
        <f aca="false">IF(AND(MOVIMIENTOS!$B347&lt;&gt;"",NOT(AND(MOVIMIENTOS!$B347="PROCESO",MOVIMIENTOS!$C347&lt;&gt;"Chancho")),NOT(AND(MOVIMIENTOS!$B347="SALDO INICIAL",MOVIMIENTOS!$C347="Chancho"))),IF(MOVIMIENTOS!$B347="SALDO INICIAL","APERTURA ("&amp;MOVIMIENTOS!$C347&amp;")",IF(MOVIMIENTOS!$B347="COMPRA","INGRESO (compra)",IF(MOVIMIENTOS!$B347="PROCESO","CHANCHO (proceso)",IF(MOVIMIENTOS!$B347="ENVÍO A SUPESA","ENVÍO cal. "&amp;MOVIMIENTOS!$C347,IF(MOVIMIENTOS!$B347="VENTA CHANCHO","VENTA CHANCHO",IF(MOVIMIENTOS!$B347="VENTA","VENTA cal. "&amp;MOVIMIENTOS!$C347,IF(MOVIMIENTOS!$B347="REGALO","REGALO "&amp;MOVIMIENTOS!$C347,IF(MOVIMIENTOS!$B347="RECHAZO","RECHAZO cal. "&amp;MOVIMIENTOS!$C347&amp;" (va a reproceso)",IF(MOVIMIENTOS!$B347="DEVOLUCIÓN","DEVOLUCIÓN cal. "&amp;MOVIMIENTOS!$C347&amp;" (regresa intacta)",IF(MOVIMIENTOS!$B347="TRASIEGO","TRASIEGO cal. "&amp;MOVIMIENTOS!$C347,MOVIMIENTOS!$B347)))))))))),"")</f>
        <v/>
      </c>
      <c r="M348" s="48" t="str">
        <f aca="false">IF(AND(AND(MOVIMIENTOS!$B347&lt;&gt;"",NOT(AND(MOVIMIENTOS!$B347="PROCESO",MOVIMIENTOS!$C347&lt;&gt;"Chancho")),NOT(AND(MOVIMIENTOS!$B347="SALDO INICIAL",MOVIMIENTOS!$C347="Chancho"))),OR(MOVIMIENTOS!$B347="SALDO INICIAL",MOVIMIENTOS!$B347="COMPRA",MOVIMIENTOS!$B347="REPROCESO",MOVIMIENTOS!$B347="DEVOLUCIÓN",AND(MOVIMIENTOS!$B347="AJUSTE",MOVIMIENTOS!$C347&lt;&gt;"Chancho",N(MOVIMIENTOS!$F347)&gt;=0))),N(MOVIMIENTOS!$F347),"")</f>
        <v/>
      </c>
      <c r="N348" s="48" t="str">
        <f aca="false">IF(AND(AND(MOVIMIENTOS!$B347&lt;&gt;"",NOT(AND(MOVIMIENTOS!$B347="PROCESO",MOVIMIENTOS!$C347&lt;&gt;"Chancho")),NOT(AND(MOVIMIENTOS!$B347="SALDO INICIAL",MOVIMIENTOS!$C347="Chancho"))),OR(MOVIMIENTOS!$B347="ENVÍO A SUPESA",MOVIMIENTOS!$B347="MALOGRADO",MOVIMIENTOS!$B347="OTRA SALIDA",MOVIMIENTOS!$B347="TRASIEGO",AND(MOVIMIENTOS!$B347="PROCESO",MOVIMIENTOS!$C347="Chancho"),AND(MOVIMIENTOS!$B347="REGALO",MOVIMIENTOS!$C347&lt;&gt;"Chancho"),AND(MOVIMIENTOS!$B347="VENTA",MOVIMIENTOS!$C347&lt;&gt;"Chancho"),AND(MOVIMIENTOS!$B347="AJUSTE",MOVIMIENTOS!$C347&lt;&gt;"Chancho",N(MOVIMIENTOS!$F347)&lt;0))),IF(MOVIMIENTOS!$B347="AJUSTE",-N(MOVIMIENTOS!$F347),N(MOVIMIENTOS!$F347)),"")</f>
        <v/>
      </c>
      <c r="O348" s="48" t="str">
        <f aca="false">IF(AND(MOVIMIENTOS!$B347&lt;&gt;"",NOT(AND(MOVIMIENTOS!$B347="PROCESO",MOVIMIENTOS!$C347&lt;&gt;"Chancho")),NOT(AND(MOVIMIENTOS!$B347="SALDO INICIAL",MOVIMIENTOS!$C347="Chancho"))),IF(MOVIMIENTOS!$B347="RECHAZO",MOVIMIENTOS!$E347&amp;" jabas rechazadas · van a reproceso",IF(MOVIMIENTOS!$B347="REPROCESO",MOVIMIENTOS!$E347&amp;" kg recuperados (merma del día: "&amp;TEXT(SUMPRODUCT((MOVIMIENTOS!$A$5:$A$400=MOVIMIENTOS!$A347)*(MOVIMIENTOS!$B$5:$B$400="RECHAZO")*(MOVIMIENTOS!$D$5:$D$400="jabas")*MOVIMIENTOS!$E$5:$E$400*IFERROR(_xlfn.SWITCH(MOVIMIENTOS!$C$5:$C$400,"A",15,"P",18,"C",17,"M",17,0),0))-SUMPRODUCT((MOVIMIENTOS!$A$5:$A$400=MOVIMIENTOS!$A347)*(MOVIMIENTOS!$B$5:$B$400="REPROCESO")*MOVIMIENTOS!$I$5:$I$400),"+#,##0;-#,##0;0")&amp;" kg)",TRIM(IF(MOVIMIENTOS!$G347&lt;&gt;"",MOVIMIENTOS!$G347&amp;"  ","")&amp;IF(N(MOVIMIENTOS!$D347)&gt;0,MOVIMIENTOS!$D347&amp;" "&amp;MOVIMIENTOS!$D347,"")))),"")</f>
        <v/>
      </c>
      <c r="P348" s="48" t="n">
        <f aca="false">N(P347)+N(M348)-N(N348)</f>
        <v>-290.5</v>
      </c>
      <c r="Q348" s="48"/>
      <c r="R348" s="48"/>
      <c r="S348" s="48"/>
      <c r="T348" s="48"/>
    </row>
    <row r="349" customFormat="false" ht="15" hidden="false" customHeight="true" outlineLevel="0" collapsed="false">
      <c r="A349" s="51" t="str">
        <f aca="false">IFERROR(INDEX(K$6:K$401,MATCH(ROW()-5,J$6:J$401,0)),"")</f>
        <v/>
      </c>
      <c r="B349" s="56" t="str">
        <f aca="false">IFERROR(INDEX(L$6:L$401,MATCH(ROW()-5,J$6:J$401,0)),"")</f>
        <v/>
      </c>
      <c r="C349" s="52" t="str">
        <f aca="false">IFERROR(INDEX(M$6:M$401,MATCH(ROW()-5,J$6:J$401,0)),"")</f>
        <v/>
      </c>
      <c r="D349" s="52" t="str">
        <f aca="false">IFERROR(INDEX(N$6:N$401,MATCH(ROW()-5,J$6:J$401,0)),"")</f>
        <v/>
      </c>
      <c r="E349" s="56" t="str">
        <f aca="false">IFERROR(INDEX(O$6:O$401,MATCH(ROW()-5,J$6:J$401,0)),"")</f>
        <v/>
      </c>
      <c r="F349" s="52" t="str">
        <f aca="false">IFERROR(INDEX(P$6:P$401,MATCH(ROW()-5,J$6:J$401,0)),"")</f>
        <v/>
      </c>
      <c r="G349" s="48"/>
      <c r="H349" s="48"/>
      <c r="I349" s="48"/>
      <c r="J349" s="48" t="str">
        <f aca="false">IF(AND(MOVIMIENTOS!$B348&lt;&gt;"",NOT(AND(MOVIMIENTOS!$B348="PROCESO",MOVIMIENTOS!$C348&lt;&gt;"Chancho")),NOT(AND(MOVIMIENTOS!$B348="SALDO INICIAL",MOVIMIENTOS!$C348="Chancho"))),COUNT(J$6:J348)+1,"")</f>
        <v/>
      </c>
      <c r="K349" s="48" t="str">
        <f aca="false">IF(AND(MOVIMIENTOS!$B348&lt;&gt;"",NOT(AND(MOVIMIENTOS!$B348="PROCESO",MOVIMIENTOS!$C348&lt;&gt;"Chancho")),NOT(AND(MOVIMIENTOS!$B348="SALDO INICIAL",MOVIMIENTOS!$C348="Chancho"))),MOVIMIENTOS!$A348,"")</f>
        <v/>
      </c>
      <c r="L349" s="48" t="str">
        <f aca="false">IF(AND(MOVIMIENTOS!$B348&lt;&gt;"",NOT(AND(MOVIMIENTOS!$B348="PROCESO",MOVIMIENTOS!$C348&lt;&gt;"Chancho")),NOT(AND(MOVIMIENTOS!$B348="SALDO INICIAL",MOVIMIENTOS!$C348="Chancho"))),IF(MOVIMIENTOS!$B348="SALDO INICIAL","APERTURA ("&amp;MOVIMIENTOS!$C348&amp;")",IF(MOVIMIENTOS!$B348="COMPRA","INGRESO (compra)",IF(MOVIMIENTOS!$B348="PROCESO","CHANCHO (proceso)",IF(MOVIMIENTOS!$B348="ENVÍO A SUPESA","ENVÍO cal. "&amp;MOVIMIENTOS!$C348,IF(MOVIMIENTOS!$B348="VENTA CHANCHO","VENTA CHANCHO",IF(MOVIMIENTOS!$B348="VENTA","VENTA cal. "&amp;MOVIMIENTOS!$C348,IF(MOVIMIENTOS!$B348="REGALO","REGALO "&amp;MOVIMIENTOS!$C348,IF(MOVIMIENTOS!$B348="RECHAZO","RECHAZO cal. "&amp;MOVIMIENTOS!$C348&amp;" (va a reproceso)",IF(MOVIMIENTOS!$B348="DEVOLUCIÓN","DEVOLUCIÓN cal. "&amp;MOVIMIENTOS!$C348&amp;" (regresa intacta)",IF(MOVIMIENTOS!$B348="TRASIEGO","TRASIEGO cal. "&amp;MOVIMIENTOS!$C348,MOVIMIENTOS!$B348)))))))))),"")</f>
        <v/>
      </c>
      <c r="M349" s="48" t="str">
        <f aca="false">IF(AND(AND(MOVIMIENTOS!$B348&lt;&gt;"",NOT(AND(MOVIMIENTOS!$B348="PROCESO",MOVIMIENTOS!$C348&lt;&gt;"Chancho")),NOT(AND(MOVIMIENTOS!$B348="SALDO INICIAL",MOVIMIENTOS!$C348="Chancho"))),OR(MOVIMIENTOS!$B348="SALDO INICIAL",MOVIMIENTOS!$B348="COMPRA",MOVIMIENTOS!$B348="REPROCESO",MOVIMIENTOS!$B348="DEVOLUCIÓN",AND(MOVIMIENTOS!$B348="AJUSTE",MOVIMIENTOS!$C348&lt;&gt;"Chancho",N(MOVIMIENTOS!$F348)&gt;=0))),N(MOVIMIENTOS!$F348),"")</f>
        <v/>
      </c>
      <c r="N349" s="48" t="str">
        <f aca="false">IF(AND(AND(MOVIMIENTOS!$B348&lt;&gt;"",NOT(AND(MOVIMIENTOS!$B348="PROCESO",MOVIMIENTOS!$C348&lt;&gt;"Chancho")),NOT(AND(MOVIMIENTOS!$B348="SALDO INICIAL",MOVIMIENTOS!$C348="Chancho"))),OR(MOVIMIENTOS!$B348="ENVÍO A SUPESA",MOVIMIENTOS!$B348="MALOGRADO",MOVIMIENTOS!$B348="OTRA SALIDA",MOVIMIENTOS!$B348="TRASIEGO",AND(MOVIMIENTOS!$B348="PROCESO",MOVIMIENTOS!$C348="Chancho"),AND(MOVIMIENTOS!$B348="REGALO",MOVIMIENTOS!$C348&lt;&gt;"Chancho"),AND(MOVIMIENTOS!$B348="VENTA",MOVIMIENTOS!$C348&lt;&gt;"Chancho"),AND(MOVIMIENTOS!$B348="AJUSTE",MOVIMIENTOS!$C348&lt;&gt;"Chancho",N(MOVIMIENTOS!$F348)&lt;0))),IF(MOVIMIENTOS!$B348="AJUSTE",-N(MOVIMIENTOS!$F348),N(MOVIMIENTOS!$F348)),"")</f>
        <v/>
      </c>
      <c r="O349" s="48" t="str">
        <f aca="false">IF(AND(MOVIMIENTOS!$B348&lt;&gt;"",NOT(AND(MOVIMIENTOS!$B348="PROCESO",MOVIMIENTOS!$C348&lt;&gt;"Chancho")),NOT(AND(MOVIMIENTOS!$B348="SALDO INICIAL",MOVIMIENTOS!$C348="Chancho"))),IF(MOVIMIENTOS!$B348="RECHAZO",MOVIMIENTOS!$E348&amp;" jabas rechazadas · van a reproceso",IF(MOVIMIENTOS!$B348="REPROCESO",MOVIMIENTOS!$E348&amp;" kg recuperados (merma del día: "&amp;TEXT(SUMPRODUCT((MOVIMIENTOS!$A$5:$A$400=MOVIMIENTOS!$A348)*(MOVIMIENTOS!$B$5:$B$400="RECHAZO")*(MOVIMIENTOS!$D$5:$D$400="jabas")*MOVIMIENTOS!$E$5:$E$400*IFERROR(_xlfn.SWITCH(MOVIMIENTOS!$C$5:$C$400,"A",15,"P",18,"C",17,"M",17,0),0))-SUMPRODUCT((MOVIMIENTOS!$A$5:$A$400=MOVIMIENTOS!$A348)*(MOVIMIENTOS!$B$5:$B$400="REPROCESO")*MOVIMIENTOS!$I$5:$I$400),"+#,##0;-#,##0;0")&amp;" kg)",TRIM(IF(MOVIMIENTOS!$G348&lt;&gt;"",MOVIMIENTOS!$G348&amp;"  ","")&amp;IF(N(MOVIMIENTOS!$D348)&gt;0,MOVIMIENTOS!$D348&amp;" "&amp;MOVIMIENTOS!$D348,"")))),"")</f>
        <v/>
      </c>
      <c r="P349" s="48" t="n">
        <f aca="false">N(P348)+N(M349)-N(N349)</f>
        <v>-290.5</v>
      </c>
      <c r="Q349" s="48"/>
      <c r="R349" s="48"/>
      <c r="S349" s="48"/>
      <c r="T349" s="48"/>
    </row>
    <row r="350" customFormat="false" ht="15" hidden="false" customHeight="true" outlineLevel="0" collapsed="false">
      <c r="A350" s="51" t="str">
        <f aca="false">IFERROR(INDEX(K$6:K$401,MATCH(ROW()-5,J$6:J$401,0)),"")</f>
        <v/>
      </c>
      <c r="B350" s="56" t="str">
        <f aca="false">IFERROR(INDEX(L$6:L$401,MATCH(ROW()-5,J$6:J$401,0)),"")</f>
        <v/>
      </c>
      <c r="C350" s="52" t="str">
        <f aca="false">IFERROR(INDEX(M$6:M$401,MATCH(ROW()-5,J$6:J$401,0)),"")</f>
        <v/>
      </c>
      <c r="D350" s="52" t="str">
        <f aca="false">IFERROR(INDEX(N$6:N$401,MATCH(ROW()-5,J$6:J$401,0)),"")</f>
        <v/>
      </c>
      <c r="E350" s="56" t="str">
        <f aca="false">IFERROR(INDEX(O$6:O$401,MATCH(ROW()-5,J$6:J$401,0)),"")</f>
        <v/>
      </c>
      <c r="F350" s="52" t="str">
        <f aca="false">IFERROR(INDEX(P$6:P$401,MATCH(ROW()-5,J$6:J$401,0)),"")</f>
        <v/>
      </c>
      <c r="G350" s="48"/>
      <c r="H350" s="48"/>
      <c r="I350" s="48"/>
      <c r="J350" s="48" t="str">
        <f aca="false">IF(AND(MOVIMIENTOS!$B349&lt;&gt;"",NOT(AND(MOVIMIENTOS!$B349="PROCESO",MOVIMIENTOS!$C349&lt;&gt;"Chancho")),NOT(AND(MOVIMIENTOS!$B349="SALDO INICIAL",MOVIMIENTOS!$C349="Chancho"))),COUNT(J$6:J349)+1,"")</f>
        <v/>
      </c>
      <c r="K350" s="48" t="str">
        <f aca="false">IF(AND(MOVIMIENTOS!$B349&lt;&gt;"",NOT(AND(MOVIMIENTOS!$B349="PROCESO",MOVIMIENTOS!$C349&lt;&gt;"Chancho")),NOT(AND(MOVIMIENTOS!$B349="SALDO INICIAL",MOVIMIENTOS!$C349="Chancho"))),MOVIMIENTOS!$A349,"")</f>
        <v/>
      </c>
      <c r="L350" s="48" t="str">
        <f aca="false">IF(AND(MOVIMIENTOS!$B349&lt;&gt;"",NOT(AND(MOVIMIENTOS!$B349="PROCESO",MOVIMIENTOS!$C349&lt;&gt;"Chancho")),NOT(AND(MOVIMIENTOS!$B349="SALDO INICIAL",MOVIMIENTOS!$C349="Chancho"))),IF(MOVIMIENTOS!$B349="SALDO INICIAL","APERTURA ("&amp;MOVIMIENTOS!$C349&amp;")",IF(MOVIMIENTOS!$B349="COMPRA","INGRESO (compra)",IF(MOVIMIENTOS!$B349="PROCESO","CHANCHO (proceso)",IF(MOVIMIENTOS!$B349="ENVÍO A SUPESA","ENVÍO cal. "&amp;MOVIMIENTOS!$C349,IF(MOVIMIENTOS!$B349="VENTA CHANCHO","VENTA CHANCHO",IF(MOVIMIENTOS!$B349="VENTA","VENTA cal. "&amp;MOVIMIENTOS!$C349,IF(MOVIMIENTOS!$B349="REGALO","REGALO "&amp;MOVIMIENTOS!$C349,IF(MOVIMIENTOS!$B349="RECHAZO","RECHAZO cal. "&amp;MOVIMIENTOS!$C349&amp;" (va a reproceso)",IF(MOVIMIENTOS!$B349="DEVOLUCIÓN","DEVOLUCIÓN cal. "&amp;MOVIMIENTOS!$C349&amp;" (regresa intacta)",IF(MOVIMIENTOS!$B349="TRASIEGO","TRASIEGO cal. "&amp;MOVIMIENTOS!$C349,MOVIMIENTOS!$B349)))))))))),"")</f>
        <v/>
      </c>
      <c r="M350" s="48" t="str">
        <f aca="false">IF(AND(AND(MOVIMIENTOS!$B349&lt;&gt;"",NOT(AND(MOVIMIENTOS!$B349="PROCESO",MOVIMIENTOS!$C349&lt;&gt;"Chancho")),NOT(AND(MOVIMIENTOS!$B349="SALDO INICIAL",MOVIMIENTOS!$C349="Chancho"))),OR(MOVIMIENTOS!$B349="SALDO INICIAL",MOVIMIENTOS!$B349="COMPRA",MOVIMIENTOS!$B349="REPROCESO",MOVIMIENTOS!$B349="DEVOLUCIÓN",AND(MOVIMIENTOS!$B349="AJUSTE",MOVIMIENTOS!$C349&lt;&gt;"Chancho",N(MOVIMIENTOS!$F349)&gt;=0))),N(MOVIMIENTOS!$F349),"")</f>
        <v/>
      </c>
      <c r="N350" s="48" t="str">
        <f aca="false">IF(AND(AND(MOVIMIENTOS!$B349&lt;&gt;"",NOT(AND(MOVIMIENTOS!$B349="PROCESO",MOVIMIENTOS!$C349&lt;&gt;"Chancho")),NOT(AND(MOVIMIENTOS!$B349="SALDO INICIAL",MOVIMIENTOS!$C349="Chancho"))),OR(MOVIMIENTOS!$B349="ENVÍO A SUPESA",MOVIMIENTOS!$B349="MALOGRADO",MOVIMIENTOS!$B349="OTRA SALIDA",MOVIMIENTOS!$B349="TRASIEGO",AND(MOVIMIENTOS!$B349="PROCESO",MOVIMIENTOS!$C349="Chancho"),AND(MOVIMIENTOS!$B349="REGALO",MOVIMIENTOS!$C349&lt;&gt;"Chancho"),AND(MOVIMIENTOS!$B349="VENTA",MOVIMIENTOS!$C349&lt;&gt;"Chancho"),AND(MOVIMIENTOS!$B349="AJUSTE",MOVIMIENTOS!$C349&lt;&gt;"Chancho",N(MOVIMIENTOS!$F349)&lt;0))),IF(MOVIMIENTOS!$B349="AJUSTE",-N(MOVIMIENTOS!$F349),N(MOVIMIENTOS!$F349)),"")</f>
        <v/>
      </c>
      <c r="O350" s="48" t="str">
        <f aca="false">IF(AND(MOVIMIENTOS!$B349&lt;&gt;"",NOT(AND(MOVIMIENTOS!$B349="PROCESO",MOVIMIENTOS!$C349&lt;&gt;"Chancho")),NOT(AND(MOVIMIENTOS!$B349="SALDO INICIAL",MOVIMIENTOS!$C349="Chancho"))),IF(MOVIMIENTOS!$B349="RECHAZO",MOVIMIENTOS!$E349&amp;" jabas rechazadas · van a reproceso",IF(MOVIMIENTOS!$B349="REPROCESO",MOVIMIENTOS!$E349&amp;" kg recuperados (merma del día: "&amp;TEXT(SUMPRODUCT((MOVIMIENTOS!$A$5:$A$400=MOVIMIENTOS!$A349)*(MOVIMIENTOS!$B$5:$B$400="RECHAZO")*(MOVIMIENTOS!$D$5:$D$400="jabas")*MOVIMIENTOS!$E$5:$E$400*IFERROR(_xlfn.SWITCH(MOVIMIENTOS!$C$5:$C$400,"A",15,"P",18,"C",17,"M",17,0),0))-SUMPRODUCT((MOVIMIENTOS!$A$5:$A$400=MOVIMIENTOS!$A349)*(MOVIMIENTOS!$B$5:$B$400="REPROCESO")*MOVIMIENTOS!$I$5:$I$400),"+#,##0;-#,##0;0")&amp;" kg)",TRIM(IF(MOVIMIENTOS!$G349&lt;&gt;"",MOVIMIENTOS!$G349&amp;"  ","")&amp;IF(N(MOVIMIENTOS!$D349)&gt;0,MOVIMIENTOS!$D349&amp;" "&amp;MOVIMIENTOS!$D349,"")))),"")</f>
        <v/>
      </c>
      <c r="P350" s="48" t="n">
        <f aca="false">N(P349)+N(M350)-N(N350)</f>
        <v>-290.5</v>
      </c>
      <c r="Q350" s="48"/>
      <c r="R350" s="48"/>
      <c r="S350" s="48"/>
      <c r="T350" s="48"/>
    </row>
    <row r="351" customFormat="false" ht="15" hidden="false" customHeight="true" outlineLevel="0" collapsed="false">
      <c r="A351" s="51" t="str">
        <f aca="false">IFERROR(INDEX(K$6:K$401,MATCH(ROW()-5,J$6:J$401,0)),"")</f>
        <v/>
      </c>
      <c r="B351" s="56" t="str">
        <f aca="false">IFERROR(INDEX(L$6:L$401,MATCH(ROW()-5,J$6:J$401,0)),"")</f>
        <v/>
      </c>
      <c r="C351" s="52" t="str">
        <f aca="false">IFERROR(INDEX(M$6:M$401,MATCH(ROW()-5,J$6:J$401,0)),"")</f>
        <v/>
      </c>
      <c r="D351" s="52" t="str">
        <f aca="false">IFERROR(INDEX(N$6:N$401,MATCH(ROW()-5,J$6:J$401,0)),"")</f>
        <v/>
      </c>
      <c r="E351" s="56" t="str">
        <f aca="false">IFERROR(INDEX(O$6:O$401,MATCH(ROW()-5,J$6:J$401,0)),"")</f>
        <v/>
      </c>
      <c r="F351" s="52" t="str">
        <f aca="false">IFERROR(INDEX(P$6:P$401,MATCH(ROW()-5,J$6:J$401,0)),"")</f>
        <v/>
      </c>
      <c r="G351" s="48"/>
      <c r="H351" s="48"/>
      <c r="I351" s="48"/>
      <c r="J351" s="48" t="str">
        <f aca="false">IF(AND(MOVIMIENTOS!$B350&lt;&gt;"",NOT(AND(MOVIMIENTOS!$B350="PROCESO",MOVIMIENTOS!$C350&lt;&gt;"Chancho")),NOT(AND(MOVIMIENTOS!$B350="SALDO INICIAL",MOVIMIENTOS!$C350="Chancho"))),COUNT(J$6:J350)+1,"")</f>
        <v/>
      </c>
      <c r="K351" s="48" t="str">
        <f aca="false">IF(AND(MOVIMIENTOS!$B350&lt;&gt;"",NOT(AND(MOVIMIENTOS!$B350="PROCESO",MOVIMIENTOS!$C350&lt;&gt;"Chancho")),NOT(AND(MOVIMIENTOS!$B350="SALDO INICIAL",MOVIMIENTOS!$C350="Chancho"))),MOVIMIENTOS!$A350,"")</f>
        <v/>
      </c>
      <c r="L351" s="48" t="str">
        <f aca="false">IF(AND(MOVIMIENTOS!$B350&lt;&gt;"",NOT(AND(MOVIMIENTOS!$B350="PROCESO",MOVIMIENTOS!$C350&lt;&gt;"Chancho")),NOT(AND(MOVIMIENTOS!$B350="SALDO INICIAL",MOVIMIENTOS!$C350="Chancho"))),IF(MOVIMIENTOS!$B350="SALDO INICIAL","APERTURA ("&amp;MOVIMIENTOS!$C350&amp;")",IF(MOVIMIENTOS!$B350="COMPRA","INGRESO (compra)",IF(MOVIMIENTOS!$B350="PROCESO","CHANCHO (proceso)",IF(MOVIMIENTOS!$B350="ENVÍO A SUPESA","ENVÍO cal. "&amp;MOVIMIENTOS!$C350,IF(MOVIMIENTOS!$B350="VENTA CHANCHO","VENTA CHANCHO",IF(MOVIMIENTOS!$B350="VENTA","VENTA cal. "&amp;MOVIMIENTOS!$C350,IF(MOVIMIENTOS!$B350="REGALO","REGALO "&amp;MOVIMIENTOS!$C350,IF(MOVIMIENTOS!$B350="RECHAZO","RECHAZO cal. "&amp;MOVIMIENTOS!$C350&amp;" (va a reproceso)",IF(MOVIMIENTOS!$B350="DEVOLUCIÓN","DEVOLUCIÓN cal. "&amp;MOVIMIENTOS!$C350&amp;" (regresa intacta)",IF(MOVIMIENTOS!$B350="TRASIEGO","TRASIEGO cal. "&amp;MOVIMIENTOS!$C350,MOVIMIENTOS!$B350)))))))))),"")</f>
        <v/>
      </c>
      <c r="M351" s="48" t="str">
        <f aca="false">IF(AND(AND(MOVIMIENTOS!$B350&lt;&gt;"",NOT(AND(MOVIMIENTOS!$B350="PROCESO",MOVIMIENTOS!$C350&lt;&gt;"Chancho")),NOT(AND(MOVIMIENTOS!$B350="SALDO INICIAL",MOVIMIENTOS!$C350="Chancho"))),OR(MOVIMIENTOS!$B350="SALDO INICIAL",MOVIMIENTOS!$B350="COMPRA",MOVIMIENTOS!$B350="REPROCESO",MOVIMIENTOS!$B350="DEVOLUCIÓN",AND(MOVIMIENTOS!$B350="AJUSTE",MOVIMIENTOS!$C350&lt;&gt;"Chancho",N(MOVIMIENTOS!$F350)&gt;=0))),N(MOVIMIENTOS!$F350),"")</f>
        <v/>
      </c>
      <c r="N351" s="48" t="str">
        <f aca="false">IF(AND(AND(MOVIMIENTOS!$B350&lt;&gt;"",NOT(AND(MOVIMIENTOS!$B350="PROCESO",MOVIMIENTOS!$C350&lt;&gt;"Chancho")),NOT(AND(MOVIMIENTOS!$B350="SALDO INICIAL",MOVIMIENTOS!$C350="Chancho"))),OR(MOVIMIENTOS!$B350="ENVÍO A SUPESA",MOVIMIENTOS!$B350="MALOGRADO",MOVIMIENTOS!$B350="OTRA SALIDA",MOVIMIENTOS!$B350="TRASIEGO",AND(MOVIMIENTOS!$B350="PROCESO",MOVIMIENTOS!$C350="Chancho"),AND(MOVIMIENTOS!$B350="REGALO",MOVIMIENTOS!$C350&lt;&gt;"Chancho"),AND(MOVIMIENTOS!$B350="VENTA",MOVIMIENTOS!$C350&lt;&gt;"Chancho"),AND(MOVIMIENTOS!$B350="AJUSTE",MOVIMIENTOS!$C350&lt;&gt;"Chancho",N(MOVIMIENTOS!$F350)&lt;0))),IF(MOVIMIENTOS!$B350="AJUSTE",-N(MOVIMIENTOS!$F350),N(MOVIMIENTOS!$F350)),"")</f>
        <v/>
      </c>
      <c r="O351" s="48" t="str">
        <f aca="false">IF(AND(MOVIMIENTOS!$B350&lt;&gt;"",NOT(AND(MOVIMIENTOS!$B350="PROCESO",MOVIMIENTOS!$C350&lt;&gt;"Chancho")),NOT(AND(MOVIMIENTOS!$B350="SALDO INICIAL",MOVIMIENTOS!$C350="Chancho"))),IF(MOVIMIENTOS!$B350="RECHAZO",MOVIMIENTOS!$E350&amp;" jabas rechazadas · van a reproceso",IF(MOVIMIENTOS!$B350="REPROCESO",MOVIMIENTOS!$E350&amp;" kg recuperados (merma del día: "&amp;TEXT(SUMPRODUCT((MOVIMIENTOS!$A$5:$A$400=MOVIMIENTOS!$A350)*(MOVIMIENTOS!$B$5:$B$400="RECHAZO")*(MOVIMIENTOS!$D$5:$D$400="jabas")*MOVIMIENTOS!$E$5:$E$400*IFERROR(_xlfn.SWITCH(MOVIMIENTOS!$C$5:$C$400,"A",15,"P",18,"C",17,"M",17,0),0))-SUMPRODUCT((MOVIMIENTOS!$A$5:$A$400=MOVIMIENTOS!$A350)*(MOVIMIENTOS!$B$5:$B$400="REPROCESO")*MOVIMIENTOS!$I$5:$I$400),"+#,##0;-#,##0;0")&amp;" kg)",TRIM(IF(MOVIMIENTOS!$G350&lt;&gt;"",MOVIMIENTOS!$G350&amp;"  ","")&amp;IF(N(MOVIMIENTOS!$D350)&gt;0,MOVIMIENTOS!$D350&amp;" "&amp;MOVIMIENTOS!$D350,"")))),"")</f>
        <v/>
      </c>
      <c r="P351" s="48" t="n">
        <f aca="false">N(P350)+N(M351)-N(N351)</f>
        <v>-290.5</v>
      </c>
      <c r="Q351" s="48"/>
      <c r="R351" s="48"/>
      <c r="S351" s="48"/>
      <c r="T351" s="48"/>
    </row>
    <row r="352" customFormat="false" ht="15" hidden="false" customHeight="true" outlineLevel="0" collapsed="false">
      <c r="A352" s="51" t="str">
        <f aca="false">IFERROR(INDEX(K$6:K$401,MATCH(ROW()-5,J$6:J$401,0)),"")</f>
        <v/>
      </c>
      <c r="B352" s="56" t="str">
        <f aca="false">IFERROR(INDEX(L$6:L$401,MATCH(ROW()-5,J$6:J$401,0)),"")</f>
        <v/>
      </c>
      <c r="C352" s="52" t="str">
        <f aca="false">IFERROR(INDEX(M$6:M$401,MATCH(ROW()-5,J$6:J$401,0)),"")</f>
        <v/>
      </c>
      <c r="D352" s="52" t="str">
        <f aca="false">IFERROR(INDEX(N$6:N$401,MATCH(ROW()-5,J$6:J$401,0)),"")</f>
        <v/>
      </c>
      <c r="E352" s="56" t="str">
        <f aca="false">IFERROR(INDEX(O$6:O$401,MATCH(ROW()-5,J$6:J$401,0)),"")</f>
        <v/>
      </c>
      <c r="F352" s="52" t="str">
        <f aca="false">IFERROR(INDEX(P$6:P$401,MATCH(ROW()-5,J$6:J$401,0)),"")</f>
        <v/>
      </c>
      <c r="G352" s="48"/>
      <c r="H352" s="48"/>
      <c r="I352" s="48"/>
      <c r="J352" s="48" t="str">
        <f aca="false">IF(AND(MOVIMIENTOS!$B351&lt;&gt;"",NOT(AND(MOVIMIENTOS!$B351="PROCESO",MOVIMIENTOS!$C351&lt;&gt;"Chancho")),NOT(AND(MOVIMIENTOS!$B351="SALDO INICIAL",MOVIMIENTOS!$C351="Chancho"))),COUNT(J$6:J351)+1,"")</f>
        <v/>
      </c>
      <c r="K352" s="48" t="str">
        <f aca="false">IF(AND(MOVIMIENTOS!$B351&lt;&gt;"",NOT(AND(MOVIMIENTOS!$B351="PROCESO",MOVIMIENTOS!$C351&lt;&gt;"Chancho")),NOT(AND(MOVIMIENTOS!$B351="SALDO INICIAL",MOVIMIENTOS!$C351="Chancho"))),MOVIMIENTOS!$A351,"")</f>
        <v/>
      </c>
      <c r="L352" s="48" t="str">
        <f aca="false">IF(AND(MOVIMIENTOS!$B351&lt;&gt;"",NOT(AND(MOVIMIENTOS!$B351="PROCESO",MOVIMIENTOS!$C351&lt;&gt;"Chancho")),NOT(AND(MOVIMIENTOS!$B351="SALDO INICIAL",MOVIMIENTOS!$C351="Chancho"))),IF(MOVIMIENTOS!$B351="SALDO INICIAL","APERTURA ("&amp;MOVIMIENTOS!$C351&amp;")",IF(MOVIMIENTOS!$B351="COMPRA","INGRESO (compra)",IF(MOVIMIENTOS!$B351="PROCESO","CHANCHO (proceso)",IF(MOVIMIENTOS!$B351="ENVÍO A SUPESA","ENVÍO cal. "&amp;MOVIMIENTOS!$C351,IF(MOVIMIENTOS!$B351="VENTA CHANCHO","VENTA CHANCHO",IF(MOVIMIENTOS!$B351="VENTA","VENTA cal. "&amp;MOVIMIENTOS!$C351,IF(MOVIMIENTOS!$B351="REGALO","REGALO "&amp;MOVIMIENTOS!$C351,IF(MOVIMIENTOS!$B351="RECHAZO","RECHAZO cal. "&amp;MOVIMIENTOS!$C351&amp;" (va a reproceso)",IF(MOVIMIENTOS!$B351="DEVOLUCIÓN","DEVOLUCIÓN cal. "&amp;MOVIMIENTOS!$C351&amp;" (regresa intacta)",IF(MOVIMIENTOS!$B351="TRASIEGO","TRASIEGO cal. "&amp;MOVIMIENTOS!$C351,MOVIMIENTOS!$B351)))))))))),"")</f>
        <v/>
      </c>
      <c r="M352" s="48" t="str">
        <f aca="false">IF(AND(AND(MOVIMIENTOS!$B351&lt;&gt;"",NOT(AND(MOVIMIENTOS!$B351="PROCESO",MOVIMIENTOS!$C351&lt;&gt;"Chancho")),NOT(AND(MOVIMIENTOS!$B351="SALDO INICIAL",MOVIMIENTOS!$C351="Chancho"))),OR(MOVIMIENTOS!$B351="SALDO INICIAL",MOVIMIENTOS!$B351="COMPRA",MOVIMIENTOS!$B351="REPROCESO",MOVIMIENTOS!$B351="DEVOLUCIÓN",AND(MOVIMIENTOS!$B351="AJUSTE",MOVIMIENTOS!$C351&lt;&gt;"Chancho",N(MOVIMIENTOS!$F351)&gt;=0))),N(MOVIMIENTOS!$F351),"")</f>
        <v/>
      </c>
      <c r="N352" s="48" t="str">
        <f aca="false">IF(AND(AND(MOVIMIENTOS!$B351&lt;&gt;"",NOT(AND(MOVIMIENTOS!$B351="PROCESO",MOVIMIENTOS!$C351&lt;&gt;"Chancho")),NOT(AND(MOVIMIENTOS!$B351="SALDO INICIAL",MOVIMIENTOS!$C351="Chancho"))),OR(MOVIMIENTOS!$B351="ENVÍO A SUPESA",MOVIMIENTOS!$B351="MALOGRADO",MOVIMIENTOS!$B351="OTRA SALIDA",MOVIMIENTOS!$B351="TRASIEGO",AND(MOVIMIENTOS!$B351="PROCESO",MOVIMIENTOS!$C351="Chancho"),AND(MOVIMIENTOS!$B351="REGALO",MOVIMIENTOS!$C351&lt;&gt;"Chancho"),AND(MOVIMIENTOS!$B351="VENTA",MOVIMIENTOS!$C351&lt;&gt;"Chancho"),AND(MOVIMIENTOS!$B351="AJUSTE",MOVIMIENTOS!$C351&lt;&gt;"Chancho",N(MOVIMIENTOS!$F351)&lt;0))),IF(MOVIMIENTOS!$B351="AJUSTE",-N(MOVIMIENTOS!$F351),N(MOVIMIENTOS!$F351)),"")</f>
        <v/>
      </c>
      <c r="O352" s="48" t="str">
        <f aca="false">IF(AND(MOVIMIENTOS!$B351&lt;&gt;"",NOT(AND(MOVIMIENTOS!$B351="PROCESO",MOVIMIENTOS!$C351&lt;&gt;"Chancho")),NOT(AND(MOVIMIENTOS!$B351="SALDO INICIAL",MOVIMIENTOS!$C351="Chancho"))),IF(MOVIMIENTOS!$B351="RECHAZO",MOVIMIENTOS!$E351&amp;" jabas rechazadas · van a reproceso",IF(MOVIMIENTOS!$B351="REPROCESO",MOVIMIENTOS!$E351&amp;" kg recuperados (merma del día: "&amp;TEXT(SUMPRODUCT((MOVIMIENTOS!$A$5:$A$400=MOVIMIENTOS!$A351)*(MOVIMIENTOS!$B$5:$B$400="RECHAZO")*(MOVIMIENTOS!$D$5:$D$400="jabas")*MOVIMIENTOS!$E$5:$E$400*IFERROR(_xlfn.SWITCH(MOVIMIENTOS!$C$5:$C$400,"A",15,"P",18,"C",17,"M",17,0),0))-SUMPRODUCT((MOVIMIENTOS!$A$5:$A$400=MOVIMIENTOS!$A351)*(MOVIMIENTOS!$B$5:$B$400="REPROCESO")*MOVIMIENTOS!$I$5:$I$400),"+#,##0;-#,##0;0")&amp;" kg)",TRIM(IF(MOVIMIENTOS!$G351&lt;&gt;"",MOVIMIENTOS!$G351&amp;"  ","")&amp;IF(N(MOVIMIENTOS!$D351)&gt;0,MOVIMIENTOS!$D351&amp;" "&amp;MOVIMIENTOS!$D351,"")))),"")</f>
        <v/>
      </c>
      <c r="P352" s="48" t="n">
        <f aca="false">N(P351)+N(M352)-N(N352)</f>
        <v>-290.5</v>
      </c>
      <c r="Q352" s="48"/>
      <c r="R352" s="48"/>
      <c r="S352" s="48"/>
      <c r="T352" s="48"/>
    </row>
    <row r="353" customFormat="false" ht="15" hidden="false" customHeight="true" outlineLevel="0" collapsed="false">
      <c r="A353" s="51" t="str">
        <f aca="false">IFERROR(INDEX(K$6:K$401,MATCH(ROW()-5,J$6:J$401,0)),"")</f>
        <v/>
      </c>
      <c r="B353" s="56" t="str">
        <f aca="false">IFERROR(INDEX(L$6:L$401,MATCH(ROW()-5,J$6:J$401,0)),"")</f>
        <v/>
      </c>
      <c r="C353" s="52" t="str">
        <f aca="false">IFERROR(INDEX(M$6:M$401,MATCH(ROW()-5,J$6:J$401,0)),"")</f>
        <v/>
      </c>
      <c r="D353" s="52" t="str">
        <f aca="false">IFERROR(INDEX(N$6:N$401,MATCH(ROW()-5,J$6:J$401,0)),"")</f>
        <v/>
      </c>
      <c r="E353" s="56" t="str">
        <f aca="false">IFERROR(INDEX(O$6:O$401,MATCH(ROW()-5,J$6:J$401,0)),"")</f>
        <v/>
      </c>
      <c r="F353" s="52" t="str">
        <f aca="false">IFERROR(INDEX(P$6:P$401,MATCH(ROW()-5,J$6:J$401,0)),"")</f>
        <v/>
      </c>
      <c r="G353" s="48"/>
      <c r="H353" s="48"/>
      <c r="I353" s="48"/>
      <c r="J353" s="48" t="str">
        <f aca="false">IF(AND(MOVIMIENTOS!$B352&lt;&gt;"",NOT(AND(MOVIMIENTOS!$B352="PROCESO",MOVIMIENTOS!$C352&lt;&gt;"Chancho")),NOT(AND(MOVIMIENTOS!$B352="SALDO INICIAL",MOVIMIENTOS!$C352="Chancho"))),COUNT(J$6:J352)+1,"")</f>
        <v/>
      </c>
      <c r="K353" s="48" t="str">
        <f aca="false">IF(AND(MOVIMIENTOS!$B352&lt;&gt;"",NOT(AND(MOVIMIENTOS!$B352="PROCESO",MOVIMIENTOS!$C352&lt;&gt;"Chancho")),NOT(AND(MOVIMIENTOS!$B352="SALDO INICIAL",MOVIMIENTOS!$C352="Chancho"))),MOVIMIENTOS!$A352,"")</f>
        <v/>
      </c>
      <c r="L353" s="48" t="str">
        <f aca="false">IF(AND(MOVIMIENTOS!$B352&lt;&gt;"",NOT(AND(MOVIMIENTOS!$B352="PROCESO",MOVIMIENTOS!$C352&lt;&gt;"Chancho")),NOT(AND(MOVIMIENTOS!$B352="SALDO INICIAL",MOVIMIENTOS!$C352="Chancho"))),IF(MOVIMIENTOS!$B352="SALDO INICIAL","APERTURA ("&amp;MOVIMIENTOS!$C352&amp;")",IF(MOVIMIENTOS!$B352="COMPRA","INGRESO (compra)",IF(MOVIMIENTOS!$B352="PROCESO","CHANCHO (proceso)",IF(MOVIMIENTOS!$B352="ENVÍO A SUPESA","ENVÍO cal. "&amp;MOVIMIENTOS!$C352,IF(MOVIMIENTOS!$B352="VENTA CHANCHO","VENTA CHANCHO",IF(MOVIMIENTOS!$B352="VENTA","VENTA cal. "&amp;MOVIMIENTOS!$C352,IF(MOVIMIENTOS!$B352="REGALO","REGALO "&amp;MOVIMIENTOS!$C352,IF(MOVIMIENTOS!$B352="RECHAZO","RECHAZO cal. "&amp;MOVIMIENTOS!$C352&amp;" (va a reproceso)",IF(MOVIMIENTOS!$B352="DEVOLUCIÓN","DEVOLUCIÓN cal. "&amp;MOVIMIENTOS!$C352&amp;" (regresa intacta)",IF(MOVIMIENTOS!$B352="TRASIEGO","TRASIEGO cal. "&amp;MOVIMIENTOS!$C352,MOVIMIENTOS!$B352)))))))))),"")</f>
        <v/>
      </c>
      <c r="M353" s="48" t="str">
        <f aca="false">IF(AND(AND(MOVIMIENTOS!$B352&lt;&gt;"",NOT(AND(MOVIMIENTOS!$B352="PROCESO",MOVIMIENTOS!$C352&lt;&gt;"Chancho")),NOT(AND(MOVIMIENTOS!$B352="SALDO INICIAL",MOVIMIENTOS!$C352="Chancho"))),OR(MOVIMIENTOS!$B352="SALDO INICIAL",MOVIMIENTOS!$B352="COMPRA",MOVIMIENTOS!$B352="REPROCESO",MOVIMIENTOS!$B352="DEVOLUCIÓN",AND(MOVIMIENTOS!$B352="AJUSTE",MOVIMIENTOS!$C352&lt;&gt;"Chancho",N(MOVIMIENTOS!$F352)&gt;=0))),N(MOVIMIENTOS!$F352),"")</f>
        <v/>
      </c>
      <c r="N353" s="48" t="str">
        <f aca="false">IF(AND(AND(MOVIMIENTOS!$B352&lt;&gt;"",NOT(AND(MOVIMIENTOS!$B352="PROCESO",MOVIMIENTOS!$C352&lt;&gt;"Chancho")),NOT(AND(MOVIMIENTOS!$B352="SALDO INICIAL",MOVIMIENTOS!$C352="Chancho"))),OR(MOVIMIENTOS!$B352="ENVÍO A SUPESA",MOVIMIENTOS!$B352="MALOGRADO",MOVIMIENTOS!$B352="OTRA SALIDA",MOVIMIENTOS!$B352="TRASIEGO",AND(MOVIMIENTOS!$B352="PROCESO",MOVIMIENTOS!$C352="Chancho"),AND(MOVIMIENTOS!$B352="REGALO",MOVIMIENTOS!$C352&lt;&gt;"Chancho"),AND(MOVIMIENTOS!$B352="VENTA",MOVIMIENTOS!$C352&lt;&gt;"Chancho"),AND(MOVIMIENTOS!$B352="AJUSTE",MOVIMIENTOS!$C352&lt;&gt;"Chancho",N(MOVIMIENTOS!$F352)&lt;0))),IF(MOVIMIENTOS!$B352="AJUSTE",-N(MOVIMIENTOS!$F352),N(MOVIMIENTOS!$F352)),"")</f>
        <v/>
      </c>
      <c r="O353" s="48" t="str">
        <f aca="false">IF(AND(MOVIMIENTOS!$B352&lt;&gt;"",NOT(AND(MOVIMIENTOS!$B352="PROCESO",MOVIMIENTOS!$C352&lt;&gt;"Chancho")),NOT(AND(MOVIMIENTOS!$B352="SALDO INICIAL",MOVIMIENTOS!$C352="Chancho"))),IF(MOVIMIENTOS!$B352="RECHAZO",MOVIMIENTOS!$E352&amp;" jabas rechazadas · van a reproceso",IF(MOVIMIENTOS!$B352="REPROCESO",MOVIMIENTOS!$E352&amp;" kg recuperados (merma del día: "&amp;TEXT(SUMPRODUCT((MOVIMIENTOS!$A$5:$A$400=MOVIMIENTOS!$A352)*(MOVIMIENTOS!$B$5:$B$400="RECHAZO")*(MOVIMIENTOS!$D$5:$D$400="jabas")*MOVIMIENTOS!$E$5:$E$400*IFERROR(_xlfn.SWITCH(MOVIMIENTOS!$C$5:$C$400,"A",15,"P",18,"C",17,"M",17,0),0))-SUMPRODUCT((MOVIMIENTOS!$A$5:$A$400=MOVIMIENTOS!$A352)*(MOVIMIENTOS!$B$5:$B$400="REPROCESO")*MOVIMIENTOS!$I$5:$I$400),"+#,##0;-#,##0;0")&amp;" kg)",TRIM(IF(MOVIMIENTOS!$G352&lt;&gt;"",MOVIMIENTOS!$G352&amp;"  ","")&amp;IF(N(MOVIMIENTOS!$D352)&gt;0,MOVIMIENTOS!$D352&amp;" "&amp;MOVIMIENTOS!$D352,"")))),"")</f>
        <v/>
      </c>
      <c r="P353" s="48" t="n">
        <f aca="false">N(P352)+N(M353)-N(N353)</f>
        <v>-290.5</v>
      </c>
      <c r="Q353" s="48"/>
      <c r="R353" s="48"/>
      <c r="S353" s="48"/>
      <c r="T353" s="48"/>
    </row>
    <row r="354" customFormat="false" ht="15" hidden="false" customHeight="true" outlineLevel="0" collapsed="false">
      <c r="A354" s="51" t="str">
        <f aca="false">IFERROR(INDEX(K$6:K$401,MATCH(ROW()-5,J$6:J$401,0)),"")</f>
        <v/>
      </c>
      <c r="B354" s="56" t="str">
        <f aca="false">IFERROR(INDEX(L$6:L$401,MATCH(ROW()-5,J$6:J$401,0)),"")</f>
        <v/>
      </c>
      <c r="C354" s="52" t="str">
        <f aca="false">IFERROR(INDEX(M$6:M$401,MATCH(ROW()-5,J$6:J$401,0)),"")</f>
        <v/>
      </c>
      <c r="D354" s="52" t="str">
        <f aca="false">IFERROR(INDEX(N$6:N$401,MATCH(ROW()-5,J$6:J$401,0)),"")</f>
        <v/>
      </c>
      <c r="E354" s="56" t="str">
        <f aca="false">IFERROR(INDEX(O$6:O$401,MATCH(ROW()-5,J$6:J$401,0)),"")</f>
        <v/>
      </c>
      <c r="F354" s="52" t="str">
        <f aca="false">IFERROR(INDEX(P$6:P$401,MATCH(ROW()-5,J$6:J$401,0)),"")</f>
        <v/>
      </c>
      <c r="G354" s="48"/>
      <c r="H354" s="48"/>
      <c r="I354" s="48"/>
      <c r="J354" s="48" t="str">
        <f aca="false">IF(AND(MOVIMIENTOS!$B353&lt;&gt;"",NOT(AND(MOVIMIENTOS!$B353="PROCESO",MOVIMIENTOS!$C353&lt;&gt;"Chancho")),NOT(AND(MOVIMIENTOS!$B353="SALDO INICIAL",MOVIMIENTOS!$C353="Chancho"))),COUNT(J$6:J353)+1,"")</f>
        <v/>
      </c>
      <c r="K354" s="48" t="str">
        <f aca="false">IF(AND(MOVIMIENTOS!$B353&lt;&gt;"",NOT(AND(MOVIMIENTOS!$B353="PROCESO",MOVIMIENTOS!$C353&lt;&gt;"Chancho")),NOT(AND(MOVIMIENTOS!$B353="SALDO INICIAL",MOVIMIENTOS!$C353="Chancho"))),MOVIMIENTOS!$A353,"")</f>
        <v/>
      </c>
      <c r="L354" s="48" t="str">
        <f aca="false">IF(AND(MOVIMIENTOS!$B353&lt;&gt;"",NOT(AND(MOVIMIENTOS!$B353="PROCESO",MOVIMIENTOS!$C353&lt;&gt;"Chancho")),NOT(AND(MOVIMIENTOS!$B353="SALDO INICIAL",MOVIMIENTOS!$C353="Chancho"))),IF(MOVIMIENTOS!$B353="SALDO INICIAL","APERTURA ("&amp;MOVIMIENTOS!$C353&amp;")",IF(MOVIMIENTOS!$B353="COMPRA","INGRESO (compra)",IF(MOVIMIENTOS!$B353="PROCESO","CHANCHO (proceso)",IF(MOVIMIENTOS!$B353="ENVÍO A SUPESA","ENVÍO cal. "&amp;MOVIMIENTOS!$C353,IF(MOVIMIENTOS!$B353="VENTA CHANCHO","VENTA CHANCHO",IF(MOVIMIENTOS!$B353="VENTA","VENTA cal. "&amp;MOVIMIENTOS!$C353,IF(MOVIMIENTOS!$B353="REGALO","REGALO "&amp;MOVIMIENTOS!$C353,IF(MOVIMIENTOS!$B353="RECHAZO","RECHAZO cal. "&amp;MOVIMIENTOS!$C353&amp;" (va a reproceso)",IF(MOVIMIENTOS!$B353="DEVOLUCIÓN","DEVOLUCIÓN cal. "&amp;MOVIMIENTOS!$C353&amp;" (regresa intacta)",IF(MOVIMIENTOS!$B353="TRASIEGO","TRASIEGO cal. "&amp;MOVIMIENTOS!$C353,MOVIMIENTOS!$B353)))))))))),"")</f>
        <v/>
      </c>
      <c r="M354" s="48" t="str">
        <f aca="false">IF(AND(AND(MOVIMIENTOS!$B353&lt;&gt;"",NOT(AND(MOVIMIENTOS!$B353="PROCESO",MOVIMIENTOS!$C353&lt;&gt;"Chancho")),NOT(AND(MOVIMIENTOS!$B353="SALDO INICIAL",MOVIMIENTOS!$C353="Chancho"))),OR(MOVIMIENTOS!$B353="SALDO INICIAL",MOVIMIENTOS!$B353="COMPRA",MOVIMIENTOS!$B353="REPROCESO",MOVIMIENTOS!$B353="DEVOLUCIÓN",AND(MOVIMIENTOS!$B353="AJUSTE",MOVIMIENTOS!$C353&lt;&gt;"Chancho",N(MOVIMIENTOS!$F353)&gt;=0))),N(MOVIMIENTOS!$F353),"")</f>
        <v/>
      </c>
      <c r="N354" s="48" t="str">
        <f aca="false">IF(AND(AND(MOVIMIENTOS!$B353&lt;&gt;"",NOT(AND(MOVIMIENTOS!$B353="PROCESO",MOVIMIENTOS!$C353&lt;&gt;"Chancho")),NOT(AND(MOVIMIENTOS!$B353="SALDO INICIAL",MOVIMIENTOS!$C353="Chancho"))),OR(MOVIMIENTOS!$B353="ENVÍO A SUPESA",MOVIMIENTOS!$B353="MALOGRADO",MOVIMIENTOS!$B353="OTRA SALIDA",MOVIMIENTOS!$B353="TRASIEGO",AND(MOVIMIENTOS!$B353="PROCESO",MOVIMIENTOS!$C353="Chancho"),AND(MOVIMIENTOS!$B353="REGALO",MOVIMIENTOS!$C353&lt;&gt;"Chancho"),AND(MOVIMIENTOS!$B353="VENTA",MOVIMIENTOS!$C353&lt;&gt;"Chancho"),AND(MOVIMIENTOS!$B353="AJUSTE",MOVIMIENTOS!$C353&lt;&gt;"Chancho",N(MOVIMIENTOS!$F353)&lt;0))),IF(MOVIMIENTOS!$B353="AJUSTE",-N(MOVIMIENTOS!$F353),N(MOVIMIENTOS!$F353)),"")</f>
        <v/>
      </c>
      <c r="O354" s="48" t="str">
        <f aca="false">IF(AND(MOVIMIENTOS!$B353&lt;&gt;"",NOT(AND(MOVIMIENTOS!$B353="PROCESO",MOVIMIENTOS!$C353&lt;&gt;"Chancho")),NOT(AND(MOVIMIENTOS!$B353="SALDO INICIAL",MOVIMIENTOS!$C353="Chancho"))),IF(MOVIMIENTOS!$B353="RECHAZO",MOVIMIENTOS!$E353&amp;" jabas rechazadas · van a reproceso",IF(MOVIMIENTOS!$B353="REPROCESO",MOVIMIENTOS!$E353&amp;" kg recuperados (merma del día: "&amp;TEXT(SUMPRODUCT((MOVIMIENTOS!$A$5:$A$400=MOVIMIENTOS!$A353)*(MOVIMIENTOS!$B$5:$B$400="RECHAZO")*(MOVIMIENTOS!$D$5:$D$400="jabas")*MOVIMIENTOS!$E$5:$E$400*IFERROR(_xlfn.SWITCH(MOVIMIENTOS!$C$5:$C$400,"A",15,"P",18,"C",17,"M",17,0),0))-SUMPRODUCT((MOVIMIENTOS!$A$5:$A$400=MOVIMIENTOS!$A353)*(MOVIMIENTOS!$B$5:$B$400="REPROCESO")*MOVIMIENTOS!$I$5:$I$400),"+#,##0;-#,##0;0")&amp;" kg)",TRIM(IF(MOVIMIENTOS!$G353&lt;&gt;"",MOVIMIENTOS!$G353&amp;"  ","")&amp;IF(N(MOVIMIENTOS!$D353)&gt;0,MOVIMIENTOS!$D353&amp;" "&amp;MOVIMIENTOS!$D353,"")))),"")</f>
        <v/>
      </c>
      <c r="P354" s="48" t="n">
        <f aca="false">N(P353)+N(M354)-N(N354)</f>
        <v>-290.5</v>
      </c>
      <c r="Q354" s="48"/>
      <c r="R354" s="48"/>
      <c r="S354" s="48"/>
      <c r="T354" s="48"/>
    </row>
    <row r="355" customFormat="false" ht="15" hidden="false" customHeight="true" outlineLevel="0" collapsed="false">
      <c r="A355" s="51" t="str">
        <f aca="false">IFERROR(INDEX(K$6:K$401,MATCH(ROW()-5,J$6:J$401,0)),"")</f>
        <v/>
      </c>
      <c r="B355" s="56" t="str">
        <f aca="false">IFERROR(INDEX(L$6:L$401,MATCH(ROW()-5,J$6:J$401,0)),"")</f>
        <v/>
      </c>
      <c r="C355" s="52" t="str">
        <f aca="false">IFERROR(INDEX(M$6:M$401,MATCH(ROW()-5,J$6:J$401,0)),"")</f>
        <v/>
      </c>
      <c r="D355" s="52" t="str">
        <f aca="false">IFERROR(INDEX(N$6:N$401,MATCH(ROW()-5,J$6:J$401,0)),"")</f>
        <v/>
      </c>
      <c r="E355" s="56" t="str">
        <f aca="false">IFERROR(INDEX(O$6:O$401,MATCH(ROW()-5,J$6:J$401,0)),"")</f>
        <v/>
      </c>
      <c r="F355" s="52" t="str">
        <f aca="false">IFERROR(INDEX(P$6:P$401,MATCH(ROW()-5,J$6:J$401,0)),"")</f>
        <v/>
      </c>
      <c r="G355" s="48"/>
      <c r="H355" s="48"/>
      <c r="I355" s="48"/>
      <c r="J355" s="48" t="str">
        <f aca="false">IF(AND(MOVIMIENTOS!$B354&lt;&gt;"",NOT(AND(MOVIMIENTOS!$B354="PROCESO",MOVIMIENTOS!$C354&lt;&gt;"Chancho")),NOT(AND(MOVIMIENTOS!$B354="SALDO INICIAL",MOVIMIENTOS!$C354="Chancho"))),COUNT(J$6:J354)+1,"")</f>
        <v/>
      </c>
      <c r="K355" s="48" t="str">
        <f aca="false">IF(AND(MOVIMIENTOS!$B354&lt;&gt;"",NOT(AND(MOVIMIENTOS!$B354="PROCESO",MOVIMIENTOS!$C354&lt;&gt;"Chancho")),NOT(AND(MOVIMIENTOS!$B354="SALDO INICIAL",MOVIMIENTOS!$C354="Chancho"))),MOVIMIENTOS!$A354,"")</f>
        <v/>
      </c>
      <c r="L355" s="48" t="str">
        <f aca="false">IF(AND(MOVIMIENTOS!$B354&lt;&gt;"",NOT(AND(MOVIMIENTOS!$B354="PROCESO",MOVIMIENTOS!$C354&lt;&gt;"Chancho")),NOT(AND(MOVIMIENTOS!$B354="SALDO INICIAL",MOVIMIENTOS!$C354="Chancho"))),IF(MOVIMIENTOS!$B354="SALDO INICIAL","APERTURA ("&amp;MOVIMIENTOS!$C354&amp;")",IF(MOVIMIENTOS!$B354="COMPRA","INGRESO (compra)",IF(MOVIMIENTOS!$B354="PROCESO","CHANCHO (proceso)",IF(MOVIMIENTOS!$B354="ENVÍO A SUPESA","ENVÍO cal. "&amp;MOVIMIENTOS!$C354,IF(MOVIMIENTOS!$B354="VENTA CHANCHO","VENTA CHANCHO",IF(MOVIMIENTOS!$B354="VENTA","VENTA cal. "&amp;MOVIMIENTOS!$C354,IF(MOVIMIENTOS!$B354="REGALO","REGALO "&amp;MOVIMIENTOS!$C354,IF(MOVIMIENTOS!$B354="RECHAZO","RECHAZO cal. "&amp;MOVIMIENTOS!$C354&amp;" (va a reproceso)",IF(MOVIMIENTOS!$B354="DEVOLUCIÓN","DEVOLUCIÓN cal. "&amp;MOVIMIENTOS!$C354&amp;" (regresa intacta)",IF(MOVIMIENTOS!$B354="TRASIEGO","TRASIEGO cal. "&amp;MOVIMIENTOS!$C354,MOVIMIENTOS!$B354)))))))))),"")</f>
        <v/>
      </c>
      <c r="M355" s="48" t="str">
        <f aca="false">IF(AND(AND(MOVIMIENTOS!$B354&lt;&gt;"",NOT(AND(MOVIMIENTOS!$B354="PROCESO",MOVIMIENTOS!$C354&lt;&gt;"Chancho")),NOT(AND(MOVIMIENTOS!$B354="SALDO INICIAL",MOVIMIENTOS!$C354="Chancho"))),OR(MOVIMIENTOS!$B354="SALDO INICIAL",MOVIMIENTOS!$B354="COMPRA",MOVIMIENTOS!$B354="REPROCESO",MOVIMIENTOS!$B354="DEVOLUCIÓN",AND(MOVIMIENTOS!$B354="AJUSTE",MOVIMIENTOS!$C354&lt;&gt;"Chancho",N(MOVIMIENTOS!$F354)&gt;=0))),N(MOVIMIENTOS!$F354),"")</f>
        <v/>
      </c>
      <c r="N355" s="48" t="str">
        <f aca="false">IF(AND(AND(MOVIMIENTOS!$B354&lt;&gt;"",NOT(AND(MOVIMIENTOS!$B354="PROCESO",MOVIMIENTOS!$C354&lt;&gt;"Chancho")),NOT(AND(MOVIMIENTOS!$B354="SALDO INICIAL",MOVIMIENTOS!$C354="Chancho"))),OR(MOVIMIENTOS!$B354="ENVÍO A SUPESA",MOVIMIENTOS!$B354="MALOGRADO",MOVIMIENTOS!$B354="OTRA SALIDA",MOVIMIENTOS!$B354="TRASIEGO",AND(MOVIMIENTOS!$B354="PROCESO",MOVIMIENTOS!$C354="Chancho"),AND(MOVIMIENTOS!$B354="REGALO",MOVIMIENTOS!$C354&lt;&gt;"Chancho"),AND(MOVIMIENTOS!$B354="VENTA",MOVIMIENTOS!$C354&lt;&gt;"Chancho"),AND(MOVIMIENTOS!$B354="AJUSTE",MOVIMIENTOS!$C354&lt;&gt;"Chancho",N(MOVIMIENTOS!$F354)&lt;0))),IF(MOVIMIENTOS!$B354="AJUSTE",-N(MOVIMIENTOS!$F354),N(MOVIMIENTOS!$F354)),"")</f>
        <v/>
      </c>
      <c r="O355" s="48" t="str">
        <f aca="false">IF(AND(MOVIMIENTOS!$B354&lt;&gt;"",NOT(AND(MOVIMIENTOS!$B354="PROCESO",MOVIMIENTOS!$C354&lt;&gt;"Chancho")),NOT(AND(MOVIMIENTOS!$B354="SALDO INICIAL",MOVIMIENTOS!$C354="Chancho"))),IF(MOVIMIENTOS!$B354="RECHAZO",MOVIMIENTOS!$E354&amp;" jabas rechazadas · van a reproceso",IF(MOVIMIENTOS!$B354="REPROCESO",MOVIMIENTOS!$E354&amp;" kg recuperados (merma del día: "&amp;TEXT(SUMPRODUCT((MOVIMIENTOS!$A$5:$A$400=MOVIMIENTOS!$A354)*(MOVIMIENTOS!$B$5:$B$400="RECHAZO")*(MOVIMIENTOS!$D$5:$D$400="jabas")*MOVIMIENTOS!$E$5:$E$400*IFERROR(_xlfn.SWITCH(MOVIMIENTOS!$C$5:$C$400,"A",15,"P",18,"C",17,"M",17,0),0))-SUMPRODUCT((MOVIMIENTOS!$A$5:$A$400=MOVIMIENTOS!$A354)*(MOVIMIENTOS!$B$5:$B$400="REPROCESO")*MOVIMIENTOS!$I$5:$I$400),"+#,##0;-#,##0;0")&amp;" kg)",TRIM(IF(MOVIMIENTOS!$G354&lt;&gt;"",MOVIMIENTOS!$G354&amp;"  ","")&amp;IF(N(MOVIMIENTOS!$D354)&gt;0,MOVIMIENTOS!$D354&amp;" "&amp;MOVIMIENTOS!$D354,"")))),"")</f>
        <v/>
      </c>
      <c r="P355" s="48" t="n">
        <f aca="false">N(P354)+N(M355)-N(N355)</f>
        <v>-290.5</v>
      </c>
      <c r="Q355" s="48"/>
      <c r="R355" s="48"/>
      <c r="S355" s="48"/>
      <c r="T355" s="48"/>
    </row>
    <row r="356" customFormat="false" ht="15" hidden="false" customHeight="true" outlineLevel="0" collapsed="false">
      <c r="A356" s="51" t="str">
        <f aca="false">IFERROR(INDEX(K$6:K$401,MATCH(ROW()-5,J$6:J$401,0)),"")</f>
        <v/>
      </c>
      <c r="B356" s="56" t="str">
        <f aca="false">IFERROR(INDEX(L$6:L$401,MATCH(ROW()-5,J$6:J$401,0)),"")</f>
        <v/>
      </c>
      <c r="C356" s="52" t="str">
        <f aca="false">IFERROR(INDEX(M$6:M$401,MATCH(ROW()-5,J$6:J$401,0)),"")</f>
        <v/>
      </c>
      <c r="D356" s="52" t="str">
        <f aca="false">IFERROR(INDEX(N$6:N$401,MATCH(ROW()-5,J$6:J$401,0)),"")</f>
        <v/>
      </c>
      <c r="E356" s="56" t="str">
        <f aca="false">IFERROR(INDEX(O$6:O$401,MATCH(ROW()-5,J$6:J$401,0)),"")</f>
        <v/>
      </c>
      <c r="F356" s="52" t="str">
        <f aca="false">IFERROR(INDEX(P$6:P$401,MATCH(ROW()-5,J$6:J$401,0)),"")</f>
        <v/>
      </c>
      <c r="G356" s="48"/>
      <c r="H356" s="48"/>
      <c r="I356" s="48"/>
      <c r="J356" s="48" t="str">
        <f aca="false">IF(AND(MOVIMIENTOS!$B355&lt;&gt;"",NOT(AND(MOVIMIENTOS!$B355="PROCESO",MOVIMIENTOS!$C355&lt;&gt;"Chancho")),NOT(AND(MOVIMIENTOS!$B355="SALDO INICIAL",MOVIMIENTOS!$C355="Chancho"))),COUNT(J$6:J355)+1,"")</f>
        <v/>
      </c>
      <c r="K356" s="48" t="str">
        <f aca="false">IF(AND(MOVIMIENTOS!$B355&lt;&gt;"",NOT(AND(MOVIMIENTOS!$B355="PROCESO",MOVIMIENTOS!$C355&lt;&gt;"Chancho")),NOT(AND(MOVIMIENTOS!$B355="SALDO INICIAL",MOVIMIENTOS!$C355="Chancho"))),MOVIMIENTOS!$A355,"")</f>
        <v/>
      </c>
      <c r="L356" s="48" t="str">
        <f aca="false">IF(AND(MOVIMIENTOS!$B355&lt;&gt;"",NOT(AND(MOVIMIENTOS!$B355="PROCESO",MOVIMIENTOS!$C355&lt;&gt;"Chancho")),NOT(AND(MOVIMIENTOS!$B355="SALDO INICIAL",MOVIMIENTOS!$C355="Chancho"))),IF(MOVIMIENTOS!$B355="SALDO INICIAL","APERTURA ("&amp;MOVIMIENTOS!$C355&amp;")",IF(MOVIMIENTOS!$B355="COMPRA","INGRESO (compra)",IF(MOVIMIENTOS!$B355="PROCESO","CHANCHO (proceso)",IF(MOVIMIENTOS!$B355="ENVÍO A SUPESA","ENVÍO cal. "&amp;MOVIMIENTOS!$C355,IF(MOVIMIENTOS!$B355="VENTA CHANCHO","VENTA CHANCHO",IF(MOVIMIENTOS!$B355="VENTA","VENTA cal. "&amp;MOVIMIENTOS!$C355,IF(MOVIMIENTOS!$B355="REGALO","REGALO "&amp;MOVIMIENTOS!$C355,IF(MOVIMIENTOS!$B355="RECHAZO","RECHAZO cal. "&amp;MOVIMIENTOS!$C355&amp;" (va a reproceso)",IF(MOVIMIENTOS!$B355="DEVOLUCIÓN","DEVOLUCIÓN cal. "&amp;MOVIMIENTOS!$C355&amp;" (regresa intacta)",IF(MOVIMIENTOS!$B355="TRASIEGO","TRASIEGO cal. "&amp;MOVIMIENTOS!$C355,MOVIMIENTOS!$B355)))))))))),"")</f>
        <v/>
      </c>
      <c r="M356" s="48" t="str">
        <f aca="false">IF(AND(AND(MOVIMIENTOS!$B355&lt;&gt;"",NOT(AND(MOVIMIENTOS!$B355="PROCESO",MOVIMIENTOS!$C355&lt;&gt;"Chancho")),NOT(AND(MOVIMIENTOS!$B355="SALDO INICIAL",MOVIMIENTOS!$C355="Chancho"))),OR(MOVIMIENTOS!$B355="SALDO INICIAL",MOVIMIENTOS!$B355="COMPRA",MOVIMIENTOS!$B355="REPROCESO",MOVIMIENTOS!$B355="DEVOLUCIÓN",AND(MOVIMIENTOS!$B355="AJUSTE",MOVIMIENTOS!$C355&lt;&gt;"Chancho",N(MOVIMIENTOS!$F355)&gt;=0))),N(MOVIMIENTOS!$F355),"")</f>
        <v/>
      </c>
      <c r="N356" s="48" t="str">
        <f aca="false">IF(AND(AND(MOVIMIENTOS!$B355&lt;&gt;"",NOT(AND(MOVIMIENTOS!$B355="PROCESO",MOVIMIENTOS!$C355&lt;&gt;"Chancho")),NOT(AND(MOVIMIENTOS!$B355="SALDO INICIAL",MOVIMIENTOS!$C355="Chancho"))),OR(MOVIMIENTOS!$B355="ENVÍO A SUPESA",MOVIMIENTOS!$B355="MALOGRADO",MOVIMIENTOS!$B355="OTRA SALIDA",MOVIMIENTOS!$B355="TRASIEGO",AND(MOVIMIENTOS!$B355="PROCESO",MOVIMIENTOS!$C355="Chancho"),AND(MOVIMIENTOS!$B355="REGALO",MOVIMIENTOS!$C355&lt;&gt;"Chancho"),AND(MOVIMIENTOS!$B355="VENTA",MOVIMIENTOS!$C355&lt;&gt;"Chancho"),AND(MOVIMIENTOS!$B355="AJUSTE",MOVIMIENTOS!$C355&lt;&gt;"Chancho",N(MOVIMIENTOS!$F355)&lt;0))),IF(MOVIMIENTOS!$B355="AJUSTE",-N(MOVIMIENTOS!$F355),N(MOVIMIENTOS!$F355)),"")</f>
        <v/>
      </c>
      <c r="O356" s="48" t="str">
        <f aca="false">IF(AND(MOVIMIENTOS!$B355&lt;&gt;"",NOT(AND(MOVIMIENTOS!$B355="PROCESO",MOVIMIENTOS!$C355&lt;&gt;"Chancho")),NOT(AND(MOVIMIENTOS!$B355="SALDO INICIAL",MOVIMIENTOS!$C355="Chancho"))),IF(MOVIMIENTOS!$B355="RECHAZO",MOVIMIENTOS!$E355&amp;" jabas rechazadas · van a reproceso",IF(MOVIMIENTOS!$B355="REPROCESO",MOVIMIENTOS!$E355&amp;" kg recuperados (merma del día: "&amp;TEXT(SUMPRODUCT((MOVIMIENTOS!$A$5:$A$400=MOVIMIENTOS!$A355)*(MOVIMIENTOS!$B$5:$B$400="RECHAZO")*(MOVIMIENTOS!$D$5:$D$400="jabas")*MOVIMIENTOS!$E$5:$E$400*IFERROR(_xlfn.SWITCH(MOVIMIENTOS!$C$5:$C$400,"A",15,"P",18,"C",17,"M",17,0),0))-SUMPRODUCT((MOVIMIENTOS!$A$5:$A$400=MOVIMIENTOS!$A355)*(MOVIMIENTOS!$B$5:$B$400="REPROCESO")*MOVIMIENTOS!$I$5:$I$400),"+#,##0;-#,##0;0")&amp;" kg)",TRIM(IF(MOVIMIENTOS!$G355&lt;&gt;"",MOVIMIENTOS!$G355&amp;"  ","")&amp;IF(N(MOVIMIENTOS!$D355)&gt;0,MOVIMIENTOS!$D355&amp;" "&amp;MOVIMIENTOS!$D355,"")))),"")</f>
        <v/>
      </c>
      <c r="P356" s="48" t="n">
        <f aca="false">N(P355)+N(M356)-N(N356)</f>
        <v>-290.5</v>
      </c>
      <c r="Q356" s="48"/>
      <c r="R356" s="48"/>
      <c r="S356" s="48"/>
      <c r="T356" s="48"/>
    </row>
    <row r="357" customFormat="false" ht="15" hidden="false" customHeight="true" outlineLevel="0" collapsed="false">
      <c r="A357" s="51" t="str">
        <f aca="false">IFERROR(INDEX(K$6:K$401,MATCH(ROW()-5,J$6:J$401,0)),"")</f>
        <v/>
      </c>
      <c r="B357" s="56" t="str">
        <f aca="false">IFERROR(INDEX(L$6:L$401,MATCH(ROW()-5,J$6:J$401,0)),"")</f>
        <v/>
      </c>
      <c r="C357" s="52" t="str">
        <f aca="false">IFERROR(INDEX(M$6:M$401,MATCH(ROW()-5,J$6:J$401,0)),"")</f>
        <v/>
      </c>
      <c r="D357" s="52" t="str">
        <f aca="false">IFERROR(INDEX(N$6:N$401,MATCH(ROW()-5,J$6:J$401,0)),"")</f>
        <v/>
      </c>
      <c r="E357" s="56" t="str">
        <f aca="false">IFERROR(INDEX(O$6:O$401,MATCH(ROW()-5,J$6:J$401,0)),"")</f>
        <v/>
      </c>
      <c r="F357" s="52" t="str">
        <f aca="false">IFERROR(INDEX(P$6:P$401,MATCH(ROW()-5,J$6:J$401,0)),"")</f>
        <v/>
      </c>
      <c r="G357" s="48"/>
      <c r="H357" s="48"/>
      <c r="I357" s="48"/>
      <c r="J357" s="48" t="str">
        <f aca="false">IF(AND(MOVIMIENTOS!$B356&lt;&gt;"",NOT(AND(MOVIMIENTOS!$B356="PROCESO",MOVIMIENTOS!$C356&lt;&gt;"Chancho")),NOT(AND(MOVIMIENTOS!$B356="SALDO INICIAL",MOVIMIENTOS!$C356="Chancho"))),COUNT(J$6:J356)+1,"")</f>
        <v/>
      </c>
      <c r="K357" s="48" t="str">
        <f aca="false">IF(AND(MOVIMIENTOS!$B356&lt;&gt;"",NOT(AND(MOVIMIENTOS!$B356="PROCESO",MOVIMIENTOS!$C356&lt;&gt;"Chancho")),NOT(AND(MOVIMIENTOS!$B356="SALDO INICIAL",MOVIMIENTOS!$C356="Chancho"))),MOVIMIENTOS!$A356,"")</f>
        <v/>
      </c>
      <c r="L357" s="48" t="str">
        <f aca="false">IF(AND(MOVIMIENTOS!$B356&lt;&gt;"",NOT(AND(MOVIMIENTOS!$B356="PROCESO",MOVIMIENTOS!$C356&lt;&gt;"Chancho")),NOT(AND(MOVIMIENTOS!$B356="SALDO INICIAL",MOVIMIENTOS!$C356="Chancho"))),IF(MOVIMIENTOS!$B356="SALDO INICIAL","APERTURA ("&amp;MOVIMIENTOS!$C356&amp;")",IF(MOVIMIENTOS!$B356="COMPRA","INGRESO (compra)",IF(MOVIMIENTOS!$B356="PROCESO","CHANCHO (proceso)",IF(MOVIMIENTOS!$B356="ENVÍO A SUPESA","ENVÍO cal. "&amp;MOVIMIENTOS!$C356,IF(MOVIMIENTOS!$B356="VENTA CHANCHO","VENTA CHANCHO",IF(MOVIMIENTOS!$B356="VENTA","VENTA cal. "&amp;MOVIMIENTOS!$C356,IF(MOVIMIENTOS!$B356="REGALO","REGALO "&amp;MOVIMIENTOS!$C356,IF(MOVIMIENTOS!$B356="RECHAZO","RECHAZO cal. "&amp;MOVIMIENTOS!$C356&amp;" (va a reproceso)",IF(MOVIMIENTOS!$B356="DEVOLUCIÓN","DEVOLUCIÓN cal. "&amp;MOVIMIENTOS!$C356&amp;" (regresa intacta)",IF(MOVIMIENTOS!$B356="TRASIEGO","TRASIEGO cal. "&amp;MOVIMIENTOS!$C356,MOVIMIENTOS!$B356)))))))))),"")</f>
        <v/>
      </c>
      <c r="M357" s="48" t="str">
        <f aca="false">IF(AND(AND(MOVIMIENTOS!$B356&lt;&gt;"",NOT(AND(MOVIMIENTOS!$B356="PROCESO",MOVIMIENTOS!$C356&lt;&gt;"Chancho")),NOT(AND(MOVIMIENTOS!$B356="SALDO INICIAL",MOVIMIENTOS!$C356="Chancho"))),OR(MOVIMIENTOS!$B356="SALDO INICIAL",MOVIMIENTOS!$B356="COMPRA",MOVIMIENTOS!$B356="REPROCESO",MOVIMIENTOS!$B356="DEVOLUCIÓN",AND(MOVIMIENTOS!$B356="AJUSTE",MOVIMIENTOS!$C356&lt;&gt;"Chancho",N(MOVIMIENTOS!$F356)&gt;=0))),N(MOVIMIENTOS!$F356),"")</f>
        <v/>
      </c>
      <c r="N357" s="48" t="str">
        <f aca="false">IF(AND(AND(MOVIMIENTOS!$B356&lt;&gt;"",NOT(AND(MOVIMIENTOS!$B356="PROCESO",MOVIMIENTOS!$C356&lt;&gt;"Chancho")),NOT(AND(MOVIMIENTOS!$B356="SALDO INICIAL",MOVIMIENTOS!$C356="Chancho"))),OR(MOVIMIENTOS!$B356="ENVÍO A SUPESA",MOVIMIENTOS!$B356="MALOGRADO",MOVIMIENTOS!$B356="OTRA SALIDA",MOVIMIENTOS!$B356="TRASIEGO",AND(MOVIMIENTOS!$B356="PROCESO",MOVIMIENTOS!$C356="Chancho"),AND(MOVIMIENTOS!$B356="REGALO",MOVIMIENTOS!$C356&lt;&gt;"Chancho"),AND(MOVIMIENTOS!$B356="VENTA",MOVIMIENTOS!$C356&lt;&gt;"Chancho"),AND(MOVIMIENTOS!$B356="AJUSTE",MOVIMIENTOS!$C356&lt;&gt;"Chancho",N(MOVIMIENTOS!$F356)&lt;0))),IF(MOVIMIENTOS!$B356="AJUSTE",-N(MOVIMIENTOS!$F356),N(MOVIMIENTOS!$F356)),"")</f>
        <v/>
      </c>
      <c r="O357" s="48" t="str">
        <f aca="false">IF(AND(MOVIMIENTOS!$B356&lt;&gt;"",NOT(AND(MOVIMIENTOS!$B356="PROCESO",MOVIMIENTOS!$C356&lt;&gt;"Chancho")),NOT(AND(MOVIMIENTOS!$B356="SALDO INICIAL",MOVIMIENTOS!$C356="Chancho"))),IF(MOVIMIENTOS!$B356="RECHAZO",MOVIMIENTOS!$E356&amp;" jabas rechazadas · van a reproceso",IF(MOVIMIENTOS!$B356="REPROCESO",MOVIMIENTOS!$E356&amp;" kg recuperados (merma del día: "&amp;TEXT(SUMPRODUCT((MOVIMIENTOS!$A$5:$A$400=MOVIMIENTOS!$A356)*(MOVIMIENTOS!$B$5:$B$400="RECHAZO")*(MOVIMIENTOS!$D$5:$D$400="jabas")*MOVIMIENTOS!$E$5:$E$400*IFERROR(_xlfn.SWITCH(MOVIMIENTOS!$C$5:$C$400,"A",15,"P",18,"C",17,"M",17,0),0))-SUMPRODUCT((MOVIMIENTOS!$A$5:$A$400=MOVIMIENTOS!$A356)*(MOVIMIENTOS!$B$5:$B$400="REPROCESO")*MOVIMIENTOS!$I$5:$I$400),"+#,##0;-#,##0;0")&amp;" kg)",TRIM(IF(MOVIMIENTOS!$G356&lt;&gt;"",MOVIMIENTOS!$G356&amp;"  ","")&amp;IF(N(MOVIMIENTOS!$D356)&gt;0,MOVIMIENTOS!$D356&amp;" "&amp;MOVIMIENTOS!$D356,"")))),"")</f>
        <v/>
      </c>
      <c r="P357" s="48" t="n">
        <f aca="false">N(P356)+N(M357)-N(N357)</f>
        <v>-290.5</v>
      </c>
      <c r="Q357" s="48"/>
      <c r="R357" s="48"/>
      <c r="S357" s="48"/>
      <c r="T357" s="48"/>
    </row>
    <row r="358" customFormat="false" ht="15" hidden="false" customHeight="true" outlineLevel="0" collapsed="false">
      <c r="A358" s="51" t="str">
        <f aca="false">IFERROR(INDEX(K$6:K$401,MATCH(ROW()-5,J$6:J$401,0)),"")</f>
        <v/>
      </c>
      <c r="B358" s="56" t="str">
        <f aca="false">IFERROR(INDEX(L$6:L$401,MATCH(ROW()-5,J$6:J$401,0)),"")</f>
        <v/>
      </c>
      <c r="C358" s="52" t="str">
        <f aca="false">IFERROR(INDEX(M$6:M$401,MATCH(ROW()-5,J$6:J$401,0)),"")</f>
        <v/>
      </c>
      <c r="D358" s="52" t="str">
        <f aca="false">IFERROR(INDEX(N$6:N$401,MATCH(ROW()-5,J$6:J$401,0)),"")</f>
        <v/>
      </c>
      <c r="E358" s="56" t="str">
        <f aca="false">IFERROR(INDEX(O$6:O$401,MATCH(ROW()-5,J$6:J$401,0)),"")</f>
        <v/>
      </c>
      <c r="F358" s="52" t="str">
        <f aca="false">IFERROR(INDEX(P$6:P$401,MATCH(ROW()-5,J$6:J$401,0)),"")</f>
        <v/>
      </c>
      <c r="G358" s="48"/>
      <c r="H358" s="48"/>
      <c r="I358" s="48"/>
      <c r="J358" s="48" t="str">
        <f aca="false">IF(AND(MOVIMIENTOS!$B357&lt;&gt;"",NOT(AND(MOVIMIENTOS!$B357="PROCESO",MOVIMIENTOS!$C357&lt;&gt;"Chancho")),NOT(AND(MOVIMIENTOS!$B357="SALDO INICIAL",MOVIMIENTOS!$C357="Chancho"))),COUNT(J$6:J357)+1,"")</f>
        <v/>
      </c>
      <c r="K358" s="48" t="str">
        <f aca="false">IF(AND(MOVIMIENTOS!$B357&lt;&gt;"",NOT(AND(MOVIMIENTOS!$B357="PROCESO",MOVIMIENTOS!$C357&lt;&gt;"Chancho")),NOT(AND(MOVIMIENTOS!$B357="SALDO INICIAL",MOVIMIENTOS!$C357="Chancho"))),MOVIMIENTOS!$A357,"")</f>
        <v/>
      </c>
      <c r="L358" s="48" t="str">
        <f aca="false">IF(AND(MOVIMIENTOS!$B357&lt;&gt;"",NOT(AND(MOVIMIENTOS!$B357="PROCESO",MOVIMIENTOS!$C357&lt;&gt;"Chancho")),NOT(AND(MOVIMIENTOS!$B357="SALDO INICIAL",MOVIMIENTOS!$C357="Chancho"))),IF(MOVIMIENTOS!$B357="SALDO INICIAL","APERTURA ("&amp;MOVIMIENTOS!$C357&amp;")",IF(MOVIMIENTOS!$B357="COMPRA","INGRESO (compra)",IF(MOVIMIENTOS!$B357="PROCESO","CHANCHO (proceso)",IF(MOVIMIENTOS!$B357="ENVÍO A SUPESA","ENVÍO cal. "&amp;MOVIMIENTOS!$C357,IF(MOVIMIENTOS!$B357="VENTA CHANCHO","VENTA CHANCHO",IF(MOVIMIENTOS!$B357="VENTA","VENTA cal. "&amp;MOVIMIENTOS!$C357,IF(MOVIMIENTOS!$B357="REGALO","REGALO "&amp;MOVIMIENTOS!$C357,IF(MOVIMIENTOS!$B357="RECHAZO","RECHAZO cal. "&amp;MOVIMIENTOS!$C357&amp;" (va a reproceso)",IF(MOVIMIENTOS!$B357="DEVOLUCIÓN","DEVOLUCIÓN cal. "&amp;MOVIMIENTOS!$C357&amp;" (regresa intacta)",IF(MOVIMIENTOS!$B357="TRASIEGO","TRASIEGO cal. "&amp;MOVIMIENTOS!$C357,MOVIMIENTOS!$B357)))))))))),"")</f>
        <v/>
      </c>
      <c r="M358" s="48" t="str">
        <f aca="false">IF(AND(AND(MOVIMIENTOS!$B357&lt;&gt;"",NOT(AND(MOVIMIENTOS!$B357="PROCESO",MOVIMIENTOS!$C357&lt;&gt;"Chancho")),NOT(AND(MOVIMIENTOS!$B357="SALDO INICIAL",MOVIMIENTOS!$C357="Chancho"))),OR(MOVIMIENTOS!$B357="SALDO INICIAL",MOVIMIENTOS!$B357="COMPRA",MOVIMIENTOS!$B357="REPROCESO",MOVIMIENTOS!$B357="DEVOLUCIÓN",AND(MOVIMIENTOS!$B357="AJUSTE",MOVIMIENTOS!$C357&lt;&gt;"Chancho",N(MOVIMIENTOS!$F357)&gt;=0))),N(MOVIMIENTOS!$F357),"")</f>
        <v/>
      </c>
      <c r="N358" s="48" t="str">
        <f aca="false">IF(AND(AND(MOVIMIENTOS!$B357&lt;&gt;"",NOT(AND(MOVIMIENTOS!$B357="PROCESO",MOVIMIENTOS!$C357&lt;&gt;"Chancho")),NOT(AND(MOVIMIENTOS!$B357="SALDO INICIAL",MOVIMIENTOS!$C357="Chancho"))),OR(MOVIMIENTOS!$B357="ENVÍO A SUPESA",MOVIMIENTOS!$B357="MALOGRADO",MOVIMIENTOS!$B357="OTRA SALIDA",MOVIMIENTOS!$B357="TRASIEGO",AND(MOVIMIENTOS!$B357="PROCESO",MOVIMIENTOS!$C357="Chancho"),AND(MOVIMIENTOS!$B357="REGALO",MOVIMIENTOS!$C357&lt;&gt;"Chancho"),AND(MOVIMIENTOS!$B357="VENTA",MOVIMIENTOS!$C357&lt;&gt;"Chancho"),AND(MOVIMIENTOS!$B357="AJUSTE",MOVIMIENTOS!$C357&lt;&gt;"Chancho",N(MOVIMIENTOS!$F357)&lt;0))),IF(MOVIMIENTOS!$B357="AJUSTE",-N(MOVIMIENTOS!$F357),N(MOVIMIENTOS!$F357)),"")</f>
        <v/>
      </c>
      <c r="O358" s="48" t="str">
        <f aca="false">IF(AND(MOVIMIENTOS!$B357&lt;&gt;"",NOT(AND(MOVIMIENTOS!$B357="PROCESO",MOVIMIENTOS!$C357&lt;&gt;"Chancho")),NOT(AND(MOVIMIENTOS!$B357="SALDO INICIAL",MOVIMIENTOS!$C357="Chancho"))),IF(MOVIMIENTOS!$B357="RECHAZO",MOVIMIENTOS!$E357&amp;" jabas rechazadas · van a reproceso",IF(MOVIMIENTOS!$B357="REPROCESO",MOVIMIENTOS!$E357&amp;" kg recuperados (merma del día: "&amp;TEXT(SUMPRODUCT((MOVIMIENTOS!$A$5:$A$400=MOVIMIENTOS!$A357)*(MOVIMIENTOS!$B$5:$B$400="RECHAZO")*(MOVIMIENTOS!$D$5:$D$400="jabas")*MOVIMIENTOS!$E$5:$E$400*IFERROR(_xlfn.SWITCH(MOVIMIENTOS!$C$5:$C$400,"A",15,"P",18,"C",17,"M",17,0),0))-SUMPRODUCT((MOVIMIENTOS!$A$5:$A$400=MOVIMIENTOS!$A357)*(MOVIMIENTOS!$B$5:$B$400="REPROCESO")*MOVIMIENTOS!$I$5:$I$400),"+#,##0;-#,##0;0")&amp;" kg)",TRIM(IF(MOVIMIENTOS!$G357&lt;&gt;"",MOVIMIENTOS!$G357&amp;"  ","")&amp;IF(N(MOVIMIENTOS!$D357)&gt;0,MOVIMIENTOS!$D357&amp;" "&amp;MOVIMIENTOS!$D357,"")))),"")</f>
        <v/>
      </c>
      <c r="P358" s="48" t="n">
        <f aca="false">N(P357)+N(M358)-N(N358)</f>
        <v>-290.5</v>
      </c>
      <c r="Q358" s="48"/>
      <c r="R358" s="48"/>
      <c r="S358" s="48"/>
      <c r="T358" s="48"/>
    </row>
    <row r="359" customFormat="false" ht="15" hidden="false" customHeight="true" outlineLevel="0" collapsed="false">
      <c r="A359" s="51" t="str">
        <f aca="false">IFERROR(INDEX(K$6:K$401,MATCH(ROW()-5,J$6:J$401,0)),"")</f>
        <v/>
      </c>
      <c r="B359" s="56" t="str">
        <f aca="false">IFERROR(INDEX(L$6:L$401,MATCH(ROW()-5,J$6:J$401,0)),"")</f>
        <v/>
      </c>
      <c r="C359" s="52" t="str">
        <f aca="false">IFERROR(INDEX(M$6:M$401,MATCH(ROW()-5,J$6:J$401,0)),"")</f>
        <v/>
      </c>
      <c r="D359" s="52" t="str">
        <f aca="false">IFERROR(INDEX(N$6:N$401,MATCH(ROW()-5,J$6:J$401,0)),"")</f>
        <v/>
      </c>
      <c r="E359" s="56" t="str">
        <f aca="false">IFERROR(INDEX(O$6:O$401,MATCH(ROW()-5,J$6:J$401,0)),"")</f>
        <v/>
      </c>
      <c r="F359" s="52" t="str">
        <f aca="false">IFERROR(INDEX(P$6:P$401,MATCH(ROW()-5,J$6:J$401,0)),"")</f>
        <v/>
      </c>
      <c r="G359" s="48"/>
      <c r="H359" s="48"/>
      <c r="I359" s="48"/>
      <c r="J359" s="48" t="str">
        <f aca="false">IF(AND(MOVIMIENTOS!$B358&lt;&gt;"",NOT(AND(MOVIMIENTOS!$B358="PROCESO",MOVIMIENTOS!$C358&lt;&gt;"Chancho")),NOT(AND(MOVIMIENTOS!$B358="SALDO INICIAL",MOVIMIENTOS!$C358="Chancho"))),COUNT(J$6:J358)+1,"")</f>
        <v/>
      </c>
      <c r="K359" s="48" t="str">
        <f aca="false">IF(AND(MOVIMIENTOS!$B358&lt;&gt;"",NOT(AND(MOVIMIENTOS!$B358="PROCESO",MOVIMIENTOS!$C358&lt;&gt;"Chancho")),NOT(AND(MOVIMIENTOS!$B358="SALDO INICIAL",MOVIMIENTOS!$C358="Chancho"))),MOVIMIENTOS!$A358,"")</f>
        <v/>
      </c>
      <c r="L359" s="48" t="str">
        <f aca="false">IF(AND(MOVIMIENTOS!$B358&lt;&gt;"",NOT(AND(MOVIMIENTOS!$B358="PROCESO",MOVIMIENTOS!$C358&lt;&gt;"Chancho")),NOT(AND(MOVIMIENTOS!$B358="SALDO INICIAL",MOVIMIENTOS!$C358="Chancho"))),IF(MOVIMIENTOS!$B358="SALDO INICIAL","APERTURA ("&amp;MOVIMIENTOS!$C358&amp;")",IF(MOVIMIENTOS!$B358="COMPRA","INGRESO (compra)",IF(MOVIMIENTOS!$B358="PROCESO","CHANCHO (proceso)",IF(MOVIMIENTOS!$B358="ENVÍO A SUPESA","ENVÍO cal. "&amp;MOVIMIENTOS!$C358,IF(MOVIMIENTOS!$B358="VENTA CHANCHO","VENTA CHANCHO",IF(MOVIMIENTOS!$B358="VENTA","VENTA cal. "&amp;MOVIMIENTOS!$C358,IF(MOVIMIENTOS!$B358="REGALO","REGALO "&amp;MOVIMIENTOS!$C358,IF(MOVIMIENTOS!$B358="RECHAZO","RECHAZO cal. "&amp;MOVIMIENTOS!$C358&amp;" (va a reproceso)",IF(MOVIMIENTOS!$B358="DEVOLUCIÓN","DEVOLUCIÓN cal. "&amp;MOVIMIENTOS!$C358&amp;" (regresa intacta)",IF(MOVIMIENTOS!$B358="TRASIEGO","TRASIEGO cal. "&amp;MOVIMIENTOS!$C358,MOVIMIENTOS!$B358)))))))))),"")</f>
        <v/>
      </c>
      <c r="M359" s="48" t="str">
        <f aca="false">IF(AND(AND(MOVIMIENTOS!$B358&lt;&gt;"",NOT(AND(MOVIMIENTOS!$B358="PROCESO",MOVIMIENTOS!$C358&lt;&gt;"Chancho")),NOT(AND(MOVIMIENTOS!$B358="SALDO INICIAL",MOVIMIENTOS!$C358="Chancho"))),OR(MOVIMIENTOS!$B358="SALDO INICIAL",MOVIMIENTOS!$B358="COMPRA",MOVIMIENTOS!$B358="REPROCESO",MOVIMIENTOS!$B358="DEVOLUCIÓN",AND(MOVIMIENTOS!$B358="AJUSTE",MOVIMIENTOS!$C358&lt;&gt;"Chancho",N(MOVIMIENTOS!$F358)&gt;=0))),N(MOVIMIENTOS!$F358),"")</f>
        <v/>
      </c>
      <c r="N359" s="48" t="str">
        <f aca="false">IF(AND(AND(MOVIMIENTOS!$B358&lt;&gt;"",NOT(AND(MOVIMIENTOS!$B358="PROCESO",MOVIMIENTOS!$C358&lt;&gt;"Chancho")),NOT(AND(MOVIMIENTOS!$B358="SALDO INICIAL",MOVIMIENTOS!$C358="Chancho"))),OR(MOVIMIENTOS!$B358="ENVÍO A SUPESA",MOVIMIENTOS!$B358="MALOGRADO",MOVIMIENTOS!$B358="OTRA SALIDA",MOVIMIENTOS!$B358="TRASIEGO",AND(MOVIMIENTOS!$B358="PROCESO",MOVIMIENTOS!$C358="Chancho"),AND(MOVIMIENTOS!$B358="REGALO",MOVIMIENTOS!$C358&lt;&gt;"Chancho"),AND(MOVIMIENTOS!$B358="VENTA",MOVIMIENTOS!$C358&lt;&gt;"Chancho"),AND(MOVIMIENTOS!$B358="AJUSTE",MOVIMIENTOS!$C358&lt;&gt;"Chancho",N(MOVIMIENTOS!$F358)&lt;0))),IF(MOVIMIENTOS!$B358="AJUSTE",-N(MOVIMIENTOS!$F358),N(MOVIMIENTOS!$F358)),"")</f>
        <v/>
      </c>
      <c r="O359" s="48" t="str">
        <f aca="false">IF(AND(MOVIMIENTOS!$B358&lt;&gt;"",NOT(AND(MOVIMIENTOS!$B358="PROCESO",MOVIMIENTOS!$C358&lt;&gt;"Chancho")),NOT(AND(MOVIMIENTOS!$B358="SALDO INICIAL",MOVIMIENTOS!$C358="Chancho"))),IF(MOVIMIENTOS!$B358="RECHAZO",MOVIMIENTOS!$E358&amp;" jabas rechazadas · van a reproceso",IF(MOVIMIENTOS!$B358="REPROCESO",MOVIMIENTOS!$E358&amp;" kg recuperados (merma del día: "&amp;TEXT(SUMPRODUCT((MOVIMIENTOS!$A$5:$A$400=MOVIMIENTOS!$A358)*(MOVIMIENTOS!$B$5:$B$400="RECHAZO")*(MOVIMIENTOS!$D$5:$D$400="jabas")*MOVIMIENTOS!$E$5:$E$400*IFERROR(_xlfn.SWITCH(MOVIMIENTOS!$C$5:$C$400,"A",15,"P",18,"C",17,"M",17,0),0))-SUMPRODUCT((MOVIMIENTOS!$A$5:$A$400=MOVIMIENTOS!$A358)*(MOVIMIENTOS!$B$5:$B$400="REPROCESO")*MOVIMIENTOS!$I$5:$I$400),"+#,##0;-#,##0;0")&amp;" kg)",TRIM(IF(MOVIMIENTOS!$G358&lt;&gt;"",MOVIMIENTOS!$G358&amp;"  ","")&amp;IF(N(MOVIMIENTOS!$D358)&gt;0,MOVIMIENTOS!$D358&amp;" "&amp;MOVIMIENTOS!$D358,"")))),"")</f>
        <v/>
      </c>
      <c r="P359" s="48" t="n">
        <f aca="false">N(P358)+N(M359)-N(N359)</f>
        <v>-290.5</v>
      </c>
      <c r="Q359" s="48"/>
      <c r="R359" s="48"/>
      <c r="S359" s="48"/>
      <c r="T359" s="48"/>
    </row>
    <row r="360" customFormat="false" ht="15" hidden="false" customHeight="true" outlineLevel="0" collapsed="false">
      <c r="A360" s="51" t="str">
        <f aca="false">IFERROR(INDEX(K$6:K$401,MATCH(ROW()-5,J$6:J$401,0)),"")</f>
        <v/>
      </c>
      <c r="B360" s="56" t="str">
        <f aca="false">IFERROR(INDEX(L$6:L$401,MATCH(ROW()-5,J$6:J$401,0)),"")</f>
        <v/>
      </c>
      <c r="C360" s="52" t="str">
        <f aca="false">IFERROR(INDEX(M$6:M$401,MATCH(ROW()-5,J$6:J$401,0)),"")</f>
        <v/>
      </c>
      <c r="D360" s="52" t="str">
        <f aca="false">IFERROR(INDEX(N$6:N$401,MATCH(ROW()-5,J$6:J$401,0)),"")</f>
        <v/>
      </c>
      <c r="E360" s="56" t="str">
        <f aca="false">IFERROR(INDEX(O$6:O$401,MATCH(ROW()-5,J$6:J$401,0)),"")</f>
        <v/>
      </c>
      <c r="F360" s="52" t="str">
        <f aca="false">IFERROR(INDEX(P$6:P$401,MATCH(ROW()-5,J$6:J$401,0)),"")</f>
        <v/>
      </c>
      <c r="G360" s="48"/>
      <c r="H360" s="48"/>
      <c r="I360" s="48"/>
      <c r="J360" s="48" t="str">
        <f aca="false">IF(AND(MOVIMIENTOS!$B359&lt;&gt;"",NOT(AND(MOVIMIENTOS!$B359="PROCESO",MOVIMIENTOS!$C359&lt;&gt;"Chancho")),NOT(AND(MOVIMIENTOS!$B359="SALDO INICIAL",MOVIMIENTOS!$C359="Chancho"))),COUNT(J$6:J359)+1,"")</f>
        <v/>
      </c>
      <c r="K360" s="48" t="str">
        <f aca="false">IF(AND(MOVIMIENTOS!$B359&lt;&gt;"",NOT(AND(MOVIMIENTOS!$B359="PROCESO",MOVIMIENTOS!$C359&lt;&gt;"Chancho")),NOT(AND(MOVIMIENTOS!$B359="SALDO INICIAL",MOVIMIENTOS!$C359="Chancho"))),MOVIMIENTOS!$A359,"")</f>
        <v/>
      </c>
      <c r="L360" s="48" t="str">
        <f aca="false">IF(AND(MOVIMIENTOS!$B359&lt;&gt;"",NOT(AND(MOVIMIENTOS!$B359="PROCESO",MOVIMIENTOS!$C359&lt;&gt;"Chancho")),NOT(AND(MOVIMIENTOS!$B359="SALDO INICIAL",MOVIMIENTOS!$C359="Chancho"))),IF(MOVIMIENTOS!$B359="SALDO INICIAL","APERTURA ("&amp;MOVIMIENTOS!$C359&amp;")",IF(MOVIMIENTOS!$B359="COMPRA","INGRESO (compra)",IF(MOVIMIENTOS!$B359="PROCESO","CHANCHO (proceso)",IF(MOVIMIENTOS!$B359="ENVÍO A SUPESA","ENVÍO cal. "&amp;MOVIMIENTOS!$C359,IF(MOVIMIENTOS!$B359="VENTA CHANCHO","VENTA CHANCHO",IF(MOVIMIENTOS!$B359="VENTA","VENTA cal. "&amp;MOVIMIENTOS!$C359,IF(MOVIMIENTOS!$B359="REGALO","REGALO "&amp;MOVIMIENTOS!$C359,IF(MOVIMIENTOS!$B359="RECHAZO","RECHAZO cal. "&amp;MOVIMIENTOS!$C359&amp;" (va a reproceso)",IF(MOVIMIENTOS!$B359="DEVOLUCIÓN","DEVOLUCIÓN cal. "&amp;MOVIMIENTOS!$C359&amp;" (regresa intacta)",IF(MOVIMIENTOS!$B359="TRASIEGO","TRASIEGO cal. "&amp;MOVIMIENTOS!$C359,MOVIMIENTOS!$B359)))))))))),"")</f>
        <v/>
      </c>
      <c r="M360" s="48" t="str">
        <f aca="false">IF(AND(AND(MOVIMIENTOS!$B359&lt;&gt;"",NOT(AND(MOVIMIENTOS!$B359="PROCESO",MOVIMIENTOS!$C359&lt;&gt;"Chancho")),NOT(AND(MOVIMIENTOS!$B359="SALDO INICIAL",MOVIMIENTOS!$C359="Chancho"))),OR(MOVIMIENTOS!$B359="SALDO INICIAL",MOVIMIENTOS!$B359="COMPRA",MOVIMIENTOS!$B359="REPROCESO",MOVIMIENTOS!$B359="DEVOLUCIÓN",AND(MOVIMIENTOS!$B359="AJUSTE",MOVIMIENTOS!$C359&lt;&gt;"Chancho",N(MOVIMIENTOS!$F359)&gt;=0))),N(MOVIMIENTOS!$F359),"")</f>
        <v/>
      </c>
      <c r="N360" s="48" t="str">
        <f aca="false">IF(AND(AND(MOVIMIENTOS!$B359&lt;&gt;"",NOT(AND(MOVIMIENTOS!$B359="PROCESO",MOVIMIENTOS!$C359&lt;&gt;"Chancho")),NOT(AND(MOVIMIENTOS!$B359="SALDO INICIAL",MOVIMIENTOS!$C359="Chancho"))),OR(MOVIMIENTOS!$B359="ENVÍO A SUPESA",MOVIMIENTOS!$B359="MALOGRADO",MOVIMIENTOS!$B359="OTRA SALIDA",MOVIMIENTOS!$B359="TRASIEGO",AND(MOVIMIENTOS!$B359="PROCESO",MOVIMIENTOS!$C359="Chancho"),AND(MOVIMIENTOS!$B359="REGALO",MOVIMIENTOS!$C359&lt;&gt;"Chancho"),AND(MOVIMIENTOS!$B359="VENTA",MOVIMIENTOS!$C359&lt;&gt;"Chancho"),AND(MOVIMIENTOS!$B359="AJUSTE",MOVIMIENTOS!$C359&lt;&gt;"Chancho",N(MOVIMIENTOS!$F359)&lt;0))),IF(MOVIMIENTOS!$B359="AJUSTE",-N(MOVIMIENTOS!$F359),N(MOVIMIENTOS!$F359)),"")</f>
        <v/>
      </c>
      <c r="O360" s="48" t="str">
        <f aca="false">IF(AND(MOVIMIENTOS!$B359&lt;&gt;"",NOT(AND(MOVIMIENTOS!$B359="PROCESO",MOVIMIENTOS!$C359&lt;&gt;"Chancho")),NOT(AND(MOVIMIENTOS!$B359="SALDO INICIAL",MOVIMIENTOS!$C359="Chancho"))),IF(MOVIMIENTOS!$B359="RECHAZO",MOVIMIENTOS!$E359&amp;" jabas rechazadas · van a reproceso",IF(MOVIMIENTOS!$B359="REPROCESO",MOVIMIENTOS!$E359&amp;" kg recuperados (merma del día: "&amp;TEXT(SUMPRODUCT((MOVIMIENTOS!$A$5:$A$400=MOVIMIENTOS!$A359)*(MOVIMIENTOS!$B$5:$B$400="RECHAZO")*(MOVIMIENTOS!$D$5:$D$400="jabas")*MOVIMIENTOS!$E$5:$E$400*IFERROR(_xlfn.SWITCH(MOVIMIENTOS!$C$5:$C$400,"A",15,"P",18,"C",17,"M",17,0),0))-SUMPRODUCT((MOVIMIENTOS!$A$5:$A$400=MOVIMIENTOS!$A359)*(MOVIMIENTOS!$B$5:$B$400="REPROCESO")*MOVIMIENTOS!$I$5:$I$400),"+#,##0;-#,##0;0")&amp;" kg)",TRIM(IF(MOVIMIENTOS!$G359&lt;&gt;"",MOVIMIENTOS!$G359&amp;"  ","")&amp;IF(N(MOVIMIENTOS!$D359)&gt;0,MOVIMIENTOS!$D359&amp;" "&amp;MOVIMIENTOS!$D359,"")))),"")</f>
        <v/>
      </c>
      <c r="P360" s="48" t="n">
        <f aca="false">N(P359)+N(M360)-N(N360)</f>
        <v>-290.5</v>
      </c>
      <c r="Q360" s="48"/>
      <c r="R360" s="48"/>
      <c r="S360" s="48"/>
      <c r="T360" s="48"/>
    </row>
    <row r="361" customFormat="false" ht="15" hidden="false" customHeight="true" outlineLevel="0" collapsed="false">
      <c r="A361" s="51" t="str">
        <f aca="false">IFERROR(INDEX(K$6:K$401,MATCH(ROW()-5,J$6:J$401,0)),"")</f>
        <v/>
      </c>
      <c r="B361" s="56" t="str">
        <f aca="false">IFERROR(INDEX(L$6:L$401,MATCH(ROW()-5,J$6:J$401,0)),"")</f>
        <v/>
      </c>
      <c r="C361" s="52" t="str">
        <f aca="false">IFERROR(INDEX(M$6:M$401,MATCH(ROW()-5,J$6:J$401,0)),"")</f>
        <v/>
      </c>
      <c r="D361" s="52" t="str">
        <f aca="false">IFERROR(INDEX(N$6:N$401,MATCH(ROW()-5,J$6:J$401,0)),"")</f>
        <v/>
      </c>
      <c r="E361" s="56" t="str">
        <f aca="false">IFERROR(INDEX(O$6:O$401,MATCH(ROW()-5,J$6:J$401,0)),"")</f>
        <v/>
      </c>
      <c r="F361" s="52" t="str">
        <f aca="false">IFERROR(INDEX(P$6:P$401,MATCH(ROW()-5,J$6:J$401,0)),"")</f>
        <v/>
      </c>
      <c r="G361" s="48"/>
      <c r="H361" s="48"/>
      <c r="I361" s="48"/>
      <c r="J361" s="48" t="str">
        <f aca="false">IF(AND(MOVIMIENTOS!$B360&lt;&gt;"",NOT(AND(MOVIMIENTOS!$B360="PROCESO",MOVIMIENTOS!$C360&lt;&gt;"Chancho")),NOT(AND(MOVIMIENTOS!$B360="SALDO INICIAL",MOVIMIENTOS!$C360="Chancho"))),COUNT(J$6:J360)+1,"")</f>
        <v/>
      </c>
      <c r="K361" s="48" t="str">
        <f aca="false">IF(AND(MOVIMIENTOS!$B360&lt;&gt;"",NOT(AND(MOVIMIENTOS!$B360="PROCESO",MOVIMIENTOS!$C360&lt;&gt;"Chancho")),NOT(AND(MOVIMIENTOS!$B360="SALDO INICIAL",MOVIMIENTOS!$C360="Chancho"))),MOVIMIENTOS!$A360,"")</f>
        <v/>
      </c>
      <c r="L361" s="48" t="str">
        <f aca="false">IF(AND(MOVIMIENTOS!$B360&lt;&gt;"",NOT(AND(MOVIMIENTOS!$B360="PROCESO",MOVIMIENTOS!$C360&lt;&gt;"Chancho")),NOT(AND(MOVIMIENTOS!$B360="SALDO INICIAL",MOVIMIENTOS!$C360="Chancho"))),IF(MOVIMIENTOS!$B360="SALDO INICIAL","APERTURA ("&amp;MOVIMIENTOS!$C360&amp;")",IF(MOVIMIENTOS!$B360="COMPRA","INGRESO (compra)",IF(MOVIMIENTOS!$B360="PROCESO","CHANCHO (proceso)",IF(MOVIMIENTOS!$B360="ENVÍO A SUPESA","ENVÍO cal. "&amp;MOVIMIENTOS!$C360,IF(MOVIMIENTOS!$B360="VENTA CHANCHO","VENTA CHANCHO",IF(MOVIMIENTOS!$B360="VENTA","VENTA cal. "&amp;MOVIMIENTOS!$C360,IF(MOVIMIENTOS!$B360="REGALO","REGALO "&amp;MOVIMIENTOS!$C360,IF(MOVIMIENTOS!$B360="RECHAZO","RECHAZO cal. "&amp;MOVIMIENTOS!$C360&amp;" (va a reproceso)",IF(MOVIMIENTOS!$B360="DEVOLUCIÓN","DEVOLUCIÓN cal. "&amp;MOVIMIENTOS!$C360&amp;" (regresa intacta)",IF(MOVIMIENTOS!$B360="TRASIEGO","TRASIEGO cal. "&amp;MOVIMIENTOS!$C360,MOVIMIENTOS!$B360)))))))))),"")</f>
        <v/>
      </c>
      <c r="M361" s="48" t="str">
        <f aca="false">IF(AND(AND(MOVIMIENTOS!$B360&lt;&gt;"",NOT(AND(MOVIMIENTOS!$B360="PROCESO",MOVIMIENTOS!$C360&lt;&gt;"Chancho")),NOT(AND(MOVIMIENTOS!$B360="SALDO INICIAL",MOVIMIENTOS!$C360="Chancho"))),OR(MOVIMIENTOS!$B360="SALDO INICIAL",MOVIMIENTOS!$B360="COMPRA",MOVIMIENTOS!$B360="REPROCESO",MOVIMIENTOS!$B360="DEVOLUCIÓN",AND(MOVIMIENTOS!$B360="AJUSTE",MOVIMIENTOS!$C360&lt;&gt;"Chancho",N(MOVIMIENTOS!$F360)&gt;=0))),N(MOVIMIENTOS!$F360),"")</f>
        <v/>
      </c>
      <c r="N361" s="48" t="str">
        <f aca="false">IF(AND(AND(MOVIMIENTOS!$B360&lt;&gt;"",NOT(AND(MOVIMIENTOS!$B360="PROCESO",MOVIMIENTOS!$C360&lt;&gt;"Chancho")),NOT(AND(MOVIMIENTOS!$B360="SALDO INICIAL",MOVIMIENTOS!$C360="Chancho"))),OR(MOVIMIENTOS!$B360="ENVÍO A SUPESA",MOVIMIENTOS!$B360="MALOGRADO",MOVIMIENTOS!$B360="OTRA SALIDA",MOVIMIENTOS!$B360="TRASIEGO",AND(MOVIMIENTOS!$B360="PROCESO",MOVIMIENTOS!$C360="Chancho"),AND(MOVIMIENTOS!$B360="REGALO",MOVIMIENTOS!$C360&lt;&gt;"Chancho"),AND(MOVIMIENTOS!$B360="VENTA",MOVIMIENTOS!$C360&lt;&gt;"Chancho"),AND(MOVIMIENTOS!$B360="AJUSTE",MOVIMIENTOS!$C360&lt;&gt;"Chancho",N(MOVIMIENTOS!$F360)&lt;0))),IF(MOVIMIENTOS!$B360="AJUSTE",-N(MOVIMIENTOS!$F360),N(MOVIMIENTOS!$F360)),"")</f>
        <v/>
      </c>
      <c r="O361" s="48" t="str">
        <f aca="false">IF(AND(MOVIMIENTOS!$B360&lt;&gt;"",NOT(AND(MOVIMIENTOS!$B360="PROCESO",MOVIMIENTOS!$C360&lt;&gt;"Chancho")),NOT(AND(MOVIMIENTOS!$B360="SALDO INICIAL",MOVIMIENTOS!$C360="Chancho"))),IF(MOVIMIENTOS!$B360="RECHAZO",MOVIMIENTOS!$E360&amp;" jabas rechazadas · van a reproceso",IF(MOVIMIENTOS!$B360="REPROCESO",MOVIMIENTOS!$E360&amp;" kg recuperados (merma del día: "&amp;TEXT(SUMPRODUCT((MOVIMIENTOS!$A$5:$A$400=MOVIMIENTOS!$A360)*(MOVIMIENTOS!$B$5:$B$400="RECHAZO")*(MOVIMIENTOS!$D$5:$D$400="jabas")*MOVIMIENTOS!$E$5:$E$400*IFERROR(_xlfn.SWITCH(MOVIMIENTOS!$C$5:$C$400,"A",15,"P",18,"C",17,"M",17,0),0))-SUMPRODUCT((MOVIMIENTOS!$A$5:$A$400=MOVIMIENTOS!$A360)*(MOVIMIENTOS!$B$5:$B$400="REPROCESO")*MOVIMIENTOS!$I$5:$I$400),"+#,##0;-#,##0;0")&amp;" kg)",TRIM(IF(MOVIMIENTOS!$G360&lt;&gt;"",MOVIMIENTOS!$G360&amp;"  ","")&amp;IF(N(MOVIMIENTOS!$D360)&gt;0,MOVIMIENTOS!$D360&amp;" "&amp;MOVIMIENTOS!$D360,"")))),"")</f>
        <v/>
      </c>
      <c r="P361" s="48" t="n">
        <f aca="false">N(P360)+N(M361)-N(N361)</f>
        <v>-290.5</v>
      </c>
      <c r="Q361" s="48"/>
      <c r="R361" s="48"/>
      <c r="S361" s="48"/>
      <c r="T361" s="48"/>
    </row>
    <row r="362" customFormat="false" ht="15" hidden="false" customHeight="true" outlineLevel="0" collapsed="false">
      <c r="A362" s="51" t="str">
        <f aca="false">IFERROR(INDEX(K$6:K$401,MATCH(ROW()-5,J$6:J$401,0)),"")</f>
        <v/>
      </c>
      <c r="B362" s="56" t="str">
        <f aca="false">IFERROR(INDEX(L$6:L$401,MATCH(ROW()-5,J$6:J$401,0)),"")</f>
        <v/>
      </c>
      <c r="C362" s="52" t="str">
        <f aca="false">IFERROR(INDEX(M$6:M$401,MATCH(ROW()-5,J$6:J$401,0)),"")</f>
        <v/>
      </c>
      <c r="D362" s="52" t="str">
        <f aca="false">IFERROR(INDEX(N$6:N$401,MATCH(ROW()-5,J$6:J$401,0)),"")</f>
        <v/>
      </c>
      <c r="E362" s="56" t="str">
        <f aca="false">IFERROR(INDEX(O$6:O$401,MATCH(ROW()-5,J$6:J$401,0)),"")</f>
        <v/>
      </c>
      <c r="F362" s="52" t="str">
        <f aca="false">IFERROR(INDEX(P$6:P$401,MATCH(ROW()-5,J$6:J$401,0)),"")</f>
        <v/>
      </c>
      <c r="G362" s="48"/>
      <c r="H362" s="48"/>
      <c r="I362" s="48"/>
      <c r="J362" s="48" t="str">
        <f aca="false">IF(AND(MOVIMIENTOS!$B361&lt;&gt;"",NOT(AND(MOVIMIENTOS!$B361="PROCESO",MOVIMIENTOS!$C361&lt;&gt;"Chancho")),NOT(AND(MOVIMIENTOS!$B361="SALDO INICIAL",MOVIMIENTOS!$C361="Chancho"))),COUNT(J$6:J361)+1,"")</f>
        <v/>
      </c>
      <c r="K362" s="48" t="str">
        <f aca="false">IF(AND(MOVIMIENTOS!$B361&lt;&gt;"",NOT(AND(MOVIMIENTOS!$B361="PROCESO",MOVIMIENTOS!$C361&lt;&gt;"Chancho")),NOT(AND(MOVIMIENTOS!$B361="SALDO INICIAL",MOVIMIENTOS!$C361="Chancho"))),MOVIMIENTOS!$A361,"")</f>
        <v/>
      </c>
      <c r="L362" s="48" t="str">
        <f aca="false">IF(AND(MOVIMIENTOS!$B361&lt;&gt;"",NOT(AND(MOVIMIENTOS!$B361="PROCESO",MOVIMIENTOS!$C361&lt;&gt;"Chancho")),NOT(AND(MOVIMIENTOS!$B361="SALDO INICIAL",MOVIMIENTOS!$C361="Chancho"))),IF(MOVIMIENTOS!$B361="SALDO INICIAL","APERTURA ("&amp;MOVIMIENTOS!$C361&amp;")",IF(MOVIMIENTOS!$B361="COMPRA","INGRESO (compra)",IF(MOVIMIENTOS!$B361="PROCESO","CHANCHO (proceso)",IF(MOVIMIENTOS!$B361="ENVÍO A SUPESA","ENVÍO cal. "&amp;MOVIMIENTOS!$C361,IF(MOVIMIENTOS!$B361="VENTA CHANCHO","VENTA CHANCHO",IF(MOVIMIENTOS!$B361="VENTA","VENTA cal. "&amp;MOVIMIENTOS!$C361,IF(MOVIMIENTOS!$B361="REGALO","REGALO "&amp;MOVIMIENTOS!$C361,IF(MOVIMIENTOS!$B361="RECHAZO","RECHAZO cal. "&amp;MOVIMIENTOS!$C361&amp;" (va a reproceso)",IF(MOVIMIENTOS!$B361="DEVOLUCIÓN","DEVOLUCIÓN cal. "&amp;MOVIMIENTOS!$C361&amp;" (regresa intacta)",IF(MOVIMIENTOS!$B361="TRASIEGO","TRASIEGO cal. "&amp;MOVIMIENTOS!$C361,MOVIMIENTOS!$B361)))))))))),"")</f>
        <v/>
      </c>
      <c r="M362" s="48" t="str">
        <f aca="false">IF(AND(AND(MOVIMIENTOS!$B361&lt;&gt;"",NOT(AND(MOVIMIENTOS!$B361="PROCESO",MOVIMIENTOS!$C361&lt;&gt;"Chancho")),NOT(AND(MOVIMIENTOS!$B361="SALDO INICIAL",MOVIMIENTOS!$C361="Chancho"))),OR(MOVIMIENTOS!$B361="SALDO INICIAL",MOVIMIENTOS!$B361="COMPRA",MOVIMIENTOS!$B361="REPROCESO",MOVIMIENTOS!$B361="DEVOLUCIÓN",AND(MOVIMIENTOS!$B361="AJUSTE",MOVIMIENTOS!$C361&lt;&gt;"Chancho",N(MOVIMIENTOS!$F361)&gt;=0))),N(MOVIMIENTOS!$F361),"")</f>
        <v/>
      </c>
      <c r="N362" s="48" t="str">
        <f aca="false">IF(AND(AND(MOVIMIENTOS!$B361&lt;&gt;"",NOT(AND(MOVIMIENTOS!$B361="PROCESO",MOVIMIENTOS!$C361&lt;&gt;"Chancho")),NOT(AND(MOVIMIENTOS!$B361="SALDO INICIAL",MOVIMIENTOS!$C361="Chancho"))),OR(MOVIMIENTOS!$B361="ENVÍO A SUPESA",MOVIMIENTOS!$B361="MALOGRADO",MOVIMIENTOS!$B361="OTRA SALIDA",MOVIMIENTOS!$B361="TRASIEGO",AND(MOVIMIENTOS!$B361="PROCESO",MOVIMIENTOS!$C361="Chancho"),AND(MOVIMIENTOS!$B361="REGALO",MOVIMIENTOS!$C361&lt;&gt;"Chancho"),AND(MOVIMIENTOS!$B361="VENTA",MOVIMIENTOS!$C361&lt;&gt;"Chancho"),AND(MOVIMIENTOS!$B361="AJUSTE",MOVIMIENTOS!$C361&lt;&gt;"Chancho",N(MOVIMIENTOS!$F361)&lt;0))),IF(MOVIMIENTOS!$B361="AJUSTE",-N(MOVIMIENTOS!$F361),N(MOVIMIENTOS!$F361)),"")</f>
        <v/>
      </c>
      <c r="O362" s="48" t="str">
        <f aca="false">IF(AND(MOVIMIENTOS!$B361&lt;&gt;"",NOT(AND(MOVIMIENTOS!$B361="PROCESO",MOVIMIENTOS!$C361&lt;&gt;"Chancho")),NOT(AND(MOVIMIENTOS!$B361="SALDO INICIAL",MOVIMIENTOS!$C361="Chancho"))),IF(MOVIMIENTOS!$B361="RECHAZO",MOVIMIENTOS!$E361&amp;" jabas rechazadas · van a reproceso",IF(MOVIMIENTOS!$B361="REPROCESO",MOVIMIENTOS!$E361&amp;" kg recuperados (merma del día: "&amp;TEXT(SUMPRODUCT((MOVIMIENTOS!$A$5:$A$400=MOVIMIENTOS!$A361)*(MOVIMIENTOS!$B$5:$B$400="RECHAZO")*(MOVIMIENTOS!$D$5:$D$400="jabas")*MOVIMIENTOS!$E$5:$E$400*IFERROR(_xlfn.SWITCH(MOVIMIENTOS!$C$5:$C$400,"A",15,"P",18,"C",17,"M",17,0),0))-SUMPRODUCT((MOVIMIENTOS!$A$5:$A$400=MOVIMIENTOS!$A361)*(MOVIMIENTOS!$B$5:$B$400="REPROCESO")*MOVIMIENTOS!$I$5:$I$400),"+#,##0;-#,##0;0")&amp;" kg)",TRIM(IF(MOVIMIENTOS!$G361&lt;&gt;"",MOVIMIENTOS!$G361&amp;"  ","")&amp;IF(N(MOVIMIENTOS!$D361)&gt;0,MOVIMIENTOS!$D361&amp;" "&amp;MOVIMIENTOS!$D361,"")))),"")</f>
        <v/>
      </c>
      <c r="P362" s="48" t="n">
        <f aca="false">N(P361)+N(M362)-N(N362)</f>
        <v>-290.5</v>
      </c>
      <c r="Q362" s="48"/>
      <c r="R362" s="48"/>
      <c r="S362" s="48"/>
      <c r="T362" s="48"/>
    </row>
    <row r="363" customFormat="false" ht="15" hidden="false" customHeight="true" outlineLevel="0" collapsed="false">
      <c r="A363" s="51" t="str">
        <f aca="false">IFERROR(INDEX(K$6:K$401,MATCH(ROW()-5,J$6:J$401,0)),"")</f>
        <v/>
      </c>
      <c r="B363" s="56" t="str">
        <f aca="false">IFERROR(INDEX(L$6:L$401,MATCH(ROW()-5,J$6:J$401,0)),"")</f>
        <v/>
      </c>
      <c r="C363" s="52" t="str">
        <f aca="false">IFERROR(INDEX(M$6:M$401,MATCH(ROW()-5,J$6:J$401,0)),"")</f>
        <v/>
      </c>
      <c r="D363" s="52" t="str">
        <f aca="false">IFERROR(INDEX(N$6:N$401,MATCH(ROW()-5,J$6:J$401,0)),"")</f>
        <v/>
      </c>
      <c r="E363" s="56" t="str">
        <f aca="false">IFERROR(INDEX(O$6:O$401,MATCH(ROW()-5,J$6:J$401,0)),"")</f>
        <v/>
      </c>
      <c r="F363" s="52" t="str">
        <f aca="false">IFERROR(INDEX(P$6:P$401,MATCH(ROW()-5,J$6:J$401,0)),"")</f>
        <v/>
      </c>
      <c r="G363" s="48"/>
      <c r="H363" s="48"/>
      <c r="I363" s="48"/>
      <c r="J363" s="48" t="str">
        <f aca="false">IF(AND(MOVIMIENTOS!$B362&lt;&gt;"",NOT(AND(MOVIMIENTOS!$B362="PROCESO",MOVIMIENTOS!$C362&lt;&gt;"Chancho")),NOT(AND(MOVIMIENTOS!$B362="SALDO INICIAL",MOVIMIENTOS!$C362="Chancho"))),COUNT(J$6:J362)+1,"")</f>
        <v/>
      </c>
      <c r="K363" s="48" t="str">
        <f aca="false">IF(AND(MOVIMIENTOS!$B362&lt;&gt;"",NOT(AND(MOVIMIENTOS!$B362="PROCESO",MOVIMIENTOS!$C362&lt;&gt;"Chancho")),NOT(AND(MOVIMIENTOS!$B362="SALDO INICIAL",MOVIMIENTOS!$C362="Chancho"))),MOVIMIENTOS!$A362,"")</f>
        <v/>
      </c>
      <c r="L363" s="48" t="str">
        <f aca="false">IF(AND(MOVIMIENTOS!$B362&lt;&gt;"",NOT(AND(MOVIMIENTOS!$B362="PROCESO",MOVIMIENTOS!$C362&lt;&gt;"Chancho")),NOT(AND(MOVIMIENTOS!$B362="SALDO INICIAL",MOVIMIENTOS!$C362="Chancho"))),IF(MOVIMIENTOS!$B362="SALDO INICIAL","APERTURA ("&amp;MOVIMIENTOS!$C362&amp;")",IF(MOVIMIENTOS!$B362="COMPRA","INGRESO (compra)",IF(MOVIMIENTOS!$B362="PROCESO","CHANCHO (proceso)",IF(MOVIMIENTOS!$B362="ENVÍO A SUPESA","ENVÍO cal. "&amp;MOVIMIENTOS!$C362,IF(MOVIMIENTOS!$B362="VENTA CHANCHO","VENTA CHANCHO",IF(MOVIMIENTOS!$B362="VENTA","VENTA cal. "&amp;MOVIMIENTOS!$C362,IF(MOVIMIENTOS!$B362="REGALO","REGALO "&amp;MOVIMIENTOS!$C362,IF(MOVIMIENTOS!$B362="RECHAZO","RECHAZO cal. "&amp;MOVIMIENTOS!$C362&amp;" (va a reproceso)",IF(MOVIMIENTOS!$B362="DEVOLUCIÓN","DEVOLUCIÓN cal. "&amp;MOVIMIENTOS!$C362&amp;" (regresa intacta)",IF(MOVIMIENTOS!$B362="TRASIEGO","TRASIEGO cal. "&amp;MOVIMIENTOS!$C362,MOVIMIENTOS!$B362)))))))))),"")</f>
        <v/>
      </c>
      <c r="M363" s="48" t="str">
        <f aca="false">IF(AND(AND(MOVIMIENTOS!$B362&lt;&gt;"",NOT(AND(MOVIMIENTOS!$B362="PROCESO",MOVIMIENTOS!$C362&lt;&gt;"Chancho")),NOT(AND(MOVIMIENTOS!$B362="SALDO INICIAL",MOVIMIENTOS!$C362="Chancho"))),OR(MOVIMIENTOS!$B362="SALDO INICIAL",MOVIMIENTOS!$B362="COMPRA",MOVIMIENTOS!$B362="REPROCESO",MOVIMIENTOS!$B362="DEVOLUCIÓN",AND(MOVIMIENTOS!$B362="AJUSTE",MOVIMIENTOS!$C362&lt;&gt;"Chancho",N(MOVIMIENTOS!$F362)&gt;=0))),N(MOVIMIENTOS!$F362),"")</f>
        <v/>
      </c>
      <c r="N363" s="48" t="str">
        <f aca="false">IF(AND(AND(MOVIMIENTOS!$B362&lt;&gt;"",NOT(AND(MOVIMIENTOS!$B362="PROCESO",MOVIMIENTOS!$C362&lt;&gt;"Chancho")),NOT(AND(MOVIMIENTOS!$B362="SALDO INICIAL",MOVIMIENTOS!$C362="Chancho"))),OR(MOVIMIENTOS!$B362="ENVÍO A SUPESA",MOVIMIENTOS!$B362="MALOGRADO",MOVIMIENTOS!$B362="OTRA SALIDA",MOVIMIENTOS!$B362="TRASIEGO",AND(MOVIMIENTOS!$B362="PROCESO",MOVIMIENTOS!$C362="Chancho"),AND(MOVIMIENTOS!$B362="REGALO",MOVIMIENTOS!$C362&lt;&gt;"Chancho"),AND(MOVIMIENTOS!$B362="VENTA",MOVIMIENTOS!$C362&lt;&gt;"Chancho"),AND(MOVIMIENTOS!$B362="AJUSTE",MOVIMIENTOS!$C362&lt;&gt;"Chancho",N(MOVIMIENTOS!$F362)&lt;0))),IF(MOVIMIENTOS!$B362="AJUSTE",-N(MOVIMIENTOS!$F362),N(MOVIMIENTOS!$F362)),"")</f>
        <v/>
      </c>
      <c r="O363" s="48" t="str">
        <f aca="false">IF(AND(MOVIMIENTOS!$B362&lt;&gt;"",NOT(AND(MOVIMIENTOS!$B362="PROCESO",MOVIMIENTOS!$C362&lt;&gt;"Chancho")),NOT(AND(MOVIMIENTOS!$B362="SALDO INICIAL",MOVIMIENTOS!$C362="Chancho"))),IF(MOVIMIENTOS!$B362="RECHAZO",MOVIMIENTOS!$E362&amp;" jabas rechazadas · van a reproceso",IF(MOVIMIENTOS!$B362="REPROCESO",MOVIMIENTOS!$E362&amp;" kg recuperados (merma del día: "&amp;TEXT(SUMPRODUCT((MOVIMIENTOS!$A$5:$A$400=MOVIMIENTOS!$A362)*(MOVIMIENTOS!$B$5:$B$400="RECHAZO")*(MOVIMIENTOS!$D$5:$D$400="jabas")*MOVIMIENTOS!$E$5:$E$400*IFERROR(_xlfn.SWITCH(MOVIMIENTOS!$C$5:$C$400,"A",15,"P",18,"C",17,"M",17,0),0))-SUMPRODUCT((MOVIMIENTOS!$A$5:$A$400=MOVIMIENTOS!$A362)*(MOVIMIENTOS!$B$5:$B$400="REPROCESO")*MOVIMIENTOS!$I$5:$I$400),"+#,##0;-#,##0;0")&amp;" kg)",TRIM(IF(MOVIMIENTOS!$G362&lt;&gt;"",MOVIMIENTOS!$G362&amp;"  ","")&amp;IF(N(MOVIMIENTOS!$D362)&gt;0,MOVIMIENTOS!$D362&amp;" "&amp;MOVIMIENTOS!$D362,"")))),"")</f>
        <v/>
      </c>
      <c r="P363" s="48" t="n">
        <f aca="false">N(P362)+N(M363)-N(N363)</f>
        <v>-290.5</v>
      </c>
      <c r="Q363" s="48"/>
      <c r="R363" s="48"/>
      <c r="S363" s="48"/>
      <c r="T363" s="48"/>
    </row>
    <row r="364" customFormat="false" ht="15" hidden="false" customHeight="true" outlineLevel="0" collapsed="false">
      <c r="A364" s="51" t="str">
        <f aca="false">IFERROR(INDEX(K$6:K$401,MATCH(ROW()-5,J$6:J$401,0)),"")</f>
        <v/>
      </c>
      <c r="B364" s="56" t="str">
        <f aca="false">IFERROR(INDEX(L$6:L$401,MATCH(ROW()-5,J$6:J$401,0)),"")</f>
        <v/>
      </c>
      <c r="C364" s="52" t="str">
        <f aca="false">IFERROR(INDEX(M$6:M$401,MATCH(ROW()-5,J$6:J$401,0)),"")</f>
        <v/>
      </c>
      <c r="D364" s="52" t="str">
        <f aca="false">IFERROR(INDEX(N$6:N$401,MATCH(ROW()-5,J$6:J$401,0)),"")</f>
        <v/>
      </c>
      <c r="E364" s="56" t="str">
        <f aca="false">IFERROR(INDEX(O$6:O$401,MATCH(ROW()-5,J$6:J$401,0)),"")</f>
        <v/>
      </c>
      <c r="F364" s="52" t="str">
        <f aca="false">IFERROR(INDEX(P$6:P$401,MATCH(ROW()-5,J$6:J$401,0)),"")</f>
        <v/>
      </c>
      <c r="G364" s="48"/>
      <c r="H364" s="48"/>
      <c r="I364" s="48"/>
      <c r="J364" s="48" t="str">
        <f aca="false">IF(AND(MOVIMIENTOS!$B363&lt;&gt;"",NOT(AND(MOVIMIENTOS!$B363="PROCESO",MOVIMIENTOS!$C363&lt;&gt;"Chancho")),NOT(AND(MOVIMIENTOS!$B363="SALDO INICIAL",MOVIMIENTOS!$C363="Chancho"))),COUNT(J$6:J363)+1,"")</f>
        <v/>
      </c>
      <c r="K364" s="48" t="str">
        <f aca="false">IF(AND(MOVIMIENTOS!$B363&lt;&gt;"",NOT(AND(MOVIMIENTOS!$B363="PROCESO",MOVIMIENTOS!$C363&lt;&gt;"Chancho")),NOT(AND(MOVIMIENTOS!$B363="SALDO INICIAL",MOVIMIENTOS!$C363="Chancho"))),MOVIMIENTOS!$A363,"")</f>
        <v/>
      </c>
      <c r="L364" s="48" t="str">
        <f aca="false">IF(AND(MOVIMIENTOS!$B363&lt;&gt;"",NOT(AND(MOVIMIENTOS!$B363="PROCESO",MOVIMIENTOS!$C363&lt;&gt;"Chancho")),NOT(AND(MOVIMIENTOS!$B363="SALDO INICIAL",MOVIMIENTOS!$C363="Chancho"))),IF(MOVIMIENTOS!$B363="SALDO INICIAL","APERTURA ("&amp;MOVIMIENTOS!$C363&amp;")",IF(MOVIMIENTOS!$B363="COMPRA","INGRESO (compra)",IF(MOVIMIENTOS!$B363="PROCESO","CHANCHO (proceso)",IF(MOVIMIENTOS!$B363="ENVÍO A SUPESA","ENVÍO cal. "&amp;MOVIMIENTOS!$C363,IF(MOVIMIENTOS!$B363="VENTA CHANCHO","VENTA CHANCHO",IF(MOVIMIENTOS!$B363="VENTA","VENTA cal. "&amp;MOVIMIENTOS!$C363,IF(MOVIMIENTOS!$B363="REGALO","REGALO "&amp;MOVIMIENTOS!$C363,IF(MOVIMIENTOS!$B363="RECHAZO","RECHAZO cal. "&amp;MOVIMIENTOS!$C363&amp;" (va a reproceso)",IF(MOVIMIENTOS!$B363="DEVOLUCIÓN","DEVOLUCIÓN cal. "&amp;MOVIMIENTOS!$C363&amp;" (regresa intacta)",IF(MOVIMIENTOS!$B363="TRASIEGO","TRASIEGO cal. "&amp;MOVIMIENTOS!$C363,MOVIMIENTOS!$B363)))))))))),"")</f>
        <v/>
      </c>
      <c r="M364" s="48" t="str">
        <f aca="false">IF(AND(AND(MOVIMIENTOS!$B363&lt;&gt;"",NOT(AND(MOVIMIENTOS!$B363="PROCESO",MOVIMIENTOS!$C363&lt;&gt;"Chancho")),NOT(AND(MOVIMIENTOS!$B363="SALDO INICIAL",MOVIMIENTOS!$C363="Chancho"))),OR(MOVIMIENTOS!$B363="SALDO INICIAL",MOVIMIENTOS!$B363="COMPRA",MOVIMIENTOS!$B363="REPROCESO",MOVIMIENTOS!$B363="DEVOLUCIÓN",AND(MOVIMIENTOS!$B363="AJUSTE",MOVIMIENTOS!$C363&lt;&gt;"Chancho",N(MOVIMIENTOS!$F363)&gt;=0))),N(MOVIMIENTOS!$F363),"")</f>
        <v/>
      </c>
      <c r="N364" s="48" t="str">
        <f aca="false">IF(AND(AND(MOVIMIENTOS!$B363&lt;&gt;"",NOT(AND(MOVIMIENTOS!$B363="PROCESO",MOVIMIENTOS!$C363&lt;&gt;"Chancho")),NOT(AND(MOVIMIENTOS!$B363="SALDO INICIAL",MOVIMIENTOS!$C363="Chancho"))),OR(MOVIMIENTOS!$B363="ENVÍO A SUPESA",MOVIMIENTOS!$B363="MALOGRADO",MOVIMIENTOS!$B363="OTRA SALIDA",MOVIMIENTOS!$B363="TRASIEGO",AND(MOVIMIENTOS!$B363="PROCESO",MOVIMIENTOS!$C363="Chancho"),AND(MOVIMIENTOS!$B363="REGALO",MOVIMIENTOS!$C363&lt;&gt;"Chancho"),AND(MOVIMIENTOS!$B363="VENTA",MOVIMIENTOS!$C363&lt;&gt;"Chancho"),AND(MOVIMIENTOS!$B363="AJUSTE",MOVIMIENTOS!$C363&lt;&gt;"Chancho",N(MOVIMIENTOS!$F363)&lt;0))),IF(MOVIMIENTOS!$B363="AJUSTE",-N(MOVIMIENTOS!$F363),N(MOVIMIENTOS!$F363)),"")</f>
        <v/>
      </c>
      <c r="O364" s="48" t="str">
        <f aca="false">IF(AND(MOVIMIENTOS!$B363&lt;&gt;"",NOT(AND(MOVIMIENTOS!$B363="PROCESO",MOVIMIENTOS!$C363&lt;&gt;"Chancho")),NOT(AND(MOVIMIENTOS!$B363="SALDO INICIAL",MOVIMIENTOS!$C363="Chancho"))),IF(MOVIMIENTOS!$B363="RECHAZO",MOVIMIENTOS!$E363&amp;" jabas rechazadas · van a reproceso",IF(MOVIMIENTOS!$B363="REPROCESO",MOVIMIENTOS!$E363&amp;" kg recuperados (merma del día: "&amp;TEXT(SUMPRODUCT((MOVIMIENTOS!$A$5:$A$400=MOVIMIENTOS!$A363)*(MOVIMIENTOS!$B$5:$B$400="RECHAZO")*(MOVIMIENTOS!$D$5:$D$400="jabas")*MOVIMIENTOS!$E$5:$E$400*IFERROR(_xlfn.SWITCH(MOVIMIENTOS!$C$5:$C$400,"A",15,"P",18,"C",17,"M",17,0),0))-SUMPRODUCT((MOVIMIENTOS!$A$5:$A$400=MOVIMIENTOS!$A363)*(MOVIMIENTOS!$B$5:$B$400="REPROCESO")*MOVIMIENTOS!$I$5:$I$400),"+#,##0;-#,##0;0")&amp;" kg)",TRIM(IF(MOVIMIENTOS!$G363&lt;&gt;"",MOVIMIENTOS!$G363&amp;"  ","")&amp;IF(N(MOVIMIENTOS!$D363)&gt;0,MOVIMIENTOS!$D363&amp;" "&amp;MOVIMIENTOS!$D363,"")))),"")</f>
        <v/>
      </c>
      <c r="P364" s="48" t="n">
        <f aca="false">N(P363)+N(M364)-N(N364)</f>
        <v>-290.5</v>
      </c>
      <c r="Q364" s="48"/>
      <c r="R364" s="48"/>
      <c r="S364" s="48"/>
      <c r="T364" s="48"/>
    </row>
    <row r="365" customFormat="false" ht="15" hidden="false" customHeight="true" outlineLevel="0" collapsed="false">
      <c r="A365" s="51" t="str">
        <f aca="false">IFERROR(INDEX(K$6:K$401,MATCH(ROW()-5,J$6:J$401,0)),"")</f>
        <v/>
      </c>
      <c r="B365" s="56" t="str">
        <f aca="false">IFERROR(INDEX(L$6:L$401,MATCH(ROW()-5,J$6:J$401,0)),"")</f>
        <v/>
      </c>
      <c r="C365" s="52" t="str">
        <f aca="false">IFERROR(INDEX(M$6:M$401,MATCH(ROW()-5,J$6:J$401,0)),"")</f>
        <v/>
      </c>
      <c r="D365" s="52" t="str">
        <f aca="false">IFERROR(INDEX(N$6:N$401,MATCH(ROW()-5,J$6:J$401,0)),"")</f>
        <v/>
      </c>
      <c r="E365" s="56" t="str">
        <f aca="false">IFERROR(INDEX(O$6:O$401,MATCH(ROW()-5,J$6:J$401,0)),"")</f>
        <v/>
      </c>
      <c r="F365" s="52" t="str">
        <f aca="false">IFERROR(INDEX(P$6:P$401,MATCH(ROW()-5,J$6:J$401,0)),"")</f>
        <v/>
      </c>
      <c r="G365" s="48"/>
      <c r="H365" s="48"/>
      <c r="I365" s="48"/>
      <c r="J365" s="48" t="str">
        <f aca="false">IF(AND(MOVIMIENTOS!$B364&lt;&gt;"",NOT(AND(MOVIMIENTOS!$B364="PROCESO",MOVIMIENTOS!$C364&lt;&gt;"Chancho")),NOT(AND(MOVIMIENTOS!$B364="SALDO INICIAL",MOVIMIENTOS!$C364="Chancho"))),COUNT(J$6:J364)+1,"")</f>
        <v/>
      </c>
      <c r="K365" s="48" t="str">
        <f aca="false">IF(AND(MOVIMIENTOS!$B364&lt;&gt;"",NOT(AND(MOVIMIENTOS!$B364="PROCESO",MOVIMIENTOS!$C364&lt;&gt;"Chancho")),NOT(AND(MOVIMIENTOS!$B364="SALDO INICIAL",MOVIMIENTOS!$C364="Chancho"))),MOVIMIENTOS!$A364,"")</f>
        <v/>
      </c>
      <c r="L365" s="48" t="str">
        <f aca="false">IF(AND(MOVIMIENTOS!$B364&lt;&gt;"",NOT(AND(MOVIMIENTOS!$B364="PROCESO",MOVIMIENTOS!$C364&lt;&gt;"Chancho")),NOT(AND(MOVIMIENTOS!$B364="SALDO INICIAL",MOVIMIENTOS!$C364="Chancho"))),IF(MOVIMIENTOS!$B364="SALDO INICIAL","APERTURA ("&amp;MOVIMIENTOS!$C364&amp;")",IF(MOVIMIENTOS!$B364="COMPRA","INGRESO (compra)",IF(MOVIMIENTOS!$B364="PROCESO","CHANCHO (proceso)",IF(MOVIMIENTOS!$B364="ENVÍO A SUPESA","ENVÍO cal. "&amp;MOVIMIENTOS!$C364,IF(MOVIMIENTOS!$B364="VENTA CHANCHO","VENTA CHANCHO",IF(MOVIMIENTOS!$B364="VENTA","VENTA cal. "&amp;MOVIMIENTOS!$C364,IF(MOVIMIENTOS!$B364="REGALO","REGALO "&amp;MOVIMIENTOS!$C364,IF(MOVIMIENTOS!$B364="RECHAZO","RECHAZO cal. "&amp;MOVIMIENTOS!$C364&amp;" (va a reproceso)",IF(MOVIMIENTOS!$B364="DEVOLUCIÓN","DEVOLUCIÓN cal. "&amp;MOVIMIENTOS!$C364&amp;" (regresa intacta)",IF(MOVIMIENTOS!$B364="TRASIEGO","TRASIEGO cal. "&amp;MOVIMIENTOS!$C364,MOVIMIENTOS!$B364)))))))))),"")</f>
        <v/>
      </c>
      <c r="M365" s="48" t="str">
        <f aca="false">IF(AND(AND(MOVIMIENTOS!$B364&lt;&gt;"",NOT(AND(MOVIMIENTOS!$B364="PROCESO",MOVIMIENTOS!$C364&lt;&gt;"Chancho")),NOT(AND(MOVIMIENTOS!$B364="SALDO INICIAL",MOVIMIENTOS!$C364="Chancho"))),OR(MOVIMIENTOS!$B364="SALDO INICIAL",MOVIMIENTOS!$B364="COMPRA",MOVIMIENTOS!$B364="REPROCESO",MOVIMIENTOS!$B364="DEVOLUCIÓN",AND(MOVIMIENTOS!$B364="AJUSTE",MOVIMIENTOS!$C364&lt;&gt;"Chancho",N(MOVIMIENTOS!$F364)&gt;=0))),N(MOVIMIENTOS!$F364),"")</f>
        <v/>
      </c>
      <c r="N365" s="48" t="str">
        <f aca="false">IF(AND(AND(MOVIMIENTOS!$B364&lt;&gt;"",NOT(AND(MOVIMIENTOS!$B364="PROCESO",MOVIMIENTOS!$C364&lt;&gt;"Chancho")),NOT(AND(MOVIMIENTOS!$B364="SALDO INICIAL",MOVIMIENTOS!$C364="Chancho"))),OR(MOVIMIENTOS!$B364="ENVÍO A SUPESA",MOVIMIENTOS!$B364="MALOGRADO",MOVIMIENTOS!$B364="OTRA SALIDA",MOVIMIENTOS!$B364="TRASIEGO",AND(MOVIMIENTOS!$B364="PROCESO",MOVIMIENTOS!$C364="Chancho"),AND(MOVIMIENTOS!$B364="REGALO",MOVIMIENTOS!$C364&lt;&gt;"Chancho"),AND(MOVIMIENTOS!$B364="VENTA",MOVIMIENTOS!$C364&lt;&gt;"Chancho"),AND(MOVIMIENTOS!$B364="AJUSTE",MOVIMIENTOS!$C364&lt;&gt;"Chancho",N(MOVIMIENTOS!$F364)&lt;0))),IF(MOVIMIENTOS!$B364="AJUSTE",-N(MOVIMIENTOS!$F364),N(MOVIMIENTOS!$F364)),"")</f>
        <v/>
      </c>
      <c r="O365" s="48" t="str">
        <f aca="false">IF(AND(MOVIMIENTOS!$B364&lt;&gt;"",NOT(AND(MOVIMIENTOS!$B364="PROCESO",MOVIMIENTOS!$C364&lt;&gt;"Chancho")),NOT(AND(MOVIMIENTOS!$B364="SALDO INICIAL",MOVIMIENTOS!$C364="Chancho"))),IF(MOVIMIENTOS!$B364="RECHAZO",MOVIMIENTOS!$E364&amp;" jabas rechazadas · van a reproceso",IF(MOVIMIENTOS!$B364="REPROCESO",MOVIMIENTOS!$E364&amp;" kg recuperados (merma del día: "&amp;TEXT(SUMPRODUCT((MOVIMIENTOS!$A$5:$A$400=MOVIMIENTOS!$A364)*(MOVIMIENTOS!$B$5:$B$400="RECHAZO")*(MOVIMIENTOS!$D$5:$D$400="jabas")*MOVIMIENTOS!$E$5:$E$400*IFERROR(_xlfn.SWITCH(MOVIMIENTOS!$C$5:$C$400,"A",15,"P",18,"C",17,"M",17,0),0))-SUMPRODUCT((MOVIMIENTOS!$A$5:$A$400=MOVIMIENTOS!$A364)*(MOVIMIENTOS!$B$5:$B$400="REPROCESO")*MOVIMIENTOS!$I$5:$I$400),"+#,##0;-#,##0;0")&amp;" kg)",TRIM(IF(MOVIMIENTOS!$G364&lt;&gt;"",MOVIMIENTOS!$G364&amp;"  ","")&amp;IF(N(MOVIMIENTOS!$D364)&gt;0,MOVIMIENTOS!$D364&amp;" "&amp;MOVIMIENTOS!$D364,"")))),"")</f>
        <v/>
      </c>
      <c r="P365" s="48" t="n">
        <f aca="false">N(P364)+N(M365)-N(N365)</f>
        <v>-290.5</v>
      </c>
      <c r="Q365" s="48"/>
      <c r="R365" s="48"/>
      <c r="S365" s="48"/>
      <c r="T365" s="48"/>
    </row>
    <row r="366" customFormat="false" ht="15" hidden="false" customHeight="true" outlineLevel="0" collapsed="false">
      <c r="A366" s="51" t="str">
        <f aca="false">IFERROR(INDEX(K$6:K$401,MATCH(ROW()-5,J$6:J$401,0)),"")</f>
        <v/>
      </c>
      <c r="B366" s="56" t="str">
        <f aca="false">IFERROR(INDEX(L$6:L$401,MATCH(ROW()-5,J$6:J$401,0)),"")</f>
        <v/>
      </c>
      <c r="C366" s="52" t="str">
        <f aca="false">IFERROR(INDEX(M$6:M$401,MATCH(ROW()-5,J$6:J$401,0)),"")</f>
        <v/>
      </c>
      <c r="D366" s="52" t="str">
        <f aca="false">IFERROR(INDEX(N$6:N$401,MATCH(ROW()-5,J$6:J$401,0)),"")</f>
        <v/>
      </c>
      <c r="E366" s="56" t="str">
        <f aca="false">IFERROR(INDEX(O$6:O$401,MATCH(ROW()-5,J$6:J$401,0)),"")</f>
        <v/>
      </c>
      <c r="F366" s="52" t="str">
        <f aca="false">IFERROR(INDEX(P$6:P$401,MATCH(ROW()-5,J$6:J$401,0)),"")</f>
        <v/>
      </c>
      <c r="G366" s="48"/>
      <c r="H366" s="48"/>
      <c r="I366" s="48"/>
      <c r="J366" s="48" t="str">
        <f aca="false">IF(AND(MOVIMIENTOS!$B365&lt;&gt;"",NOT(AND(MOVIMIENTOS!$B365="PROCESO",MOVIMIENTOS!$C365&lt;&gt;"Chancho")),NOT(AND(MOVIMIENTOS!$B365="SALDO INICIAL",MOVIMIENTOS!$C365="Chancho"))),COUNT(J$6:J365)+1,"")</f>
        <v/>
      </c>
      <c r="K366" s="48" t="str">
        <f aca="false">IF(AND(MOVIMIENTOS!$B365&lt;&gt;"",NOT(AND(MOVIMIENTOS!$B365="PROCESO",MOVIMIENTOS!$C365&lt;&gt;"Chancho")),NOT(AND(MOVIMIENTOS!$B365="SALDO INICIAL",MOVIMIENTOS!$C365="Chancho"))),MOVIMIENTOS!$A365,"")</f>
        <v/>
      </c>
      <c r="L366" s="48" t="str">
        <f aca="false">IF(AND(MOVIMIENTOS!$B365&lt;&gt;"",NOT(AND(MOVIMIENTOS!$B365="PROCESO",MOVIMIENTOS!$C365&lt;&gt;"Chancho")),NOT(AND(MOVIMIENTOS!$B365="SALDO INICIAL",MOVIMIENTOS!$C365="Chancho"))),IF(MOVIMIENTOS!$B365="SALDO INICIAL","APERTURA ("&amp;MOVIMIENTOS!$C365&amp;")",IF(MOVIMIENTOS!$B365="COMPRA","INGRESO (compra)",IF(MOVIMIENTOS!$B365="PROCESO","CHANCHO (proceso)",IF(MOVIMIENTOS!$B365="ENVÍO A SUPESA","ENVÍO cal. "&amp;MOVIMIENTOS!$C365,IF(MOVIMIENTOS!$B365="VENTA CHANCHO","VENTA CHANCHO",IF(MOVIMIENTOS!$B365="VENTA","VENTA cal. "&amp;MOVIMIENTOS!$C365,IF(MOVIMIENTOS!$B365="REGALO","REGALO "&amp;MOVIMIENTOS!$C365,IF(MOVIMIENTOS!$B365="RECHAZO","RECHAZO cal. "&amp;MOVIMIENTOS!$C365&amp;" (va a reproceso)",IF(MOVIMIENTOS!$B365="DEVOLUCIÓN","DEVOLUCIÓN cal. "&amp;MOVIMIENTOS!$C365&amp;" (regresa intacta)",IF(MOVIMIENTOS!$B365="TRASIEGO","TRASIEGO cal. "&amp;MOVIMIENTOS!$C365,MOVIMIENTOS!$B365)))))))))),"")</f>
        <v/>
      </c>
      <c r="M366" s="48" t="str">
        <f aca="false">IF(AND(AND(MOVIMIENTOS!$B365&lt;&gt;"",NOT(AND(MOVIMIENTOS!$B365="PROCESO",MOVIMIENTOS!$C365&lt;&gt;"Chancho")),NOT(AND(MOVIMIENTOS!$B365="SALDO INICIAL",MOVIMIENTOS!$C365="Chancho"))),OR(MOVIMIENTOS!$B365="SALDO INICIAL",MOVIMIENTOS!$B365="COMPRA",MOVIMIENTOS!$B365="REPROCESO",MOVIMIENTOS!$B365="DEVOLUCIÓN",AND(MOVIMIENTOS!$B365="AJUSTE",MOVIMIENTOS!$C365&lt;&gt;"Chancho",N(MOVIMIENTOS!$F365)&gt;=0))),N(MOVIMIENTOS!$F365),"")</f>
        <v/>
      </c>
      <c r="N366" s="48" t="str">
        <f aca="false">IF(AND(AND(MOVIMIENTOS!$B365&lt;&gt;"",NOT(AND(MOVIMIENTOS!$B365="PROCESO",MOVIMIENTOS!$C365&lt;&gt;"Chancho")),NOT(AND(MOVIMIENTOS!$B365="SALDO INICIAL",MOVIMIENTOS!$C365="Chancho"))),OR(MOVIMIENTOS!$B365="ENVÍO A SUPESA",MOVIMIENTOS!$B365="MALOGRADO",MOVIMIENTOS!$B365="OTRA SALIDA",MOVIMIENTOS!$B365="TRASIEGO",AND(MOVIMIENTOS!$B365="PROCESO",MOVIMIENTOS!$C365="Chancho"),AND(MOVIMIENTOS!$B365="REGALO",MOVIMIENTOS!$C365&lt;&gt;"Chancho"),AND(MOVIMIENTOS!$B365="VENTA",MOVIMIENTOS!$C365&lt;&gt;"Chancho"),AND(MOVIMIENTOS!$B365="AJUSTE",MOVIMIENTOS!$C365&lt;&gt;"Chancho",N(MOVIMIENTOS!$F365)&lt;0))),IF(MOVIMIENTOS!$B365="AJUSTE",-N(MOVIMIENTOS!$F365),N(MOVIMIENTOS!$F365)),"")</f>
        <v/>
      </c>
      <c r="O366" s="48" t="str">
        <f aca="false">IF(AND(MOVIMIENTOS!$B365&lt;&gt;"",NOT(AND(MOVIMIENTOS!$B365="PROCESO",MOVIMIENTOS!$C365&lt;&gt;"Chancho")),NOT(AND(MOVIMIENTOS!$B365="SALDO INICIAL",MOVIMIENTOS!$C365="Chancho"))),IF(MOVIMIENTOS!$B365="RECHAZO",MOVIMIENTOS!$E365&amp;" jabas rechazadas · van a reproceso",IF(MOVIMIENTOS!$B365="REPROCESO",MOVIMIENTOS!$E365&amp;" kg recuperados (merma del día: "&amp;TEXT(SUMPRODUCT((MOVIMIENTOS!$A$5:$A$400=MOVIMIENTOS!$A365)*(MOVIMIENTOS!$B$5:$B$400="RECHAZO")*(MOVIMIENTOS!$D$5:$D$400="jabas")*MOVIMIENTOS!$E$5:$E$400*IFERROR(_xlfn.SWITCH(MOVIMIENTOS!$C$5:$C$400,"A",15,"P",18,"C",17,"M",17,0),0))-SUMPRODUCT((MOVIMIENTOS!$A$5:$A$400=MOVIMIENTOS!$A365)*(MOVIMIENTOS!$B$5:$B$400="REPROCESO")*MOVIMIENTOS!$I$5:$I$400),"+#,##0;-#,##0;0")&amp;" kg)",TRIM(IF(MOVIMIENTOS!$G365&lt;&gt;"",MOVIMIENTOS!$G365&amp;"  ","")&amp;IF(N(MOVIMIENTOS!$D365)&gt;0,MOVIMIENTOS!$D365&amp;" "&amp;MOVIMIENTOS!$D365,"")))),"")</f>
        <v/>
      </c>
      <c r="P366" s="48" t="n">
        <f aca="false">N(P365)+N(M366)-N(N366)</f>
        <v>-290.5</v>
      </c>
      <c r="Q366" s="48"/>
      <c r="R366" s="48"/>
      <c r="S366" s="48"/>
      <c r="T366" s="48"/>
    </row>
    <row r="367" customFormat="false" ht="15" hidden="false" customHeight="true" outlineLevel="0" collapsed="false">
      <c r="A367" s="51" t="str">
        <f aca="false">IFERROR(INDEX(K$6:K$401,MATCH(ROW()-5,J$6:J$401,0)),"")</f>
        <v/>
      </c>
      <c r="B367" s="56" t="str">
        <f aca="false">IFERROR(INDEX(L$6:L$401,MATCH(ROW()-5,J$6:J$401,0)),"")</f>
        <v/>
      </c>
      <c r="C367" s="52" t="str">
        <f aca="false">IFERROR(INDEX(M$6:M$401,MATCH(ROW()-5,J$6:J$401,0)),"")</f>
        <v/>
      </c>
      <c r="D367" s="52" t="str">
        <f aca="false">IFERROR(INDEX(N$6:N$401,MATCH(ROW()-5,J$6:J$401,0)),"")</f>
        <v/>
      </c>
      <c r="E367" s="56" t="str">
        <f aca="false">IFERROR(INDEX(O$6:O$401,MATCH(ROW()-5,J$6:J$401,0)),"")</f>
        <v/>
      </c>
      <c r="F367" s="52" t="str">
        <f aca="false">IFERROR(INDEX(P$6:P$401,MATCH(ROW()-5,J$6:J$401,0)),"")</f>
        <v/>
      </c>
      <c r="G367" s="48"/>
      <c r="H367" s="48"/>
      <c r="I367" s="48"/>
      <c r="J367" s="48" t="str">
        <f aca="false">IF(AND(MOVIMIENTOS!$B366&lt;&gt;"",NOT(AND(MOVIMIENTOS!$B366="PROCESO",MOVIMIENTOS!$C366&lt;&gt;"Chancho")),NOT(AND(MOVIMIENTOS!$B366="SALDO INICIAL",MOVIMIENTOS!$C366="Chancho"))),COUNT(J$6:J366)+1,"")</f>
        <v/>
      </c>
      <c r="K367" s="48" t="str">
        <f aca="false">IF(AND(MOVIMIENTOS!$B366&lt;&gt;"",NOT(AND(MOVIMIENTOS!$B366="PROCESO",MOVIMIENTOS!$C366&lt;&gt;"Chancho")),NOT(AND(MOVIMIENTOS!$B366="SALDO INICIAL",MOVIMIENTOS!$C366="Chancho"))),MOVIMIENTOS!$A366,"")</f>
        <v/>
      </c>
      <c r="L367" s="48" t="str">
        <f aca="false">IF(AND(MOVIMIENTOS!$B366&lt;&gt;"",NOT(AND(MOVIMIENTOS!$B366="PROCESO",MOVIMIENTOS!$C366&lt;&gt;"Chancho")),NOT(AND(MOVIMIENTOS!$B366="SALDO INICIAL",MOVIMIENTOS!$C366="Chancho"))),IF(MOVIMIENTOS!$B366="SALDO INICIAL","APERTURA ("&amp;MOVIMIENTOS!$C366&amp;")",IF(MOVIMIENTOS!$B366="COMPRA","INGRESO (compra)",IF(MOVIMIENTOS!$B366="PROCESO","CHANCHO (proceso)",IF(MOVIMIENTOS!$B366="ENVÍO A SUPESA","ENVÍO cal. "&amp;MOVIMIENTOS!$C366,IF(MOVIMIENTOS!$B366="VENTA CHANCHO","VENTA CHANCHO",IF(MOVIMIENTOS!$B366="VENTA","VENTA cal. "&amp;MOVIMIENTOS!$C366,IF(MOVIMIENTOS!$B366="REGALO","REGALO "&amp;MOVIMIENTOS!$C366,IF(MOVIMIENTOS!$B366="RECHAZO","RECHAZO cal. "&amp;MOVIMIENTOS!$C366&amp;" (va a reproceso)",IF(MOVIMIENTOS!$B366="DEVOLUCIÓN","DEVOLUCIÓN cal. "&amp;MOVIMIENTOS!$C366&amp;" (regresa intacta)",IF(MOVIMIENTOS!$B366="TRASIEGO","TRASIEGO cal. "&amp;MOVIMIENTOS!$C366,MOVIMIENTOS!$B366)))))))))),"")</f>
        <v/>
      </c>
      <c r="M367" s="48" t="str">
        <f aca="false">IF(AND(AND(MOVIMIENTOS!$B366&lt;&gt;"",NOT(AND(MOVIMIENTOS!$B366="PROCESO",MOVIMIENTOS!$C366&lt;&gt;"Chancho")),NOT(AND(MOVIMIENTOS!$B366="SALDO INICIAL",MOVIMIENTOS!$C366="Chancho"))),OR(MOVIMIENTOS!$B366="SALDO INICIAL",MOVIMIENTOS!$B366="COMPRA",MOVIMIENTOS!$B366="REPROCESO",MOVIMIENTOS!$B366="DEVOLUCIÓN",AND(MOVIMIENTOS!$B366="AJUSTE",MOVIMIENTOS!$C366&lt;&gt;"Chancho",N(MOVIMIENTOS!$F366)&gt;=0))),N(MOVIMIENTOS!$F366),"")</f>
        <v/>
      </c>
      <c r="N367" s="48" t="str">
        <f aca="false">IF(AND(AND(MOVIMIENTOS!$B366&lt;&gt;"",NOT(AND(MOVIMIENTOS!$B366="PROCESO",MOVIMIENTOS!$C366&lt;&gt;"Chancho")),NOT(AND(MOVIMIENTOS!$B366="SALDO INICIAL",MOVIMIENTOS!$C366="Chancho"))),OR(MOVIMIENTOS!$B366="ENVÍO A SUPESA",MOVIMIENTOS!$B366="MALOGRADO",MOVIMIENTOS!$B366="OTRA SALIDA",MOVIMIENTOS!$B366="TRASIEGO",AND(MOVIMIENTOS!$B366="PROCESO",MOVIMIENTOS!$C366="Chancho"),AND(MOVIMIENTOS!$B366="REGALO",MOVIMIENTOS!$C366&lt;&gt;"Chancho"),AND(MOVIMIENTOS!$B366="VENTA",MOVIMIENTOS!$C366&lt;&gt;"Chancho"),AND(MOVIMIENTOS!$B366="AJUSTE",MOVIMIENTOS!$C366&lt;&gt;"Chancho",N(MOVIMIENTOS!$F366)&lt;0))),IF(MOVIMIENTOS!$B366="AJUSTE",-N(MOVIMIENTOS!$F366),N(MOVIMIENTOS!$F366)),"")</f>
        <v/>
      </c>
      <c r="O367" s="48" t="str">
        <f aca="false">IF(AND(MOVIMIENTOS!$B366&lt;&gt;"",NOT(AND(MOVIMIENTOS!$B366="PROCESO",MOVIMIENTOS!$C366&lt;&gt;"Chancho")),NOT(AND(MOVIMIENTOS!$B366="SALDO INICIAL",MOVIMIENTOS!$C366="Chancho"))),IF(MOVIMIENTOS!$B366="RECHAZO",MOVIMIENTOS!$E366&amp;" jabas rechazadas · van a reproceso",IF(MOVIMIENTOS!$B366="REPROCESO",MOVIMIENTOS!$E366&amp;" kg recuperados (merma del día: "&amp;TEXT(SUMPRODUCT((MOVIMIENTOS!$A$5:$A$400=MOVIMIENTOS!$A366)*(MOVIMIENTOS!$B$5:$B$400="RECHAZO")*(MOVIMIENTOS!$D$5:$D$400="jabas")*MOVIMIENTOS!$E$5:$E$400*IFERROR(_xlfn.SWITCH(MOVIMIENTOS!$C$5:$C$400,"A",15,"P",18,"C",17,"M",17,0),0))-SUMPRODUCT((MOVIMIENTOS!$A$5:$A$400=MOVIMIENTOS!$A366)*(MOVIMIENTOS!$B$5:$B$400="REPROCESO")*MOVIMIENTOS!$I$5:$I$400),"+#,##0;-#,##0;0")&amp;" kg)",TRIM(IF(MOVIMIENTOS!$G366&lt;&gt;"",MOVIMIENTOS!$G366&amp;"  ","")&amp;IF(N(MOVIMIENTOS!$D366)&gt;0,MOVIMIENTOS!$D366&amp;" "&amp;MOVIMIENTOS!$D366,"")))),"")</f>
        <v/>
      </c>
      <c r="P367" s="48" t="n">
        <f aca="false">N(P366)+N(M367)-N(N367)</f>
        <v>-290.5</v>
      </c>
      <c r="Q367" s="48"/>
      <c r="R367" s="48"/>
      <c r="S367" s="48"/>
      <c r="T367" s="48"/>
    </row>
    <row r="368" customFormat="false" ht="15" hidden="false" customHeight="true" outlineLevel="0" collapsed="false">
      <c r="A368" s="51" t="str">
        <f aca="false">IFERROR(INDEX(K$6:K$401,MATCH(ROW()-5,J$6:J$401,0)),"")</f>
        <v/>
      </c>
      <c r="B368" s="56" t="str">
        <f aca="false">IFERROR(INDEX(L$6:L$401,MATCH(ROW()-5,J$6:J$401,0)),"")</f>
        <v/>
      </c>
      <c r="C368" s="52" t="str">
        <f aca="false">IFERROR(INDEX(M$6:M$401,MATCH(ROW()-5,J$6:J$401,0)),"")</f>
        <v/>
      </c>
      <c r="D368" s="52" t="str">
        <f aca="false">IFERROR(INDEX(N$6:N$401,MATCH(ROW()-5,J$6:J$401,0)),"")</f>
        <v/>
      </c>
      <c r="E368" s="56" t="str">
        <f aca="false">IFERROR(INDEX(O$6:O$401,MATCH(ROW()-5,J$6:J$401,0)),"")</f>
        <v/>
      </c>
      <c r="F368" s="52" t="str">
        <f aca="false">IFERROR(INDEX(P$6:P$401,MATCH(ROW()-5,J$6:J$401,0)),"")</f>
        <v/>
      </c>
      <c r="G368" s="48"/>
      <c r="H368" s="48"/>
      <c r="I368" s="48"/>
      <c r="J368" s="48" t="str">
        <f aca="false">IF(AND(MOVIMIENTOS!$B367&lt;&gt;"",NOT(AND(MOVIMIENTOS!$B367="PROCESO",MOVIMIENTOS!$C367&lt;&gt;"Chancho")),NOT(AND(MOVIMIENTOS!$B367="SALDO INICIAL",MOVIMIENTOS!$C367="Chancho"))),COUNT(J$6:J367)+1,"")</f>
        <v/>
      </c>
      <c r="K368" s="48" t="str">
        <f aca="false">IF(AND(MOVIMIENTOS!$B367&lt;&gt;"",NOT(AND(MOVIMIENTOS!$B367="PROCESO",MOVIMIENTOS!$C367&lt;&gt;"Chancho")),NOT(AND(MOVIMIENTOS!$B367="SALDO INICIAL",MOVIMIENTOS!$C367="Chancho"))),MOVIMIENTOS!$A367,"")</f>
        <v/>
      </c>
      <c r="L368" s="48" t="str">
        <f aca="false">IF(AND(MOVIMIENTOS!$B367&lt;&gt;"",NOT(AND(MOVIMIENTOS!$B367="PROCESO",MOVIMIENTOS!$C367&lt;&gt;"Chancho")),NOT(AND(MOVIMIENTOS!$B367="SALDO INICIAL",MOVIMIENTOS!$C367="Chancho"))),IF(MOVIMIENTOS!$B367="SALDO INICIAL","APERTURA ("&amp;MOVIMIENTOS!$C367&amp;")",IF(MOVIMIENTOS!$B367="COMPRA","INGRESO (compra)",IF(MOVIMIENTOS!$B367="PROCESO","CHANCHO (proceso)",IF(MOVIMIENTOS!$B367="ENVÍO A SUPESA","ENVÍO cal. "&amp;MOVIMIENTOS!$C367,IF(MOVIMIENTOS!$B367="VENTA CHANCHO","VENTA CHANCHO",IF(MOVIMIENTOS!$B367="VENTA","VENTA cal. "&amp;MOVIMIENTOS!$C367,IF(MOVIMIENTOS!$B367="REGALO","REGALO "&amp;MOVIMIENTOS!$C367,IF(MOVIMIENTOS!$B367="RECHAZO","RECHAZO cal. "&amp;MOVIMIENTOS!$C367&amp;" (va a reproceso)",IF(MOVIMIENTOS!$B367="DEVOLUCIÓN","DEVOLUCIÓN cal. "&amp;MOVIMIENTOS!$C367&amp;" (regresa intacta)",IF(MOVIMIENTOS!$B367="TRASIEGO","TRASIEGO cal. "&amp;MOVIMIENTOS!$C367,MOVIMIENTOS!$B367)))))))))),"")</f>
        <v/>
      </c>
      <c r="M368" s="48" t="str">
        <f aca="false">IF(AND(AND(MOVIMIENTOS!$B367&lt;&gt;"",NOT(AND(MOVIMIENTOS!$B367="PROCESO",MOVIMIENTOS!$C367&lt;&gt;"Chancho")),NOT(AND(MOVIMIENTOS!$B367="SALDO INICIAL",MOVIMIENTOS!$C367="Chancho"))),OR(MOVIMIENTOS!$B367="SALDO INICIAL",MOVIMIENTOS!$B367="COMPRA",MOVIMIENTOS!$B367="REPROCESO",MOVIMIENTOS!$B367="DEVOLUCIÓN",AND(MOVIMIENTOS!$B367="AJUSTE",MOVIMIENTOS!$C367&lt;&gt;"Chancho",N(MOVIMIENTOS!$F367)&gt;=0))),N(MOVIMIENTOS!$F367),"")</f>
        <v/>
      </c>
      <c r="N368" s="48" t="str">
        <f aca="false">IF(AND(AND(MOVIMIENTOS!$B367&lt;&gt;"",NOT(AND(MOVIMIENTOS!$B367="PROCESO",MOVIMIENTOS!$C367&lt;&gt;"Chancho")),NOT(AND(MOVIMIENTOS!$B367="SALDO INICIAL",MOVIMIENTOS!$C367="Chancho"))),OR(MOVIMIENTOS!$B367="ENVÍO A SUPESA",MOVIMIENTOS!$B367="MALOGRADO",MOVIMIENTOS!$B367="OTRA SALIDA",MOVIMIENTOS!$B367="TRASIEGO",AND(MOVIMIENTOS!$B367="PROCESO",MOVIMIENTOS!$C367="Chancho"),AND(MOVIMIENTOS!$B367="REGALO",MOVIMIENTOS!$C367&lt;&gt;"Chancho"),AND(MOVIMIENTOS!$B367="VENTA",MOVIMIENTOS!$C367&lt;&gt;"Chancho"),AND(MOVIMIENTOS!$B367="AJUSTE",MOVIMIENTOS!$C367&lt;&gt;"Chancho",N(MOVIMIENTOS!$F367)&lt;0))),IF(MOVIMIENTOS!$B367="AJUSTE",-N(MOVIMIENTOS!$F367),N(MOVIMIENTOS!$F367)),"")</f>
        <v/>
      </c>
      <c r="O368" s="48" t="str">
        <f aca="false">IF(AND(MOVIMIENTOS!$B367&lt;&gt;"",NOT(AND(MOVIMIENTOS!$B367="PROCESO",MOVIMIENTOS!$C367&lt;&gt;"Chancho")),NOT(AND(MOVIMIENTOS!$B367="SALDO INICIAL",MOVIMIENTOS!$C367="Chancho"))),IF(MOVIMIENTOS!$B367="RECHAZO",MOVIMIENTOS!$E367&amp;" jabas rechazadas · van a reproceso",IF(MOVIMIENTOS!$B367="REPROCESO",MOVIMIENTOS!$E367&amp;" kg recuperados (merma del día: "&amp;TEXT(SUMPRODUCT((MOVIMIENTOS!$A$5:$A$400=MOVIMIENTOS!$A367)*(MOVIMIENTOS!$B$5:$B$400="RECHAZO")*(MOVIMIENTOS!$D$5:$D$400="jabas")*MOVIMIENTOS!$E$5:$E$400*IFERROR(_xlfn.SWITCH(MOVIMIENTOS!$C$5:$C$400,"A",15,"P",18,"C",17,"M",17,0),0))-SUMPRODUCT((MOVIMIENTOS!$A$5:$A$400=MOVIMIENTOS!$A367)*(MOVIMIENTOS!$B$5:$B$400="REPROCESO")*MOVIMIENTOS!$I$5:$I$400),"+#,##0;-#,##0;0")&amp;" kg)",TRIM(IF(MOVIMIENTOS!$G367&lt;&gt;"",MOVIMIENTOS!$G367&amp;"  ","")&amp;IF(N(MOVIMIENTOS!$D367)&gt;0,MOVIMIENTOS!$D367&amp;" "&amp;MOVIMIENTOS!$D367,"")))),"")</f>
        <v/>
      </c>
      <c r="P368" s="48" t="n">
        <f aca="false">N(P367)+N(M368)-N(N368)</f>
        <v>-290.5</v>
      </c>
      <c r="Q368" s="48"/>
      <c r="R368" s="48"/>
      <c r="S368" s="48"/>
      <c r="T368" s="48"/>
    </row>
    <row r="369" customFormat="false" ht="15" hidden="false" customHeight="true" outlineLevel="0" collapsed="false">
      <c r="A369" s="51" t="str">
        <f aca="false">IFERROR(INDEX(K$6:K$401,MATCH(ROW()-5,J$6:J$401,0)),"")</f>
        <v/>
      </c>
      <c r="B369" s="56" t="str">
        <f aca="false">IFERROR(INDEX(L$6:L$401,MATCH(ROW()-5,J$6:J$401,0)),"")</f>
        <v/>
      </c>
      <c r="C369" s="52" t="str">
        <f aca="false">IFERROR(INDEX(M$6:M$401,MATCH(ROW()-5,J$6:J$401,0)),"")</f>
        <v/>
      </c>
      <c r="D369" s="52" t="str">
        <f aca="false">IFERROR(INDEX(N$6:N$401,MATCH(ROW()-5,J$6:J$401,0)),"")</f>
        <v/>
      </c>
      <c r="E369" s="56" t="str">
        <f aca="false">IFERROR(INDEX(O$6:O$401,MATCH(ROW()-5,J$6:J$401,0)),"")</f>
        <v/>
      </c>
      <c r="F369" s="52" t="str">
        <f aca="false">IFERROR(INDEX(P$6:P$401,MATCH(ROW()-5,J$6:J$401,0)),"")</f>
        <v/>
      </c>
      <c r="G369" s="48"/>
      <c r="H369" s="48"/>
      <c r="I369" s="48"/>
      <c r="J369" s="48" t="str">
        <f aca="false">IF(AND(MOVIMIENTOS!$B368&lt;&gt;"",NOT(AND(MOVIMIENTOS!$B368="PROCESO",MOVIMIENTOS!$C368&lt;&gt;"Chancho")),NOT(AND(MOVIMIENTOS!$B368="SALDO INICIAL",MOVIMIENTOS!$C368="Chancho"))),COUNT(J$6:J368)+1,"")</f>
        <v/>
      </c>
      <c r="K369" s="48" t="str">
        <f aca="false">IF(AND(MOVIMIENTOS!$B368&lt;&gt;"",NOT(AND(MOVIMIENTOS!$B368="PROCESO",MOVIMIENTOS!$C368&lt;&gt;"Chancho")),NOT(AND(MOVIMIENTOS!$B368="SALDO INICIAL",MOVIMIENTOS!$C368="Chancho"))),MOVIMIENTOS!$A368,"")</f>
        <v/>
      </c>
      <c r="L369" s="48" t="str">
        <f aca="false">IF(AND(MOVIMIENTOS!$B368&lt;&gt;"",NOT(AND(MOVIMIENTOS!$B368="PROCESO",MOVIMIENTOS!$C368&lt;&gt;"Chancho")),NOT(AND(MOVIMIENTOS!$B368="SALDO INICIAL",MOVIMIENTOS!$C368="Chancho"))),IF(MOVIMIENTOS!$B368="SALDO INICIAL","APERTURA ("&amp;MOVIMIENTOS!$C368&amp;")",IF(MOVIMIENTOS!$B368="COMPRA","INGRESO (compra)",IF(MOVIMIENTOS!$B368="PROCESO","CHANCHO (proceso)",IF(MOVIMIENTOS!$B368="ENVÍO A SUPESA","ENVÍO cal. "&amp;MOVIMIENTOS!$C368,IF(MOVIMIENTOS!$B368="VENTA CHANCHO","VENTA CHANCHO",IF(MOVIMIENTOS!$B368="VENTA","VENTA cal. "&amp;MOVIMIENTOS!$C368,IF(MOVIMIENTOS!$B368="REGALO","REGALO "&amp;MOVIMIENTOS!$C368,IF(MOVIMIENTOS!$B368="RECHAZO","RECHAZO cal. "&amp;MOVIMIENTOS!$C368&amp;" (va a reproceso)",IF(MOVIMIENTOS!$B368="DEVOLUCIÓN","DEVOLUCIÓN cal. "&amp;MOVIMIENTOS!$C368&amp;" (regresa intacta)",IF(MOVIMIENTOS!$B368="TRASIEGO","TRASIEGO cal. "&amp;MOVIMIENTOS!$C368,MOVIMIENTOS!$B368)))))))))),"")</f>
        <v/>
      </c>
      <c r="M369" s="48" t="str">
        <f aca="false">IF(AND(AND(MOVIMIENTOS!$B368&lt;&gt;"",NOT(AND(MOVIMIENTOS!$B368="PROCESO",MOVIMIENTOS!$C368&lt;&gt;"Chancho")),NOT(AND(MOVIMIENTOS!$B368="SALDO INICIAL",MOVIMIENTOS!$C368="Chancho"))),OR(MOVIMIENTOS!$B368="SALDO INICIAL",MOVIMIENTOS!$B368="COMPRA",MOVIMIENTOS!$B368="REPROCESO",MOVIMIENTOS!$B368="DEVOLUCIÓN",AND(MOVIMIENTOS!$B368="AJUSTE",MOVIMIENTOS!$C368&lt;&gt;"Chancho",N(MOVIMIENTOS!$F368)&gt;=0))),N(MOVIMIENTOS!$F368),"")</f>
        <v/>
      </c>
      <c r="N369" s="48" t="str">
        <f aca="false">IF(AND(AND(MOVIMIENTOS!$B368&lt;&gt;"",NOT(AND(MOVIMIENTOS!$B368="PROCESO",MOVIMIENTOS!$C368&lt;&gt;"Chancho")),NOT(AND(MOVIMIENTOS!$B368="SALDO INICIAL",MOVIMIENTOS!$C368="Chancho"))),OR(MOVIMIENTOS!$B368="ENVÍO A SUPESA",MOVIMIENTOS!$B368="MALOGRADO",MOVIMIENTOS!$B368="OTRA SALIDA",MOVIMIENTOS!$B368="TRASIEGO",AND(MOVIMIENTOS!$B368="PROCESO",MOVIMIENTOS!$C368="Chancho"),AND(MOVIMIENTOS!$B368="REGALO",MOVIMIENTOS!$C368&lt;&gt;"Chancho"),AND(MOVIMIENTOS!$B368="VENTA",MOVIMIENTOS!$C368&lt;&gt;"Chancho"),AND(MOVIMIENTOS!$B368="AJUSTE",MOVIMIENTOS!$C368&lt;&gt;"Chancho",N(MOVIMIENTOS!$F368)&lt;0))),IF(MOVIMIENTOS!$B368="AJUSTE",-N(MOVIMIENTOS!$F368),N(MOVIMIENTOS!$F368)),"")</f>
        <v/>
      </c>
      <c r="O369" s="48" t="str">
        <f aca="false">IF(AND(MOVIMIENTOS!$B368&lt;&gt;"",NOT(AND(MOVIMIENTOS!$B368="PROCESO",MOVIMIENTOS!$C368&lt;&gt;"Chancho")),NOT(AND(MOVIMIENTOS!$B368="SALDO INICIAL",MOVIMIENTOS!$C368="Chancho"))),IF(MOVIMIENTOS!$B368="RECHAZO",MOVIMIENTOS!$E368&amp;" jabas rechazadas · van a reproceso",IF(MOVIMIENTOS!$B368="REPROCESO",MOVIMIENTOS!$E368&amp;" kg recuperados (merma del día: "&amp;TEXT(SUMPRODUCT((MOVIMIENTOS!$A$5:$A$400=MOVIMIENTOS!$A368)*(MOVIMIENTOS!$B$5:$B$400="RECHAZO")*(MOVIMIENTOS!$D$5:$D$400="jabas")*MOVIMIENTOS!$E$5:$E$400*IFERROR(_xlfn.SWITCH(MOVIMIENTOS!$C$5:$C$400,"A",15,"P",18,"C",17,"M",17,0),0))-SUMPRODUCT((MOVIMIENTOS!$A$5:$A$400=MOVIMIENTOS!$A368)*(MOVIMIENTOS!$B$5:$B$400="REPROCESO")*MOVIMIENTOS!$I$5:$I$400),"+#,##0;-#,##0;0")&amp;" kg)",TRIM(IF(MOVIMIENTOS!$G368&lt;&gt;"",MOVIMIENTOS!$G368&amp;"  ","")&amp;IF(N(MOVIMIENTOS!$D368)&gt;0,MOVIMIENTOS!$D368&amp;" "&amp;MOVIMIENTOS!$D368,"")))),"")</f>
        <v/>
      </c>
      <c r="P369" s="48" t="n">
        <f aca="false">N(P368)+N(M369)-N(N369)</f>
        <v>-290.5</v>
      </c>
      <c r="Q369" s="48"/>
      <c r="R369" s="48"/>
      <c r="S369" s="48"/>
      <c r="T369" s="48"/>
    </row>
    <row r="370" customFormat="false" ht="15" hidden="false" customHeight="true" outlineLevel="0" collapsed="false">
      <c r="A370" s="51" t="str">
        <f aca="false">IFERROR(INDEX(K$6:K$401,MATCH(ROW()-5,J$6:J$401,0)),"")</f>
        <v/>
      </c>
      <c r="B370" s="56" t="str">
        <f aca="false">IFERROR(INDEX(L$6:L$401,MATCH(ROW()-5,J$6:J$401,0)),"")</f>
        <v/>
      </c>
      <c r="C370" s="52" t="str">
        <f aca="false">IFERROR(INDEX(M$6:M$401,MATCH(ROW()-5,J$6:J$401,0)),"")</f>
        <v/>
      </c>
      <c r="D370" s="52" t="str">
        <f aca="false">IFERROR(INDEX(N$6:N$401,MATCH(ROW()-5,J$6:J$401,0)),"")</f>
        <v/>
      </c>
      <c r="E370" s="56" t="str">
        <f aca="false">IFERROR(INDEX(O$6:O$401,MATCH(ROW()-5,J$6:J$401,0)),"")</f>
        <v/>
      </c>
      <c r="F370" s="52" t="str">
        <f aca="false">IFERROR(INDEX(P$6:P$401,MATCH(ROW()-5,J$6:J$401,0)),"")</f>
        <v/>
      </c>
      <c r="G370" s="48"/>
      <c r="H370" s="48"/>
      <c r="I370" s="48"/>
      <c r="J370" s="48" t="str">
        <f aca="false">IF(AND(MOVIMIENTOS!$B369&lt;&gt;"",NOT(AND(MOVIMIENTOS!$B369="PROCESO",MOVIMIENTOS!$C369&lt;&gt;"Chancho")),NOT(AND(MOVIMIENTOS!$B369="SALDO INICIAL",MOVIMIENTOS!$C369="Chancho"))),COUNT(J$6:J369)+1,"")</f>
        <v/>
      </c>
      <c r="K370" s="48" t="str">
        <f aca="false">IF(AND(MOVIMIENTOS!$B369&lt;&gt;"",NOT(AND(MOVIMIENTOS!$B369="PROCESO",MOVIMIENTOS!$C369&lt;&gt;"Chancho")),NOT(AND(MOVIMIENTOS!$B369="SALDO INICIAL",MOVIMIENTOS!$C369="Chancho"))),MOVIMIENTOS!$A369,"")</f>
        <v/>
      </c>
      <c r="L370" s="48" t="str">
        <f aca="false">IF(AND(MOVIMIENTOS!$B369&lt;&gt;"",NOT(AND(MOVIMIENTOS!$B369="PROCESO",MOVIMIENTOS!$C369&lt;&gt;"Chancho")),NOT(AND(MOVIMIENTOS!$B369="SALDO INICIAL",MOVIMIENTOS!$C369="Chancho"))),IF(MOVIMIENTOS!$B369="SALDO INICIAL","APERTURA ("&amp;MOVIMIENTOS!$C369&amp;")",IF(MOVIMIENTOS!$B369="COMPRA","INGRESO (compra)",IF(MOVIMIENTOS!$B369="PROCESO","CHANCHO (proceso)",IF(MOVIMIENTOS!$B369="ENVÍO A SUPESA","ENVÍO cal. "&amp;MOVIMIENTOS!$C369,IF(MOVIMIENTOS!$B369="VENTA CHANCHO","VENTA CHANCHO",IF(MOVIMIENTOS!$B369="VENTA","VENTA cal. "&amp;MOVIMIENTOS!$C369,IF(MOVIMIENTOS!$B369="REGALO","REGALO "&amp;MOVIMIENTOS!$C369,IF(MOVIMIENTOS!$B369="RECHAZO","RECHAZO cal. "&amp;MOVIMIENTOS!$C369&amp;" (va a reproceso)",IF(MOVIMIENTOS!$B369="DEVOLUCIÓN","DEVOLUCIÓN cal. "&amp;MOVIMIENTOS!$C369&amp;" (regresa intacta)",IF(MOVIMIENTOS!$B369="TRASIEGO","TRASIEGO cal. "&amp;MOVIMIENTOS!$C369,MOVIMIENTOS!$B369)))))))))),"")</f>
        <v/>
      </c>
      <c r="M370" s="48" t="str">
        <f aca="false">IF(AND(AND(MOVIMIENTOS!$B369&lt;&gt;"",NOT(AND(MOVIMIENTOS!$B369="PROCESO",MOVIMIENTOS!$C369&lt;&gt;"Chancho")),NOT(AND(MOVIMIENTOS!$B369="SALDO INICIAL",MOVIMIENTOS!$C369="Chancho"))),OR(MOVIMIENTOS!$B369="SALDO INICIAL",MOVIMIENTOS!$B369="COMPRA",MOVIMIENTOS!$B369="REPROCESO",MOVIMIENTOS!$B369="DEVOLUCIÓN",AND(MOVIMIENTOS!$B369="AJUSTE",MOVIMIENTOS!$C369&lt;&gt;"Chancho",N(MOVIMIENTOS!$F369)&gt;=0))),N(MOVIMIENTOS!$F369),"")</f>
        <v/>
      </c>
      <c r="N370" s="48" t="str">
        <f aca="false">IF(AND(AND(MOVIMIENTOS!$B369&lt;&gt;"",NOT(AND(MOVIMIENTOS!$B369="PROCESO",MOVIMIENTOS!$C369&lt;&gt;"Chancho")),NOT(AND(MOVIMIENTOS!$B369="SALDO INICIAL",MOVIMIENTOS!$C369="Chancho"))),OR(MOVIMIENTOS!$B369="ENVÍO A SUPESA",MOVIMIENTOS!$B369="MALOGRADO",MOVIMIENTOS!$B369="OTRA SALIDA",MOVIMIENTOS!$B369="TRASIEGO",AND(MOVIMIENTOS!$B369="PROCESO",MOVIMIENTOS!$C369="Chancho"),AND(MOVIMIENTOS!$B369="REGALO",MOVIMIENTOS!$C369&lt;&gt;"Chancho"),AND(MOVIMIENTOS!$B369="VENTA",MOVIMIENTOS!$C369&lt;&gt;"Chancho"),AND(MOVIMIENTOS!$B369="AJUSTE",MOVIMIENTOS!$C369&lt;&gt;"Chancho",N(MOVIMIENTOS!$F369)&lt;0))),IF(MOVIMIENTOS!$B369="AJUSTE",-N(MOVIMIENTOS!$F369),N(MOVIMIENTOS!$F369)),"")</f>
        <v/>
      </c>
      <c r="O370" s="48" t="str">
        <f aca="false">IF(AND(MOVIMIENTOS!$B369&lt;&gt;"",NOT(AND(MOVIMIENTOS!$B369="PROCESO",MOVIMIENTOS!$C369&lt;&gt;"Chancho")),NOT(AND(MOVIMIENTOS!$B369="SALDO INICIAL",MOVIMIENTOS!$C369="Chancho"))),IF(MOVIMIENTOS!$B369="RECHAZO",MOVIMIENTOS!$E369&amp;" jabas rechazadas · van a reproceso",IF(MOVIMIENTOS!$B369="REPROCESO",MOVIMIENTOS!$E369&amp;" kg recuperados (merma del día: "&amp;TEXT(SUMPRODUCT((MOVIMIENTOS!$A$5:$A$400=MOVIMIENTOS!$A369)*(MOVIMIENTOS!$B$5:$B$400="RECHAZO")*(MOVIMIENTOS!$D$5:$D$400="jabas")*MOVIMIENTOS!$E$5:$E$400*IFERROR(_xlfn.SWITCH(MOVIMIENTOS!$C$5:$C$400,"A",15,"P",18,"C",17,"M",17,0),0))-SUMPRODUCT((MOVIMIENTOS!$A$5:$A$400=MOVIMIENTOS!$A369)*(MOVIMIENTOS!$B$5:$B$400="REPROCESO")*MOVIMIENTOS!$I$5:$I$400),"+#,##0;-#,##0;0")&amp;" kg)",TRIM(IF(MOVIMIENTOS!$G369&lt;&gt;"",MOVIMIENTOS!$G369&amp;"  ","")&amp;IF(N(MOVIMIENTOS!$D369)&gt;0,MOVIMIENTOS!$D369&amp;" "&amp;MOVIMIENTOS!$D369,"")))),"")</f>
        <v/>
      </c>
      <c r="P370" s="48" t="n">
        <f aca="false">N(P369)+N(M370)-N(N370)</f>
        <v>-290.5</v>
      </c>
      <c r="Q370" s="48"/>
      <c r="R370" s="48"/>
      <c r="S370" s="48"/>
      <c r="T370" s="48"/>
    </row>
    <row r="371" customFormat="false" ht="15" hidden="false" customHeight="true" outlineLevel="0" collapsed="false">
      <c r="A371" s="51" t="str">
        <f aca="false">IFERROR(INDEX(K$6:K$401,MATCH(ROW()-5,J$6:J$401,0)),"")</f>
        <v/>
      </c>
      <c r="B371" s="56" t="str">
        <f aca="false">IFERROR(INDEX(L$6:L$401,MATCH(ROW()-5,J$6:J$401,0)),"")</f>
        <v/>
      </c>
      <c r="C371" s="52" t="str">
        <f aca="false">IFERROR(INDEX(M$6:M$401,MATCH(ROW()-5,J$6:J$401,0)),"")</f>
        <v/>
      </c>
      <c r="D371" s="52" t="str">
        <f aca="false">IFERROR(INDEX(N$6:N$401,MATCH(ROW()-5,J$6:J$401,0)),"")</f>
        <v/>
      </c>
      <c r="E371" s="56" t="str">
        <f aca="false">IFERROR(INDEX(O$6:O$401,MATCH(ROW()-5,J$6:J$401,0)),"")</f>
        <v/>
      </c>
      <c r="F371" s="52" t="str">
        <f aca="false">IFERROR(INDEX(P$6:P$401,MATCH(ROW()-5,J$6:J$401,0)),"")</f>
        <v/>
      </c>
      <c r="G371" s="48"/>
      <c r="H371" s="48"/>
      <c r="I371" s="48"/>
      <c r="J371" s="48" t="str">
        <f aca="false">IF(AND(MOVIMIENTOS!$B370&lt;&gt;"",NOT(AND(MOVIMIENTOS!$B370="PROCESO",MOVIMIENTOS!$C370&lt;&gt;"Chancho")),NOT(AND(MOVIMIENTOS!$B370="SALDO INICIAL",MOVIMIENTOS!$C370="Chancho"))),COUNT(J$6:J370)+1,"")</f>
        <v/>
      </c>
      <c r="K371" s="48" t="str">
        <f aca="false">IF(AND(MOVIMIENTOS!$B370&lt;&gt;"",NOT(AND(MOVIMIENTOS!$B370="PROCESO",MOVIMIENTOS!$C370&lt;&gt;"Chancho")),NOT(AND(MOVIMIENTOS!$B370="SALDO INICIAL",MOVIMIENTOS!$C370="Chancho"))),MOVIMIENTOS!$A370,"")</f>
        <v/>
      </c>
      <c r="L371" s="48" t="str">
        <f aca="false">IF(AND(MOVIMIENTOS!$B370&lt;&gt;"",NOT(AND(MOVIMIENTOS!$B370="PROCESO",MOVIMIENTOS!$C370&lt;&gt;"Chancho")),NOT(AND(MOVIMIENTOS!$B370="SALDO INICIAL",MOVIMIENTOS!$C370="Chancho"))),IF(MOVIMIENTOS!$B370="SALDO INICIAL","APERTURA ("&amp;MOVIMIENTOS!$C370&amp;")",IF(MOVIMIENTOS!$B370="COMPRA","INGRESO (compra)",IF(MOVIMIENTOS!$B370="PROCESO","CHANCHO (proceso)",IF(MOVIMIENTOS!$B370="ENVÍO A SUPESA","ENVÍO cal. "&amp;MOVIMIENTOS!$C370,IF(MOVIMIENTOS!$B370="VENTA CHANCHO","VENTA CHANCHO",IF(MOVIMIENTOS!$B370="VENTA","VENTA cal. "&amp;MOVIMIENTOS!$C370,IF(MOVIMIENTOS!$B370="REGALO","REGALO "&amp;MOVIMIENTOS!$C370,IF(MOVIMIENTOS!$B370="RECHAZO","RECHAZO cal. "&amp;MOVIMIENTOS!$C370&amp;" (va a reproceso)",IF(MOVIMIENTOS!$B370="DEVOLUCIÓN","DEVOLUCIÓN cal. "&amp;MOVIMIENTOS!$C370&amp;" (regresa intacta)",IF(MOVIMIENTOS!$B370="TRASIEGO","TRASIEGO cal. "&amp;MOVIMIENTOS!$C370,MOVIMIENTOS!$B370)))))))))),"")</f>
        <v/>
      </c>
      <c r="M371" s="48" t="str">
        <f aca="false">IF(AND(AND(MOVIMIENTOS!$B370&lt;&gt;"",NOT(AND(MOVIMIENTOS!$B370="PROCESO",MOVIMIENTOS!$C370&lt;&gt;"Chancho")),NOT(AND(MOVIMIENTOS!$B370="SALDO INICIAL",MOVIMIENTOS!$C370="Chancho"))),OR(MOVIMIENTOS!$B370="SALDO INICIAL",MOVIMIENTOS!$B370="COMPRA",MOVIMIENTOS!$B370="REPROCESO",MOVIMIENTOS!$B370="DEVOLUCIÓN",AND(MOVIMIENTOS!$B370="AJUSTE",MOVIMIENTOS!$C370&lt;&gt;"Chancho",N(MOVIMIENTOS!$F370)&gt;=0))),N(MOVIMIENTOS!$F370),"")</f>
        <v/>
      </c>
      <c r="N371" s="48" t="str">
        <f aca="false">IF(AND(AND(MOVIMIENTOS!$B370&lt;&gt;"",NOT(AND(MOVIMIENTOS!$B370="PROCESO",MOVIMIENTOS!$C370&lt;&gt;"Chancho")),NOT(AND(MOVIMIENTOS!$B370="SALDO INICIAL",MOVIMIENTOS!$C370="Chancho"))),OR(MOVIMIENTOS!$B370="ENVÍO A SUPESA",MOVIMIENTOS!$B370="MALOGRADO",MOVIMIENTOS!$B370="OTRA SALIDA",MOVIMIENTOS!$B370="TRASIEGO",AND(MOVIMIENTOS!$B370="PROCESO",MOVIMIENTOS!$C370="Chancho"),AND(MOVIMIENTOS!$B370="REGALO",MOVIMIENTOS!$C370&lt;&gt;"Chancho"),AND(MOVIMIENTOS!$B370="VENTA",MOVIMIENTOS!$C370&lt;&gt;"Chancho"),AND(MOVIMIENTOS!$B370="AJUSTE",MOVIMIENTOS!$C370&lt;&gt;"Chancho",N(MOVIMIENTOS!$F370)&lt;0))),IF(MOVIMIENTOS!$B370="AJUSTE",-N(MOVIMIENTOS!$F370),N(MOVIMIENTOS!$F370)),"")</f>
        <v/>
      </c>
      <c r="O371" s="48" t="str">
        <f aca="false">IF(AND(MOVIMIENTOS!$B370&lt;&gt;"",NOT(AND(MOVIMIENTOS!$B370="PROCESO",MOVIMIENTOS!$C370&lt;&gt;"Chancho")),NOT(AND(MOVIMIENTOS!$B370="SALDO INICIAL",MOVIMIENTOS!$C370="Chancho"))),IF(MOVIMIENTOS!$B370="RECHAZO",MOVIMIENTOS!$E370&amp;" jabas rechazadas · van a reproceso",IF(MOVIMIENTOS!$B370="REPROCESO",MOVIMIENTOS!$E370&amp;" kg recuperados (merma del día: "&amp;TEXT(SUMPRODUCT((MOVIMIENTOS!$A$5:$A$400=MOVIMIENTOS!$A370)*(MOVIMIENTOS!$B$5:$B$400="RECHAZO")*(MOVIMIENTOS!$D$5:$D$400="jabas")*MOVIMIENTOS!$E$5:$E$400*IFERROR(_xlfn.SWITCH(MOVIMIENTOS!$C$5:$C$400,"A",15,"P",18,"C",17,"M",17,0),0))-SUMPRODUCT((MOVIMIENTOS!$A$5:$A$400=MOVIMIENTOS!$A370)*(MOVIMIENTOS!$B$5:$B$400="REPROCESO")*MOVIMIENTOS!$I$5:$I$400),"+#,##0;-#,##0;0")&amp;" kg)",TRIM(IF(MOVIMIENTOS!$G370&lt;&gt;"",MOVIMIENTOS!$G370&amp;"  ","")&amp;IF(N(MOVIMIENTOS!$D370)&gt;0,MOVIMIENTOS!$D370&amp;" "&amp;MOVIMIENTOS!$D370,"")))),"")</f>
        <v/>
      </c>
      <c r="P371" s="48" t="n">
        <f aca="false">N(P370)+N(M371)-N(N371)</f>
        <v>-290.5</v>
      </c>
      <c r="Q371" s="48"/>
      <c r="R371" s="48"/>
      <c r="S371" s="48"/>
      <c r="T371" s="48"/>
    </row>
    <row r="372" customFormat="false" ht="15" hidden="false" customHeight="true" outlineLevel="0" collapsed="false">
      <c r="A372" s="51" t="str">
        <f aca="false">IFERROR(INDEX(K$6:K$401,MATCH(ROW()-5,J$6:J$401,0)),"")</f>
        <v/>
      </c>
      <c r="B372" s="56" t="str">
        <f aca="false">IFERROR(INDEX(L$6:L$401,MATCH(ROW()-5,J$6:J$401,0)),"")</f>
        <v/>
      </c>
      <c r="C372" s="52" t="str">
        <f aca="false">IFERROR(INDEX(M$6:M$401,MATCH(ROW()-5,J$6:J$401,0)),"")</f>
        <v/>
      </c>
      <c r="D372" s="52" t="str">
        <f aca="false">IFERROR(INDEX(N$6:N$401,MATCH(ROW()-5,J$6:J$401,0)),"")</f>
        <v/>
      </c>
      <c r="E372" s="56" t="str">
        <f aca="false">IFERROR(INDEX(O$6:O$401,MATCH(ROW()-5,J$6:J$401,0)),"")</f>
        <v/>
      </c>
      <c r="F372" s="52" t="str">
        <f aca="false">IFERROR(INDEX(P$6:P$401,MATCH(ROW()-5,J$6:J$401,0)),"")</f>
        <v/>
      </c>
      <c r="G372" s="48"/>
      <c r="H372" s="48"/>
      <c r="I372" s="48"/>
      <c r="J372" s="48" t="str">
        <f aca="false">IF(AND(MOVIMIENTOS!$B371&lt;&gt;"",NOT(AND(MOVIMIENTOS!$B371="PROCESO",MOVIMIENTOS!$C371&lt;&gt;"Chancho")),NOT(AND(MOVIMIENTOS!$B371="SALDO INICIAL",MOVIMIENTOS!$C371="Chancho"))),COUNT(J$6:J371)+1,"")</f>
        <v/>
      </c>
      <c r="K372" s="48" t="str">
        <f aca="false">IF(AND(MOVIMIENTOS!$B371&lt;&gt;"",NOT(AND(MOVIMIENTOS!$B371="PROCESO",MOVIMIENTOS!$C371&lt;&gt;"Chancho")),NOT(AND(MOVIMIENTOS!$B371="SALDO INICIAL",MOVIMIENTOS!$C371="Chancho"))),MOVIMIENTOS!$A371,"")</f>
        <v/>
      </c>
      <c r="L372" s="48" t="str">
        <f aca="false">IF(AND(MOVIMIENTOS!$B371&lt;&gt;"",NOT(AND(MOVIMIENTOS!$B371="PROCESO",MOVIMIENTOS!$C371&lt;&gt;"Chancho")),NOT(AND(MOVIMIENTOS!$B371="SALDO INICIAL",MOVIMIENTOS!$C371="Chancho"))),IF(MOVIMIENTOS!$B371="SALDO INICIAL","APERTURA ("&amp;MOVIMIENTOS!$C371&amp;")",IF(MOVIMIENTOS!$B371="COMPRA","INGRESO (compra)",IF(MOVIMIENTOS!$B371="PROCESO","CHANCHO (proceso)",IF(MOVIMIENTOS!$B371="ENVÍO A SUPESA","ENVÍO cal. "&amp;MOVIMIENTOS!$C371,IF(MOVIMIENTOS!$B371="VENTA CHANCHO","VENTA CHANCHO",IF(MOVIMIENTOS!$B371="VENTA","VENTA cal. "&amp;MOVIMIENTOS!$C371,IF(MOVIMIENTOS!$B371="REGALO","REGALO "&amp;MOVIMIENTOS!$C371,IF(MOVIMIENTOS!$B371="RECHAZO","RECHAZO cal. "&amp;MOVIMIENTOS!$C371&amp;" (va a reproceso)",IF(MOVIMIENTOS!$B371="DEVOLUCIÓN","DEVOLUCIÓN cal. "&amp;MOVIMIENTOS!$C371&amp;" (regresa intacta)",IF(MOVIMIENTOS!$B371="TRASIEGO","TRASIEGO cal. "&amp;MOVIMIENTOS!$C371,MOVIMIENTOS!$B371)))))))))),"")</f>
        <v/>
      </c>
      <c r="M372" s="48" t="str">
        <f aca="false">IF(AND(AND(MOVIMIENTOS!$B371&lt;&gt;"",NOT(AND(MOVIMIENTOS!$B371="PROCESO",MOVIMIENTOS!$C371&lt;&gt;"Chancho")),NOT(AND(MOVIMIENTOS!$B371="SALDO INICIAL",MOVIMIENTOS!$C371="Chancho"))),OR(MOVIMIENTOS!$B371="SALDO INICIAL",MOVIMIENTOS!$B371="COMPRA",MOVIMIENTOS!$B371="REPROCESO",MOVIMIENTOS!$B371="DEVOLUCIÓN",AND(MOVIMIENTOS!$B371="AJUSTE",MOVIMIENTOS!$C371&lt;&gt;"Chancho",N(MOVIMIENTOS!$F371)&gt;=0))),N(MOVIMIENTOS!$F371),"")</f>
        <v/>
      </c>
      <c r="N372" s="48" t="str">
        <f aca="false">IF(AND(AND(MOVIMIENTOS!$B371&lt;&gt;"",NOT(AND(MOVIMIENTOS!$B371="PROCESO",MOVIMIENTOS!$C371&lt;&gt;"Chancho")),NOT(AND(MOVIMIENTOS!$B371="SALDO INICIAL",MOVIMIENTOS!$C371="Chancho"))),OR(MOVIMIENTOS!$B371="ENVÍO A SUPESA",MOVIMIENTOS!$B371="MALOGRADO",MOVIMIENTOS!$B371="OTRA SALIDA",MOVIMIENTOS!$B371="TRASIEGO",AND(MOVIMIENTOS!$B371="PROCESO",MOVIMIENTOS!$C371="Chancho"),AND(MOVIMIENTOS!$B371="REGALO",MOVIMIENTOS!$C371&lt;&gt;"Chancho"),AND(MOVIMIENTOS!$B371="VENTA",MOVIMIENTOS!$C371&lt;&gt;"Chancho"),AND(MOVIMIENTOS!$B371="AJUSTE",MOVIMIENTOS!$C371&lt;&gt;"Chancho",N(MOVIMIENTOS!$F371)&lt;0))),IF(MOVIMIENTOS!$B371="AJUSTE",-N(MOVIMIENTOS!$F371),N(MOVIMIENTOS!$F371)),"")</f>
        <v/>
      </c>
      <c r="O372" s="48" t="str">
        <f aca="false">IF(AND(MOVIMIENTOS!$B371&lt;&gt;"",NOT(AND(MOVIMIENTOS!$B371="PROCESO",MOVIMIENTOS!$C371&lt;&gt;"Chancho")),NOT(AND(MOVIMIENTOS!$B371="SALDO INICIAL",MOVIMIENTOS!$C371="Chancho"))),IF(MOVIMIENTOS!$B371="RECHAZO",MOVIMIENTOS!$E371&amp;" jabas rechazadas · van a reproceso",IF(MOVIMIENTOS!$B371="REPROCESO",MOVIMIENTOS!$E371&amp;" kg recuperados (merma del día: "&amp;TEXT(SUMPRODUCT((MOVIMIENTOS!$A$5:$A$400=MOVIMIENTOS!$A371)*(MOVIMIENTOS!$B$5:$B$400="RECHAZO")*(MOVIMIENTOS!$D$5:$D$400="jabas")*MOVIMIENTOS!$E$5:$E$400*IFERROR(_xlfn.SWITCH(MOVIMIENTOS!$C$5:$C$400,"A",15,"P",18,"C",17,"M",17,0),0))-SUMPRODUCT((MOVIMIENTOS!$A$5:$A$400=MOVIMIENTOS!$A371)*(MOVIMIENTOS!$B$5:$B$400="REPROCESO")*MOVIMIENTOS!$I$5:$I$400),"+#,##0;-#,##0;0")&amp;" kg)",TRIM(IF(MOVIMIENTOS!$G371&lt;&gt;"",MOVIMIENTOS!$G371&amp;"  ","")&amp;IF(N(MOVIMIENTOS!$D371)&gt;0,MOVIMIENTOS!$D371&amp;" "&amp;MOVIMIENTOS!$D371,"")))),"")</f>
        <v/>
      </c>
      <c r="P372" s="48" t="n">
        <f aca="false">N(P371)+N(M372)-N(N372)</f>
        <v>-290.5</v>
      </c>
      <c r="Q372" s="48"/>
      <c r="R372" s="48"/>
      <c r="S372" s="48"/>
      <c r="T372" s="48"/>
    </row>
    <row r="373" customFormat="false" ht="15" hidden="false" customHeight="true" outlineLevel="0" collapsed="false">
      <c r="A373" s="51" t="str">
        <f aca="false">IFERROR(INDEX(K$6:K$401,MATCH(ROW()-5,J$6:J$401,0)),"")</f>
        <v/>
      </c>
      <c r="B373" s="56" t="str">
        <f aca="false">IFERROR(INDEX(L$6:L$401,MATCH(ROW()-5,J$6:J$401,0)),"")</f>
        <v/>
      </c>
      <c r="C373" s="52" t="str">
        <f aca="false">IFERROR(INDEX(M$6:M$401,MATCH(ROW()-5,J$6:J$401,0)),"")</f>
        <v/>
      </c>
      <c r="D373" s="52" t="str">
        <f aca="false">IFERROR(INDEX(N$6:N$401,MATCH(ROW()-5,J$6:J$401,0)),"")</f>
        <v/>
      </c>
      <c r="E373" s="56" t="str">
        <f aca="false">IFERROR(INDEX(O$6:O$401,MATCH(ROW()-5,J$6:J$401,0)),"")</f>
        <v/>
      </c>
      <c r="F373" s="52" t="str">
        <f aca="false">IFERROR(INDEX(P$6:P$401,MATCH(ROW()-5,J$6:J$401,0)),"")</f>
        <v/>
      </c>
      <c r="G373" s="48"/>
      <c r="H373" s="48"/>
      <c r="I373" s="48"/>
      <c r="J373" s="48" t="str">
        <f aca="false">IF(AND(MOVIMIENTOS!$B372&lt;&gt;"",NOT(AND(MOVIMIENTOS!$B372="PROCESO",MOVIMIENTOS!$C372&lt;&gt;"Chancho")),NOT(AND(MOVIMIENTOS!$B372="SALDO INICIAL",MOVIMIENTOS!$C372="Chancho"))),COUNT(J$6:J372)+1,"")</f>
        <v/>
      </c>
      <c r="K373" s="48" t="str">
        <f aca="false">IF(AND(MOVIMIENTOS!$B372&lt;&gt;"",NOT(AND(MOVIMIENTOS!$B372="PROCESO",MOVIMIENTOS!$C372&lt;&gt;"Chancho")),NOT(AND(MOVIMIENTOS!$B372="SALDO INICIAL",MOVIMIENTOS!$C372="Chancho"))),MOVIMIENTOS!$A372,"")</f>
        <v/>
      </c>
      <c r="L373" s="48" t="str">
        <f aca="false">IF(AND(MOVIMIENTOS!$B372&lt;&gt;"",NOT(AND(MOVIMIENTOS!$B372="PROCESO",MOVIMIENTOS!$C372&lt;&gt;"Chancho")),NOT(AND(MOVIMIENTOS!$B372="SALDO INICIAL",MOVIMIENTOS!$C372="Chancho"))),IF(MOVIMIENTOS!$B372="SALDO INICIAL","APERTURA ("&amp;MOVIMIENTOS!$C372&amp;")",IF(MOVIMIENTOS!$B372="COMPRA","INGRESO (compra)",IF(MOVIMIENTOS!$B372="PROCESO","CHANCHO (proceso)",IF(MOVIMIENTOS!$B372="ENVÍO A SUPESA","ENVÍO cal. "&amp;MOVIMIENTOS!$C372,IF(MOVIMIENTOS!$B372="VENTA CHANCHO","VENTA CHANCHO",IF(MOVIMIENTOS!$B372="VENTA","VENTA cal. "&amp;MOVIMIENTOS!$C372,IF(MOVIMIENTOS!$B372="REGALO","REGALO "&amp;MOVIMIENTOS!$C372,IF(MOVIMIENTOS!$B372="RECHAZO","RECHAZO cal. "&amp;MOVIMIENTOS!$C372&amp;" (va a reproceso)",IF(MOVIMIENTOS!$B372="DEVOLUCIÓN","DEVOLUCIÓN cal. "&amp;MOVIMIENTOS!$C372&amp;" (regresa intacta)",IF(MOVIMIENTOS!$B372="TRASIEGO","TRASIEGO cal. "&amp;MOVIMIENTOS!$C372,MOVIMIENTOS!$B372)))))))))),"")</f>
        <v/>
      </c>
      <c r="M373" s="48" t="str">
        <f aca="false">IF(AND(AND(MOVIMIENTOS!$B372&lt;&gt;"",NOT(AND(MOVIMIENTOS!$B372="PROCESO",MOVIMIENTOS!$C372&lt;&gt;"Chancho")),NOT(AND(MOVIMIENTOS!$B372="SALDO INICIAL",MOVIMIENTOS!$C372="Chancho"))),OR(MOVIMIENTOS!$B372="SALDO INICIAL",MOVIMIENTOS!$B372="COMPRA",MOVIMIENTOS!$B372="REPROCESO",MOVIMIENTOS!$B372="DEVOLUCIÓN",AND(MOVIMIENTOS!$B372="AJUSTE",MOVIMIENTOS!$C372&lt;&gt;"Chancho",N(MOVIMIENTOS!$F372)&gt;=0))),N(MOVIMIENTOS!$F372),"")</f>
        <v/>
      </c>
      <c r="N373" s="48" t="str">
        <f aca="false">IF(AND(AND(MOVIMIENTOS!$B372&lt;&gt;"",NOT(AND(MOVIMIENTOS!$B372="PROCESO",MOVIMIENTOS!$C372&lt;&gt;"Chancho")),NOT(AND(MOVIMIENTOS!$B372="SALDO INICIAL",MOVIMIENTOS!$C372="Chancho"))),OR(MOVIMIENTOS!$B372="ENVÍO A SUPESA",MOVIMIENTOS!$B372="MALOGRADO",MOVIMIENTOS!$B372="OTRA SALIDA",MOVIMIENTOS!$B372="TRASIEGO",AND(MOVIMIENTOS!$B372="PROCESO",MOVIMIENTOS!$C372="Chancho"),AND(MOVIMIENTOS!$B372="REGALO",MOVIMIENTOS!$C372&lt;&gt;"Chancho"),AND(MOVIMIENTOS!$B372="VENTA",MOVIMIENTOS!$C372&lt;&gt;"Chancho"),AND(MOVIMIENTOS!$B372="AJUSTE",MOVIMIENTOS!$C372&lt;&gt;"Chancho",N(MOVIMIENTOS!$F372)&lt;0))),IF(MOVIMIENTOS!$B372="AJUSTE",-N(MOVIMIENTOS!$F372),N(MOVIMIENTOS!$F372)),"")</f>
        <v/>
      </c>
      <c r="O373" s="48" t="str">
        <f aca="false">IF(AND(MOVIMIENTOS!$B372&lt;&gt;"",NOT(AND(MOVIMIENTOS!$B372="PROCESO",MOVIMIENTOS!$C372&lt;&gt;"Chancho")),NOT(AND(MOVIMIENTOS!$B372="SALDO INICIAL",MOVIMIENTOS!$C372="Chancho"))),IF(MOVIMIENTOS!$B372="RECHAZO",MOVIMIENTOS!$E372&amp;" jabas rechazadas · van a reproceso",IF(MOVIMIENTOS!$B372="REPROCESO",MOVIMIENTOS!$E372&amp;" kg recuperados (merma del día: "&amp;TEXT(SUMPRODUCT((MOVIMIENTOS!$A$5:$A$400=MOVIMIENTOS!$A372)*(MOVIMIENTOS!$B$5:$B$400="RECHAZO")*(MOVIMIENTOS!$D$5:$D$400="jabas")*MOVIMIENTOS!$E$5:$E$400*IFERROR(_xlfn.SWITCH(MOVIMIENTOS!$C$5:$C$400,"A",15,"P",18,"C",17,"M",17,0),0))-SUMPRODUCT((MOVIMIENTOS!$A$5:$A$400=MOVIMIENTOS!$A372)*(MOVIMIENTOS!$B$5:$B$400="REPROCESO")*MOVIMIENTOS!$I$5:$I$400),"+#,##0;-#,##0;0")&amp;" kg)",TRIM(IF(MOVIMIENTOS!$G372&lt;&gt;"",MOVIMIENTOS!$G372&amp;"  ","")&amp;IF(N(MOVIMIENTOS!$D372)&gt;0,MOVIMIENTOS!$D372&amp;" "&amp;MOVIMIENTOS!$D372,"")))),"")</f>
        <v/>
      </c>
      <c r="P373" s="48" t="n">
        <f aca="false">N(P372)+N(M373)-N(N373)</f>
        <v>-290.5</v>
      </c>
      <c r="Q373" s="48"/>
      <c r="R373" s="48"/>
      <c r="S373" s="48"/>
      <c r="T373" s="48"/>
    </row>
    <row r="374" customFormat="false" ht="15" hidden="false" customHeight="true" outlineLevel="0" collapsed="false">
      <c r="A374" s="51" t="str">
        <f aca="false">IFERROR(INDEX(K$6:K$401,MATCH(ROW()-5,J$6:J$401,0)),"")</f>
        <v/>
      </c>
      <c r="B374" s="56" t="str">
        <f aca="false">IFERROR(INDEX(L$6:L$401,MATCH(ROW()-5,J$6:J$401,0)),"")</f>
        <v/>
      </c>
      <c r="C374" s="52" t="str">
        <f aca="false">IFERROR(INDEX(M$6:M$401,MATCH(ROW()-5,J$6:J$401,0)),"")</f>
        <v/>
      </c>
      <c r="D374" s="52" t="str">
        <f aca="false">IFERROR(INDEX(N$6:N$401,MATCH(ROW()-5,J$6:J$401,0)),"")</f>
        <v/>
      </c>
      <c r="E374" s="56" t="str">
        <f aca="false">IFERROR(INDEX(O$6:O$401,MATCH(ROW()-5,J$6:J$401,0)),"")</f>
        <v/>
      </c>
      <c r="F374" s="52" t="str">
        <f aca="false">IFERROR(INDEX(P$6:P$401,MATCH(ROW()-5,J$6:J$401,0)),"")</f>
        <v/>
      </c>
      <c r="G374" s="48"/>
      <c r="H374" s="48"/>
      <c r="I374" s="48"/>
      <c r="J374" s="48" t="str">
        <f aca="false">IF(AND(MOVIMIENTOS!$B373&lt;&gt;"",NOT(AND(MOVIMIENTOS!$B373="PROCESO",MOVIMIENTOS!$C373&lt;&gt;"Chancho")),NOT(AND(MOVIMIENTOS!$B373="SALDO INICIAL",MOVIMIENTOS!$C373="Chancho"))),COUNT(J$6:J373)+1,"")</f>
        <v/>
      </c>
      <c r="K374" s="48" t="str">
        <f aca="false">IF(AND(MOVIMIENTOS!$B373&lt;&gt;"",NOT(AND(MOVIMIENTOS!$B373="PROCESO",MOVIMIENTOS!$C373&lt;&gt;"Chancho")),NOT(AND(MOVIMIENTOS!$B373="SALDO INICIAL",MOVIMIENTOS!$C373="Chancho"))),MOVIMIENTOS!$A373,"")</f>
        <v/>
      </c>
      <c r="L374" s="48" t="str">
        <f aca="false">IF(AND(MOVIMIENTOS!$B373&lt;&gt;"",NOT(AND(MOVIMIENTOS!$B373="PROCESO",MOVIMIENTOS!$C373&lt;&gt;"Chancho")),NOT(AND(MOVIMIENTOS!$B373="SALDO INICIAL",MOVIMIENTOS!$C373="Chancho"))),IF(MOVIMIENTOS!$B373="SALDO INICIAL","APERTURA ("&amp;MOVIMIENTOS!$C373&amp;")",IF(MOVIMIENTOS!$B373="COMPRA","INGRESO (compra)",IF(MOVIMIENTOS!$B373="PROCESO","CHANCHO (proceso)",IF(MOVIMIENTOS!$B373="ENVÍO A SUPESA","ENVÍO cal. "&amp;MOVIMIENTOS!$C373,IF(MOVIMIENTOS!$B373="VENTA CHANCHO","VENTA CHANCHO",IF(MOVIMIENTOS!$B373="VENTA","VENTA cal. "&amp;MOVIMIENTOS!$C373,IF(MOVIMIENTOS!$B373="REGALO","REGALO "&amp;MOVIMIENTOS!$C373,IF(MOVIMIENTOS!$B373="RECHAZO","RECHAZO cal. "&amp;MOVIMIENTOS!$C373&amp;" (va a reproceso)",IF(MOVIMIENTOS!$B373="DEVOLUCIÓN","DEVOLUCIÓN cal. "&amp;MOVIMIENTOS!$C373&amp;" (regresa intacta)",IF(MOVIMIENTOS!$B373="TRASIEGO","TRASIEGO cal. "&amp;MOVIMIENTOS!$C373,MOVIMIENTOS!$B373)))))))))),"")</f>
        <v/>
      </c>
      <c r="M374" s="48" t="str">
        <f aca="false">IF(AND(AND(MOVIMIENTOS!$B373&lt;&gt;"",NOT(AND(MOVIMIENTOS!$B373="PROCESO",MOVIMIENTOS!$C373&lt;&gt;"Chancho")),NOT(AND(MOVIMIENTOS!$B373="SALDO INICIAL",MOVIMIENTOS!$C373="Chancho"))),OR(MOVIMIENTOS!$B373="SALDO INICIAL",MOVIMIENTOS!$B373="COMPRA",MOVIMIENTOS!$B373="REPROCESO",MOVIMIENTOS!$B373="DEVOLUCIÓN",AND(MOVIMIENTOS!$B373="AJUSTE",MOVIMIENTOS!$C373&lt;&gt;"Chancho",N(MOVIMIENTOS!$F373)&gt;=0))),N(MOVIMIENTOS!$F373),"")</f>
        <v/>
      </c>
      <c r="N374" s="48" t="str">
        <f aca="false">IF(AND(AND(MOVIMIENTOS!$B373&lt;&gt;"",NOT(AND(MOVIMIENTOS!$B373="PROCESO",MOVIMIENTOS!$C373&lt;&gt;"Chancho")),NOT(AND(MOVIMIENTOS!$B373="SALDO INICIAL",MOVIMIENTOS!$C373="Chancho"))),OR(MOVIMIENTOS!$B373="ENVÍO A SUPESA",MOVIMIENTOS!$B373="MALOGRADO",MOVIMIENTOS!$B373="OTRA SALIDA",MOVIMIENTOS!$B373="TRASIEGO",AND(MOVIMIENTOS!$B373="PROCESO",MOVIMIENTOS!$C373="Chancho"),AND(MOVIMIENTOS!$B373="REGALO",MOVIMIENTOS!$C373&lt;&gt;"Chancho"),AND(MOVIMIENTOS!$B373="VENTA",MOVIMIENTOS!$C373&lt;&gt;"Chancho"),AND(MOVIMIENTOS!$B373="AJUSTE",MOVIMIENTOS!$C373&lt;&gt;"Chancho",N(MOVIMIENTOS!$F373)&lt;0))),IF(MOVIMIENTOS!$B373="AJUSTE",-N(MOVIMIENTOS!$F373),N(MOVIMIENTOS!$F373)),"")</f>
        <v/>
      </c>
      <c r="O374" s="48" t="str">
        <f aca="false">IF(AND(MOVIMIENTOS!$B373&lt;&gt;"",NOT(AND(MOVIMIENTOS!$B373="PROCESO",MOVIMIENTOS!$C373&lt;&gt;"Chancho")),NOT(AND(MOVIMIENTOS!$B373="SALDO INICIAL",MOVIMIENTOS!$C373="Chancho"))),IF(MOVIMIENTOS!$B373="RECHAZO",MOVIMIENTOS!$E373&amp;" jabas rechazadas · van a reproceso",IF(MOVIMIENTOS!$B373="REPROCESO",MOVIMIENTOS!$E373&amp;" kg recuperados (merma del día: "&amp;TEXT(SUMPRODUCT((MOVIMIENTOS!$A$5:$A$400=MOVIMIENTOS!$A373)*(MOVIMIENTOS!$B$5:$B$400="RECHAZO")*(MOVIMIENTOS!$D$5:$D$400="jabas")*MOVIMIENTOS!$E$5:$E$400*IFERROR(_xlfn.SWITCH(MOVIMIENTOS!$C$5:$C$400,"A",15,"P",18,"C",17,"M",17,0),0))-SUMPRODUCT((MOVIMIENTOS!$A$5:$A$400=MOVIMIENTOS!$A373)*(MOVIMIENTOS!$B$5:$B$400="REPROCESO")*MOVIMIENTOS!$I$5:$I$400),"+#,##0;-#,##0;0")&amp;" kg)",TRIM(IF(MOVIMIENTOS!$G373&lt;&gt;"",MOVIMIENTOS!$G373&amp;"  ","")&amp;IF(N(MOVIMIENTOS!$D373)&gt;0,MOVIMIENTOS!$D373&amp;" "&amp;MOVIMIENTOS!$D373,"")))),"")</f>
        <v/>
      </c>
      <c r="P374" s="48" t="n">
        <f aca="false">N(P373)+N(M374)-N(N374)</f>
        <v>-290.5</v>
      </c>
      <c r="Q374" s="48"/>
      <c r="R374" s="48"/>
      <c r="S374" s="48"/>
      <c r="T374" s="48"/>
    </row>
    <row r="375" customFormat="false" ht="15" hidden="false" customHeight="true" outlineLevel="0" collapsed="false">
      <c r="A375" s="51" t="str">
        <f aca="false">IFERROR(INDEX(K$6:K$401,MATCH(ROW()-5,J$6:J$401,0)),"")</f>
        <v/>
      </c>
      <c r="B375" s="56" t="str">
        <f aca="false">IFERROR(INDEX(L$6:L$401,MATCH(ROW()-5,J$6:J$401,0)),"")</f>
        <v/>
      </c>
      <c r="C375" s="52" t="str">
        <f aca="false">IFERROR(INDEX(M$6:M$401,MATCH(ROW()-5,J$6:J$401,0)),"")</f>
        <v/>
      </c>
      <c r="D375" s="52" t="str">
        <f aca="false">IFERROR(INDEX(N$6:N$401,MATCH(ROW()-5,J$6:J$401,0)),"")</f>
        <v/>
      </c>
      <c r="E375" s="56" t="str">
        <f aca="false">IFERROR(INDEX(O$6:O$401,MATCH(ROW()-5,J$6:J$401,0)),"")</f>
        <v/>
      </c>
      <c r="F375" s="52" t="str">
        <f aca="false">IFERROR(INDEX(P$6:P$401,MATCH(ROW()-5,J$6:J$401,0)),"")</f>
        <v/>
      </c>
      <c r="G375" s="48"/>
      <c r="H375" s="48"/>
      <c r="I375" s="48"/>
      <c r="J375" s="48" t="str">
        <f aca="false">IF(AND(MOVIMIENTOS!$B374&lt;&gt;"",NOT(AND(MOVIMIENTOS!$B374="PROCESO",MOVIMIENTOS!$C374&lt;&gt;"Chancho")),NOT(AND(MOVIMIENTOS!$B374="SALDO INICIAL",MOVIMIENTOS!$C374="Chancho"))),COUNT(J$6:J374)+1,"")</f>
        <v/>
      </c>
      <c r="K375" s="48" t="str">
        <f aca="false">IF(AND(MOVIMIENTOS!$B374&lt;&gt;"",NOT(AND(MOVIMIENTOS!$B374="PROCESO",MOVIMIENTOS!$C374&lt;&gt;"Chancho")),NOT(AND(MOVIMIENTOS!$B374="SALDO INICIAL",MOVIMIENTOS!$C374="Chancho"))),MOVIMIENTOS!$A374,"")</f>
        <v/>
      </c>
      <c r="L375" s="48" t="str">
        <f aca="false">IF(AND(MOVIMIENTOS!$B374&lt;&gt;"",NOT(AND(MOVIMIENTOS!$B374="PROCESO",MOVIMIENTOS!$C374&lt;&gt;"Chancho")),NOT(AND(MOVIMIENTOS!$B374="SALDO INICIAL",MOVIMIENTOS!$C374="Chancho"))),IF(MOVIMIENTOS!$B374="SALDO INICIAL","APERTURA ("&amp;MOVIMIENTOS!$C374&amp;")",IF(MOVIMIENTOS!$B374="COMPRA","INGRESO (compra)",IF(MOVIMIENTOS!$B374="PROCESO","CHANCHO (proceso)",IF(MOVIMIENTOS!$B374="ENVÍO A SUPESA","ENVÍO cal. "&amp;MOVIMIENTOS!$C374,IF(MOVIMIENTOS!$B374="VENTA CHANCHO","VENTA CHANCHO",IF(MOVIMIENTOS!$B374="VENTA","VENTA cal. "&amp;MOVIMIENTOS!$C374,IF(MOVIMIENTOS!$B374="REGALO","REGALO "&amp;MOVIMIENTOS!$C374,IF(MOVIMIENTOS!$B374="RECHAZO","RECHAZO cal. "&amp;MOVIMIENTOS!$C374&amp;" (va a reproceso)",IF(MOVIMIENTOS!$B374="DEVOLUCIÓN","DEVOLUCIÓN cal. "&amp;MOVIMIENTOS!$C374&amp;" (regresa intacta)",IF(MOVIMIENTOS!$B374="TRASIEGO","TRASIEGO cal. "&amp;MOVIMIENTOS!$C374,MOVIMIENTOS!$B374)))))))))),"")</f>
        <v/>
      </c>
      <c r="M375" s="48" t="str">
        <f aca="false">IF(AND(AND(MOVIMIENTOS!$B374&lt;&gt;"",NOT(AND(MOVIMIENTOS!$B374="PROCESO",MOVIMIENTOS!$C374&lt;&gt;"Chancho")),NOT(AND(MOVIMIENTOS!$B374="SALDO INICIAL",MOVIMIENTOS!$C374="Chancho"))),OR(MOVIMIENTOS!$B374="SALDO INICIAL",MOVIMIENTOS!$B374="COMPRA",MOVIMIENTOS!$B374="REPROCESO",MOVIMIENTOS!$B374="DEVOLUCIÓN",AND(MOVIMIENTOS!$B374="AJUSTE",MOVIMIENTOS!$C374&lt;&gt;"Chancho",N(MOVIMIENTOS!$F374)&gt;=0))),N(MOVIMIENTOS!$F374),"")</f>
        <v/>
      </c>
      <c r="N375" s="48" t="str">
        <f aca="false">IF(AND(AND(MOVIMIENTOS!$B374&lt;&gt;"",NOT(AND(MOVIMIENTOS!$B374="PROCESO",MOVIMIENTOS!$C374&lt;&gt;"Chancho")),NOT(AND(MOVIMIENTOS!$B374="SALDO INICIAL",MOVIMIENTOS!$C374="Chancho"))),OR(MOVIMIENTOS!$B374="ENVÍO A SUPESA",MOVIMIENTOS!$B374="MALOGRADO",MOVIMIENTOS!$B374="OTRA SALIDA",MOVIMIENTOS!$B374="TRASIEGO",AND(MOVIMIENTOS!$B374="PROCESO",MOVIMIENTOS!$C374="Chancho"),AND(MOVIMIENTOS!$B374="REGALO",MOVIMIENTOS!$C374&lt;&gt;"Chancho"),AND(MOVIMIENTOS!$B374="VENTA",MOVIMIENTOS!$C374&lt;&gt;"Chancho"),AND(MOVIMIENTOS!$B374="AJUSTE",MOVIMIENTOS!$C374&lt;&gt;"Chancho",N(MOVIMIENTOS!$F374)&lt;0))),IF(MOVIMIENTOS!$B374="AJUSTE",-N(MOVIMIENTOS!$F374),N(MOVIMIENTOS!$F374)),"")</f>
        <v/>
      </c>
      <c r="O375" s="48" t="str">
        <f aca="false">IF(AND(MOVIMIENTOS!$B374&lt;&gt;"",NOT(AND(MOVIMIENTOS!$B374="PROCESO",MOVIMIENTOS!$C374&lt;&gt;"Chancho")),NOT(AND(MOVIMIENTOS!$B374="SALDO INICIAL",MOVIMIENTOS!$C374="Chancho"))),IF(MOVIMIENTOS!$B374="RECHAZO",MOVIMIENTOS!$E374&amp;" jabas rechazadas · van a reproceso",IF(MOVIMIENTOS!$B374="REPROCESO",MOVIMIENTOS!$E374&amp;" kg recuperados (merma del día: "&amp;TEXT(SUMPRODUCT((MOVIMIENTOS!$A$5:$A$400=MOVIMIENTOS!$A374)*(MOVIMIENTOS!$B$5:$B$400="RECHAZO")*(MOVIMIENTOS!$D$5:$D$400="jabas")*MOVIMIENTOS!$E$5:$E$400*IFERROR(_xlfn.SWITCH(MOVIMIENTOS!$C$5:$C$400,"A",15,"P",18,"C",17,"M",17,0),0))-SUMPRODUCT((MOVIMIENTOS!$A$5:$A$400=MOVIMIENTOS!$A374)*(MOVIMIENTOS!$B$5:$B$400="REPROCESO")*MOVIMIENTOS!$I$5:$I$400),"+#,##0;-#,##0;0")&amp;" kg)",TRIM(IF(MOVIMIENTOS!$G374&lt;&gt;"",MOVIMIENTOS!$G374&amp;"  ","")&amp;IF(N(MOVIMIENTOS!$D374)&gt;0,MOVIMIENTOS!$D374&amp;" "&amp;MOVIMIENTOS!$D374,"")))),"")</f>
        <v/>
      </c>
      <c r="P375" s="48" t="n">
        <f aca="false">N(P374)+N(M375)-N(N375)</f>
        <v>-290.5</v>
      </c>
      <c r="Q375" s="48"/>
      <c r="R375" s="48"/>
      <c r="S375" s="48"/>
      <c r="T375" s="48"/>
    </row>
    <row r="376" customFormat="false" ht="15" hidden="false" customHeight="true" outlineLevel="0" collapsed="false">
      <c r="A376" s="51" t="str">
        <f aca="false">IFERROR(INDEX(K$6:K$401,MATCH(ROW()-5,J$6:J$401,0)),"")</f>
        <v/>
      </c>
      <c r="B376" s="56" t="str">
        <f aca="false">IFERROR(INDEX(L$6:L$401,MATCH(ROW()-5,J$6:J$401,0)),"")</f>
        <v/>
      </c>
      <c r="C376" s="52" t="str">
        <f aca="false">IFERROR(INDEX(M$6:M$401,MATCH(ROW()-5,J$6:J$401,0)),"")</f>
        <v/>
      </c>
      <c r="D376" s="52" t="str">
        <f aca="false">IFERROR(INDEX(N$6:N$401,MATCH(ROW()-5,J$6:J$401,0)),"")</f>
        <v/>
      </c>
      <c r="E376" s="56" t="str">
        <f aca="false">IFERROR(INDEX(O$6:O$401,MATCH(ROW()-5,J$6:J$401,0)),"")</f>
        <v/>
      </c>
      <c r="F376" s="52" t="str">
        <f aca="false">IFERROR(INDEX(P$6:P$401,MATCH(ROW()-5,J$6:J$401,0)),"")</f>
        <v/>
      </c>
      <c r="G376" s="48"/>
      <c r="H376" s="48"/>
      <c r="I376" s="48"/>
      <c r="J376" s="48" t="str">
        <f aca="false">IF(AND(MOVIMIENTOS!$B375&lt;&gt;"",NOT(AND(MOVIMIENTOS!$B375="PROCESO",MOVIMIENTOS!$C375&lt;&gt;"Chancho")),NOT(AND(MOVIMIENTOS!$B375="SALDO INICIAL",MOVIMIENTOS!$C375="Chancho"))),COUNT(J$6:J375)+1,"")</f>
        <v/>
      </c>
      <c r="K376" s="48" t="str">
        <f aca="false">IF(AND(MOVIMIENTOS!$B375&lt;&gt;"",NOT(AND(MOVIMIENTOS!$B375="PROCESO",MOVIMIENTOS!$C375&lt;&gt;"Chancho")),NOT(AND(MOVIMIENTOS!$B375="SALDO INICIAL",MOVIMIENTOS!$C375="Chancho"))),MOVIMIENTOS!$A375,"")</f>
        <v/>
      </c>
      <c r="L376" s="48" t="str">
        <f aca="false">IF(AND(MOVIMIENTOS!$B375&lt;&gt;"",NOT(AND(MOVIMIENTOS!$B375="PROCESO",MOVIMIENTOS!$C375&lt;&gt;"Chancho")),NOT(AND(MOVIMIENTOS!$B375="SALDO INICIAL",MOVIMIENTOS!$C375="Chancho"))),IF(MOVIMIENTOS!$B375="SALDO INICIAL","APERTURA ("&amp;MOVIMIENTOS!$C375&amp;")",IF(MOVIMIENTOS!$B375="COMPRA","INGRESO (compra)",IF(MOVIMIENTOS!$B375="PROCESO","CHANCHO (proceso)",IF(MOVIMIENTOS!$B375="ENVÍO A SUPESA","ENVÍO cal. "&amp;MOVIMIENTOS!$C375,IF(MOVIMIENTOS!$B375="VENTA CHANCHO","VENTA CHANCHO",IF(MOVIMIENTOS!$B375="VENTA","VENTA cal. "&amp;MOVIMIENTOS!$C375,IF(MOVIMIENTOS!$B375="REGALO","REGALO "&amp;MOVIMIENTOS!$C375,IF(MOVIMIENTOS!$B375="RECHAZO","RECHAZO cal. "&amp;MOVIMIENTOS!$C375&amp;" (va a reproceso)",IF(MOVIMIENTOS!$B375="DEVOLUCIÓN","DEVOLUCIÓN cal. "&amp;MOVIMIENTOS!$C375&amp;" (regresa intacta)",IF(MOVIMIENTOS!$B375="TRASIEGO","TRASIEGO cal. "&amp;MOVIMIENTOS!$C375,MOVIMIENTOS!$B375)))))))))),"")</f>
        <v/>
      </c>
      <c r="M376" s="48" t="str">
        <f aca="false">IF(AND(AND(MOVIMIENTOS!$B375&lt;&gt;"",NOT(AND(MOVIMIENTOS!$B375="PROCESO",MOVIMIENTOS!$C375&lt;&gt;"Chancho")),NOT(AND(MOVIMIENTOS!$B375="SALDO INICIAL",MOVIMIENTOS!$C375="Chancho"))),OR(MOVIMIENTOS!$B375="SALDO INICIAL",MOVIMIENTOS!$B375="COMPRA",MOVIMIENTOS!$B375="REPROCESO",MOVIMIENTOS!$B375="DEVOLUCIÓN",AND(MOVIMIENTOS!$B375="AJUSTE",MOVIMIENTOS!$C375&lt;&gt;"Chancho",N(MOVIMIENTOS!$F375)&gt;=0))),N(MOVIMIENTOS!$F375),"")</f>
        <v/>
      </c>
      <c r="N376" s="48" t="str">
        <f aca="false">IF(AND(AND(MOVIMIENTOS!$B375&lt;&gt;"",NOT(AND(MOVIMIENTOS!$B375="PROCESO",MOVIMIENTOS!$C375&lt;&gt;"Chancho")),NOT(AND(MOVIMIENTOS!$B375="SALDO INICIAL",MOVIMIENTOS!$C375="Chancho"))),OR(MOVIMIENTOS!$B375="ENVÍO A SUPESA",MOVIMIENTOS!$B375="MALOGRADO",MOVIMIENTOS!$B375="OTRA SALIDA",MOVIMIENTOS!$B375="TRASIEGO",AND(MOVIMIENTOS!$B375="PROCESO",MOVIMIENTOS!$C375="Chancho"),AND(MOVIMIENTOS!$B375="REGALO",MOVIMIENTOS!$C375&lt;&gt;"Chancho"),AND(MOVIMIENTOS!$B375="VENTA",MOVIMIENTOS!$C375&lt;&gt;"Chancho"),AND(MOVIMIENTOS!$B375="AJUSTE",MOVIMIENTOS!$C375&lt;&gt;"Chancho",N(MOVIMIENTOS!$F375)&lt;0))),IF(MOVIMIENTOS!$B375="AJUSTE",-N(MOVIMIENTOS!$F375),N(MOVIMIENTOS!$F375)),"")</f>
        <v/>
      </c>
      <c r="O376" s="48" t="str">
        <f aca="false">IF(AND(MOVIMIENTOS!$B375&lt;&gt;"",NOT(AND(MOVIMIENTOS!$B375="PROCESO",MOVIMIENTOS!$C375&lt;&gt;"Chancho")),NOT(AND(MOVIMIENTOS!$B375="SALDO INICIAL",MOVIMIENTOS!$C375="Chancho"))),IF(MOVIMIENTOS!$B375="RECHAZO",MOVIMIENTOS!$E375&amp;" jabas rechazadas · van a reproceso",IF(MOVIMIENTOS!$B375="REPROCESO",MOVIMIENTOS!$E375&amp;" kg recuperados (merma del día: "&amp;TEXT(SUMPRODUCT((MOVIMIENTOS!$A$5:$A$400=MOVIMIENTOS!$A375)*(MOVIMIENTOS!$B$5:$B$400="RECHAZO")*(MOVIMIENTOS!$D$5:$D$400="jabas")*MOVIMIENTOS!$E$5:$E$400*IFERROR(_xlfn.SWITCH(MOVIMIENTOS!$C$5:$C$400,"A",15,"P",18,"C",17,"M",17,0),0))-SUMPRODUCT((MOVIMIENTOS!$A$5:$A$400=MOVIMIENTOS!$A375)*(MOVIMIENTOS!$B$5:$B$400="REPROCESO")*MOVIMIENTOS!$I$5:$I$400),"+#,##0;-#,##0;0")&amp;" kg)",TRIM(IF(MOVIMIENTOS!$G375&lt;&gt;"",MOVIMIENTOS!$G375&amp;"  ","")&amp;IF(N(MOVIMIENTOS!$D375)&gt;0,MOVIMIENTOS!$D375&amp;" "&amp;MOVIMIENTOS!$D375,"")))),"")</f>
        <v/>
      </c>
      <c r="P376" s="48" t="n">
        <f aca="false">N(P375)+N(M376)-N(N376)</f>
        <v>-290.5</v>
      </c>
      <c r="Q376" s="48"/>
      <c r="R376" s="48"/>
      <c r="S376" s="48"/>
      <c r="T376" s="48"/>
    </row>
    <row r="377" customFormat="false" ht="15" hidden="false" customHeight="true" outlineLevel="0" collapsed="false">
      <c r="A377" s="51" t="str">
        <f aca="false">IFERROR(INDEX(K$6:K$401,MATCH(ROW()-5,J$6:J$401,0)),"")</f>
        <v/>
      </c>
      <c r="B377" s="56" t="str">
        <f aca="false">IFERROR(INDEX(L$6:L$401,MATCH(ROW()-5,J$6:J$401,0)),"")</f>
        <v/>
      </c>
      <c r="C377" s="52" t="str">
        <f aca="false">IFERROR(INDEX(M$6:M$401,MATCH(ROW()-5,J$6:J$401,0)),"")</f>
        <v/>
      </c>
      <c r="D377" s="52" t="str">
        <f aca="false">IFERROR(INDEX(N$6:N$401,MATCH(ROW()-5,J$6:J$401,0)),"")</f>
        <v/>
      </c>
      <c r="E377" s="56" t="str">
        <f aca="false">IFERROR(INDEX(O$6:O$401,MATCH(ROW()-5,J$6:J$401,0)),"")</f>
        <v/>
      </c>
      <c r="F377" s="52" t="str">
        <f aca="false">IFERROR(INDEX(P$6:P$401,MATCH(ROW()-5,J$6:J$401,0)),"")</f>
        <v/>
      </c>
      <c r="G377" s="48"/>
      <c r="H377" s="48"/>
      <c r="I377" s="48"/>
      <c r="J377" s="48" t="str">
        <f aca="false">IF(AND(MOVIMIENTOS!$B376&lt;&gt;"",NOT(AND(MOVIMIENTOS!$B376="PROCESO",MOVIMIENTOS!$C376&lt;&gt;"Chancho")),NOT(AND(MOVIMIENTOS!$B376="SALDO INICIAL",MOVIMIENTOS!$C376="Chancho"))),COUNT(J$6:J376)+1,"")</f>
        <v/>
      </c>
      <c r="K377" s="48" t="str">
        <f aca="false">IF(AND(MOVIMIENTOS!$B376&lt;&gt;"",NOT(AND(MOVIMIENTOS!$B376="PROCESO",MOVIMIENTOS!$C376&lt;&gt;"Chancho")),NOT(AND(MOVIMIENTOS!$B376="SALDO INICIAL",MOVIMIENTOS!$C376="Chancho"))),MOVIMIENTOS!$A376,"")</f>
        <v/>
      </c>
      <c r="L377" s="48" t="str">
        <f aca="false">IF(AND(MOVIMIENTOS!$B376&lt;&gt;"",NOT(AND(MOVIMIENTOS!$B376="PROCESO",MOVIMIENTOS!$C376&lt;&gt;"Chancho")),NOT(AND(MOVIMIENTOS!$B376="SALDO INICIAL",MOVIMIENTOS!$C376="Chancho"))),IF(MOVIMIENTOS!$B376="SALDO INICIAL","APERTURA ("&amp;MOVIMIENTOS!$C376&amp;")",IF(MOVIMIENTOS!$B376="COMPRA","INGRESO (compra)",IF(MOVIMIENTOS!$B376="PROCESO","CHANCHO (proceso)",IF(MOVIMIENTOS!$B376="ENVÍO A SUPESA","ENVÍO cal. "&amp;MOVIMIENTOS!$C376,IF(MOVIMIENTOS!$B376="VENTA CHANCHO","VENTA CHANCHO",IF(MOVIMIENTOS!$B376="VENTA","VENTA cal. "&amp;MOVIMIENTOS!$C376,IF(MOVIMIENTOS!$B376="REGALO","REGALO "&amp;MOVIMIENTOS!$C376,IF(MOVIMIENTOS!$B376="RECHAZO","RECHAZO cal. "&amp;MOVIMIENTOS!$C376&amp;" (va a reproceso)",IF(MOVIMIENTOS!$B376="DEVOLUCIÓN","DEVOLUCIÓN cal. "&amp;MOVIMIENTOS!$C376&amp;" (regresa intacta)",IF(MOVIMIENTOS!$B376="TRASIEGO","TRASIEGO cal. "&amp;MOVIMIENTOS!$C376,MOVIMIENTOS!$B376)))))))))),"")</f>
        <v/>
      </c>
      <c r="M377" s="48" t="str">
        <f aca="false">IF(AND(AND(MOVIMIENTOS!$B376&lt;&gt;"",NOT(AND(MOVIMIENTOS!$B376="PROCESO",MOVIMIENTOS!$C376&lt;&gt;"Chancho")),NOT(AND(MOVIMIENTOS!$B376="SALDO INICIAL",MOVIMIENTOS!$C376="Chancho"))),OR(MOVIMIENTOS!$B376="SALDO INICIAL",MOVIMIENTOS!$B376="COMPRA",MOVIMIENTOS!$B376="REPROCESO",MOVIMIENTOS!$B376="DEVOLUCIÓN",AND(MOVIMIENTOS!$B376="AJUSTE",MOVIMIENTOS!$C376&lt;&gt;"Chancho",N(MOVIMIENTOS!$F376)&gt;=0))),N(MOVIMIENTOS!$F376),"")</f>
        <v/>
      </c>
      <c r="N377" s="48" t="str">
        <f aca="false">IF(AND(AND(MOVIMIENTOS!$B376&lt;&gt;"",NOT(AND(MOVIMIENTOS!$B376="PROCESO",MOVIMIENTOS!$C376&lt;&gt;"Chancho")),NOT(AND(MOVIMIENTOS!$B376="SALDO INICIAL",MOVIMIENTOS!$C376="Chancho"))),OR(MOVIMIENTOS!$B376="ENVÍO A SUPESA",MOVIMIENTOS!$B376="MALOGRADO",MOVIMIENTOS!$B376="OTRA SALIDA",MOVIMIENTOS!$B376="TRASIEGO",AND(MOVIMIENTOS!$B376="PROCESO",MOVIMIENTOS!$C376="Chancho"),AND(MOVIMIENTOS!$B376="REGALO",MOVIMIENTOS!$C376&lt;&gt;"Chancho"),AND(MOVIMIENTOS!$B376="VENTA",MOVIMIENTOS!$C376&lt;&gt;"Chancho"),AND(MOVIMIENTOS!$B376="AJUSTE",MOVIMIENTOS!$C376&lt;&gt;"Chancho",N(MOVIMIENTOS!$F376)&lt;0))),IF(MOVIMIENTOS!$B376="AJUSTE",-N(MOVIMIENTOS!$F376),N(MOVIMIENTOS!$F376)),"")</f>
        <v/>
      </c>
      <c r="O377" s="48" t="str">
        <f aca="false">IF(AND(MOVIMIENTOS!$B376&lt;&gt;"",NOT(AND(MOVIMIENTOS!$B376="PROCESO",MOVIMIENTOS!$C376&lt;&gt;"Chancho")),NOT(AND(MOVIMIENTOS!$B376="SALDO INICIAL",MOVIMIENTOS!$C376="Chancho"))),IF(MOVIMIENTOS!$B376="RECHAZO",MOVIMIENTOS!$E376&amp;" jabas rechazadas · van a reproceso",IF(MOVIMIENTOS!$B376="REPROCESO",MOVIMIENTOS!$E376&amp;" kg recuperados (merma del día: "&amp;TEXT(SUMPRODUCT((MOVIMIENTOS!$A$5:$A$400=MOVIMIENTOS!$A376)*(MOVIMIENTOS!$B$5:$B$400="RECHAZO")*(MOVIMIENTOS!$D$5:$D$400="jabas")*MOVIMIENTOS!$E$5:$E$400*IFERROR(_xlfn.SWITCH(MOVIMIENTOS!$C$5:$C$400,"A",15,"P",18,"C",17,"M",17,0),0))-SUMPRODUCT((MOVIMIENTOS!$A$5:$A$400=MOVIMIENTOS!$A376)*(MOVIMIENTOS!$B$5:$B$400="REPROCESO")*MOVIMIENTOS!$I$5:$I$400),"+#,##0;-#,##0;0")&amp;" kg)",TRIM(IF(MOVIMIENTOS!$G376&lt;&gt;"",MOVIMIENTOS!$G376&amp;"  ","")&amp;IF(N(MOVIMIENTOS!$D376)&gt;0,MOVIMIENTOS!$D376&amp;" "&amp;MOVIMIENTOS!$D376,"")))),"")</f>
        <v/>
      </c>
      <c r="P377" s="48" t="n">
        <f aca="false">N(P376)+N(M377)-N(N377)</f>
        <v>-290.5</v>
      </c>
      <c r="Q377" s="48"/>
      <c r="R377" s="48"/>
      <c r="S377" s="48"/>
      <c r="T377" s="48"/>
    </row>
    <row r="378" customFormat="false" ht="15" hidden="false" customHeight="true" outlineLevel="0" collapsed="false">
      <c r="A378" s="51" t="str">
        <f aca="false">IFERROR(INDEX(K$6:K$401,MATCH(ROW()-5,J$6:J$401,0)),"")</f>
        <v/>
      </c>
      <c r="B378" s="56" t="str">
        <f aca="false">IFERROR(INDEX(L$6:L$401,MATCH(ROW()-5,J$6:J$401,0)),"")</f>
        <v/>
      </c>
      <c r="C378" s="52" t="str">
        <f aca="false">IFERROR(INDEX(M$6:M$401,MATCH(ROW()-5,J$6:J$401,0)),"")</f>
        <v/>
      </c>
      <c r="D378" s="52" t="str">
        <f aca="false">IFERROR(INDEX(N$6:N$401,MATCH(ROW()-5,J$6:J$401,0)),"")</f>
        <v/>
      </c>
      <c r="E378" s="56" t="str">
        <f aca="false">IFERROR(INDEX(O$6:O$401,MATCH(ROW()-5,J$6:J$401,0)),"")</f>
        <v/>
      </c>
      <c r="F378" s="52" t="str">
        <f aca="false">IFERROR(INDEX(P$6:P$401,MATCH(ROW()-5,J$6:J$401,0)),"")</f>
        <v/>
      </c>
      <c r="G378" s="48"/>
      <c r="H378" s="48"/>
      <c r="I378" s="48"/>
      <c r="J378" s="48" t="str">
        <f aca="false">IF(AND(MOVIMIENTOS!$B377&lt;&gt;"",NOT(AND(MOVIMIENTOS!$B377="PROCESO",MOVIMIENTOS!$C377&lt;&gt;"Chancho")),NOT(AND(MOVIMIENTOS!$B377="SALDO INICIAL",MOVIMIENTOS!$C377="Chancho"))),COUNT(J$6:J377)+1,"")</f>
        <v/>
      </c>
      <c r="K378" s="48" t="str">
        <f aca="false">IF(AND(MOVIMIENTOS!$B377&lt;&gt;"",NOT(AND(MOVIMIENTOS!$B377="PROCESO",MOVIMIENTOS!$C377&lt;&gt;"Chancho")),NOT(AND(MOVIMIENTOS!$B377="SALDO INICIAL",MOVIMIENTOS!$C377="Chancho"))),MOVIMIENTOS!$A377,"")</f>
        <v/>
      </c>
      <c r="L378" s="48" t="str">
        <f aca="false">IF(AND(MOVIMIENTOS!$B377&lt;&gt;"",NOT(AND(MOVIMIENTOS!$B377="PROCESO",MOVIMIENTOS!$C377&lt;&gt;"Chancho")),NOT(AND(MOVIMIENTOS!$B377="SALDO INICIAL",MOVIMIENTOS!$C377="Chancho"))),IF(MOVIMIENTOS!$B377="SALDO INICIAL","APERTURA ("&amp;MOVIMIENTOS!$C377&amp;")",IF(MOVIMIENTOS!$B377="COMPRA","INGRESO (compra)",IF(MOVIMIENTOS!$B377="PROCESO","CHANCHO (proceso)",IF(MOVIMIENTOS!$B377="ENVÍO A SUPESA","ENVÍO cal. "&amp;MOVIMIENTOS!$C377,IF(MOVIMIENTOS!$B377="VENTA CHANCHO","VENTA CHANCHO",IF(MOVIMIENTOS!$B377="VENTA","VENTA cal. "&amp;MOVIMIENTOS!$C377,IF(MOVIMIENTOS!$B377="REGALO","REGALO "&amp;MOVIMIENTOS!$C377,IF(MOVIMIENTOS!$B377="RECHAZO","RECHAZO cal. "&amp;MOVIMIENTOS!$C377&amp;" (va a reproceso)",IF(MOVIMIENTOS!$B377="DEVOLUCIÓN","DEVOLUCIÓN cal. "&amp;MOVIMIENTOS!$C377&amp;" (regresa intacta)",IF(MOVIMIENTOS!$B377="TRASIEGO","TRASIEGO cal. "&amp;MOVIMIENTOS!$C377,MOVIMIENTOS!$B377)))))))))),"")</f>
        <v/>
      </c>
      <c r="M378" s="48" t="str">
        <f aca="false">IF(AND(AND(MOVIMIENTOS!$B377&lt;&gt;"",NOT(AND(MOVIMIENTOS!$B377="PROCESO",MOVIMIENTOS!$C377&lt;&gt;"Chancho")),NOT(AND(MOVIMIENTOS!$B377="SALDO INICIAL",MOVIMIENTOS!$C377="Chancho"))),OR(MOVIMIENTOS!$B377="SALDO INICIAL",MOVIMIENTOS!$B377="COMPRA",MOVIMIENTOS!$B377="REPROCESO",MOVIMIENTOS!$B377="DEVOLUCIÓN",AND(MOVIMIENTOS!$B377="AJUSTE",MOVIMIENTOS!$C377&lt;&gt;"Chancho",N(MOVIMIENTOS!$F377)&gt;=0))),N(MOVIMIENTOS!$F377),"")</f>
        <v/>
      </c>
      <c r="N378" s="48" t="str">
        <f aca="false">IF(AND(AND(MOVIMIENTOS!$B377&lt;&gt;"",NOT(AND(MOVIMIENTOS!$B377="PROCESO",MOVIMIENTOS!$C377&lt;&gt;"Chancho")),NOT(AND(MOVIMIENTOS!$B377="SALDO INICIAL",MOVIMIENTOS!$C377="Chancho"))),OR(MOVIMIENTOS!$B377="ENVÍO A SUPESA",MOVIMIENTOS!$B377="MALOGRADO",MOVIMIENTOS!$B377="OTRA SALIDA",MOVIMIENTOS!$B377="TRASIEGO",AND(MOVIMIENTOS!$B377="PROCESO",MOVIMIENTOS!$C377="Chancho"),AND(MOVIMIENTOS!$B377="REGALO",MOVIMIENTOS!$C377&lt;&gt;"Chancho"),AND(MOVIMIENTOS!$B377="VENTA",MOVIMIENTOS!$C377&lt;&gt;"Chancho"),AND(MOVIMIENTOS!$B377="AJUSTE",MOVIMIENTOS!$C377&lt;&gt;"Chancho",N(MOVIMIENTOS!$F377)&lt;0))),IF(MOVIMIENTOS!$B377="AJUSTE",-N(MOVIMIENTOS!$F377),N(MOVIMIENTOS!$F377)),"")</f>
        <v/>
      </c>
      <c r="O378" s="48" t="str">
        <f aca="false">IF(AND(MOVIMIENTOS!$B377&lt;&gt;"",NOT(AND(MOVIMIENTOS!$B377="PROCESO",MOVIMIENTOS!$C377&lt;&gt;"Chancho")),NOT(AND(MOVIMIENTOS!$B377="SALDO INICIAL",MOVIMIENTOS!$C377="Chancho"))),IF(MOVIMIENTOS!$B377="RECHAZO",MOVIMIENTOS!$E377&amp;" jabas rechazadas · van a reproceso",IF(MOVIMIENTOS!$B377="REPROCESO",MOVIMIENTOS!$E377&amp;" kg recuperados (merma del día: "&amp;TEXT(SUMPRODUCT((MOVIMIENTOS!$A$5:$A$400=MOVIMIENTOS!$A377)*(MOVIMIENTOS!$B$5:$B$400="RECHAZO")*(MOVIMIENTOS!$D$5:$D$400="jabas")*MOVIMIENTOS!$E$5:$E$400*IFERROR(_xlfn.SWITCH(MOVIMIENTOS!$C$5:$C$400,"A",15,"P",18,"C",17,"M",17,0),0))-SUMPRODUCT((MOVIMIENTOS!$A$5:$A$400=MOVIMIENTOS!$A377)*(MOVIMIENTOS!$B$5:$B$400="REPROCESO")*MOVIMIENTOS!$I$5:$I$400),"+#,##0;-#,##0;0")&amp;" kg)",TRIM(IF(MOVIMIENTOS!$G377&lt;&gt;"",MOVIMIENTOS!$G377&amp;"  ","")&amp;IF(N(MOVIMIENTOS!$D377)&gt;0,MOVIMIENTOS!$D377&amp;" "&amp;MOVIMIENTOS!$D377,"")))),"")</f>
        <v/>
      </c>
      <c r="P378" s="48" t="n">
        <f aca="false">N(P377)+N(M378)-N(N378)</f>
        <v>-290.5</v>
      </c>
      <c r="Q378" s="48"/>
      <c r="R378" s="48"/>
      <c r="S378" s="48"/>
      <c r="T378" s="48"/>
    </row>
    <row r="379" customFormat="false" ht="15" hidden="false" customHeight="true" outlineLevel="0" collapsed="false">
      <c r="A379" s="51" t="str">
        <f aca="false">IFERROR(INDEX(K$6:K$401,MATCH(ROW()-5,J$6:J$401,0)),"")</f>
        <v/>
      </c>
      <c r="B379" s="56" t="str">
        <f aca="false">IFERROR(INDEX(L$6:L$401,MATCH(ROW()-5,J$6:J$401,0)),"")</f>
        <v/>
      </c>
      <c r="C379" s="52" t="str">
        <f aca="false">IFERROR(INDEX(M$6:M$401,MATCH(ROW()-5,J$6:J$401,0)),"")</f>
        <v/>
      </c>
      <c r="D379" s="52" t="str">
        <f aca="false">IFERROR(INDEX(N$6:N$401,MATCH(ROW()-5,J$6:J$401,0)),"")</f>
        <v/>
      </c>
      <c r="E379" s="56" t="str">
        <f aca="false">IFERROR(INDEX(O$6:O$401,MATCH(ROW()-5,J$6:J$401,0)),"")</f>
        <v/>
      </c>
      <c r="F379" s="52" t="str">
        <f aca="false">IFERROR(INDEX(P$6:P$401,MATCH(ROW()-5,J$6:J$401,0)),"")</f>
        <v/>
      </c>
      <c r="G379" s="48"/>
      <c r="H379" s="48"/>
      <c r="I379" s="48"/>
      <c r="J379" s="48" t="str">
        <f aca="false">IF(AND(MOVIMIENTOS!$B378&lt;&gt;"",NOT(AND(MOVIMIENTOS!$B378="PROCESO",MOVIMIENTOS!$C378&lt;&gt;"Chancho")),NOT(AND(MOVIMIENTOS!$B378="SALDO INICIAL",MOVIMIENTOS!$C378="Chancho"))),COUNT(J$6:J378)+1,"")</f>
        <v/>
      </c>
      <c r="K379" s="48" t="str">
        <f aca="false">IF(AND(MOVIMIENTOS!$B378&lt;&gt;"",NOT(AND(MOVIMIENTOS!$B378="PROCESO",MOVIMIENTOS!$C378&lt;&gt;"Chancho")),NOT(AND(MOVIMIENTOS!$B378="SALDO INICIAL",MOVIMIENTOS!$C378="Chancho"))),MOVIMIENTOS!$A378,"")</f>
        <v/>
      </c>
      <c r="L379" s="48" t="str">
        <f aca="false">IF(AND(MOVIMIENTOS!$B378&lt;&gt;"",NOT(AND(MOVIMIENTOS!$B378="PROCESO",MOVIMIENTOS!$C378&lt;&gt;"Chancho")),NOT(AND(MOVIMIENTOS!$B378="SALDO INICIAL",MOVIMIENTOS!$C378="Chancho"))),IF(MOVIMIENTOS!$B378="SALDO INICIAL","APERTURA ("&amp;MOVIMIENTOS!$C378&amp;")",IF(MOVIMIENTOS!$B378="COMPRA","INGRESO (compra)",IF(MOVIMIENTOS!$B378="PROCESO","CHANCHO (proceso)",IF(MOVIMIENTOS!$B378="ENVÍO A SUPESA","ENVÍO cal. "&amp;MOVIMIENTOS!$C378,IF(MOVIMIENTOS!$B378="VENTA CHANCHO","VENTA CHANCHO",IF(MOVIMIENTOS!$B378="VENTA","VENTA cal. "&amp;MOVIMIENTOS!$C378,IF(MOVIMIENTOS!$B378="REGALO","REGALO "&amp;MOVIMIENTOS!$C378,IF(MOVIMIENTOS!$B378="RECHAZO","RECHAZO cal. "&amp;MOVIMIENTOS!$C378&amp;" (va a reproceso)",IF(MOVIMIENTOS!$B378="DEVOLUCIÓN","DEVOLUCIÓN cal. "&amp;MOVIMIENTOS!$C378&amp;" (regresa intacta)",IF(MOVIMIENTOS!$B378="TRASIEGO","TRASIEGO cal. "&amp;MOVIMIENTOS!$C378,MOVIMIENTOS!$B378)))))))))),"")</f>
        <v/>
      </c>
      <c r="M379" s="48" t="str">
        <f aca="false">IF(AND(AND(MOVIMIENTOS!$B378&lt;&gt;"",NOT(AND(MOVIMIENTOS!$B378="PROCESO",MOVIMIENTOS!$C378&lt;&gt;"Chancho")),NOT(AND(MOVIMIENTOS!$B378="SALDO INICIAL",MOVIMIENTOS!$C378="Chancho"))),OR(MOVIMIENTOS!$B378="SALDO INICIAL",MOVIMIENTOS!$B378="COMPRA",MOVIMIENTOS!$B378="REPROCESO",MOVIMIENTOS!$B378="DEVOLUCIÓN",AND(MOVIMIENTOS!$B378="AJUSTE",MOVIMIENTOS!$C378&lt;&gt;"Chancho",N(MOVIMIENTOS!$F378)&gt;=0))),N(MOVIMIENTOS!$F378),"")</f>
        <v/>
      </c>
      <c r="N379" s="48" t="str">
        <f aca="false">IF(AND(AND(MOVIMIENTOS!$B378&lt;&gt;"",NOT(AND(MOVIMIENTOS!$B378="PROCESO",MOVIMIENTOS!$C378&lt;&gt;"Chancho")),NOT(AND(MOVIMIENTOS!$B378="SALDO INICIAL",MOVIMIENTOS!$C378="Chancho"))),OR(MOVIMIENTOS!$B378="ENVÍO A SUPESA",MOVIMIENTOS!$B378="MALOGRADO",MOVIMIENTOS!$B378="OTRA SALIDA",MOVIMIENTOS!$B378="TRASIEGO",AND(MOVIMIENTOS!$B378="PROCESO",MOVIMIENTOS!$C378="Chancho"),AND(MOVIMIENTOS!$B378="REGALO",MOVIMIENTOS!$C378&lt;&gt;"Chancho"),AND(MOVIMIENTOS!$B378="VENTA",MOVIMIENTOS!$C378&lt;&gt;"Chancho"),AND(MOVIMIENTOS!$B378="AJUSTE",MOVIMIENTOS!$C378&lt;&gt;"Chancho",N(MOVIMIENTOS!$F378)&lt;0))),IF(MOVIMIENTOS!$B378="AJUSTE",-N(MOVIMIENTOS!$F378),N(MOVIMIENTOS!$F378)),"")</f>
        <v/>
      </c>
      <c r="O379" s="48" t="str">
        <f aca="false">IF(AND(MOVIMIENTOS!$B378&lt;&gt;"",NOT(AND(MOVIMIENTOS!$B378="PROCESO",MOVIMIENTOS!$C378&lt;&gt;"Chancho")),NOT(AND(MOVIMIENTOS!$B378="SALDO INICIAL",MOVIMIENTOS!$C378="Chancho"))),IF(MOVIMIENTOS!$B378="RECHAZO",MOVIMIENTOS!$E378&amp;" jabas rechazadas · van a reproceso",IF(MOVIMIENTOS!$B378="REPROCESO",MOVIMIENTOS!$E378&amp;" kg recuperados (merma del día: "&amp;TEXT(SUMPRODUCT((MOVIMIENTOS!$A$5:$A$400=MOVIMIENTOS!$A378)*(MOVIMIENTOS!$B$5:$B$400="RECHAZO")*(MOVIMIENTOS!$D$5:$D$400="jabas")*MOVIMIENTOS!$E$5:$E$400*IFERROR(_xlfn.SWITCH(MOVIMIENTOS!$C$5:$C$400,"A",15,"P",18,"C",17,"M",17,0),0))-SUMPRODUCT((MOVIMIENTOS!$A$5:$A$400=MOVIMIENTOS!$A378)*(MOVIMIENTOS!$B$5:$B$400="REPROCESO")*MOVIMIENTOS!$I$5:$I$400),"+#,##0;-#,##0;0")&amp;" kg)",TRIM(IF(MOVIMIENTOS!$G378&lt;&gt;"",MOVIMIENTOS!$G378&amp;"  ","")&amp;IF(N(MOVIMIENTOS!$D378)&gt;0,MOVIMIENTOS!$D378&amp;" "&amp;MOVIMIENTOS!$D378,"")))),"")</f>
        <v/>
      </c>
      <c r="P379" s="48" t="n">
        <f aca="false">N(P378)+N(M379)-N(N379)</f>
        <v>-290.5</v>
      </c>
      <c r="Q379" s="48"/>
      <c r="R379" s="48"/>
      <c r="S379" s="48"/>
      <c r="T379" s="48"/>
    </row>
    <row r="380" customFormat="false" ht="15" hidden="false" customHeight="true" outlineLevel="0" collapsed="false">
      <c r="A380" s="51" t="str">
        <f aca="false">IFERROR(INDEX(K$6:K$401,MATCH(ROW()-5,J$6:J$401,0)),"")</f>
        <v/>
      </c>
      <c r="B380" s="56" t="str">
        <f aca="false">IFERROR(INDEX(L$6:L$401,MATCH(ROW()-5,J$6:J$401,0)),"")</f>
        <v/>
      </c>
      <c r="C380" s="52" t="str">
        <f aca="false">IFERROR(INDEX(M$6:M$401,MATCH(ROW()-5,J$6:J$401,0)),"")</f>
        <v/>
      </c>
      <c r="D380" s="52" t="str">
        <f aca="false">IFERROR(INDEX(N$6:N$401,MATCH(ROW()-5,J$6:J$401,0)),"")</f>
        <v/>
      </c>
      <c r="E380" s="56" t="str">
        <f aca="false">IFERROR(INDEX(O$6:O$401,MATCH(ROW()-5,J$6:J$401,0)),"")</f>
        <v/>
      </c>
      <c r="F380" s="52" t="str">
        <f aca="false">IFERROR(INDEX(P$6:P$401,MATCH(ROW()-5,J$6:J$401,0)),"")</f>
        <v/>
      </c>
      <c r="G380" s="48"/>
      <c r="H380" s="48"/>
      <c r="I380" s="48"/>
      <c r="J380" s="48" t="str">
        <f aca="false">IF(AND(MOVIMIENTOS!$B379&lt;&gt;"",NOT(AND(MOVIMIENTOS!$B379="PROCESO",MOVIMIENTOS!$C379&lt;&gt;"Chancho")),NOT(AND(MOVIMIENTOS!$B379="SALDO INICIAL",MOVIMIENTOS!$C379="Chancho"))),COUNT(J$6:J379)+1,"")</f>
        <v/>
      </c>
      <c r="K380" s="48" t="str">
        <f aca="false">IF(AND(MOVIMIENTOS!$B379&lt;&gt;"",NOT(AND(MOVIMIENTOS!$B379="PROCESO",MOVIMIENTOS!$C379&lt;&gt;"Chancho")),NOT(AND(MOVIMIENTOS!$B379="SALDO INICIAL",MOVIMIENTOS!$C379="Chancho"))),MOVIMIENTOS!$A379,"")</f>
        <v/>
      </c>
      <c r="L380" s="48" t="str">
        <f aca="false">IF(AND(MOVIMIENTOS!$B379&lt;&gt;"",NOT(AND(MOVIMIENTOS!$B379="PROCESO",MOVIMIENTOS!$C379&lt;&gt;"Chancho")),NOT(AND(MOVIMIENTOS!$B379="SALDO INICIAL",MOVIMIENTOS!$C379="Chancho"))),IF(MOVIMIENTOS!$B379="SALDO INICIAL","APERTURA ("&amp;MOVIMIENTOS!$C379&amp;")",IF(MOVIMIENTOS!$B379="COMPRA","INGRESO (compra)",IF(MOVIMIENTOS!$B379="PROCESO","CHANCHO (proceso)",IF(MOVIMIENTOS!$B379="ENVÍO A SUPESA","ENVÍO cal. "&amp;MOVIMIENTOS!$C379,IF(MOVIMIENTOS!$B379="VENTA CHANCHO","VENTA CHANCHO",IF(MOVIMIENTOS!$B379="VENTA","VENTA cal. "&amp;MOVIMIENTOS!$C379,IF(MOVIMIENTOS!$B379="REGALO","REGALO "&amp;MOVIMIENTOS!$C379,IF(MOVIMIENTOS!$B379="RECHAZO","RECHAZO cal. "&amp;MOVIMIENTOS!$C379&amp;" (va a reproceso)",IF(MOVIMIENTOS!$B379="DEVOLUCIÓN","DEVOLUCIÓN cal. "&amp;MOVIMIENTOS!$C379&amp;" (regresa intacta)",IF(MOVIMIENTOS!$B379="TRASIEGO","TRASIEGO cal. "&amp;MOVIMIENTOS!$C379,MOVIMIENTOS!$B379)))))))))),"")</f>
        <v/>
      </c>
      <c r="M380" s="48" t="str">
        <f aca="false">IF(AND(AND(MOVIMIENTOS!$B379&lt;&gt;"",NOT(AND(MOVIMIENTOS!$B379="PROCESO",MOVIMIENTOS!$C379&lt;&gt;"Chancho")),NOT(AND(MOVIMIENTOS!$B379="SALDO INICIAL",MOVIMIENTOS!$C379="Chancho"))),OR(MOVIMIENTOS!$B379="SALDO INICIAL",MOVIMIENTOS!$B379="COMPRA",MOVIMIENTOS!$B379="REPROCESO",MOVIMIENTOS!$B379="DEVOLUCIÓN",AND(MOVIMIENTOS!$B379="AJUSTE",MOVIMIENTOS!$C379&lt;&gt;"Chancho",N(MOVIMIENTOS!$F379)&gt;=0))),N(MOVIMIENTOS!$F379),"")</f>
        <v/>
      </c>
      <c r="N380" s="48" t="str">
        <f aca="false">IF(AND(AND(MOVIMIENTOS!$B379&lt;&gt;"",NOT(AND(MOVIMIENTOS!$B379="PROCESO",MOVIMIENTOS!$C379&lt;&gt;"Chancho")),NOT(AND(MOVIMIENTOS!$B379="SALDO INICIAL",MOVIMIENTOS!$C379="Chancho"))),OR(MOVIMIENTOS!$B379="ENVÍO A SUPESA",MOVIMIENTOS!$B379="MALOGRADO",MOVIMIENTOS!$B379="OTRA SALIDA",MOVIMIENTOS!$B379="TRASIEGO",AND(MOVIMIENTOS!$B379="PROCESO",MOVIMIENTOS!$C379="Chancho"),AND(MOVIMIENTOS!$B379="REGALO",MOVIMIENTOS!$C379&lt;&gt;"Chancho"),AND(MOVIMIENTOS!$B379="VENTA",MOVIMIENTOS!$C379&lt;&gt;"Chancho"),AND(MOVIMIENTOS!$B379="AJUSTE",MOVIMIENTOS!$C379&lt;&gt;"Chancho",N(MOVIMIENTOS!$F379)&lt;0))),IF(MOVIMIENTOS!$B379="AJUSTE",-N(MOVIMIENTOS!$F379),N(MOVIMIENTOS!$F379)),"")</f>
        <v/>
      </c>
      <c r="O380" s="48" t="str">
        <f aca="false">IF(AND(MOVIMIENTOS!$B379&lt;&gt;"",NOT(AND(MOVIMIENTOS!$B379="PROCESO",MOVIMIENTOS!$C379&lt;&gt;"Chancho")),NOT(AND(MOVIMIENTOS!$B379="SALDO INICIAL",MOVIMIENTOS!$C379="Chancho"))),IF(MOVIMIENTOS!$B379="RECHAZO",MOVIMIENTOS!$E379&amp;" jabas rechazadas · van a reproceso",IF(MOVIMIENTOS!$B379="REPROCESO",MOVIMIENTOS!$E379&amp;" kg recuperados (merma del día: "&amp;TEXT(SUMPRODUCT((MOVIMIENTOS!$A$5:$A$400=MOVIMIENTOS!$A379)*(MOVIMIENTOS!$B$5:$B$400="RECHAZO")*(MOVIMIENTOS!$D$5:$D$400="jabas")*MOVIMIENTOS!$E$5:$E$400*IFERROR(_xlfn.SWITCH(MOVIMIENTOS!$C$5:$C$400,"A",15,"P",18,"C",17,"M",17,0),0))-SUMPRODUCT((MOVIMIENTOS!$A$5:$A$400=MOVIMIENTOS!$A379)*(MOVIMIENTOS!$B$5:$B$400="REPROCESO")*MOVIMIENTOS!$I$5:$I$400),"+#,##0;-#,##0;0")&amp;" kg)",TRIM(IF(MOVIMIENTOS!$G379&lt;&gt;"",MOVIMIENTOS!$G379&amp;"  ","")&amp;IF(N(MOVIMIENTOS!$D379)&gt;0,MOVIMIENTOS!$D379&amp;" "&amp;MOVIMIENTOS!$D379,"")))),"")</f>
        <v/>
      </c>
      <c r="P380" s="48" t="n">
        <f aca="false">N(P379)+N(M380)-N(N380)</f>
        <v>-290.5</v>
      </c>
      <c r="Q380" s="48"/>
      <c r="R380" s="48"/>
      <c r="S380" s="48"/>
      <c r="T380" s="48"/>
    </row>
    <row r="381" customFormat="false" ht="15" hidden="false" customHeight="true" outlineLevel="0" collapsed="false">
      <c r="A381" s="51" t="str">
        <f aca="false">IFERROR(INDEX(K$6:K$401,MATCH(ROW()-5,J$6:J$401,0)),"")</f>
        <v/>
      </c>
      <c r="B381" s="56" t="str">
        <f aca="false">IFERROR(INDEX(L$6:L$401,MATCH(ROW()-5,J$6:J$401,0)),"")</f>
        <v/>
      </c>
      <c r="C381" s="52" t="str">
        <f aca="false">IFERROR(INDEX(M$6:M$401,MATCH(ROW()-5,J$6:J$401,0)),"")</f>
        <v/>
      </c>
      <c r="D381" s="52" t="str">
        <f aca="false">IFERROR(INDEX(N$6:N$401,MATCH(ROW()-5,J$6:J$401,0)),"")</f>
        <v/>
      </c>
      <c r="E381" s="56" t="str">
        <f aca="false">IFERROR(INDEX(O$6:O$401,MATCH(ROW()-5,J$6:J$401,0)),"")</f>
        <v/>
      </c>
      <c r="F381" s="52" t="str">
        <f aca="false">IFERROR(INDEX(P$6:P$401,MATCH(ROW()-5,J$6:J$401,0)),"")</f>
        <v/>
      </c>
      <c r="G381" s="48"/>
      <c r="H381" s="48"/>
      <c r="I381" s="48"/>
      <c r="J381" s="48" t="str">
        <f aca="false">IF(AND(MOVIMIENTOS!$B380&lt;&gt;"",NOT(AND(MOVIMIENTOS!$B380="PROCESO",MOVIMIENTOS!$C380&lt;&gt;"Chancho")),NOT(AND(MOVIMIENTOS!$B380="SALDO INICIAL",MOVIMIENTOS!$C380="Chancho"))),COUNT(J$6:J380)+1,"")</f>
        <v/>
      </c>
      <c r="K381" s="48" t="str">
        <f aca="false">IF(AND(MOVIMIENTOS!$B380&lt;&gt;"",NOT(AND(MOVIMIENTOS!$B380="PROCESO",MOVIMIENTOS!$C380&lt;&gt;"Chancho")),NOT(AND(MOVIMIENTOS!$B380="SALDO INICIAL",MOVIMIENTOS!$C380="Chancho"))),MOVIMIENTOS!$A380,"")</f>
        <v/>
      </c>
      <c r="L381" s="48" t="str">
        <f aca="false">IF(AND(MOVIMIENTOS!$B380&lt;&gt;"",NOT(AND(MOVIMIENTOS!$B380="PROCESO",MOVIMIENTOS!$C380&lt;&gt;"Chancho")),NOT(AND(MOVIMIENTOS!$B380="SALDO INICIAL",MOVIMIENTOS!$C380="Chancho"))),IF(MOVIMIENTOS!$B380="SALDO INICIAL","APERTURA ("&amp;MOVIMIENTOS!$C380&amp;")",IF(MOVIMIENTOS!$B380="COMPRA","INGRESO (compra)",IF(MOVIMIENTOS!$B380="PROCESO","CHANCHO (proceso)",IF(MOVIMIENTOS!$B380="ENVÍO A SUPESA","ENVÍO cal. "&amp;MOVIMIENTOS!$C380,IF(MOVIMIENTOS!$B380="VENTA CHANCHO","VENTA CHANCHO",IF(MOVIMIENTOS!$B380="VENTA","VENTA cal. "&amp;MOVIMIENTOS!$C380,IF(MOVIMIENTOS!$B380="REGALO","REGALO "&amp;MOVIMIENTOS!$C380,IF(MOVIMIENTOS!$B380="RECHAZO","RECHAZO cal. "&amp;MOVIMIENTOS!$C380&amp;" (va a reproceso)",IF(MOVIMIENTOS!$B380="DEVOLUCIÓN","DEVOLUCIÓN cal. "&amp;MOVIMIENTOS!$C380&amp;" (regresa intacta)",IF(MOVIMIENTOS!$B380="TRASIEGO","TRASIEGO cal. "&amp;MOVIMIENTOS!$C380,MOVIMIENTOS!$B380)))))))))),"")</f>
        <v/>
      </c>
      <c r="M381" s="48" t="str">
        <f aca="false">IF(AND(AND(MOVIMIENTOS!$B380&lt;&gt;"",NOT(AND(MOVIMIENTOS!$B380="PROCESO",MOVIMIENTOS!$C380&lt;&gt;"Chancho")),NOT(AND(MOVIMIENTOS!$B380="SALDO INICIAL",MOVIMIENTOS!$C380="Chancho"))),OR(MOVIMIENTOS!$B380="SALDO INICIAL",MOVIMIENTOS!$B380="COMPRA",MOVIMIENTOS!$B380="REPROCESO",MOVIMIENTOS!$B380="DEVOLUCIÓN",AND(MOVIMIENTOS!$B380="AJUSTE",MOVIMIENTOS!$C380&lt;&gt;"Chancho",N(MOVIMIENTOS!$F380)&gt;=0))),N(MOVIMIENTOS!$F380),"")</f>
        <v/>
      </c>
      <c r="N381" s="48" t="str">
        <f aca="false">IF(AND(AND(MOVIMIENTOS!$B380&lt;&gt;"",NOT(AND(MOVIMIENTOS!$B380="PROCESO",MOVIMIENTOS!$C380&lt;&gt;"Chancho")),NOT(AND(MOVIMIENTOS!$B380="SALDO INICIAL",MOVIMIENTOS!$C380="Chancho"))),OR(MOVIMIENTOS!$B380="ENVÍO A SUPESA",MOVIMIENTOS!$B380="MALOGRADO",MOVIMIENTOS!$B380="OTRA SALIDA",MOVIMIENTOS!$B380="TRASIEGO",AND(MOVIMIENTOS!$B380="PROCESO",MOVIMIENTOS!$C380="Chancho"),AND(MOVIMIENTOS!$B380="REGALO",MOVIMIENTOS!$C380&lt;&gt;"Chancho"),AND(MOVIMIENTOS!$B380="VENTA",MOVIMIENTOS!$C380&lt;&gt;"Chancho"),AND(MOVIMIENTOS!$B380="AJUSTE",MOVIMIENTOS!$C380&lt;&gt;"Chancho",N(MOVIMIENTOS!$F380)&lt;0))),IF(MOVIMIENTOS!$B380="AJUSTE",-N(MOVIMIENTOS!$F380),N(MOVIMIENTOS!$F380)),"")</f>
        <v/>
      </c>
      <c r="O381" s="48" t="str">
        <f aca="false">IF(AND(MOVIMIENTOS!$B380&lt;&gt;"",NOT(AND(MOVIMIENTOS!$B380="PROCESO",MOVIMIENTOS!$C380&lt;&gt;"Chancho")),NOT(AND(MOVIMIENTOS!$B380="SALDO INICIAL",MOVIMIENTOS!$C380="Chancho"))),IF(MOVIMIENTOS!$B380="RECHAZO",MOVIMIENTOS!$E380&amp;" jabas rechazadas · van a reproceso",IF(MOVIMIENTOS!$B380="REPROCESO",MOVIMIENTOS!$E380&amp;" kg recuperados (merma del día: "&amp;TEXT(SUMPRODUCT((MOVIMIENTOS!$A$5:$A$400=MOVIMIENTOS!$A380)*(MOVIMIENTOS!$B$5:$B$400="RECHAZO")*(MOVIMIENTOS!$D$5:$D$400="jabas")*MOVIMIENTOS!$E$5:$E$400*IFERROR(_xlfn.SWITCH(MOVIMIENTOS!$C$5:$C$400,"A",15,"P",18,"C",17,"M",17,0),0))-SUMPRODUCT((MOVIMIENTOS!$A$5:$A$400=MOVIMIENTOS!$A380)*(MOVIMIENTOS!$B$5:$B$400="REPROCESO")*MOVIMIENTOS!$I$5:$I$400),"+#,##0;-#,##0;0")&amp;" kg)",TRIM(IF(MOVIMIENTOS!$G380&lt;&gt;"",MOVIMIENTOS!$G380&amp;"  ","")&amp;IF(N(MOVIMIENTOS!$D380)&gt;0,MOVIMIENTOS!$D380&amp;" "&amp;MOVIMIENTOS!$D380,"")))),"")</f>
        <v/>
      </c>
      <c r="P381" s="48" t="n">
        <f aca="false">N(P380)+N(M381)-N(N381)</f>
        <v>-290.5</v>
      </c>
      <c r="Q381" s="48"/>
      <c r="R381" s="48"/>
      <c r="S381" s="48"/>
      <c r="T381" s="48"/>
    </row>
    <row r="382" customFormat="false" ht="15" hidden="false" customHeight="true" outlineLevel="0" collapsed="false">
      <c r="A382" s="51" t="str">
        <f aca="false">IFERROR(INDEX(K$6:K$401,MATCH(ROW()-5,J$6:J$401,0)),"")</f>
        <v/>
      </c>
      <c r="B382" s="56" t="str">
        <f aca="false">IFERROR(INDEX(L$6:L$401,MATCH(ROW()-5,J$6:J$401,0)),"")</f>
        <v/>
      </c>
      <c r="C382" s="52" t="str">
        <f aca="false">IFERROR(INDEX(M$6:M$401,MATCH(ROW()-5,J$6:J$401,0)),"")</f>
        <v/>
      </c>
      <c r="D382" s="52" t="str">
        <f aca="false">IFERROR(INDEX(N$6:N$401,MATCH(ROW()-5,J$6:J$401,0)),"")</f>
        <v/>
      </c>
      <c r="E382" s="56" t="str">
        <f aca="false">IFERROR(INDEX(O$6:O$401,MATCH(ROW()-5,J$6:J$401,0)),"")</f>
        <v/>
      </c>
      <c r="F382" s="52" t="str">
        <f aca="false">IFERROR(INDEX(P$6:P$401,MATCH(ROW()-5,J$6:J$401,0)),"")</f>
        <v/>
      </c>
      <c r="G382" s="48"/>
      <c r="H382" s="48"/>
      <c r="I382" s="48"/>
      <c r="J382" s="48" t="str">
        <f aca="false">IF(AND(MOVIMIENTOS!$B381&lt;&gt;"",NOT(AND(MOVIMIENTOS!$B381="PROCESO",MOVIMIENTOS!$C381&lt;&gt;"Chancho")),NOT(AND(MOVIMIENTOS!$B381="SALDO INICIAL",MOVIMIENTOS!$C381="Chancho"))),COUNT(J$6:J381)+1,"")</f>
        <v/>
      </c>
      <c r="K382" s="48" t="str">
        <f aca="false">IF(AND(MOVIMIENTOS!$B381&lt;&gt;"",NOT(AND(MOVIMIENTOS!$B381="PROCESO",MOVIMIENTOS!$C381&lt;&gt;"Chancho")),NOT(AND(MOVIMIENTOS!$B381="SALDO INICIAL",MOVIMIENTOS!$C381="Chancho"))),MOVIMIENTOS!$A381,"")</f>
        <v/>
      </c>
      <c r="L382" s="48" t="str">
        <f aca="false">IF(AND(MOVIMIENTOS!$B381&lt;&gt;"",NOT(AND(MOVIMIENTOS!$B381="PROCESO",MOVIMIENTOS!$C381&lt;&gt;"Chancho")),NOT(AND(MOVIMIENTOS!$B381="SALDO INICIAL",MOVIMIENTOS!$C381="Chancho"))),IF(MOVIMIENTOS!$B381="SALDO INICIAL","APERTURA ("&amp;MOVIMIENTOS!$C381&amp;")",IF(MOVIMIENTOS!$B381="COMPRA","INGRESO (compra)",IF(MOVIMIENTOS!$B381="PROCESO","CHANCHO (proceso)",IF(MOVIMIENTOS!$B381="ENVÍO A SUPESA","ENVÍO cal. "&amp;MOVIMIENTOS!$C381,IF(MOVIMIENTOS!$B381="VENTA CHANCHO","VENTA CHANCHO",IF(MOVIMIENTOS!$B381="VENTA","VENTA cal. "&amp;MOVIMIENTOS!$C381,IF(MOVIMIENTOS!$B381="REGALO","REGALO "&amp;MOVIMIENTOS!$C381,IF(MOVIMIENTOS!$B381="RECHAZO","RECHAZO cal. "&amp;MOVIMIENTOS!$C381&amp;" (va a reproceso)",IF(MOVIMIENTOS!$B381="DEVOLUCIÓN","DEVOLUCIÓN cal. "&amp;MOVIMIENTOS!$C381&amp;" (regresa intacta)",IF(MOVIMIENTOS!$B381="TRASIEGO","TRASIEGO cal. "&amp;MOVIMIENTOS!$C381,MOVIMIENTOS!$B381)))))))))),"")</f>
        <v/>
      </c>
      <c r="M382" s="48" t="str">
        <f aca="false">IF(AND(AND(MOVIMIENTOS!$B381&lt;&gt;"",NOT(AND(MOVIMIENTOS!$B381="PROCESO",MOVIMIENTOS!$C381&lt;&gt;"Chancho")),NOT(AND(MOVIMIENTOS!$B381="SALDO INICIAL",MOVIMIENTOS!$C381="Chancho"))),OR(MOVIMIENTOS!$B381="SALDO INICIAL",MOVIMIENTOS!$B381="COMPRA",MOVIMIENTOS!$B381="REPROCESO",MOVIMIENTOS!$B381="DEVOLUCIÓN",AND(MOVIMIENTOS!$B381="AJUSTE",MOVIMIENTOS!$C381&lt;&gt;"Chancho",N(MOVIMIENTOS!$F381)&gt;=0))),N(MOVIMIENTOS!$F381),"")</f>
        <v/>
      </c>
      <c r="N382" s="48" t="str">
        <f aca="false">IF(AND(AND(MOVIMIENTOS!$B381&lt;&gt;"",NOT(AND(MOVIMIENTOS!$B381="PROCESO",MOVIMIENTOS!$C381&lt;&gt;"Chancho")),NOT(AND(MOVIMIENTOS!$B381="SALDO INICIAL",MOVIMIENTOS!$C381="Chancho"))),OR(MOVIMIENTOS!$B381="ENVÍO A SUPESA",MOVIMIENTOS!$B381="MALOGRADO",MOVIMIENTOS!$B381="OTRA SALIDA",MOVIMIENTOS!$B381="TRASIEGO",AND(MOVIMIENTOS!$B381="PROCESO",MOVIMIENTOS!$C381="Chancho"),AND(MOVIMIENTOS!$B381="REGALO",MOVIMIENTOS!$C381&lt;&gt;"Chancho"),AND(MOVIMIENTOS!$B381="VENTA",MOVIMIENTOS!$C381&lt;&gt;"Chancho"),AND(MOVIMIENTOS!$B381="AJUSTE",MOVIMIENTOS!$C381&lt;&gt;"Chancho",N(MOVIMIENTOS!$F381)&lt;0))),IF(MOVIMIENTOS!$B381="AJUSTE",-N(MOVIMIENTOS!$F381),N(MOVIMIENTOS!$F381)),"")</f>
        <v/>
      </c>
      <c r="O382" s="48" t="str">
        <f aca="false">IF(AND(MOVIMIENTOS!$B381&lt;&gt;"",NOT(AND(MOVIMIENTOS!$B381="PROCESO",MOVIMIENTOS!$C381&lt;&gt;"Chancho")),NOT(AND(MOVIMIENTOS!$B381="SALDO INICIAL",MOVIMIENTOS!$C381="Chancho"))),IF(MOVIMIENTOS!$B381="RECHAZO",MOVIMIENTOS!$E381&amp;" jabas rechazadas · van a reproceso",IF(MOVIMIENTOS!$B381="REPROCESO",MOVIMIENTOS!$E381&amp;" kg recuperados (merma del día: "&amp;TEXT(SUMPRODUCT((MOVIMIENTOS!$A$5:$A$400=MOVIMIENTOS!$A381)*(MOVIMIENTOS!$B$5:$B$400="RECHAZO")*(MOVIMIENTOS!$D$5:$D$400="jabas")*MOVIMIENTOS!$E$5:$E$400*IFERROR(_xlfn.SWITCH(MOVIMIENTOS!$C$5:$C$400,"A",15,"P",18,"C",17,"M",17,0),0))-SUMPRODUCT((MOVIMIENTOS!$A$5:$A$400=MOVIMIENTOS!$A381)*(MOVIMIENTOS!$B$5:$B$400="REPROCESO")*MOVIMIENTOS!$I$5:$I$400),"+#,##0;-#,##0;0")&amp;" kg)",TRIM(IF(MOVIMIENTOS!$G381&lt;&gt;"",MOVIMIENTOS!$G381&amp;"  ","")&amp;IF(N(MOVIMIENTOS!$D381)&gt;0,MOVIMIENTOS!$D381&amp;" "&amp;MOVIMIENTOS!$D381,"")))),"")</f>
        <v/>
      </c>
      <c r="P382" s="48" t="n">
        <f aca="false">N(P381)+N(M382)-N(N382)</f>
        <v>-290.5</v>
      </c>
      <c r="Q382" s="48"/>
      <c r="R382" s="48"/>
      <c r="S382" s="48"/>
      <c r="T382" s="48"/>
    </row>
    <row r="383" customFormat="false" ht="15" hidden="false" customHeight="true" outlineLevel="0" collapsed="false">
      <c r="A383" s="51" t="str">
        <f aca="false">IFERROR(INDEX(K$6:K$401,MATCH(ROW()-5,J$6:J$401,0)),"")</f>
        <v/>
      </c>
      <c r="B383" s="56" t="str">
        <f aca="false">IFERROR(INDEX(L$6:L$401,MATCH(ROW()-5,J$6:J$401,0)),"")</f>
        <v/>
      </c>
      <c r="C383" s="52" t="str">
        <f aca="false">IFERROR(INDEX(M$6:M$401,MATCH(ROW()-5,J$6:J$401,0)),"")</f>
        <v/>
      </c>
      <c r="D383" s="52" t="str">
        <f aca="false">IFERROR(INDEX(N$6:N$401,MATCH(ROW()-5,J$6:J$401,0)),"")</f>
        <v/>
      </c>
      <c r="E383" s="56" t="str">
        <f aca="false">IFERROR(INDEX(O$6:O$401,MATCH(ROW()-5,J$6:J$401,0)),"")</f>
        <v/>
      </c>
      <c r="F383" s="52" t="str">
        <f aca="false">IFERROR(INDEX(P$6:P$401,MATCH(ROW()-5,J$6:J$401,0)),"")</f>
        <v/>
      </c>
      <c r="G383" s="48"/>
      <c r="H383" s="48"/>
      <c r="I383" s="48"/>
      <c r="J383" s="48" t="str">
        <f aca="false">IF(AND(MOVIMIENTOS!$B382&lt;&gt;"",NOT(AND(MOVIMIENTOS!$B382="PROCESO",MOVIMIENTOS!$C382&lt;&gt;"Chancho")),NOT(AND(MOVIMIENTOS!$B382="SALDO INICIAL",MOVIMIENTOS!$C382="Chancho"))),COUNT(J$6:J382)+1,"")</f>
        <v/>
      </c>
      <c r="K383" s="48" t="str">
        <f aca="false">IF(AND(MOVIMIENTOS!$B382&lt;&gt;"",NOT(AND(MOVIMIENTOS!$B382="PROCESO",MOVIMIENTOS!$C382&lt;&gt;"Chancho")),NOT(AND(MOVIMIENTOS!$B382="SALDO INICIAL",MOVIMIENTOS!$C382="Chancho"))),MOVIMIENTOS!$A382,"")</f>
        <v/>
      </c>
      <c r="L383" s="48" t="str">
        <f aca="false">IF(AND(MOVIMIENTOS!$B382&lt;&gt;"",NOT(AND(MOVIMIENTOS!$B382="PROCESO",MOVIMIENTOS!$C382&lt;&gt;"Chancho")),NOT(AND(MOVIMIENTOS!$B382="SALDO INICIAL",MOVIMIENTOS!$C382="Chancho"))),IF(MOVIMIENTOS!$B382="SALDO INICIAL","APERTURA ("&amp;MOVIMIENTOS!$C382&amp;")",IF(MOVIMIENTOS!$B382="COMPRA","INGRESO (compra)",IF(MOVIMIENTOS!$B382="PROCESO","CHANCHO (proceso)",IF(MOVIMIENTOS!$B382="ENVÍO A SUPESA","ENVÍO cal. "&amp;MOVIMIENTOS!$C382,IF(MOVIMIENTOS!$B382="VENTA CHANCHO","VENTA CHANCHO",IF(MOVIMIENTOS!$B382="VENTA","VENTA cal. "&amp;MOVIMIENTOS!$C382,IF(MOVIMIENTOS!$B382="REGALO","REGALO "&amp;MOVIMIENTOS!$C382,IF(MOVIMIENTOS!$B382="RECHAZO","RECHAZO cal. "&amp;MOVIMIENTOS!$C382&amp;" (va a reproceso)",IF(MOVIMIENTOS!$B382="DEVOLUCIÓN","DEVOLUCIÓN cal. "&amp;MOVIMIENTOS!$C382&amp;" (regresa intacta)",IF(MOVIMIENTOS!$B382="TRASIEGO","TRASIEGO cal. "&amp;MOVIMIENTOS!$C382,MOVIMIENTOS!$B382)))))))))),"")</f>
        <v/>
      </c>
      <c r="M383" s="48" t="str">
        <f aca="false">IF(AND(AND(MOVIMIENTOS!$B382&lt;&gt;"",NOT(AND(MOVIMIENTOS!$B382="PROCESO",MOVIMIENTOS!$C382&lt;&gt;"Chancho")),NOT(AND(MOVIMIENTOS!$B382="SALDO INICIAL",MOVIMIENTOS!$C382="Chancho"))),OR(MOVIMIENTOS!$B382="SALDO INICIAL",MOVIMIENTOS!$B382="COMPRA",MOVIMIENTOS!$B382="REPROCESO",MOVIMIENTOS!$B382="DEVOLUCIÓN",AND(MOVIMIENTOS!$B382="AJUSTE",MOVIMIENTOS!$C382&lt;&gt;"Chancho",N(MOVIMIENTOS!$F382)&gt;=0))),N(MOVIMIENTOS!$F382),"")</f>
        <v/>
      </c>
      <c r="N383" s="48" t="str">
        <f aca="false">IF(AND(AND(MOVIMIENTOS!$B382&lt;&gt;"",NOT(AND(MOVIMIENTOS!$B382="PROCESO",MOVIMIENTOS!$C382&lt;&gt;"Chancho")),NOT(AND(MOVIMIENTOS!$B382="SALDO INICIAL",MOVIMIENTOS!$C382="Chancho"))),OR(MOVIMIENTOS!$B382="ENVÍO A SUPESA",MOVIMIENTOS!$B382="MALOGRADO",MOVIMIENTOS!$B382="OTRA SALIDA",MOVIMIENTOS!$B382="TRASIEGO",AND(MOVIMIENTOS!$B382="PROCESO",MOVIMIENTOS!$C382="Chancho"),AND(MOVIMIENTOS!$B382="REGALO",MOVIMIENTOS!$C382&lt;&gt;"Chancho"),AND(MOVIMIENTOS!$B382="VENTA",MOVIMIENTOS!$C382&lt;&gt;"Chancho"),AND(MOVIMIENTOS!$B382="AJUSTE",MOVIMIENTOS!$C382&lt;&gt;"Chancho",N(MOVIMIENTOS!$F382)&lt;0))),IF(MOVIMIENTOS!$B382="AJUSTE",-N(MOVIMIENTOS!$F382),N(MOVIMIENTOS!$F382)),"")</f>
        <v/>
      </c>
      <c r="O383" s="48" t="str">
        <f aca="false">IF(AND(MOVIMIENTOS!$B382&lt;&gt;"",NOT(AND(MOVIMIENTOS!$B382="PROCESO",MOVIMIENTOS!$C382&lt;&gt;"Chancho")),NOT(AND(MOVIMIENTOS!$B382="SALDO INICIAL",MOVIMIENTOS!$C382="Chancho"))),IF(MOVIMIENTOS!$B382="RECHAZO",MOVIMIENTOS!$E382&amp;" jabas rechazadas · van a reproceso",IF(MOVIMIENTOS!$B382="REPROCESO",MOVIMIENTOS!$E382&amp;" kg recuperados (merma del día: "&amp;TEXT(SUMPRODUCT((MOVIMIENTOS!$A$5:$A$400=MOVIMIENTOS!$A382)*(MOVIMIENTOS!$B$5:$B$400="RECHAZO")*(MOVIMIENTOS!$D$5:$D$400="jabas")*MOVIMIENTOS!$E$5:$E$400*IFERROR(_xlfn.SWITCH(MOVIMIENTOS!$C$5:$C$400,"A",15,"P",18,"C",17,"M",17,0),0))-SUMPRODUCT((MOVIMIENTOS!$A$5:$A$400=MOVIMIENTOS!$A382)*(MOVIMIENTOS!$B$5:$B$400="REPROCESO")*MOVIMIENTOS!$I$5:$I$400),"+#,##0;-#,##0;0")&amp;" kg)",TRIM(IF(MOVIMIENTOS!$G382&lt;&gt;"",MOVIMIENTOS!$G382&amp;"  ","")&amp;IF(N(MOVIMIENTOS!$D382)&gt;0,MOVIMIENTOS!$D382&amp;" "&amp;MOVIMIENTOS!$D382,"")))),"")</f>
        <v/>
      </c>
      <c r="P383" s="48" t="n">
        <f aca="false">N(P382)+N(M383)-N(N383)</f>
        <v>-290.5</v>
      </c>
      <c r="Q383" s="48"/>
      <c r="R383" s="48"/>
      <c r="S383" s="48"/>
      <c r="T383" s="48"/>
    </row>
    <row r="384" customFormat="false" ht="15" hidden="false" customHeight="true" outlineLevel="0" collapsed="false">
      <c r="A384" s="51" t="str">
        <f aca="false">IFERROR(INDEX(K$6:K$401,MATCH(ROW()-5,J$6:J$401,0)),"")</f>
        <v/>
      </c>
      <c r="B384" s="56" t="str">
        <f aca="false">IFERROR(INDEX(L$6:L$401,MATCH(ROW()-5,J$6:J$401,0)),"")</f>
        <v/>
      </c>
      <c r="C384" s="52" t="str">
        <f aca="false">IFERROR(INDEX(M$6:M$401,MATCH(ROW()-5,J$6:J$401,0)),"")</f>
        <v/>
      </c>
      <c r="D384" s="52" t="str">
        <f aca="false">IFERROR(INDEX(N$6:N$401,MATCH(ROW()-5,J$6:J$401,0)),"")</f>
        <v/>
      </c>
      <c r="E384" s="56" t="str">
        <f aca="false">IFERROR(INDEX(O$6:O$401,MATCH(ROW()-5,J$6:J$401,0)),"")</f>
        <v/>
      </c>
      <c r="F384" s="52" t="str">
        <f aca="false">IFERROR(INDEX(P$6:P$401,MATCH(ROW()-5,J$6:J$401,0)),"")</f>
        <v/>
      </c>
      <c r="G384" s="48"/>
      <c r="H384" s="48"/>
      <c r="I384" s="48"/>
      <c r="J384" s="48" t="str">
        <f aca="false">IF(AND(MOVIMIENTOS!$B383&lt;&gt;"",NOT(AND(MOVIMIENTOS!$B383="PROCESO",MOVIMIENTOS!$C383&lt;&gt;"Chancho")),NOT(AND(MOVIMIENTOS!$B383="SALDO INICIAL",MOVIMIENTOS!$C383="Chancho"))),COUNT(J$6:J383)+1,"")</f>
        <v/>
      </c>
      <c r="K384" s="48" t="str">
        <f aca="false">IF(AND(MOVIMIENTOS!$B383&lt;&gt;"",NOT(AND(MOVIMIENTOS!$B383="PROCESO",MOVIMIENTOS!$C383&lt;&gt;"Chancho")),NOT(AND(MOVIMIENTOS!$B383="SALDO INICIAL",MOVIMIENTOS!$C383="Chancho"))),MOVIMIENTOS!$A383,"")</f>
        <v/>
      </c>
      <c r="L384" s="48" t="str">
        <f aca="false">IF(AND(MOVIMIENTOS!$B383&lt;&gt;"",NOT(AND(MOVIMIENTOS!$B383="PROCESO",MOVIMIENTOS!$C383&lt;&gt;"Chancho")),NOT(AND(MOVIMIENTOS!$B383="SALDO INICIAL",MOVIMIENTOS!$C383="Chancho"))),IF(MOVIMIENTOS!$B383="SALDO INICIAL","APERTURA ("&amp;MOVIMIENTOS!$C383&amp;")",IF(MOVIMIENTOS!$B383="COMPRA","INGRESO (compra)",IF(MOVIMIENTOS!$B383="PROCESO","CHANCHO (proceso)",IF(MOVIMIENTOS!$B383="ENVÍO A SUPESA","ENVÍO cal. "&amp;MOVIMIENTOS!$C383,IF(MOVIMIENTOS!$B383="VENTA CHANCHO","VENTA CHANCHO",IF(MOVIMIENTOS!$B383="VENTA","VENTA cal. "&amp;MOVIMIENTOS!$C383,IF(MOVIMIENTOS!$B383="REGALO","REGALO "&amp;MOVIMIENTOS!$C383,IF(MOVIMIENTOS!$B383="RECHAZO","RECHAZO cal. "&amp;MOVIMIENTOS!$C383&amp;" (va a reproceso)",IF(MOVIMIENTOS!$B383="DEVOLUCIÓN","DEVOLUCIÓN cal. "&amp;MOVIMIENTOS!$C383&amp;" (regresa intacta)",IF(MOVIMIENTOS!$B383="TRASIEGO","TRASIEGO cal. "&amp;MOVIMIENTOS!$C383,MOVIMIENTOS!$B383)))))))))),"")</f>
        <v/>
      </c>
      <c r="M384" s="48" t="str">
        <f aca="false">IF(AND(AND(MOVIMIENTOS!$B383&lt;&gt;"",NOT(AND(MOVIMIENTOS!$B383="PROCESO",MOVIMIENTOS!$C383&lt;&gt;"Chancho")),NOT(AND(MOVIMIENTOS!$B383="SALDO INICIAL",MOVIMIENTOS!$C383="Chancho"))),OR(MOVIMIENTOS!$B383="SALDO INICIAL",MOVIMIENTOS!$B383="COMPRA",MOVIMIENTOS!$B383="REPROCESO",MOVIMIENTOS!$B383="DEVOLUCIÓN",AND(MOVIMIENTOS!$B383="AJUSTE",MOVIMIENTOS!$C383&lt;&gt;"Chancho",N(MOVIMIENTOS!$F383)&gt;=0))),N(MOVIMIENTOS!$F383),"")</f>
        <v/>
      </c>
      <c r="N384" s="48" t="str">
        <f aca="false">IF(AND(AND(MOVIMIENTOS!$B383&lt;&gt;"",NOT(AND(MOVIMIENTOS!$B383="PROCESO",MOVIMIENTOS!$C383&lt;&gt;"Chancho")),NOT(AND(MOVIMIENTOS!$B383="SALDO INICIAL",MOVIMIENTOS!$C383="Chancho"))),OR(MOVIMIENTOS!$B383="ENVÍO A SUPESA",MOVIMIENTOS!$B383="MALOGRADO",MOVIMIENTOS!$B383="OTRA SALIDA",MOVIMIENTOS!$B383="TRASIEGO",AND(MOVIMIENTOS!$B383="PROCESO",MOVIMIENTOS!$C383="Chancho"),AND(MOVIMIENTOS!$B383="REGALO",MOVIMIENTOS!$C383&lt;&gt;"Chancho"),AND(MOVIMIENTOS!$B383="VENTA",MOVIMIENTOS!$C383&lt;&gt;"Chancho"),AND(MOVIMIENTOS!$B383="AJUSTE",MOVIMIENTOS!$C383&lt;&gt;"Chancho",N(MOVIMIENTOS!$F383)&lt;0))),IF(MOVIMIENTOS!$B383="AJUSTE",-N(MOVIMIENTOS!$F383),N(MOVIMIENTOS!$F383)),"")</f>
        <v/>
      </c>
      <c r="O384" s="48" t="str">
        <f aca="false">IF(AND(MOVIMIENTOS!$B383&lt;&gt;"",NOT(AND(MOVIMIENTOS!$B383="PROCESO",MOVIMIENTOS!$C383&lt;&gt;"Chancho")),NOT(AND(MOVIMIENTOS!$B383="SALDO INICIAL",MOVIMIENTOS!$C383="Chancho"))),IF(MOVIMIENTOS!$B383="RECHAZO",MOVIMIENTOS!$E383&amp;" jabas rechazadas · van a reproceso",IF(MOVIMIENTOS!$B383="REPROCESO",MOVIMIENTOS!$E383&amp;" kg recuperados (merma del día: "&amp;TEXT(SUMPRODUCT((MOVIMIENTOS!$A$5:$A$400=MOVIMIENTOS!$A383)*(MOVIMIENTOS!$B$5:$B$400="RECHAZO")*(MOVIMIENTOS!$D$5:$D$400="jabas")*MOVIMIENTOS!$E$5:$E$400*IFERROR(_xlfn.SWITCH(MOVIMIENTOS!$C$5:$C$400,"A",15,"P",18,"C",17,"M",17,0),0))-SUMPRODUCT((MOVIMIENTOS!$A$5:$A$400=MOVIMIENTOS!$A383)*(MOVIMIENTOS!$B$5:$B$400="REPROCESO")*MOVIMIENTOS!$I$5:$I$400),"+#,##0;-#,##0;0")&amp;" kg)",TRIM(IF(MOVIMIENTOS!$G383&lt;&gt;"",MOVIMIENTOS!$G383&amp;"  ","")&amp;IF(N(MOVIMIENTOS!$D383)&gt;0,MOVIMIENTOS!$D383&amp;" "&amp;MOVIMIENTOS!$D383,"")))),"")</f>
        <v/>
      </c>
      <c r="P384" s="48" t="n">
        <f aca="false">N(P383)+N(M384)-N(N384)</f>
        <v>-290.5</v>
      </c>
      <c r="Q384" s="48"/>
      <c r="R384" s="48"/>
      <c r="S384" s="48"/>
      <c r="T384" s="48"/>
    </row>
    <row r="385" customFormat="false" ht="15" hidden="false" customHeight="true" outlineLevel="0" collapsed="false">
      <c r="A385" s="51" t="str">
        <f aca="false">IFERROR(INDEX(K$6:K$401,MATCH(ROW()-5,J$6:J$401,0)),"")</f>
        <v/>
      </c>
      <c r="B385" s="56" t="str">
        <f aca="false">IFERROR(INDEX(L$6:L$401,MATCH(ROW()-5,J$6:J$401,0)),"")</f>
        <v/>
      </c>
      <c r="C385" s="52" t="str">
        <f aca="false">IFERROR(INDEX(M$6:M$401,MATCH(ROW()-5,J$6:J$401,0)),"")</f>
        <v/>
      </c>
      <c r="D385" s="52" t="str">
        <f aca="false">IFERROR(INDEX(N$6:N$401,MATCH(ROW()-5,J$6:J$401,0)),"")</f>
        <v/>
      </c>
      <c r="E385" s="56" t="str">
        <f aca="false">IFERROR(INDEX(O$6:O$401,MATCH(ROW()-5,J$6:J$401,0)),"")</f>
        <v/>
      </c>
      <c r="F385" s="52" t="str">
        <f aca="false">IFERROR(INDEX(P$6:P$401,MATCH(ROW()-5,J$6:J$401,0)),"")</f>
        <v/>
      </c>
      <c r="G385" s="48"/>
      <c r="H385" s="48"/>
      <c r="I385" s="48"/>
      <c r="J385" s="48" t="str">
        <f aca="false">IF(AND(MOVIMIENTOS!$B384&lt;&gt;"",NOT(AND(MOVIMIENTOS!$B384="PROCESO",MOVIMIENTOS!$C384&lt;&gt;"Chancho")),NOT(AND(MOVIMIENTOS!$B384="SALDO INICIAL",MOVIMIENTOS!$C384="Chancho"))),COUNT(J$6:J384)+1,"")</f>
        <v/>
      </c>
      <c r="K385" s="48" t="str">
        <f aca="false">IF(AND(MOVIMIENTOS!$B384&lt;&gt;"",NOT(AND(MOVIMIENTOS!$B384="PROCESO",MOVIMIENTOS!$C384&lt;&gt;"Chancho")),NOT(AND(MOVIMIENTOS!$B384="SALDO INICIAL",MOVIMIENTOS!$C384="Chancho"))),MOVIMIENTOS!$A384,"")</f>
        <v/>
      </c>
      <c r="L385" s="48" t="str">
        <f aca="false">IF(AND(MOVIMIENTOS!$B384&lt;&gt;"",NOT(AND(MOVIMIENTOS!$B384="PROCESO",MOVIMIENTOS!$C384&lt;&gt;"Chancho")),NOT(AND(MOVIMIENTOS!$B384="SALDO INICIAL",MOVIMIENTOS!$C384="Chancho"))),IF(MOVIMIENTOS!$B384="SALDO INICIAL","APERTURA ("&amp;MOVIMIENTOS!$C384&amp;")",IF(MOVIMIENTOS!$B384="COMPRA","INGRESO (compra)",IF(MOVIMIENTOS!$B384="PROCESO","CHANCHO (proceso)",IF(MOVIMIENTOS!$B384="ENVÍO A SUPESA","ENVÍO cal. "&amp;MOVIMIENTOS!$C384,IF(MOVIMIENTOS!$B384="VENTA CHANCHO","VENTA CHANCHO",IF(MOVIMIENTOS!$B384="VENTA","VENTA cal. "&amp;MOVIMIENTOS!$C384,IF(MOVIMIENTOS!$B384="REGALO","REGALO "&amp;MOVIMIENTOS!$C384,IF(MOVIMIENTOS!$B384="RECHAZO","RECHAZO cal. "&amp;MOVIMIENTOS!$C384&amp;" (va a reproceso)",IF(MOVIMIENTOS!$B384="DEVOLUCIÓN","DEVOLUCIÓN cal. "&amp;MOVIMIENTOS!$C384&amp;" (regresa intacta)",IF(MOVIMIENTOS!$B384="TRASIEGO","TRASIEGO cal. "&amp;MOVIMIENTOS!$C384,MOVIMIENTOS!$B384)))))))))),"")</f>
        <v/>
      </c>
      <c r="M385" s="48" t="str">
        <f aca="false">IF(AND(AND(MOVIMIENTOS!$B384&lt;&gt;"",NOT(AND(MOVIMIENTOS!$B384="PROCESO",MOVIMIENTOS!$C384&lt;&gt;"Chancho")),NOT(AND(MOVIMIENTOS!$B384="SALDO INICIAL",MOVIMIENTOS!$C384="Chancho"))),OR(MOVIMIENTOS!$B384="SALDO INICIAL",MOVIMIENTOS!$B384="COMPRA",MOVIMIENTOS!$B384="REPROCESO",MOVIMIENTOS!$B384="DEVOLUCIÓN",AND(MOVIMIENTOS!$B384="AJUSTE",MOVIMIENTOS!$C384&lt;&gt;"Chancho",N(MOVIMIENTOS!$F384)&gt;=0))),N(MOVIMIENTOS!$F384),"")</f>
        <v/>
      </c>
      <c r="N385" s="48" t="str">
        <f aca="false">IF(AND(AND(MOVIMIENTOS!$B384&lt;&gt;"",NOT(AND(MOVIMIENTOS!$B384="PROCESO",MOVIMIENTOS!$C384&lt;&gt;"Chancho")),NOT(AND(MOVIMIENTOS!$B384="SALDO INICIAL",MOVIMIENTOS!$C384="Chancho"))),OR(MOVIMIENTOS!$B384="ENVÍO A SUPESA",MOVIMIENTOS!$B384="MALOGRADO",MOVIMIENTOS!$B384="OTRA SALIDA",MOVIMIENTOS!$B384="TRASIEGO",AND(MOVIMIENTOS!$B384="PROCESO",MOVIMIENTOS!$C384="Chancho"),AND(MOVIMIENTOS!$B384="REGALO",MOVIMIENTOS!$C384&lt;&gt;"Chancho"),AND(MOVIMIENTOS!$B384="VENTA",MOVIMIENTOS!$C384&lt;&gt;"Chancho"),AND(MOVIMIENTOS!$B384="AJUSTE",MOVIMIENTOS!$C384&lt;&gt;"Chancho",N(MOVIMIENTOS!$F384)&lt;0))),IF(MOVIMIENTOS!$B384="AJUSTE",-N(MOVIMIENTOS!$F384),N(MOVIMIENTOS!$F384)),"")</f>
        <v/>
      </c>
      <c r="O385" s="48" t="str">
        <f aca="false">IF(AND(MOVIMIENTOS!$B384&lt;&gt;"",NOT(AND(MOVIMIENTOS!$B384="PROCESO",MOVIMIENTOS!$C384&lt;&gt;"Chancho")),NOT(AND(MOVIMIENTOS!$B384="SALDO INICIAL",MOVIMIENTOS!$C384="Chancho"))),IF(MOVIMIENTOS!$B384="RECHAZO",MOVIMIENTOS!$E384&amp;" jabas rechazadas · van a reproceso",IF(MOVIMIENTOS!$B384="REPROCESO",MOVIMIENTOS!$E384&amp;" kg recuperados (merma del día: "&amp;TEXT(SUMPRODUCT((MOVIMIENTOS!$A$5:$A$400=MOVIMIENTOS!$A384)*(MOVIMIENTOS!$B$5:$B$400="RECHAZO")*(MOVIMIENTOS!$D$5:$D$400="jabas")*MOVIMIENTOS!$E$5:$E$400*IFERROR(_xlfn.SWITCH(MOVIMIENTOS!$C$5:$C$400,"A",15,"P",18,"C",17,"M",17,0),0))-SUMPRODUCT((MOVIMIENTOS!$A$5:$A$400=MOVIMIENTOS!$A384)*(MOVIMIENTOS!$B$5:$B$400="REPROCESO")*MOVIMIENTOS!$I$5:$I$400),"+#,##0;-#,##0;0")&amp;" kg)",TRIM(IF(MOVIMIENTOS!$G384&lt;&gt;"",MOVIMIENTOS!$G384&amp;"  ","")&amp;IF(N(MOVIMIENTOS!$D384)&gt;0,MOVIMIENTOS!$D384&amp;" "&amp;MOVIMIENTOS!$D384,"")))),"")</f>
        <v/>
      </c>
      <c r="P385" s="48" t="n">
        <f aca="false">N(P384)+N(M385)-N(N385)</f>
        <v>-290.5</v>
      </c>
      <c r="Q385" s="48"/>
      <c r="R385" s="48"/>
      <c r="S385" s="48"/>
      <c r="T385" s="48"/>
    </row>
    <row r="386" customFormat="false" ht="15" hidden="false" customHeight="true" outlineLevel="0" collapsed="false">
      <c r="A386" s="51" t="str">
        <f aca="false">IFERROR(INDEX(K$6:K$401,MATCH(ROW()-5,J$6:J$401,0)),"")</f>
        <v/>
      </c>
      <c r="B386" s="56" t="str">
        <f aca="false">IFERROR(INDEX(L$6:L$401,MATCH(ROW()-5,J$6:J$401,0)),"")</f>
        <v/>
      </c>
      <c r="C386" s="52" t="str">
        <f aca="false">IFERROR(INDEX(M$6:M$401,MATCH(ROW()-5,J$6:J$401,0)),"")</f>
        <v/>
      </c>
      <c r="D386" s="52" t="str">
        <f aca="false">IFERROR(INDEX(N$6:N$401,MATCH(ROW()-5,J$6:J$401,0)),"")</f>
        <v/>
      </c>
      <c r="E386" s="56" t="str">
        <f aca="false">IFERROR(INDEX(O$6:O$401,MATCH(ROW()-5,J$6:J$401,0)),"")</f>
        <v/>
      </c>
      <c r="F386" s="52" t="str">
        <f aca="false">IFERROR(INDEX(P$6:P$401,MATCH(ROW()-5,J$6:J$401,0)),"")</f>
        <v/>
      </c>
      <c r="G386" s="48"/>
      <c r="H386" s="48"/>
      <c r="I386" s="48"/>
      <c r="J386" s="48" t="str">
        <f aca="false">IF(AND(MOVIMIENTOS!$B385&lt;&gt;"",NOT(AND(MOVIMIENTOS!$B385="PROCESO",MOVIMIENTOS!$C385&lt;&gt;"Chancho")),NOT(AND(MOVIMIENTOS!$B385="SALDO INICIAL",MOVIMIENTOS!$C385="Chancho"))),COUNT(J$6:J385)+1,"")</f>
        <v/>
      </c>
      <c r="K386" s="48" t="str">
        <f aca="false">IF(AND(MOVIMIENTOS!$B385&lt;&gt;"",NOT(AND(MOVIMIENTOS!$B385="PROCESO",MOVIMIENTOS!$C385&lt;&gt;"Chancho")),NOT(AND(MOVIMIENTOS!$B385="SALDO INICIAL",MOVIMIENTOS!$C385="Chancho"))),MOVIMIENTOS!$A385,"")</f>
        <v/>
      </c>
      <c r="L386" s="48" t="str">
        <f aca="false">IF(AND(MOVIMIENTOS!$B385&lt;&gt;"",NOT(AND(MOVIMIENTOS!$B385="PROCESO",MOVIMIENTOS!$C385&lt;&gt;"Chancho")),NOT(AND(MOVIMIENTOS!$B385="SALDO INICIAL",MOVIMIENTOS!$C385="Chancho"))),IF(MOVIMIENTOS!$B385="SALDO INICIAL","APERTURA ("&amp;MOVIMIENTOS!$C385&amp;")",IF(MOVIMIENTOS!$B385="COMPRA","INGRESO (compra)",IF(MOVIMIENTOS!$B385="PROCESO","CHANCHO (proceso)",IF(MOVIMIENTOS!$B385="ENVÍO A SUPESA","ENVÍO cal. "&amp;MOVIMIENTOS!$C385,IF(MOVIMIENTOS!$B385="VENTA CHANCHO","VENTA CHANCHO",IF(MOVIMIENTOS!$B385="VENTA","VENTA cal. "&amp;MOVIMIENTOS!$C385,IF(MOVIMIENTOS!$B385="REGALO","REGALO "&amp;MOVIMIENTOS!$C385,IF(MOVIMIENTOS!$B385="RECHAZO","RECHAZO cal. "&amp;MOVIMIENTOS!$C385&amp;" (va a reproceso)",IF(MOVIMIENTOS!$B385="DEVOLUCIÓN","DEVOLUCIÓN cal. "&amp;MOVIMIENTOS!$C385&amp;" (regresa intacta)",IF(MOVIMIENTOS!$B385="TRASIEGO","TRASIEGO cal. "&amp;MOVIMIENTOS!$C385,MOVIMIENTOS!$B385)))))))))),"")</f>
        <v/>
      </c>
      <c r="M386" s="48" t="str">
        <f aca="false">IF(AND(AND(MOVIMIENTOS!$B385&lt;&gt;"",NOT(AND(MOVIMIENTOS!$B385="PROCESO",MOVIMIENTOS!$C385&lt;&gt;"Chancho")),NOT(AND(MOVIMIENTOS!$B385="SALDO INICIAL",MOVIMIENTOS!$C385="Chancho"))),OR(MOVIMIENTOS!$B385="SALDO INICIAL",MOVIMIENTOS!$B385="COMPRA",MOVIMIENTOS!$B385="REPROCESO",MOVIMIENTOS!$B385="DEVOLUCIÓN",AND(MOVIMIENTOS!$B385="AJUSTE",MOVIMIENTOS!$C385&lt;&gt;"Chancho",N(MOVIMIENTOS!$F385)&gt;=0))),N(MOVIMIENTOS!$F385),"")</f>
        <v/>
      </c>
      <c r="N386" s="48" t="str">
        <f aca="false">IF(AND(AND(MOVIMIENTOS!$B385&lt;&gt;"",NOT(AND(MOVIMIENTOS!$B385="PROCESO",MOVIMIENTOS!$C385&lt;&gt;"Chancho")),NOT(AND(MOVIMIENTOS!$B385="SALDO INICIAL",MOVIMIENTOS!$C385="Chancho"))),OR(MOVIMIENTOS!$B385="ENVÍO A SUPESA",MOVIMIENTOS!$B385="MALOGRADO",MOVIMIENTOS!$B385="OTRA SALIDA",MOVIMIENTOS!$B385="TRASIEGO",AND(MOVIMIENTOS!$B385="PROCESO",MOVIMIENTOS!$C385="Chancho"),AND(MOVIMIENTOS!$B385="REGALO",MOVIMIENTOS!$C385&lt;&gt;"Chancho"),AND(MOVIMIENTOS!$B385="VENTA",MOVIMIENTOS!$C385&lt;&gt;"Chancho"),AND(MOVIMIENTOS!$B385="AJUSTE",MOVIMIENTOS!$C385&lt;&gt;"Chancho",N(MOVIMIENTOS!$F385)&lt;0))),IF(MOVIMIENTOS!$B385="AJUSTE",-N(MOVIMIENTOS!$F385),N(MOVIMIENTOS!$F385)),"")</f>
        <v/>
      </c>
      <c r="O386" s="48" t="str">
        <f aca="false">IF(AND(MOVIMIENTOS!$B385&lt;&gt;"",NOT(AND(MOVIMIENTOS!$B385="PROCESO",MOVIMIENTOS!$C385&lt;&gt;"Chancho")),NOT(AND(MOVIMIENTOS!$B385="SALDO INICIAL",MOVIMIENTOS!$C385="Chancho"))),IF(MOVIMIENTOS!$B385="RECHAZO",MOVIMIENTOS!$E385&amp;" jabas rechazadas · van a reproceso",IF(MOVIMIENTOS!$B385="REPROCESO",MOVIMIENTOS!$E385&amp;" kg recuperados (merma del día: "&amp;TEXT(SUMPRODUCT((MOVIMIENTOS!$A$5:$A$400=MOVIMIENTOS!$A385)*(MOVIMIENTOS!$B$5:$B$400="RECHAZO")*(MOVIMIENTOS!$D$5:$D$400="jabas")*MOVIMIENTOS!$E$5:$E$400*IFERROR(_xlfn.SWITCH(MOVIMIENTOS!$C$5:$C$400,"A",15,"P",18,"C",17,"M",17,0),0))-SUMPRODUCT((MOVIMIENTOS!$A$5:$A$400=MOVIMIENTOS!$A385)*(MOVIMIENTOS!$B$5:$B$400="REPROCESO")*MOVIMIENTOS!$I$5:$I$400),"+#,##0;-#,##0;0")&amp;" kg)",TRIM(IF(MOVIMIENTOS!$G385&lt;&gt;"",MOVIMIENTOS!$G385&amp;"  ","")&amp;IF(N(MOVIMIENTOS!$D385)&gt;0,MOVIMIENTOS!$D385&amp;" "&amp;MOVIMIENTOS!$D385,"")))),"")</f>
        <v/>
      </c>
      <c r="P386" s="48" t="n">
        <f aca="false">N(P385)+N(M386)-N(N386)</f>
        <v>-290.5</v>
      </c>
      <c r="Q386" s="48"/>
      <c r="R386" s="48"/>
      <c r="S386" s="48"/>
      <c r="T386" s="48"/>
    </row>
    <row r="387" customFormat="false" ht="15" hidden="false" customHeight="true" outlineLevel="0" collapsed="false">
      <c r="A387" s="51" t="str">
        <f aca="false">IFERROR(INDEX(K$6:K$401,MATCH(ROW()-5,J$6:J$401,0)),"")</f>
        <v/>
      </c>
      <c r="B387" s="56" t="str">
        <f aca="false">IFERROR(INDEX(L$6:L$401,MATCH(ROW()-5,J$6:J$401,0)),"")</f>
        <v/>
      </c>
      <c r="C387" s="52" t="str">
        <f aca="false">IFERROR(INDEX(M$6:M$401,MATCH(ROW()-5,J$6:J$401,0)),"")</f>
        <v/>
      </c>
      <c r="D387" s="52" t="str">
        <f aca="false">IFERROR(INDEX(N$6:N$401,MATCH(ROW()-5,J$6:J$401,0)),"")</f>
        <v/>
      </c>
      <c r="E387" s="56" t="str">
        <f aca="false">IFERROR(INDEX(O$6:O$401,MATCH(ROW()-5,J$6:J$401,0)),"")</f>
        <v/>
      </c>
      <c r="F387" s="52" t="str">
        <f aca="false">IFERROR(INDEX(P$6:P$401,MATCH(ROW()-5,J$6:J$401,0)),"")</f>
        <v/>
      </c>
      <c r="G387" s="48"/>
      <c r="H387" s="48"/>
      <c r="I387" s="48"/>
      <c r="J387" s="48" t="str">
        <f aca="false">IF(AND(MOVIMIENTOS!$B386&lt;&gt;"",NOT(AND(MOVIMIENTOS!$B386="PROCESO",MOVIMIENTOS!$C386&lt;&gt;"Chancho")),NOT(AND(MOVIMIENTOS!$B386="SALDO INICIAL",MOVIMIENTOS!$C386="Chancho"))),COUNT(J$6:J386)+1,"")</f>
        <v/>
      </c>
      <c r="K387" s="48" t="str">
        <f aca="false">IF(AND(MOVIMIENTOS!$B386&lt;&gt;"",NOT(AND(MOVIMIENTOS!$B386="PROCESO",MOVIMIENTOS!$C386&lt;&gt;"Chancho")),NOT(AND(MOVIMIENTOS!$B386="SALDO INICIAL",MOVIMIENTOS!$C386="Chancho"))),MOVIMIENTOS!$A386,"")</f>
        <v/>
      </c>
      <c r="L387" s="48" t="str">
        <f aca="false">IF(AND(MOVIMIENTOS!$B386&lt;&gt;"",NOT(AND(MOVIMIENTOS!$B386="PROCESO",MOVIMIENTOS!$C386&lt;&gt;"Chancho")),NOT(AND(MOVIMIENTOS!$B386="SALDO INICIAL",MOVIMIENTOS!$C386="Chancho"))),IF(MOVIMIENTOS!$B386="SALDO INICIAL","APERTURA ("&amp;MOVIMIENTOS!$C386&amp;")",IF(MOVIMIENTOS!$B386="COMPRA","INGRESO (compra)",IF(MOVIMIENTOS!$B386="PROCESO","CHANCHO (proceso)",IF(MOVIMIENTOS!$B386="ENVÍO A SUPESA","ENVÍO cal. "&amp;MOVIMIENTOS!$C386,IF(MOVIMIENTOS!$B386="VENTA CHANCHO","VENTA CHANCHO",IF(MOVIMIENTOS!$B386="VENTA","VENTA cal. "&amp;MOVIMIENTOS!$C386,IF(MOVIMIENTOS!$B386="REGALO","REGALO "&amp;MOVIMIENTOS!$C386,IF(MOVIMIENTOS!$B386="RECHAZO","RECHAZO cal. "&amp;MOVIMIENTOS!$C386&amp;" (va a reproceso)",IF(MOVIMIENTOS!$B386="DEVOLUCIÓN","DEVOLUCIÓN cal. "&amp;MOVIMIENTOS!$C386&amp;" (regresa intacta)",IF(MOVIMIENTOS!$B386="TRASIEGO","TRASIEGO cal. "&amp;MOVIMIENTOS!$C386,MOVIMIENTOS!$B386)))))))))),"")</f>
        <v/>
      </c>
      <c r="M387" s="48" t="str">
        <f aca="false">IF(AND(AND(MOVIMIENTOS!$B386&lt;&gt;"",NOT(AND(MOVIMIENTOS!$B386="PROCESO",MOVIMIENTOS!$C386&lt;&gt;"Chancho")),NOT(AND(MOVIMIENTOS!$B386="SALDO INICIAL",MOVIMIENTOS!$C386="Chancho"))),OR(MOVIMIENTOS!$B386="SALDO INICIAL",MOVIMIENTOS!$B386="COMPRA",MOVIMIENTOS!$B386="REPROCESO",MOVIMIENTOS!$B386="DEVOLUCIÓN",AND(MOVIMIENTOS!$B386="AJUSTE",MOVIMIENTOS!$C386&lt;&gt;"Chancho",N(MOVIMIENTOS!$F386)&gt;=0))),N(MOVIMIENTOS!$F386),"")</f>
        <v/>
      </c>
      <c r="N387" s="48" t="str">
        <f aca="false">IF(AND(AND(MOVIMIENTOS!$B386&lt;&gt;"",NOT(AND(MOVIMIENTOS!$B386="PROCESO",MOVIMIENTOS!$C386&lt;&gt;"Chancho")),NOT(AND(MOVIMIENTOS!$B386="SALDO INICIAL",MOVIMIENTOS!$C386="Chancho"))),OR(MOVIMIENTOS!$B386="ENVÍO A SUPESA",MOVIMIENTOS!$B386="MALOGRADO",MOVIMIENTOS!$B386="OTRA SALIDA",MOVIMIENTOS!$B386="TRASIEGO",AND(MOVIMIENTOS!$B386="PROCESO",MOVIMIENTOS!$C386="Chancho"),AND(MOVIMIENTOS!$B386="REGALO",MOVIMIENTOS!$C386&lt;&gt;"Chancho"),AND(MOVIMIENTOS!$B386="VENTA",MOVIMIENTOS!$C386&lt;&gt;"Chancho"),AND(MOVIMIENTOS!$B386="AJUSTE",MOVIMIENTOS!$C386&lt;&gt;"Chancho",N(MOVIMIENTOS!$F386)&lt;0))),IF(MOVIMIENTOS!$B386="AJUSTE",-N(MOVIMIENTOS!$F386),N(MOVIMIENTOS!$F386)),"")</f>
        <v/>
      </c>
      <c r="O387" s="48" t="str">
        <f aca="false">IF(AND(MOVIMIENTOS!$B386&lt;&gt;"",NOT(AND(MOVIMIENTOS!$B386="PROCESO",MOVIMIENTOS!$C386&lt;&gt;"Chancho")),NOT(AND(MOVIMIENTOS!$B386="SALDO INICIAL",MOVIMIENTOS!$C386="Chancho"))),IF(MOVIMIENTOS!$B386="RECHAZO",MOVIMIENTOS!$E386&amp;" jabas rechazadas · van a reproceso",IF(MOVIMIENTOS!$B386="REPROCESO",MOVIMIENTOS!$E386&amp;" kg recuperados (merma del día: "&amp;TEXT(SUMPRODUCT((MOVIMIENTOS!$A$5:$A$400=MOVIMIENTOS!$A386)*(MOVIMIENTOS!$B$5:$B$400="RECHAZO")*(MOVIMIENTOS!$D$5:$D$400="jabas")*MOVIMIENTOS!$E$5:$E$400*IFERROR(_xlfn.SWITCH(MOVIMIENTOS!$C$5:$C$400,"A",15,"P",18,"C",17,"M",17,0),0))-SUMPRODUCT((MOVIMIENTOS!$A$5:$A$400=MOVIMIENTOS!$A386)*(MOVIMIENTOS!$B$5:$B$400="REPROCESO")*MOVIMIENTOS!$I$5:$I$400),"+#,##0;-#,##0;0")&amp;" kg)",TRIM(IF(MOVIMIENTOS!$G386&lt;&gt;"",MOVIMIENTOS!$G386&amp;"  ","")&amp;IF(N(MOVIMIENTOS!$D386)&gt;0,MOVIMIENTOS!$D386&amp;" "&amp;MOVIMIENTOS!$D386,"")))),"")</f>
        <v/>
      </c>
      <c r="P387" s="48" t="n">
        <f aca="false">N(P386)+N(M387)-N(N387)</f>
        <v>-290.5</v>
      </c>
      <c r="Q387" s="48"/>
      <c r="R387" s="48"/>
      <c r="S387" s="48"/>
      <c r="T387" s="48"/>
    </row>
    <row r="388" customFormat="false" ht="15" hidden="false" customHeight="true" outlineLevel="0" collapsed="false">
      <c r="A388" s="51" t="str">
        <f aca="false">IFERROR(INDEX(K$6:K$401,MATCH(ROW()-5,J$6:J$401,0)),"")</f>
        <v/>
      </c>
      <c r="B388" s="56" t="str">
        <f aca="false">IFERROR(INDEX(L$6:L$401,MATCH(ROW()-5,J$6:J$401,0)),"")</f>
        <v/>
      </c>
      <c r="C388" s="52" t="str">
        <f aca="false">IFERROR(INDEX(M$6:M$401,MATCH(ROW()-5,J$6:J$401,0)),"")</f>
        <v/>
      </c>
      <c r="D388" s="52" t="str">
        <f aca="false">IFERROR(INDEX(N$6:N$401,MATCH(ROW()-5,J$6:J$401,0)),"")</f>
        <v/>
      </c>
      <c r="E388" s="56" t="str">
        <f aca="false">IFERROR(INDEX(O$6:O$401,MATCH(ROW()-5,J$6:J$401,0)),"")</f>
        <v/>
      </c>
      <c r="F388" s="52" t="str">
        <f aca="false">IFERROR(INDEX(P$6:P$401,MATCH(ROW()-5,J$6:J$401,0)),"")</f>
        <v/>
      </c>
      <c r="G388" s="48"/>
      <c r="H388" s="48"/>
      <c r="I388" s="48"/>
      <c r="J388" s="48" t="str">
        <f aca="false">IF(AND(MOVIMIENTOS!$B387&lt;&gt;"",NOT(AND(MOVIMIENTOS!$B387="PROCESO",MOVIMIENTOS!$C387&lt;&gt;"Chancho")),NOT(AND(MOVIMIENTOS!$B387="SALDO INICIAL",MOVIMIENTOS!$C387="Chancho"))),COUNT(J$6:J387)+1,"")</f>
        <v/>
      </c>
      <c r="K388" s="48" t="str">
        <f aca="false">IF(AND(MOVIMIENTOS!$B387&lt;&gt;"",NOT(AND(MOVIMIENTOS!$B387="PROCESO",MOVIMIENTOS!$C387&lt;&gt;"Chancho")),NOT(AND(MOVIMIENTOS!$B387="SALDO INICIAL",MOVIMIENTOS!$C387="Chancho"))),MOVIMIENTOS!$A387,"")</f>
        <v/>
      </c>
      <c r="L388" s="48" t="str">
        <f aca="false">IF(AND(MOVIMIENTOS!$B387&lt;&gt;"",NOT(AND(MOVIMIENTOS!$B387="PROCESO",MOVIMIENTOS!$C387&lt;&gt;"Chancho")),NOT(AND(MOVIMIENTOS!$B387="SALDO INICIAL",MOVIMIENTOS!$C387="Chancho"))),IF(MOVIMIENTOS!$B387="SALDO INICIAL","APERTURA ("&amp;MOVIMIENTOS!$C387&amp;")",IF(MOVIMIENTOS!$B387="COMPRA","INGRESO (compra)",IF(MOVIMIENTOS!$B387="PROCESO","CHANCHO (proceso)",IF(MOVIMIENTOS!$B387="ENVÍO A SUPESA","ENVÍO cal. "&amp;MOVIMIENTOS!$C387,IF(MOVIMIENTOS!$B387="VENTA CHANCHO","VENTA CHANCHO",IF(MOVIMIENTOS!$B387="VENTA","VENTA cal. "&amp;MOVIMIENTOS!$C387,IF(MOVIMIENTOS!$B387="REGALO","REGALO "&amp;MOVIMIENTOS!$C387,IF(MOVIMIENTOS!$B387="RECHAZO","RECHAZO cal. "&amp;MOVIMIENTOS!$C387&amp;" (va a reproceso)",IF(MOVIMIENTOS!$B387="DEVOLUCIÓN","DEVOLUCIÓN cal. "&amp;MOVIMIENTOS!$C387&amp;" (regresa intacta)",IF(MOVIMIENTOS!$B387="TRASIEGO","TRASIEGO cal. "&amp;MOVIMIENTOS!$C387,MOVIMIENTOS!$B387)))))))))),"")</f>
        <v/>
      </c>
      <c r="M388" s="48" t="str">
        <f aca="false">IF(AND(AND(MOVIMIENTOS!$B387&lt;&gt;"",NOT(AND(MOVIMIENTOS!$B387="PROCESO",MOVIMIENTOS!$C387&lt;&gt;"Chancho")),NOT(AND(MOVIMIENTOS!$B387="SALDO INICIAL",MOVIMIENTOS!$C387="Chancho"))),OR(MOVIMIENTOS!$B387="SALDO INICIAL",MOVIMIENTOS!$B387="COMPRA",MOVIMIENTOS!$B387="REPROCESO",MOVIMIENTOS!$B387="DEVOLUCIÓN",AND(MOVIMIENTOS!$B387="AJUSTE",MOVIMIENTOS!$C387&lt;&gt;"Chancho",N(MOVIMIENTOS!$F387)&gt;=0))),N(MOVIMIENTOS!$F387),"")</f>
        <v/>
      </c>
      <c r="N388" s="48" t="str">
        <f aca="false">IF(AND(AND(MOVIMIENTOS!$B387&lt;&gt;"",NOT(AND(MOVIMIENTOS!$B387="PROCESO",MOVIMIENTOS!$C387&lt;&gt;"Chancho")),NOT(AND(MOVIMIENTOS!$B387="SALDO INICIAL",MOVIMIENTOS!$C387="Chancho"))),OR(MOVIMIENTOS!$B387="ENVÍO A SUPESA",MOVIMIENTOS!$B387="MALOGRADO",MOVIMIENTOS!$B387="OTRA SALIDA",MOVIMIENTOS!$B387="TRASIEGO",AND(MOVIMIENTOS!$B387="PROCESO",MOVIMIENTOS!$C387="Chancho"),AND(MOVIMIENTOS!$B387="REGALO",MOVIMIENTOS!$C387&lt;&gt;"Chancho"),AND(MOVIMIENTOS!$B387="VENTA",MOVIMIENTOS!$C387&lt;&gt;"Chancho"),AND(MOVIMIENTOS!$B387="AJUSTE",MOVIMIENTOS!$C387&lt;&gt;"Chancho",N(MOVIMIENTOS!$F387)&lt;0))),IF(MOVIMIENTOS!$B387="AJUSTE",-N(MOVIMIENTOS!$F387),N(MOVIMIENTOS!$F387)),"")</f>
        <v/>
      </c>
      <c r="O388" s="48" t="str">
        <f aca="false">IF(AND(MOVIMIENTOS!$B387&lt;&gt;"",NOT(AND(MOVIMIENTOS!$B387="PROCESO",MOVIMIENTOS!$C387&lt;&gt;"Chancho")),NOT(AND(MOVIMIENTOS!$B387="SALDO INICIAL",MOVIMIENTOS!$C387="Chancho"))),IF(MOVIMIENTOS!$B387="RECHAZO",MOVIMIENTOS!$E387&amp;" jabas rechazadas · van a reproceso",IF(MOVIMIENTOS!$B387="REPROCESO",MOVIMIENTOS!$E387&amp;" kg recuperados (merma del día: "&amp;TEXT(SUMPRODUCT((MOVIMIENTOS!$A$5:$A$400=MOVIMIENTOS!$A387)*(MOVIMIENTOS!$B$5:$B$400="RECHAZO")*(MOVIMIENTOS!$D$5:$D$400="jabas")*MOVIMIENTOS!$E$5:$E$400*IFERROR(_xlfn.SWITCH(MOVIMIENTOS!$C$5:$C$400,"A",15,"P",18,"C",17,"M",17,0),0))-SUMPRODUCT((MOVIMIENTOS!$A$5:$A$400=MOVIMIENTOS!$A387)*(MOVIMIENTOS!$B$5:$B$400="REPROCESO")*MOVIMIENTOS!$I$5:$I$400),"+#,##0;-#,##0;0")&amp;" kg)",TRIM(IF(MOVIMIENTOS!$G387&lt;&gt;"",MOVIMIENTOS!$G387&amp;"  ","")&amp;IF(N(MOVIMIENTOS!$D387)&gt;0,MOVIMIENTOS!$D387&amp;" "&amp;MOVIMIENTOS!$D387,"")))),"")</f>
        <v/>
      </c>
      <c r="P388" s="48" t="n">
        <f aca="false">N(P387)+N(M388)-N(N388)</f>
        <v>-290.5</v>
      </c>
      <c r="Q388" s="48"/>
      <c r="R388" s="48"/>
      <c r="S388" s="48"/>
      <c r="T388" s="48"/>
    </row>
    <row r="389" customFormat="false" ht="15" hidden="false" customHeight="true" outlineLevel="0" collapsed="false">
      <c r="A389" s="51" t="str">
        <f aca="false">IFERROR(INDEX(K$6:K$401,MATCH(ROW()-5,J$6:J$401,0)),"")</f>
        <v/>
      </c>
      <c r="B389" s="56" t="str">
        <f aca="false">IFERROR(INDEX(L$6:L$401,MATCH(ROW()-5,J$6:J$401,0)),"")</f>
        <v/>
      </c>
      <c r="C389" s="52" t="str">
        <f aca="false">IFERROR(INDEX(M$6:M$401,MATCH(ROW()-5,J$6:J$401,0)),"")</f>
        <v/>
      </c>
      <c r="D389" s="52" t="str">
        <f aca="false">IFERROR(INDEX(N$6:N$401,MATCH(ROW()-5,J$6:J$401,0)),"")</f>
        <v/>
      </c>
      <c r="E389" s="56" t="str">
        <f aca="false">IFERROR(INDEX(O$6:O$401,MATCH(ROW()-5,J$6:J$401,0)),"")</f>
        <v/>
      </c>
      <c r="F389" s="52" t="str">
        <f aca="false">IFERROR(INDEX(P$6:P$401,MATCH(ROW()-5,J$6:J$401,0)),"")</f>
        <v/>
      </c>
      <c r="G389" s="48"/>
      <c r="H389" s="48"/>
      <c r="I389" s="48"/>
      <c r="J389" s="48" t="str">
        <f aca="false">IF(AND(MOVIMIENTOS!$B388&lt;&gt;"",NOT(AND(MOVIMIENTOS!$B388="PROCESO",MOVIMIENTOS!$C388&lt;&gt;"Chancho")),NOT(AND(MOVIMIENTOS!$B388="SALDO INICIAL",MOVIMIENTOS!$C388="Chancho"))),COUNT(J$6:J388)+1,"")</f>
        <v/>
      </c>
      <c r="K389" s="48" t="str">
        <f aca="false">IF(AND(MOVIMIENTOS!$B388&lt;&gt;"",NOT(AND(MOVIMIENTOS!$B388="PROCESO",MOVIMIENTOS!$C388&lt;&gt;"Chancho")),NOT(AND(MOVIMIENTOS!$B388="SALDO INICIAL",MOVIMIENTOS!$C388="Chancho"))),MOVIMIENTOS!$A388,"")</f>
        <v/>
      </c>
      <c r="L389" s="48" t="str">
        <f aca="false">IF(AND(MOVIMIENTOS!$B388&lt;&gt;"",NOT(AND(MOVIMIENTOS!$B388="PROCESO",MOVIMIENTOS!$C388&lt;&gt;"Chancho")),NOT(AND(MOVIMIENTOS!$B388="SALDO INICIAL",MOVIMIENTOS!$C388="Chancho"))),IF(MOVIMIENTOS!$B388="SALDO INICIAL","APERTURA ("&amp;MOVIMIENTOS!$C388&amp;")",IF(MOVIMIENTOS!$B388="COMPRA","INGRESO (compra)",IF(MOVIMIENTOS!$B388="PROCESO","CHANCHO (proceso)",IF(MOVIMIENTOS!$B388="ENVÍO A SUPESA","ENVÍO cal. "&amp;MOVIMIENTOS!$C388,IF(MOVIMIENTOS!$B388="VENTA CHANCHO","VENTA CHANCHO",IF(MOVIMIENTOS!$B388="VENTA","VENTA cal. "&amp;MOVIMIENTOS!$C388,IF(MOVIMIENTOS!$B388="REGALO","REGALO "&amp;MOVIMIENTOS!$C388,IF(MOVIMIENTOS!$B388="RECHAZO","RECHAZO cal. "&amp;MOVIMIENTOS!$C388&amp;" (va a reproceso)",IF(MOVIMIENTOS!$B388="DEVOLUCIÓN","DEVOLUCIÓN cal. "&amp;MOVIMIENTOS!$C388&amp;" (regresa intacta)",IF(MOVIMIENTOS!$B388="TRASIEGO","TRASIEGO cal. "&amp;MOVIMIENTOS!$C388,MOVIMIENTOS!$B388)))))))))),"")</f>
        <v/>
      </c>
      <c r="M389" s="48" t="str">
        <f aca="false">IF(AND(AND(MOVIMIENTOS!$B388&lt;&gt;"",NOT(AND(MOVIMIENTOS!$B388="PROCESO",MOVIMIENTOS!$C388&lt;&gt;"Chancho")),NOT(AND(MOVIMIENTOS!$B388="SALDO INICIAL",MOVIMIENTOS!$C388="Chancho"))),OR(MOVIMIENTOS!$B388="SALDO INICIAL",MOVIMIENTOS!$B388="COMPRA",MOVIMIENTOS!$B388="REPROCESO",MOVIMIENTOS!$B388="DEVOLUCIÓN",AND(MOVIMIENTOS!$B388="AJUSTE",MOVIMIENTOS!$C388&lt;&gt;"Chancho",N(MOVIMIENTOS!$F388)&gt;=0))),N(MOVIMIENTOS!$F388),"")</f>
        <v/>
      </c>
      <c r="N389" s="48" t="str">
        <f aca="false">IF(AND(AND(MOVIMIENTOS!$B388&lt;&gt;"",NOT(AND(MOVIMIENTOS!$B388="PROCESO",MOVIMIENTOS!$C388&lt;&gt;"Chancho")),NOT(AND(MOVIMIENTOS!$B388="SALDO INICIAL",MOVIMIENTOS!$C388="Chancho"))),OR(MOVIMIENTOS!$B388="ENVÍO A SUPESA",MOVIMIENTOS!$B388="MALOGRADO",MOVIMIENTOS!$B388="OTRA SALIDA",MOVIMIENTOS!$B388="TRASIEGO",AND(MOVIMIENTOS!$B388="PROCESO",MOVIMIENTOS!$C388="Chancho"),AND(MOVIMIENTOS!$B388="REGALO",MOVIMIENTOS!$C388&lt;&gt;"Chancho"),AND(MOVIMIENTOS!$B388="VENTA",MOVIMIENTOS!$C388&lt;&gt;"Chancho"),AND(MOVIMIENTOS!$B388="AJUSTE",MOVIMIENTOS!$C388&lt;&gt;"Chancho",N(MOVIMIENTOS!$F388)&lt;0))),IF(MOVIMIENTOS!$B388="AJUSTE",-N(MOVIMIENTOS!$F388),N(MOVIMIENTOS!$F388)),"")</f>
        <v/>
      </c>
      <c r="O389" s="48" t="str">
        <f aca="false">IF(AND(MOVIMIENTOS!$B388&lt;&gt;"",NOT(AND(MOVIMIENTOS!$B388="PROCESO",MOVIMIENTOS!$C388&lt;&gt;"Chancho")),NOT(AND(MOVIMIENTOS!$B388="SALDO INICIAL",MOVIMIENTOS!$C388="Chancho"))),IF(MOVIMIENTOS!$B388="RECHAZO",MOVIMIENTOS!$E388&amp;" jabas rechazadas · van a reproceso",IF(MOVIMIENTOS!$B388="REPROCESO",MOVIMIENTOS!$E388&amp;" kg recuperados (merma del día: "&amp;TEXT(SUMPRODUCT((MOVIMIENTOS!$A$5:$A$400=MOVIMIENTOS!$A388)*(MOVIMIENTOS!$B$5:$B$400="RECHAZO")*(MOVIMIENTOS!$D$5:$D$400="jabas")*MOVIMIENTOS!$E$5:$E$400*IFERROR(_xlfn.SWITCH(MOVIMIENTOS!$C$5:$C$400,"A",15,"P",18,"C",17,"M",17,0),0))-SUMPRODUCT((MOVIMIENTOS!$A$5:$A$400=MOVIMIENTOS!$A388)*(MOVIMIENTOS!$B$5:$B$400="REPROCESO")*MOVIMIENTOS!$I$5:$I$400),"+#,##0;-#,##0;0")&amp;" kg)",TRIM(IF(MOVIMIENTOS!$G388&lt;&gt;"",MOVIMIENTOS!$G388&amp;"  ","")&amp;IF(N(MOVIMIENTOS!$D388)&gt;0,MOVIMIENTOS!$D388&amp;" "&amp;MOVIMIENTOS!$D388,"")))),"")</f>
        <v/>
      </c>
      <c r="P389" s="48" t="n">
        <f aca="false">N(P388)+N(M389)-N(N389)</f>
        <v>-290.5</v>
      </c>
      <c r="Q389" s="48"/>
      <c r="R389" s="48"/>
      <c r="S389" s="48"/>
      <c r="T389" s="48"/>
    </row>
    <row r="390" customFormat="false" ht="15" hidden="false" customHeight="true" outlineLevel="0" collapsed="false">
      <c r="A390" s="51" t="str">
        <f aca="false">IFERROR(INDEX(K$6:K$401,MATCH(ROW()-5,J$6:J$401,0)),"")</f>
        <v/>
      </c>
      <c r="B390" s="56" t="str">
        <f aca="false">IFERROR(INDEX(L$6:L$401,MATCH(ROW()-5,J$6:J$401,0)),"")</f>
        <v/>
      </c>
      <c r="C390" s="52" t="str">
        <f aca="false">IFERROR(INDEX(M$6:M$401,MATCH(ROW()-5,J$6:J$401,0)),"")</f>
        <v/>
      </c>
      <c r="D390" s="52" t="str">
        <f aca="false">IFERROR(INDEX(N$6:N$401,MATCH(ROW()-5,J$6:J$401,0)),"")</f>
        <v/>
      </c>
      <c r="E390" s="56" t="str">
        <f aca="false">IFERROR(INDEX(O$6:O$401,MATCH(ROW()-5,J$6:J$401,0)),"")</f>
        <v/>
      </c>
      <c r="F390" s="52" t="str">
        <f aca="false">IFERROR(INDEX(P$6:P$401,MATCH(ROW()-5,J$6:J$401,0)),"")</f>
        <v/>
      </c>
      <c r="G390" s="48"/>
      <c r="H390" s="48"/>
      <c r="I390" s="48"/>
      <c r="J390" s="48" t="str">
        <f aca="false">IF(AND(MOVIMIENTOS!$B389&lt;&gt;"",NOT(AND(MOVIMIENTOS!$B389="PROCESO",MOVIMIENTOS!$C389&lt;&gt;"Chancho")),NOT(AND(MOVIMIENTOS!$B389="SALDO INICIAL",MOVIMIENTOS!$C389="Chancho"))),COUNT(J$6:J389)+1,"")</f>
        <v/>
      </c>
      <c r="K390" s="48" t="str">
        <f aca="false">IF(AND(MOVIMIENTOS!$B389&lt;&gt;"",NOT(AND(MOVIMIENTOS!$B389="PROCESO",MOVIMIENTOS!$C389&lt;&gt;"Chancho")),NOT(AND(MOVIMIENTOS!$B389="SALDO INICIAL",MOVIMIENTOS!$C389="Chancho"))),MOVIMIENTOS!$A389,"")</f>
        <v/>
      </c>
      <c r="L390" s="48" t="str">
        <f aca="false">IF(AND(MOVIMIENTOS!$B389&lt;&gt;"",NOT(AND(MOVIMIENTOS!$B389="PROCESO",MOVIMIENTOS!$C389&lt;&gt;"Chancho")),NOT(AND(MOVIMIENTOS!$B389="SALDO INICIAL",MOVIMIENTOS!$C389="Chancho"))),IF(MOVIMIENTOS!$B389="SALDO INICIAL","APERTURA ("&amp;MOVIMIENTOS!$C389&amp;")",IF(MOVIMIENTOS!$B389="COMPRA","INGRESO (compra)",IF(MOVIMIENTOS!$B389="PROCESO","CHANCHO (proceso)",IF(MOVIMIENTOS!$B389="ENVÍO A SUPESA","ENVÍO cal. "&amp;MOVIMIENTOS!$C389,IF(MOVIMIENTOS!$B389="VENTA CHANCHO","VENTA CHANCHO",IF(MOVIMIENTOS!$B389="VENTA","VENTA cal. "&amp;MOVIMIENTOS!$C389,IF(MOVIMIENTOS!$B389="REGALO","REGALO "&amp;MOVIMIENTOS!$C389,IF(MOVIMIENTOS!$B389="RECHAZO","RECHAZO cal. "&amp;MOVIMIENTOS!$C389&amp;" (va a reproceso)",IF(MOVIMIENTOS!$B389="DEVOLUCIÓN","DEVOLUCIÓN cal. "&amp;MOVIMIENTOS!$C389&amp;" (regresa intacta)",IF(MOVIMIENTOS!$B389="TRASIEGO","TRASIEGO cal. "&amp;MOVIMIENTOS!$C389,MOVIMIENTOS!$B389)))))))))),"")</f>
        <v/>
      </c>
      <c r="M390" s="48" t="str">
        <f aca="false">IF(AND(AND(MOVIMIENTOS!$B389&lt;&gt;"",NOT(AND(MOVIMIENTOS!$B389="PROCESO",MOVIMIENTOS!$C389&lt;&gt;"Chancho")),NOT(AND(MOVIMIENTOS!$B389="SALDO INICIAL",MOVIMIENTOS!$C389="Chancho"))),OR(MOVIMIENTOS!$B389="SALDO INICIAL",MOVIMIENTOS!$B389="COMPRA",MOVIMIENTOS!$B389="REPROCESO",MOVIMIENTOS!$B389="DEVOLUCIÓN",AND(MOVIMIENTOS!$B389="AJUSTE",MOVIMIENTOS!$C389&lt;&gt;"Chancho",N(MOVIMIENTOS!$F389)&gt;=0))),N(MOVIMIENTOS!$F389),"")</f>
        <v/>
      </c>
      <c r="N390" s="48" t="str">
        <f aca="false">IF(AND(AND(MOVIMIENTOS!$B389&lt;&gt;"",NOT(AND(MOVIMIENTOS!$B389="PROCESO",MOVIMIENTOS!$C389&lt;&gt;"Chancho")),NOT(AND(MOVIMIENTOS!$B389="SALDO INICIAL",MOVIMIENTOS!$C389="Chancho"))),OR(MOVIMIENTOS!$B389="ENVÍO A SUPESA",MOVIMIENTOS!$B389="MALOGRADO",MOVIMIENTOS!$B389="OTRA SALIDA",MOVIMIENTOS!$B389="TRASIEGO",AND(MOVIMIENTOS!$B389="PROCESO",MOVIMIENTOS!$C389="Chancho"),AND(MOVIMIENTOS!$B389="REGALO",MOVIMIENTOS!$C389&lt;&gt;"Chancho"),AND(MOVIMIENTOS!$B389="VENTA",MOVIMIENTOS!$C389&lt;&gt;"Chancho"),AND(MOVIMIENTOS!$B389="AJUSTE",MOVIMIENTOS!$C389&lt;&gt;"Chancho",N(MOVIMIENTOS!$F389)&lt;0))),IF(MOVIMIENTOS!$B389="AJUSTE",-N(MOVIMIENTOS!$F389),N(MOVIMIENTOS!$F389)),"")</f>
        <v/>
      </c>
      <c r="O390" s="48" t="str">
        <f aca="false">IF(AND(MOVIMIENTOS!$B389&lt;&gt;"",NOT(AND(MOVIMIENTOS!$B389="PROCESO",MOVIMIENTOS!$C389&lt;&gt;"Chancho")),NOT(AND(MOVIMIENTOS!$B389="SALDO INICIAL",MOVIMIENTOS!$C389="Chancho"))),IF(MOVIMIENTOS!$B389="RECHAZO",MOVIMIENTOS!$E389&amp;" jabas rechazadas · van a reproceso",IF(MOVIMIENTOS!$B389="REPROCESO",MOVIMIENTOS!$E389&amp;" kg recuperados (merma del día: "&amp;TEXT(SUMPRODUCT((MOVIMIENTOS!$A$5:$A$400=MOVIMIENTOS!$A389)*(MOVIMIENTOS!$B$5:$B$400="RECHAZO")*(MOVIMIENTOS!$D$5:$D$400="jabas")*MOVIMIENTOS!$E$5:$E$400*IFERROR(_xlfn.SWITCH(MOVIMIENTOS!$C$5:$C$400,"A",15,"P",18,"C",17,"M",17,0),0))-SUMPRODUCT((MOVIMIENTOS!$A$5:$A$400=MOVIMIENTOS!$A389)*(MOVIMIENTOS!$B$5:$B$400="REPROCESO")*MOVIMIENTOS!$I$5:$I$400),"+#,##0;-#,##0;0")&amp;" kg)",TRIM(IF(MOVIMIENTOS!$G389&lt;&gt;"",MOVIMIENTOS!$G389&amp;"  ","")&amp;IF(N(MOVIMIENTOS!$D389)&gt;0,MOVIMIENTOS!$D389&amp;" "&amp;MOVIMIENTOS!$D389,"")))),"")</f>
        <v/>
      </c>
      <c r="P390" s="48" t="n">
        <f aca="false">N(P389)+N(M390)-N(N390)</f>
        <v>-290.5</v>
      </c>
      <c r="Q390" s="48"/>
      <c r="R390" s="48"/>
      <c r="S390" s="48"/>
      <c r="T390" s="48"/>
    </row>
    <row r="391" customFormat="false" ht="15" hidden="false" customHeight="true" outlineLevel="0" collapsed="false">
      <c r="A391" s="51" t="str">
        <f aca="false">IFERROR(INDEX(K$6:K$401,MATCH(ROW()-5,J$6:J$401,0)),"")</f>
        <v/>
      </c>
      <c r="B391" s="56" t="str">
        <f aca="false">IFERROR(INDEX(L$6:L$401,MATCH(ROW()-5,J$6:J$401,0)),"")</f>
        <v/>
      </c>
      <c r="C391" s="52" t="str">
        <f aca="false">IFERROR(INDEX(M$6:M$401,MATCH(ROW()-5,J$6:J$401,0)),"")</f>
        <v/>
      </c>
      <c r="D391" s="52" t="str">
        <f aca="false">IFERROR(INDEX(N$6:N$401,MATCH(ROW()-5,J$6:J$401,0)),"")</f>
        <v/>
      </c>
      <c r="E391" s="56" t="str">
        <f aca="false">IFERROR(INDEX(O$6:O$401,MATCH(ROW()-5,J$6:J$401,0)),"")</f>
        <v/>
      </c>
      <c r="F391" s="52" t="str">
        <f aca="false">IFERROR(INDEX(P$6:P$401,MATCH(ROW()-5,J$6:J$401,0)),"")</f>
        <v/>
      </c>
      <c r="G391" s="48"/>
      <c r="H391" s="48"/>
      <c r="I391" s="48"/>
      <c r="J391" s="48" t="str">
        <f aca="false">IF(AND(MOVIMIENTOS!$B390&lt;&gt;"",NOT(AND(MOVIMIENTOS!$B390="PROCESO",MOVIMIENTOS!$C390&lt;&gt;"Chancho")),NOT(AND(MOVIMIENTOS!$B390="SALDO INICIAL",MOVIMIENTOS!$C390="Chancho"))),COUNT(J$6:J390)+1,"")</f>
        <v/>
      </c>
      <c r="K391" s="48" t="str">
        <f aca="false">IF(AND(MOVIMIENTOS!$B390&lt;&gt;"",NOT(AND(MOVIMIENTOS!$B390="PROCESO",MOVIMIENTOS!$C390&lt;&gt;"Chancho")),NOT(AND(MOVIMIENTOS!$B390="SALDO INICIAL",MOVIMIENTOS!$C390="Chancho"))),MOVIMIENTOS!$A390,"")</f>
        <v/>
      </c>
      <c r="L391" s="48" t="str">
        <f aca="false">IF(AND(MOVIMIENTOS!$B390&lt;&gt;"",NOT(AND(MOVIMIENTOS!$B390="PROCESO",MOVIMIENTOS!$C390&lt;&gt;"Chancho")),NOT(AND(MOVIMIENTOS!$B390="SALDO INICIAL",MOVIMIENTOS!$C390="Chancho"))),IF(MOVIMIENTOS!$B390="SALDO INICIAL","APERTURA ("&amp;MOVIMIENTOS!$C390&amp;")",IF(MOVIMIENTOS!$B390="COMPRA","INGRESO (compra)",IF(MOVIMIENTOS!$B390="PROCESO","CHANCHO (proceso)",IF(MOVIMIENTOS!$B390="ENVÍO A SUPESA","ENVÍO cal. "&amp;MOVIMIENTOS!$C390,IF(MOVIMIENTOS!$B390="VENTA CHANCHO","VENTA CHANCHO",IF(MOVIMIENTOS!$B390="VENTA","VENTA cal. "&amp;MOVIMIENTOS!$C390,IF(MOVIMIENTOS!$B390="REGALO","REGALO "&amp;MOVIMIENTOS!$C390,IF(MOVIMIENTOS!$B390="RECHAZO","RECHAZO cal. "&amp;MOVIMIENTOS!$C390&amp;" (va a reproceso)",IF(MOVIMIENTOS!$B390="DEVOLUCIÓN","DEVOLUCIÓN cal. "&amp;MOVIMIENTOS!$C390&amp;" (regresa intacta)",IF(MOVIMIENTOS!$B390="TRASIEGO","TRASIEGO cal. "&amp;MOVIMIENTOS!$C390,MOVIMIENTOS!$B390)))))))))),"")</f>
        <v/>
      </c>
      <c r="M391" s="48" t="str">
        <f aca="false">IF(AND(AND(MOVIMIENTOS!$B390&lt;&gt;"",NOT(AND(MOVIMIENTOS!$B390="PROCESO",MOVIMIENTOS!$C390&lt;&gt;"Chancho")),NOT(AND(MOVIMIENTOS!$B390="SALDO INICIAL",MOVIMIENTOS!$C390="Chancho"))),OR(MOVIMIENTOS!$B390="SALDO INICIAL",MOVIMIENTOS!$B390="COMPRA",MOVIMIENTOS!$B390="REPROCESO",MOVIMIENTOS!$B390="DEVOLUCIÓN",AND(MOVIMIENTOS!$B390="AJUSTE",MOVIMIENTOS!$C390&lt;&gt;"Chancho",N(MOVIMIENTOS!$F390)&gt;=0))),N(MOVIMIENTOS!$F390),"")</f>
        <v/>
      </c>
      <c r="N391" s="48" t="str">
        <f aca="false">IF(AND(AND(MOVIMIENTOS!$B390&lt;&gt;"",NOT(AND(MOVIMIENTOS!$B390="PROCESO",MOVIMIENTOS!$C390&lt;&gt;"Chancho")),NOT(AND(MOVIMIENTOS!$B390="SALDO INICIAL",MOVIMIENTOS!$C390="Chancho"))),OR(MOVIMIENTOS!$B390="ENVÍO A SUPESA",MOVIMIENTOS!$B390="MALOGRADO",MOVIMIENTOS!$B390="OTRA SALIDA",MOVIMIENTOS!$B390="TRASIEGO",AND(MOVIMIENTOS!$B390="PROCESO",MOVIMIENTOS!$C390="Chancho"),AND(MOVIMIENTOS!$B390="REGALO",MOVIMIENTOS!$C390&lt;&gt;"Chancho"),AND(MOVIMIENTOS!$B390="VENTA",MOVIMIENTOS!$C390&lt;&gt;"Chancho"),AND(MOVIMIENTOS!$B390="AJUSTE",MOVIMIENTOS!$C390&lt;&gt;"Chancho",N(MOVIMIENTOS!$F390)&lt;0))),IF(MOVIMIENTOS!$B390="AJUSTE",-N(MOVIMIENTOS!$F390),N(MOVIMIENTOS!$F390)),"")</f>
        <v/>
      </c>
      <c r="O391" s="48" t="str">
        <f aca="false">IF(AND(MOVIMIENTOS!$B390&lt;&gt;"",NOT(AND(MOVIMIENTOS!$B390="PROCESO",MOVIMIENTOS!$C390&lt;&gt;"Chancho")),NOT(AND(MOVIMIENTOS!$B390="SALDO INICIAL",MOVIMIENTOS!$C390="Chancho"))),IF(MOVIMIENTOS!$B390="RECHAZO",MOVIMIENTOS!$E390&amp;" jabas rechazadas · van a reproceso",IF(MOVIMIENTOS!$B390="REPROCESO",MOVIMIENTOS!$E390&amp;" kg recuperados (merma del día: "&amp;TEXT(SUMPRODUCT((MOVIMIENTOS!$A$5:$A$400=MOVIMIENTOS!$A390)*(MOVIMIENTOS!$B$5:$B$400="RECHAZO")*(MOVIMIENTOS!$D$5:$D$400="jabas")*MOVIMIENTOS!$E$5:$E$400*IFERROR(_xlfn.SWITCH(MOVIMIENTOS!$C$5:$C$400,"A",15,"P",18,"C",17,"M",17,0),0))-SUMPRODUCT((MOVIMIENTOS!$A$5:$A$400=MOVIMIENTOS!$A390)*(MOVIMIENTOS!$B$5:$B$400="REPROCESO")*MOVIMIENTOS!$I$5:$I$400),"+#,##0;-#,##0;0")&amp;" kg)",TRIM(IF(MOVIMIENTOS!$G390&lt;&gt;"",MOVIMIENTOS!$G390&amp;"  ","")&amp;IF(N(MOVIMIENTOS!$D390)&gt;0,MOVIMIENTOS!$D390&amp;" "&amp;MOVIMIENTOS!$D390,"")))),"")</f>
        <v/>
      </c>
      <c r="P391" s="48" t="n">
        <f aca="false">N(P390)+N(M391)-N(N391)</f>
        <v>-290.5</v>
      </c>
      <c r="Q391" s="48"/>
      <c r="R391" s="48"/>
      <c r="S391" s="48"/>
      <c r="T391" s="48"/>
    </row>
    <row r="392" customFormat="false" ht="15" hidden="false" customHeight="true" outlineLevel="0" collapsed="false">
      <c r="A392" s="51" t="str">
        <f aca="false">IFERROR(INDEX(K$6:K$401,MATCH(ROW()-5,J$6:J$401,0)),"")</f>
        <v/>
      </c>
      <c r="B392" s="56" t="str">
        <f aca="false">IFERROR(INDEX(L$6:L$401,MATCH(ROW()-5,J$6:J$401,0)),"")</f>
        <v/>
      </c>
      <c r="C392" s="52" t="str">
        <f aca="false">IFERROR(INDEX(M$6:M$401,MATCH(ROW()-5,J$6:J$401,0)),"")</f>
        <v/>
      </c>
      <c r="D392" s="52" t="str">
        <f aca="false">IFERROR(INDEX(N$6:N$401,MATCH(ROW()-5,J$6:J$401,0)),"")</f>
        <v/>
      </c>
      <c r="E392" s="56" t="str">
        <f aca="false">IFERROR(INDEX(O$6:O$401,MATCH(ROW()-5,J$6:J$401,0)),"")</f>
        <v/>
      </c>
      <c r="F392" s="52" t="str">
        <f aca="false">IFERROR(INDEX(P$6:P$401,MATCH(ROW()-5,J$6:J$401,0)),"")</f>
        <v/>
      </c>
      <c r="G392" s="48"/>
      <c r="H392" s="48"/>
      <c r="I392" s="48"/>
      <c r="J392" s="48" t="str">
        <f aca="false">IF(AND(MOVIMIENTOS!$B391&lt;&gt;"",NOT(AND(MOVIMIENTOS!$B391="PROCESO",MOVIMIENTOS!$C391&lt;&gt;"Chancho")),NOT(AND(MOVIMIENTOS!$B391="SALDO INICIAL",MOVIMIENTOS!$C391="Chancho"))),COUNT(J$6:J391)+1,"")</f>
        <v/>
      </c>
      <c r="K392" s="48" t="str">
        <f aca="false">IF(AND(MOVIMIENTOS!$B391&lt;&gt;"",NOT(AND(MOVIMIENTOS!$B391="PROCESO",MOVIMIENTOS!$C391&lt;&gt;"Chancho")),NOT(AND(MOVIMIENTOS!$B391="SALDO INICIAL",MOVIMIENTOS!$C391="Chancho"))),MOVIMIENTOS!$A391,"")</f>
        <v/>
      </c>
      <c r="L392" s="48" t="str">
        <f aca="false">IF(AND(MOVIMIENTOS!$B391&lt;&gt;"",NOT(AND(MOVIMIENTOS!$B391="PROCESO",MOVIMIENTOS!$C391&lt;&gt;"Chancho")),NOT(AND(MOVIMIENTOS!$B391="SALDO INICIAL",MOVIMIENTOS!$C391="Chancho"))),IF(MOVIMIENTOS!$B391="SALDO INICIAL","APERTURA ("&amp;MOVIMIENTOS!$C391&amp;")",IF(MOVIMIENTOS!$B391="COMPRA","INGRESO (compra)",IF(MOVIMIENTOS!$B391="PROCESO","CHANCHO (proceso)",IF(MOVIMIENTOS!$B391="ENVÍO A SUPESA","ENVÍO cal. "&amp;MOVIMIENTOS!$C391,IF(MOVIMIENTOS!$B391="VENTA CHANCHO","VENTA CHANCHO",IF(MOVIMIENTOS!$B391="VENTA","VENTA cal. "&amp;MOVIMIENTOS!$C391,IF(MOVIMIENTOS!$B391="REGALO","REGALO "&amp;MOVIMIENTOS!$C391,IF(MOVIMIENTOS!$B391="RECHAZO","RECHAZO cal. "&amp;MOVIMIENTOS!$C391&amp;" (va a reproceso)",IF(MOVIMIENTOS!$B391="DEVOLUCIÓN","DEVOLUCIÓN cal. "&amp;MOVIMIENTOS!$C391&amp;" (regresa intacta)",IF(MOVIMIENTOS!$B391="TRASIEGO","TRASIEGO cal. "&amp;MOVIMIENTOS!$C391,MOVIMIENTOS!$B391)))))))))),"")</f>
        <v/>
      </c>
      <c r="M392" s="48" t="str">
        <f aca="false">IF(AND(AND(MOVIMIENTOS!$B391&lt;&gt;"",NOT(AND(MOVIMIENTOS!$B391="PROCESO",MOVIMIENTOS!$C391&lt;&gt;"Chancho")),NOT(AND(MOVIMIENTOS!$B391="SALDO INICIAL",MOVIMIENTOS!$C391="Chancho"))),OR(MOVIMIENTOS!$B391="SALDO INICIAL",MOVIMIENTOS!$B391="COMPRA",MOVIMIENTOS!$B391="REPROCESO",MOVIMIENTOS!$B391="DEVOLUCIÓN",AND(MOVIMIENTOS!$B391="AJUSTE",MOVIMIENTOS!$C391&lt;&gt;"Chancho",N(MOVIMIENTOS!$F391)&gt;=0))),N(MOVIMIENTOS!$F391),"")</f>
        <v/>
      </c>
      <c r="N392" s="48" t="str">
        <f aca="false">IF(AND(AND(MOVIMIENTOS!$B391&lt;&gt;"",NOT(AND(MOVIMIENTOS!$B391="PROCESO",MOVIMIENTOS!$C391&lt;&gt;"Chancho")),NOT(AND(MOVIMIENTOS!$B391="SALDO INICIAL",MOVIMIENTOS!$C391="Chancho"))),OR(MOVIMIENTOS!$B391="ENVÍO A SUPESA",MOVIMIENTOS!$B391="MALOGRADO",MOVIMIENTOS!$B391="OTRA SALIDA",MOVIMIENTOS!$B391="TRASIEGO",AND(MOVIMIENTOS!$B391="PROCESO",MOVIMIENTOS!$C391="Chancho"),AND(MOVIMIENTOS!$B391="REGALO",MOVIMIENTOS!$C391&lt;&gt;"Chancho"),AND(MOVIMIENTOS!$B391="VENTA",MOVIMIENTOS!$C391&lt;&gt;"Chancho"),AND(MOVIMIENTOS!$B391="AJUSTE",MOVIMIENTOS!$C391&lt;&gt;"Chancho",N(MOVIMIENTOS!$F391)&lt;0))),IF(MOVIMIENTOS!$B391="AJUSTE",-N(MOVIMIENTOS!$F391),N(MOVIMIENTOS!$F391)),"")</f>
        <v/>
      </c>
      <c r="O392" s="48" t="str">
        <f aca="false">IF(AND(MOVIMIENTOS!$B391&lt;&gt;"",NOT(AND(MOVIMIENTOS!$B391="PROCESO",MOVIMIENTOS!$C391&lt;&gt;"Chancho")),NOT(AND(MOVIMIENTOS!$B391="SALDO INICIAL",MOVIMIENTOS!$C391="Chancho"))),IF(MOVIMIENTOS!$B391="RECHAZO",MOVIMIENTOS!$E391&amp;" jabas rechazadas · van a reproceso",IF(MOVIMIENTOS!$B391="REPROCESO",MOVIMIENTOS!$E391&amp;" kg recuperados (merma del día: "&amp;TEXT(SUMPRODUCT((MOVIMIENTOS!$A$5:$A$400=MOVIMIENTOS!$A391)*(MOVIMIENTOS!$B$5:$B$400="RECHAZO")*(MOVIMIENTOS!$D$5:$D$400="jabas")*MOVIMIENTOS!$E$5:$E$400*IFERROR(_xlfn.SWITCH(MOVIMIENTOS!$C$5:$C$400,"A",15,"P",18,"C",17,"M",17,0),0))-SUMPRODUCT((MOVIMIENTOS!$A$5:$A$400=MOVIMIENTOS!$A391)*(MOVIMIENTOS!$B$5:$B$400="REPROCESO")*MOVIMIENTOS!$I$5:$I$400),"+#,##0;-#,##0;0")&amp;" kg)",TRIM(IF(MOVIMIENTOS!$G391&lt;&gt;"",MOVIMIENTOS!$G391&amp;"  ","")&amp;IF(N(MOVIMIENTOS!$D391)&gt;0,MOVIMIENTOS!$D391&amp;" "&amp;MOVIMIENTOS!$D391,"")))),"")</f>
        <v/>
      </c>
      <c r="P392" s="48" t="n">
        <f aca="false">N(P391)+N(M392)-N(N392)</f>
        <v>-290.5</v>
      </c>
      <c r="Q392" s="48"/>
      <c r="R392" s="48"/>
      <c r="S392" s="48"/>
      <c r="T392" s="48"/>
    </row>
    <row r="393" customFormat="false" ht="15" hidden="false" customHeight="true" outlineLevel="0" collapsed="false">
      <c r="A393" s="51" t="str">
        <f aca="false">IFERROR(INDEX(K$6:K$401,MATCH(ROW()-5,J$6:J$401,0)),"")</f>
        <v/>
      </c>
      <c r="B393" s="56" t="str">
        <f aca="false">IFERROR(INDEX(L$6:L$401,MATCH(ROW()-5,J$6:J$401,0)),"")</f>
        <v/>
      </c>
      <c r="C393" s="52" t="str">
        <f aca="false">IFERROR(INDEX(M$6:M$401,MATCH(ROW()-5,J$6:J$401,0)),"")</f>
        <v/>
      </c>
      <c r="D393" s="52" t="str">
        <f aca="false">IFERROR(INDEX(N$6:N$401,MATCH(ROW()-5,J$6:J$401,0)),"")</f>
        <v/>
      </c>
      <c r="E393" s="56" t="str">
        <f aca="false">IFERROR(INDEX(O$6:O$401,MATCH(ROW()-5,J$6:J$401,0)),"")</f>
        <v/>
      </c>
      <c r="F393" s="52" t="str">
        <f aca="false">IFERROR(INDEX(P$6:P$401,MATCH(ROW()-5,J$6:J$401,0)),"")</f>
        <v/>
      </c>
      <c r="G393" s="48"/>
      <c r="H393" s="48"/>
      <c r="I393" s="48"/>
      <c r="J393" s="48" t="str">
        <f aca="false">IF(AND(MOVIMIENTOS!$B392&lt;&gt;"",NOT(AND(MOVIMIENTOS!$B392="PROCESO",MOVIMIENTOS!$C392&lt;&gt;"Chancho")),NOT(AND(MOVIMIENTOS!$B392="SALDO INICIAL",MOVIMIENTOS!$C392="Chancho"))),COUNT(J$6:J392)+1,"")</f>
        <v/>
      </c>
      <c r="K393" s="48" t="str">
        <f aca="false">IF(AND(MOVIMIENTOS!$B392&lt;&gt;"",NOT(AND(MOVIMIENTOS!$B392="PROCESO",MOVIMIENTOS!$C392&lt;&gt;"Chancho")),NOT(AND(MOVIMIENTOS!$B392="SALDO INICIAL",MOVIMIENTOS!$C392="Chancho"))),MOVIMIENTOS!$A392,"")</f>
        <v/>
      </c>
      <c r="L393" s="48" t="str">
        <f aca="false">IF(AND(MOVIMIENTOS!$B392&lt;&gt;"",NOT(AND(MOVIMIENTOS!$B392="PROCESO",MOVIMIENTOS!$C392&lt;&gt;"Chancho")),NOT(AND(MOVIMIENTOS!$B392="SALDO INICIAL",MOVIMIENTOS!$C392="Chancho"))),IF(MOVIMIENTOS!$B392="SALDO INICIAL","APERTURA ("&amp;MOVIMIENTOS!$C392&amp;")",IF(MOVIMIENTOS!$B392="COMPRA","INGRESO (compra)",IF(MOVIMIENTOS!$B392="PROCESO","CHANCHO (proceso)",IF(MOVIMIENTOS!$B392="ENVÍO A SUPESA","ENVÍO cal. "&amp;MOVIMIENTOS!$C392,IF(MOVIMIENTOS!$B392="VENTA CHANCHO","VENTA CHANCHO",IF(MOVIMIENTOS!$B392="VENTA","VENTA cal. "&amp;MOVIMIENTOS!$C392,IF(MOVIMIENTOS!$B392="REGALO","REGALO "&amp;MOVIMIENTOS!$C392,IF(MOVIMIENTOS!$B392="RECHAZO","RECHAZO cal. "&amp;MOVIMIENTOS!$C392&amp;" (va a reproceso)",IF(MOVIMIENTOS!$B392="DEVOLUCIÓN","DEVOLUCIÓN cal. "&amp;MOVIMIENTOS!$C392&amp;" (regresa intacta)",IF(MOVIMIENTOS!$B392="TRASIEGO","TRASIEGO cal. "&amp;MOVIMIENTOS!$C392,MOVIMIENTOS!$B392)))))))))),"")</f>
        <v/>
      </c>
      <c r="M393" s="48" t="str">
        <f aca="false">IF(AND(AND(MOVIMIENTOS!$B392&lt;&gt;"",NOT(AND(MOVIMIENTOS!$B392="PROCESO",MOVIMIENTOS!$C392&lt;&gt;"Chancho")),NOT(AND(MOVIMIENTOS!$B392="SALDO INICIAL",MOVIMIENTOS!$C392="Chancho"))),OR(MOVIMIENTOS!$B392="SALDO INICIAL",MOVIMIENTOS!$B392="COMPRA",MOVIMIENTOS!$B392="REPROCESO",MOVIMIENTOS!$B392="DEVOLUCIÓN",AND(MOVIMIENTOS!$B392="AJUSTE",MOVIMIENTOS!$C392&lt;&gt;"Chancho",N(MOVIMIENTOS!$F392)&gt;=0))),N(MOVIMIENTOS!$F392),"")</f>
        <v/>
      </c>
      <c r="N393" s="48" t="str">
        <f aca="false">IF(AND(AND(MOVIMIENTOS!$B392&lt;&gt;"",NOT(AND(MOVIMIENTOS!$B392="PROCESO",MOVIMIENTOS!$C392&lt;&gt;"Chancho")),NOT(AND(MOVIMIENTOS!$B392="SALDO INICIAL",MOVIMIENTOS!$C392="Chancho"))),OR(MOVIMIENTOS!$B392="ENVÍO A SUPESA",MOVIMIENTOS!$B392="MALOGRADO",MOVIMIENTOS!$B392="OTRA SALIDA",MOVIMIENTOS!$B392="TRASIEGO",AND(MOVIMIENTOS!$B392="PROCESO",MOVIMIENTOS!$C392="Chancho"),AND(MOVIMIENTOS!$B392="REGALO",MOVIMIENTOS!$C392&lt;&gt;"Chancho"),AND(MOVIMIENTOS!$B392="VENTA",MOVIMIENTOS!$C392&lt;&gt;"Chancho"),AND(MOVIMIENTOS!$B392="AJUSTE",MOVIMIENTOS!$C392&lt;&gt;"Chancho",N(MOVIMIENTOS!$F392)&lt;0))),IF(MOVIMIENTOS!$B392="AJUSTE",-N(MOVIMIENTOS!$F392),N(MOVIMIENTOS!$F392)),"")</f>
        <v/>
      </c>
      <c r="O393" s="48" t="str">
        <f aca="false">IF(AND(MOVIMIENTOS!$B392&lt;&gt;"",NOT(AND(MOVIMIENTOS!$B392="PROCESO",MOVIMIENTOS!$C392&lt;&gt;"Chancho")),NOT(AND(MOVIMIENTOS!$B392="SALDO INICIAL",MOVIMIENTOS!$C392="Chancho"))),IF(MOVIMIENTOS!$B392="RECHAZO",MOVIMIENTOS!$E392&amp;" jabas rechazadas · van a reproceso",IF(MOVIMIENTOS!$B392="REPROCESO",MOVIMIENTOS!$E392&amp;" kg recuperados (merma del día: "&amp;TEXT(SUMPRODUCT((MOVIMIENTOS!$A$5:$A$400=MOVIMIENTOS!$A392)*(MOVIMIENTOS!$B$5:$B$400="RECHAZO")*(MOVIMIENTOS!$D$5:$D$400="jabas")*MOVIMIENTOS!$E$5:$E$400*IFERROR(_xlfn.SWITCH(MOVIMIENTOS!$C$5:$C$400,"A",15,"P",18,"C",17,"M",17,0),0))-SUMPRODUCT((MOVIMIENTOS!$A$5:$A$400=MOVIMIENTOS!$A392)*(MOVIMIENTOS!$B$5:$B$400="REPROCESO")*MOVIMIENTOS!$I$5:$I$400),"+#,##0;-#,##0;0")&amp;" kg)",TRIM(IF(MOVIMIENTOS!$G392&lt;&gt;"",MOVIMIENTOS!$G392&amp;"  ","")&amp;IF(N(MOVIMIENTOS!$D392)&gt;0,MOVIMIENTOS!$D392&amp;" "&amp;MOVIMIENTOS!$D392,"")))),"")</f>
        <v/>
      </c>
      <c r="P393" s="48" t="n">
        <f aca="false">N(P392)+N(M393)-N(N393)</f>
        <v>-290.5</v>
      </c>
      <c r="Q393" s="48"/>
      <c r="R393" s="48"/>
      <c r="S393" s="48"/>
      <c r="T393" s="48"/>
    </row>
    <row r="394" customFormat="false" ht="15" hidden="false" customHeight="true" outlineLevel="0" collapsed="false">
      <c r="A394" s="51" t="str">
        <f aca="false">IFERROR(INDEX(K$6:K$401,MATCH(ROW()-5,J$6:J$401,0)),"")</f>
        <v/>
      </c>
      <c r="B394" s="56" t="str">
        <f aca="false">IFERROR(INDEX(L$6:L$401,MATCH(ROW()-5,J$6:J$401,0)),"")</f>
        <v/>
      </c>
      <c r="C394" s="52" t="str">
        <f aca="false">IFERROR(INDEX(M$6:M$401,MATCH(ROW()-5,J$6:J$401,0)),"")</f>
        <v/>
      </c>
      <c r="D394" s="52" t="str">
        <f aca="false">IFERROR(INDEX(N$6:N$401,MATCH(ROW()-5,J$6:J$401,0)),"")</f>
        <v/>
      </c>
      <c r="E394" s="56" t="str">
        <f aca="false">IFERROR(INDEX(O$6:O$401,MATCH(ROW()-5,J$6:J$401,0)),"")</f>
        <v/>
      </c>
      <c r="F394" s="52" t="str">
        <f aca="false">IFERROR(INDEX(P$6:P$401,MATCH(ROW()-5,J$6:J$401,0)),"")</f>
        <v/>
      </c>
      <c r="G394" s="48"/>
      <c r="H394" s="48"/>
      <c r="I394" s="48"/>
      <c r="J394" s="48" t="str">
        <f aca="false">IF(AND(MOVIMIENTOS!$B393&lt;&gt;"",NOT(AND(MOVIMIENTOS!$B393="PROCESO",MOVIMIENTOS!$C393&lt;&gt;"Chancho")),NOT(AND(MOVIMIENTOS!$B393="SALDO INICIAL",MOVIMIENTOS!$C393="Chancho"))),COUNT(J$6:J393)+1,"")</f>
        <v/>
      </c>
      <c r="K394" s="48" t="str">
        <f aca="false">IF(AND(MOVIMIENTOS!$B393&lt;&gt;"",NOT(AND(MOVIMIENTOS!$B393="PROCESO",MOVIMIENTOS!$C393&lt;&gt;"Chancho")),NOT(AND(MOVIMIENTOS!$B393="SALDO INICIAL",MOVIMIENTOS!$C393="Chancho"))),MOVIMIENTOS!$A393,"")</f>
        <v/>
      </c>
      <c r="L394" s="48" t="str">
        <f aca="false">IF(AND(MOVIMIENTOS!$B393&lt;&gt;"",NOT(AND(MOVIMIENTOS!$B393="PROCESO",MOVIMIENTOS!$C393&lt;&gt;"Chancho")),NOT(AND(MOVIMIENTOS!$B393="SALDO INICIAL",MOVIMIENTOS!$C393="Chancho"))),IF(MOVIMIENTOS!$B393="SALDO INICIAL","APERTURA ("&amp;MOVIMIENTOS!$C393&amp;")",IF(MOVIMIENTOS!$B393="COMPRA","INGRESO (compra)",IF(MOVIMIENTOS!$B393="PROCESO","CHANCHO (proceso)",IF(MOVIMIENTOS!$B393="ENVÍO A SUPESA","ENVÍO cal. "&amp;MOVIMIENTOS!$C393,IF(MOVIMIENTOS!$B393="VENTA CHANCHO","VENTA CHANCHO",IF(MOVIMIENTOS!$B393="VENTA","VENTA cal. "&amp;MOVIMIENTOS!$C393,IF(MOVIMIENTOS!$B393="REGALO","REGALO "&amp;MOVIMIENTOS!$C393,IF(MOVIMIENTOS!$B393="RECHAZO","RECHAZO cal. "&amp;MOVIMIENTOS!$C393&amp;" (va a reproceso)",IF(MOVIMIENTOS!$B393="DEVOLUCIÓN","DEVOLUCIÓN cal. "&amp;MOVIMIENTOS!$C393&amp;" (regresa intacta)",IF(MOVIMIENTOS!$B393="TRASIEGO","TRASIEGO cal. "&amp;MOVIMIENTOS!$C393,MOVIMIENTOS!$B393)))))))))),"")</f>
        <v/>
      </c>
      <c r="M394" s="48" t="str">
        <f aca="false">IF(AND(AND(MOVIMIENTOS!$B393&lt;&gt;"",NOT(AND(MOVIMIENTOS!$B393="PROCESO",MOVIMIENTOS!$C393&lt;&gt;"Chancho")),NOT(AND(MOVIMIENTOS!$B393="SALDO INICIAL",MOVIMIENTOS!$C393="Chancho"))),OR(MOVIMIENTOS!$B393="SALDO INICIAL",MOVIMIENTOS!$B393="COMPRA",MOVIMIENTOS!$B393="REPROCESO",MOVIMIENTOS!$B393="DEVOLUCIÓN",AND(MOVIMIENTOS!$B393="AJUSTE",MOVIMIENTOS!$C393&lt;&gt;"Chancho",N(MOVIMIENTOS!$F393)&gt;=0))),N(MOVIMIENTOS!$F393),"")</f>
        <v/>
      </c>
      <c r="N394" s="48" t="str">
        <f aca="false">IF(AND(AND(MOVIMIENTOS!$B393&lt;&gt;"",NOT(AND(MOVIMIENTOS!$B393="PROCESO",MOVIMIENTOS!$C393&lt;&gt;"Chancho")),NOT(AND(MOVIMIENTOS!$B393="SALDO INICIAL",MOVIMIENTOS!$C393="Chancho"))),OR(MOVIMIENTOS!$B393="ENVÍO A SUPESA",MOVIMIENTOS!$B393="MALOGRADO",MOVIMIENTOS!$B393="OTRA SALIDA",MOVIMIENTOS!$B393="TRASIEGO",AND(MOVIMIENTOS!$B393="PROCESO",MOVIMIENTOS!$C393="Chancho"),AND(MOVIMIENTOS!$B393="REGALO",MOVIMIENTOS!$C393&lt;&gt;"Chancho"),AND(MOVIMIENTOS!$B393="VENTA",MOVIMIENTOS!$C393&lt;&gt;"Chancho"),AND(MOVIMIENTOS!$B393="AJUSTE",MOVIMIENTOS!$C393&lt;&gt;"Chancho",N(MOVIMIENTOS!$F393)&lt;0))),IF(MOVIMIENTOS!$B393="AJUSTE",-N(MOVIMIENTOS!$F393),N(MOVIMIENTOS!$F393)),"")</f>
        <v/>
      </c>
      <c r="O394" s="48" t="str">
        <f aca="false">IF(AND(MOVIMIENTOS!$B393&lt;&gt;"",NOT(AND(MOVIMIENTOS!$B393="PROCESO",MOVIMIENTOS!$C393&lt;&gt;"Chancho")),NOT(AND(MOVIMIENTOS!$B393="SALDO INICIAL",MOVIMIENTOS!$C393="Chancho"))),IF(MOVIMIENTOS!$B393="RECHAZO",MOVIMIENTOS!$E393&amp;" jabas rechazadas · van a reproceso",IF(MOVIMIENTOS!$B393="REPROCESO",MOVIMIENTOS!$E393&amp;" kg recuperados (merma del día: "&amp;TEXT(SUMPRODUCT((MOVIMIENTOS!$A$5:$A$400=MOVIMIENTOS!$A393)*(MOVIMIENTOS!$B$5:$B$400="RECHAZO")*(MOVIMIENTOS!$D$5:$D$400="jabas")*MOVIMIENTOS!$E$5:$E$400*IFERROR(_xlfn.SWITCH(MOVIMIENTOS!$C$5:$C$400,"A",15,"P",18,"C",17,"M",17,0),0))-SUMPRODUCT((MOVIMIENTOS!$A$5:$A$400=MOVIMIENTOS!$A393)*(MOVIMIENTOS!$B$5:$B$400="REPROCESO")*MOVIMIENTOS!$I$5:$I$400),"+#,##0;-#,##0;0")&amp;" kg)",TRIM(IF(MOVIMIENTOS!$G393&lt;&gt;"",MOVIMIENTOS!$G393&amp;"  ","")&amp;IF(N(MOVIMIENTOS!$D393)&gt;0,MOVIMIENTOS!$D393&amp;" "&amp;MOVIMIENTOS!$D393,"")))),"")</f>
        <v/>
      </c>
      <c r="P394" s="48" t="n">
        <f aca="false">N(P393)+N(M394)-N(N394)</f>
        <v>-290.5</v>
      </c>
      <c r="Q394" s="48"/>
      <c r="R394" s="48"/>
      <c r="S394" s="48"/>
      <c r="T394" s="48"/>
    </row>
    <row r="395" customFormat="false" ht="15" hidden="false" customHeight="true" outlineLevel="0" collapsed="false">
      <c r="A395" s="51" t="str">
        <f aca="false">IFERROR(INDEX(K$6:K$401,MATCH(ROW()-5,J$6:J$401,0)),"")</f>
        <v/>
      </c>
      <c r="B395" s="56" t="str">
        <f aca="false">IFERROR(INDEX(L$6:L$401,MATCH(ROW()-5,J$6:J$401,0)),"")</f>
        <v/>
      </c>
      <c r="C395" s="52" t="str">
        <f aca="false">IFERROR(INDEX(M$6:M$401,MATCH(ROW()-5,J$6:J$401,0)),"")</f>
        <v/>
      </c>
      <c r="D395" s="52" t="str">
        <f aca="false">IFERROR(INDEX(N$6:N$401,MATCH(ROW()-5,J$6:J$401,0)),"")</f>
        <v/>
      </c>
      <c r="E395" s="56" t="str">
        <f aca="false">IFERROR(INDEX(O$6:O$401,MATCH(ROW()-5,J$6:J$401,0)),"")</f>
        <v/>
      </c>
      <c r="F395" s="52" t="str">
        <f aca="false">IFERROR(INDEX(P$6:P$401,MATCH(ROW()-5,J$6:J$401,0)),"")</f>
        <v/>
      </c>
      <c r="G395" s="48"/>
      <c r="H395" s="48"/>
      <c r="I395" s="48"/>
      <c r="J395" s="48" t="str">
        <f aca="false">IF(AND(MOVIMIENTOS!$B394&lt;&gt;"",NOT(AND(MOVIMIENTOS!$B394="PROCESO",MOVIMIENTOS!$C394&lt;&gt;"Chancho")),NOT(AND(MOVIMIENTOS!$B394="SALDO INICIAL",MOVIMIENTOS!$C394="Chancho"))),COUNT(J$6:J394)+1,"")</f>
        <v/>
      </c>
      <c r="K395" s="48" t="str">
        <f aca="false">IF(AND(MOVIMIENTOS!$B394&lt;&gt;"",NOT(AND(MOVIMIENTOS!$B394="PROCESO",MOVIMIENTOS!$C394&lt;&gt;"Chancho")),NOT(AND(MOVIMIENTOS!$B394="SALDO INICIAL",MOVIMIENTOS!$C394="Chancho"))),MOVIMIENTOS!$A394,"")</f>
        <v/>
      </c>
      <c r="L395" s="48" t="str">
        <f aca="false">IF(AND(MOVIMIENTOS!$B394&lt;&gt;"",NOT(AND(MOVIMIENTOS!$B394="PROCESO",MOVIMIENTOS!$C394&lt;&gt;"Chancho")),NOT(AND(MOVIMIENTOS!$B394="SALDO INICIAL",MOVIMIENTOS!$C394="Chancho"))),IF(MOVIMIENTOS!$B394="SALDO INICIAL","APERTURA ("&amp;MOVIMIENTOS!$C394&amp;")",IF(MOVIMIENTOS!$B394="COMPRA","INGRESO (compra)",IF(MOVIMIENTOS!$B394="PROCESO","CHANCHO (proceso)",IF(MOVIMIENTOS!$B394="ENVÍO A SUPESA","ENVÍO cal. "&amp;MOVIMIENTOS!$C394,IF(MOVIMIENTOS!$B394="VENTA CHANCHO","VENTA CHANCHO",IF(MOVIMIENTOS!$B394="VENTA","VENTA cal. "&amp;MOVIMIENTOS!$C394,IF(MOVIMIENTOS!$B394="REGALO","REGALO "&amp;MOVIMIENTOS!$C394,IF(MOVIMIENTOS!$B394="RECHAZO","RECHAZO cal. "&amp;MOVIMIENTOS!$C394&amp;" (va a reproceso)",IF(MOVIMIENTOS!$B394="DEVOLUCIÓN","DEVOLUCIÓN cal. "&amp;MOVIMIENTOS!$C394&amp;" (regresa intacta)",IF(MOVIMIENTOS!$B394="TRASIEGO","TRASIEGO cal. "&amp;MOVIMIENTOS!$C394,MOVIMIENTOS!$B394)))))))))),"")</f>
        <v/>
      </c>
      <c r="M395" s="48" t="str">
        <f aca="false">IF(AND(AND(MOVIMIENTOS!$B394&lt;&gt;"",NOT(AND(MOVIMIENTOS!$B394="PROCESO",MOVIMIENTOS!$C394&lt;&gt;"Chancho")),NOT(AND(MOVIMIENTOS!$B394="SALDO INICIAL",MOVIMIENTOS!$C394="Chancho"))),OR(MOVIMIENTOS!$B394="SALDO INICIAL",MOVIMIENTOS!$B394="COMPRA",MOVIMIENTOS!$B394="REPROCESO",MOVIMIENTOS!$B394="DEVOLUCIÓN",AND(MOVIMIENTOS!$B394="AJUSTE",MOVIMIENTOS!$C394&lt;&gt;"Chancho",N(MOVIMIENTOS!$F394)&gt;=0))),N(MOVIMIENTOS!$F394),"")</f>
        <v/>
      </c>
      <c r="N395" s="48" t="str">
        <f aca="false">IF(AND(AND(MOVIMIENTOS!$B394&lt;&gt;"",NOT(AND(MOVIMIENTOS!$B394="PROCESO",MOVIMIENTOS!$C394&lt;&gt;"Chancho")),NOT(AND(MOVIMIENTOS!$B394="SALDO INICIAL",MOVIMIENTOS!$C394="Chancho"))),OR(MOVIMIENTOS!$B394="ENVÍO A SUPESA",MOVIMIENTOS!$B394="MALOGRADO",MOVIMIENTOS!$B394="OTRA SALIDA",MOVIMIENTOS!$B394="TRASIEGO",AND(MOVIMIENTOS!$B394="PROCESO",MOVIMIENTOS!$C394="Chancho"),AND(MOVIMIENTOS!$B394="REGALO",MOVIMIENTOS!$C394&lt;&gt;"Chancho"),AND(MOVIMIENTOS!$B394="VENTA",MOVIMIENTOS!$C394&lt;&gt;"Chancho"),AND(MOVIMIENTOS!$B394="AJUSTE",MOVIMIENTOS!$C394&lt;&gt;"Chancho",N(MOVIMIENTOS!$F394)&lt;0))),IF(MOVIMIENTOS!$B394="AJUSTE",-N(MOVIMIENTOS!$F394),N(MOVIMIENTOS!$F394)),"")</f>
        <v/>
      </c>
      <c r="O395" s="48" t="str">
        <f aca="false">IF(AND(MOVIMIENTOS!$B394&lt;&gt;"",NOT(AND(MOVIMIENTOS!$B394="PROCESO",MOVIMIENTOS!$C394&lt;&gt;"Chancho")),NOT(AND(MOVIMIENTOS!$B394="SALDO INICIAL",MOVIMIENTOS!$C394="Chancho"))),IF(MOVIMIENTOS!$B394="RECHAZO",MOVIMIENTOS!$E394&amp;" jabas rechazadas · van a reproceso",IF(MOVIMIENTOS!$B394="REPROCESO",MOVIMIENTOS!$E394&amp;" kg recuperados (merma del día: "&amp;TEXT(SUMPRODUCT((MOVIMIENTOS!$A$5:$A$400=MOVIMIENTOS!$A394)*(MOVIMIENTOS!$B$5:$B$400="RECHAZO")*(MOVIMIENTOS!$D$5:$D$400="jabas")*MOVIMIENTOS!$E$5:$E$400*IFERROR(_xlfn.SWITCH(MOVIMIENTOS!$C$5:$C$400,"A",15,"P",18,"C",17,"M",17,0),0))-SUMPRODUCT((MOVIMIENTOS!$A$5:$A$400=MOVIMIENTOS!$A394)*(MOVIMIENTOS!$B$5:$B$400="REPROCESO")*MOVIMIENTOS!$I$5:$I$400),"+#,##0;-#,##0;0")&amp;" kg)",TRIM(IF(MOVIMIENTOS!$G394&lt;&gt;"",MOVIMIENTOS!$G394&amp;"  ","")&amp;IF(N(MOVIMIENTOS!$D394)&gt;0,MOVIMIENTOS!$D394&amp;" "&amp;MOVIMIENTOS!$D394,"")))),"")</f>
        <v/>
      </c>
      <c r="P395" s="48" t="n">
        <f aca="false">N(P394)+N(M395)-N(N395)</f>
        <v>-290.5</v>
      </c>
      <c r="Q395" s="48"/>
      <c r="R395" s="48"/>
      <c r="S395" s="48"/>
      <c r="T395" s="48"/>
    </row>
    <row r="396" customFormat="false" ht="15" hidden="false" customHeight="true" outlineLevel="0" collapsed="false">
      <c r="A396" s="51" t="str">
        <f aca="false">IFERROR(INDEX(K$6:K$401,MATCH(ROW()-5,J$6:J$401,0)),"")</f>
        <v/>
      </c>
      <c r="B396" s="56" t="str">
        <f aca="false">IFERROR(INDEX(L$6:L$401,MATCH(ROW()-5,J$6:J$401,0)),"")</f>
        <v/>
      </c>
      <c r="C396" s="52" t="str">
        <f aca="false">IFERROR(INDEX(M$6:M$401,MATCH(ROW()-5,J$6:J$401,0)),"")</f>
        <v/>
      </c>
      <c r="D396" s="52" t="str">
        <f aca="false">IFERROR(INDEX(N$6:N$401,MATCH(ROW()-5,J$6:J$401,0)),"")</f>
        <v/>
      </c>
      <c r="E396" s="56" t="str">
        <f aca="false">IFERROR(INDEX(O$6:O$401,MATCH(ROW()-5,J$6:J$401,0)),"")</f>
        <v/>
      </c>
      <c r="F396" s="52" t="str">
        <f aca="false">IFERROR(INDEX(P$6:P$401,MATCH(ROW()-5,J$6:J$401,0)),"")</f>
        <v/>
      </c>
      <c r="G396" s="48"/>
      <c r="H396" s="48"/>
      <c r="I396" s="48"/>
      <c r="J396" s="48" t="str">
        <f aca="false">IF(AND(MOVIMIENTOS!$B395&lt;&gt;"",NOT(AND(MOVIMIENTOS!$B395="PROCESO",MOVIMIENTOS!$C395&lt;&gt;"Chancho")),NOT(AND(MOVIMIENTOS!$B395="SALDO INICIAL",MOVIMIENTOS!$C395="Chancho"))),COUNT(J$6:J395)+1,"")</f>
        <v/>
      </c>
      <c r="K396" s="48" t="str">
        <f aca="false">IF(AND(MOVIMIENTOS!$B395&lt;&gt;"",NOT(AND(MOVIMIENTOS!$B395="PROCESO",MOVIMIENTOS!$C395&lt;&gt;"Chancho")),NOT(AND(MOVIMIENTOS!$B395="SALDO INICIAL",MOVIMIENTOS!$C395="Chancho"))),MOVIMIENTOS!$A395,"")</f>
        <v/>
      </c>
      <c r="L396" s="48" t="str">
        <f aca="false">IF(AND(MOVIMIENTOS!$B395&lt;&gt;"",NOT(AND(MOVIMIENTOS!$B395="PROCESO",MOVIMIENTOS!$C395&lt;&gt;"Chancho")),NOT(AND(MOVIMIENTOS!$B395="SALDO INICIAL",MOVIMIENTOS!$C395="Chancho"))),IF(MOVIMIENTOS!$B395="SALDO INICIAL","APERTURA ("&amp;MOVIMIENTOS!$C395&amp;")",IF(MOVIMIENTOS!$B395="COMPRA","INGRESO (compra)",IF(MOVIMIENTOS!$B395="PROCESO","CHANCHO (proceso)",IF(MOVIMIENTOS!$B395="ENVÍO A SUPESA","ENVÍO cal. "&amp;MOVIMIENTOS!$C395,IF(MOVIMIENTOS!$B395="VENTA CHANCHO","VENTA CHANCHO",IF(MOVIMIENTOS!$B395="VENTA","VENTA cal. "&amp;MOVIMIENTOS!$C395,IF(MOVIMIENTOS!$B395="REGALO","REGALO "&amp;MOVIMIENTOS!$C395,IF(MOVIMIENTOS!$B395="RECHAZO","RECHAZO cal. "&amp;MOVIMIENTOS!$C395&amp;" (va a reproceso)",IF(MOVIMIENTOS!$B395="DEVOLUCIÓN","DEVOLUCIÓN cal. "&amp;MOVIMIENTOS!$C395&amp;" (regresa intacta)",IF(MOVIMIENTOS!$B395="TRASIEGO","TRASIEGO cal. "&amp;MOVIMIENTOS!$C395,MOVIMIENTOS!$B395)))))))))),"")</f>
        <v/>
      </c>
      <c r="M396" s="48" t="str">
        <f aca="false">IF(AND(AND(MOVIMIENTOS!$B395&lt;&gt;"",NOT(AND(MOVIMIENTOS!$B395="PROCESO",MOVIMIENTOS!$C395&lt;&gt;"Chancho")),NOT(AND(MOVIMIENTOS!$B395="SALDO INICIAL",MOVIMIENTOS!$C395="Chancho"))),OR(MOVIMIENTOS!$B395="SALDO INICIAL",MOVIMIENTOS!$B395="COMPRA",MOVIMIENTOS!$B395="REPROCESO",MOVIMIENTOS!$B395="DEVOLUCIÓN",AND(MOVIMIENTOS!$B395="AJUSTE",MOVIMIENTOS!$C395&lt;&gt;"Chancho",N(MOVIMIENTOS!$F395)&gt;=0))),N(MOVIMIENTOS!$F395),"")</f>
        <v/>
      </c>
      <c r="N396" s="48" t="str">
        <f aca="false">IF(AND(AND(MOVIMIENTOS!$B395&lt;&gt;"",NOT(AND(MOVIMIENTOS!$B395="PROCESO",MOVIMIENTOS!$C395&lt;&gt;"Chancho")),NOT(AND(MOVIMIENTOS!$B395="SALDO INICIAL",MOVIMIENTOS!$C395="Chancho"))),OR(MOVIMIENTOS!$B395="ENVÍO A SUPESA",MOVIMIENTOS!$B395="MALOGRADO",MOVIMIENTOS!$B395="OTRA SALIDA",MOVIMIENTOS!$B395="TRASIEGO",AND(MOVIMIENTOS!$B395="PROCESO",MOVIMIENTOS!$C395="Chancho"),AND(MOVIMIENTOS!$B395="REGALO",MOVIMIENTOS!$C395&lt;&gt;"Chancho"),AND(MOVIMIENTOS!$B395="VENTA",MOVIMIENTOS!$C395&lt;&gt;"Chancho"),AND(MOVIMIENTOS!$B395="AJUSTE",MOVIMIENTOS!$C395&lt;&gt;"Chancho",N(MOVIMIENTOS!$F395)&lt;0))),IF(MOVIMIENTOS!$B395="AJUSTE",-N(MOVIMIENTOS!$F395),N(MOVIMIENTOS!$F395)),"")</f>
        <v/>
      </c>
      <c r="O396" s="48" t="str">
        <f aca="false">IF(AND(MOVIMIENTOS!$B395&lt;&gt;"",NOT(AND(MOVIMIENTOS!$B395="PROCESO",MOVIMIENTOS!$C395&lt;&gt;"Chancho")),NOT(AND(MOVIMIENTOS!$B395="SALDO INICIAL",MOVIMIENTOS!$C395="Chancho"))),IF(MOVIMIENTOS!$B395="RECHAZO",MOVIMIENTOS!$E395&amp;" jabas rechazadas · van a reproceso",IF(MOVIMIENTOS!$B395="REPROCESO",MOVIMIENTOS!$E395&amp;" kg recuperados (merma del día: "&amp;TEXT(SUMPRODUCT((MOVIMIENTOS!$A$5:$A$400=MOVIMIENTOS!$A395)*(MOVIMIENTOS!$B$5:$B$400="RECHAZO")*(MOVIMIENTOS!$D$5:$D$400="jabas")*MOVIMIENTOS!$E$5:$E$400*IFERROR(_xlfn.SWITCH(MOVIMIENTOS!$C$5:$C$400,"A",15,"P",18,"C",17,"M",17,0),0))-SUMPRODUCT((MOVIMIENTOS!$A$5:$A$400=MOVIMIENTOS!$A395)*(MOVIMIENTOS!$B$5:$B$400="REPROCESO")*MOVIMIENTOS!$I$5:$I$400),"+#,##0;-#,##0;0")&amp;" kg)",TRIM(IF(MOVIMIENTOS!$G395&lt;&gt;"",MOVIMIENTOS!$G395&amp;"  ","")&amp;IF(N(MOVIMIENTOS!$D395)&gt;0,MOVIMIENTOS!$D395&amp;" "&amp;MOVIMIENTOS!$D395,"")))),"")</f>
        <v/>
      </c>
      <c r="P396" s="48" t="n">
        <f aca="false">N(P395)+N(M396)-N(N396)</f>
        <v>-290.5</v>
      </c>
      <c r="Q396" s="48"/>
      <c r="R396" s="48"/>
      <c r="S396" s="48"/>
      <c r="T396" s="48"/>
    </row>
    <row r="397" customFormat="false" ht="15" hidden="false" customHeight="true" outlineLevel="0" collapsed="false">
      <c r="A397" s="51" t="str">
        <f aca="false">IFERROR(INDEX(K$6:K$401,MATCH(ROW()-5,J$6:J$401,0)),"")</f>
        <v/>
      </c>
      <c r="B397" s="56" t="str">
        <f aca="false">IFERROR(INDEX(L$6:L$401,MATCH(ROW()-5,J$6:J$401,0)),"")</f>
        <v/>
      </c>
      <c r="C397" s="52" t="str">
        <f aca="false">IFERROR(INDEX(M$6:M$401,MATCH(ROW()-5,J$6:J$401,0)),"")</f>
        <v/>
      </c>
      <c r="D397" s="52" t="str">
        <f aca="false">IFERROR(INDEX(N$6:N$401,MATCH(ROW()-5,J$6:J$401,0)),"")</f>
        <v/>
      </c>
      <c r="E397" s="56" t="str">
        <f aca="false">IFERROR(INDEX(O$6:O$401,MATCH(ROW()-5,J$6:J$401,0)),"")</f>
        <v/>
      </c>
      <c r="F397" s="52" t="str">
        <f aca="false">IFERROR(INDEX(P$6:P$401,MATCH(ROW()-5,J$6:J$401,0)),"")</f>
        <v/>
      </c>
      <c r="G397" s="48"/>
      <c r="H397" s="48"/>
      <c r="I397" s="48"/>
      <c r="J397" s="48" t="str">
        <f aca="false">IF(AND(MOVIMIENTOS!$B396&lt;&gt;"",NOT(AND(MOVIMIENTOS!$B396="PROCESO",MOVIMIENTOS!$C396&lt;&gt;"Chancho")),NOT(AND(MOVIMIENTOS!$B396="SALDO INICIAL",MOVIMIENTOS!$C396="Chancho"))),COUNT(J$6:J396)+1,"")</f>
        <v/>
      </c>
      <c r="K397" s="48" t="str">
        <f aca="false">IF(AND(MOVIMIENTOS!$B396&lt;&gt;"",NOT(AND(MOVIMIENTOS!$B396="PROCESO",MOVIMIENTOS!$C396&lt;&gt;"Chancho")),NOT(AND(MOVIMIENTOS!$B396="SALDO INICIAL",MOVIMIENTOS!$C396="Chancho"))),MOVIMIENTOS!$A396,"")</f>
        <v/>
      </c>
      <c r="L397" s="48" t="str">
        <f aca="false">IF(AND(MOVIMIENTOS!$B396&lt;&gt;"",NOT(AND(MOVIMIENTOS!$B396="PROCESO",MOVIMIENTOS!$C396&lt;&gt;"Chancho")),NOT(AND(MOVIMIENTOS!$B396="SALDO INICIAL",MOVIMIENTOS!$C396="Chancho"))),IF(MOVIMIENTOS!$B396="SALDO INICIAL","APERTURA ("&amp;MOVIMIENTOS!$C396&amp;")",IF(MOVIMIENTOS!$B396="COMPRA","INGRESO (compra)",IF(MOVIMIENTOS!$B396="PROCESO","CHANCHO (proceso)",IF(MOVIMIENTOS!$B396="ENVÍO A SUPESA","ENVÍO cal. "&amp;MOVIMIENTOS!$C396,IF(MOVIMIENTOS!$B396="VENTA CHANCHO","VENTA CHANCHO",IF(MOVIMIENTOS!$B396="VENTA","VENTA cal. "&amp;MOVIMIENTOS!$C396,IF(MOVIMIENTOS!$B396="REGALO","REGALO "&amp;MOVIMIENTOS!$C396,IF(MOVIMIENTOS!$B396="RECHAZO","RECHAZO cal. "&amp;MOVIMIENTOS!$C396&amp;" (va a reproceso)",IF(MOVIMIENTOS!$B396="DEVOLUCIÓN","DEVOLUCIÓN cal. "&amp;MOVIMIENTOS!$C396&amp;" (regresa intacta)",IF(MOVIMIENTOS!$B396="TRASIEGO","TRASIEGO cal. "&amp;MOVIMIENTOS!$C396,MOVIMIENTOS!$B396)))))))))),"")</f>
        <v/>
      </c>
      <c r="M397" s="48" t="str">
        <f aca="false">IF(AND(AND(MOVIMIENTOS!$B396&lt;&gt;"",NOT(AND(MOVIMIENTOS!$B396="PROCESO",MOVIMIENTOS!$C396&lt;&gt;"Chancho")),NOT(AND(MOVIMIENTOS!$B396="SALDO INICIAL",MOVIMIENTOS!$C396="Chancho"))),OR(MOVIMIENTOS!$B396="SALDO INICIAL",MOVIMIENTOS!$B396="COMPRA",MOVIMIENTOS!$B396="REPROCESO",MOVIMIENTOS!$B396="DEVOLUCIÓN",AND(MOVIMIENTOS!$B396="AJUSTE",MOVIMIENTOS!$C396&lt;&gt;"Chancho",N(MOVIMIENTOS!$F396)&gt;=0))),N(MOVIMIENTOS!$F396),"")</f>
        <v/>
      </c>
      <c r="N397" s="48" t="str">
        <f aca="false">IF(AND(AND(MOVIMIENTOS!$B396&lt;&gt;"",NOT(AND(MOVIMIENTOS!$B396="PROCESO",MOVIMIENTOS!$C396&lt;&gt;"Chancho")),NOT(AND(MOVIMIENTOS!$B396="SALDO INICIAL",MOVIMIENTOS!$C396="Chancho"))),OR(MOVIMIENTOS!$B396="ENVÍO A SUPESA",MOVIMIENTOS!$B396="MALOGRADO",MOVIMIENTOS!$B396="OTRA SALIDA",MOVIMIENTOS!$B396="TRASIEGO",AND(MOVIMIENTOS!$B396="PROCESO",MOVIMIENTOS!$C396="Chancho"),AND(MOVIMIENTOS!$B396="REGALO",MOVIMIENTOS!$C396&lt;&gt;"Chancho"),AND(MOVIMIENTOS!$B396="VENTA",MOVIMIENTOS!$C396&lt;&gt;"Chancho"),AND(MOVIMIENTOS!$B396="AJUSTE",MOVIMIENTOS!$C396&lt;&gt;"Chancho",N(MOVIMIENTOS!$F396)&lt;0))),IF(MOVIMIENTOS!$B396="AJUSTE",-N(MOVIMIENTOS!$F396),N(MOVIMIENTOS!$F396)),"")</f>
        <v/>
      </c>
      <c r="O397" s="48" t="str">
        <f aca="false">IF(AND(MOVIMIENTOS!$B396&lt;&gt;"",NOT(AND(MOVIMIENTOS!$B396="PROCESO",MOVIMIENTOS!$C396&lt;&gt;"Chancho")),NOT(AND(MOVIMIENTOS!$B396="SALDO INICIAL",MOVIMIENTOS!$C396="Chancho"))),IF(MOVIMIENTOS!$B396="RECHAZO",MOVIMIENTOS!$E396&amp;" jabas rechazadas · van a reproceso",IF(MOVIMIENTOS!$B396="REPROCESO",MOVIMIENTOS!$E396&amp;" kg recuperados (merma del día: "&amp;TEXT(SUMPRODUCT((MOVIMIENTOS!$A$5:$A$400=MOVIMIENTOS!$A396)*(MOVIMIENTOS!$B$5:$B$400="RECHAZO")*(MOVIMIENTOS!$D$5:$D$400="jabas")*MOVIMIENTOS!$E$5:$E$400*IFERROR(_xlfn.SWITCH(MOVIMIENTOS!$C$5:$C$400,"A",15,"P",18,"C",17,"M",17,0),0))-SUMPRODUCT((MOVIMIENTOS!$A$5:$A$400=MOVIMIENTOS!$A396)*(MOVIMIENTOS!$B$5:$B$400="REPROCESO")*MOVIMIENTOS!$I$5:$I$400),"+#,##0;-#,##0;0")&amp;" kg)",TRIM(IF(MOVIMIENTOS!$G396&lt;&gt;"",MOVIMIENTOS!$G396&amp;"  ","")&amp;IF(N(MOVIMIENTOS!$D396)&gt;0,MOVIMIENTOS!$D396&amp;" "&amp;MOVIMIENTOS!$D396,"")))),"")</f>
        <v/>
      </c>
      <c r="P397" s="48" t="n">
        <f aca="false">N(P396)+N(M397)-N(N397)</f>
        <v>-290.5</v>
      </c>
      <c r="Q397" s="48"/>
      <c r="R397" s="48"/>
      <c r="S397" s="48"/>
      <c r="T397" s="48"/>
    </row>
    <row r="398" customFormat="false" ht="15" hidden="false" customHeight="true" outlineLevel="0" collapsed="false">
      <c r="A398" s="51" t="str">
        <f aca="false">IFERROR(INDEX(K$6:K$401,MATCH(ROW()-5,J$6:J$401,0)),"")</f>
        <v/>
      </c>
      <c r="B398" s="56" t="str">
        <f aca="false">IFERROR(INDEX(L$6:L$401,MATCH(ROW()-5,J$6:J$401,0)),"")</f>
        <v/>
      </c>
      <c r="C398" s="52" t="str">
        <f aca="false">IFERROR(INDEX(M$6:M$401,MATCH(ROW()-5,J$6:J$401,0)),"")</f>
        <v/>
      </c>
      <c r="D398" s="52" t="str">
        <f aca="false">IFERROR(INDEX(N$6:N$401,MATCH(ROW()-5,J$6:J$401,0)),"")</f>
        <v/>
      </c>
      <c r="E398" s="56" t="str">
        <f aca="false">IFERROR(INDEX(O$6:O$401,MATCH(ROW()-5,J$6:J$401,0)),"")</f>
        <v/>
      </c>
      <c r="F398" s="52" t="str">
        <f aca="false">IFERROR(INDEX(P$6:P$401,MATCH(ROW()-5,J$6:J$401,0)),"")</f>
        <v/>
      </c>
      <c r="G398" s="48"/>
      <c r="H398" s="48"/>
      <c r="I398" s="48"/>
      <c r="J398" s="48" t="str">
        <f aca="false">IF(AND(MOVIMIENTOS!$B397&lt;&gt;"",NOT(AND(MOVIMIENTOS!$B397="PROCESO",MOVIMIENTOS!$C397&lt;&gt;"Chancho")),NOT(AND(MOVIMIENTOS!$B397="SALDO INICIAL",MOVIMIENTOS!$C397="Chancho"))),COUNT(J$6:J397)+1,"")</f>
        <v/>
      </c>
      <c r="K398" s="48" t="str">
        <f aca="false">IF(AND(MOVIMIENTOS!$B397&lt;&gt;"",NOT(AND(MOVIMIENTOS!$B397="PROCESO",MOVIMIENTOS!$C397&lt;&gt;"Chancho")),NOT(AND(MOVIMIENTOS!$B397="SALDO INICIAL",MOVIMIENTOS!$C397="Chancho"))),MOVIMIENTOS!$A397,"")</f>
        <v/>
      </c>
      <c r="L398" s="48" t="str">
        <f aca="false">IF(AND(MOVIMIENTOS!$B397&lt;&gt;"",NOT(AND(MOVIMIENTOS!$B397="PROCESO",MOVIMIENTOS!$C397&lt;&gt;"Chancho")),NOT(AND(MOVIMIENTOS!$B397="SALDO INICIAL",MOVIMIENTOS!$C397="Chancho"))),IF(MOVIMIENTOS!$B397="SALDO INICIAL","APERTURA ("&amp;MOVIMIENTOS!$C397&amp;")",IF(MOVIMIENTOS!$B397="COMPRA","INGRESO (compra)",IF(MOVIMIENTOS!$B397="PROCESO","CHANCHO (proceso)",IF(MOVIMIENTOS!$B397="ENVÍO A SUPESA","ENVÍO cal. "&amp;MOVIMIENTOS!$C397,IF(MOVIMIENTOS!$B397="VENTA CHANCHO","VENTA CHANCHO",IF(MOVIMIENTOS!$B397="VENTA","VENTA cal. "&amp;MOVIMIENTOS!$C397,IF(MOVIMIENTOS!$B397="REGALO","REGALO "&amp;MOVIMIENTOS!$C397,IF(MOVIMIENTOS!$B397="RECHAZO","RECHAZO cal. "&amp;MOVIMIENTOS!$C397&amp;" (va a reproceso)",IF(MOVIMIENTOS!$B397="DEVOLUCIÓN","DEVOLUCIÓN cal. "&amp;MOVIMIENTOS!$C397&amp;" (regresa intacta)",IF(MOVIMIENTOS!$B397="TRASIEGO","TRASIEGO cal. "&amp;MOVIMIENTOS!$C397,MOVIMIENTOS!$B397)))))))))),"")</f>
        <v/>
      </c>
      <c r="M398" s="48" t="str">
        <f aca="false">IF(AND(AND(MOVIMIENTOS!$B397&lt;&gt;"",NOT(AND(MOVIMIENTOS!$B397="PROCESO",MOVIMIENTOS!$C397&lt;&gt;"Chancho")),NOT(AND(MOVIMIENTOS!$B397="SALDO INICIAL",MOVIMIENTOS!$C397="Chancho"))),OR(MOVIMIENTOS!$B397="SALDO INICIAL",MOVIMIENTOS!$B397="COMPRA",MOVIMIENTOS!$B397="REPROCESO",MOVIMIENTOS!$B397="DEVOLUCIÓN",AND(MOVIMIENTOS!$B397="AJUSTE",MOVIMIENTOS!$C397&lt;&gt;"Chancho",N(MOVIMIENTOS!$F397)&gt;=0))),N(MOVIMIENTOS!$F397),"")</f>
        <v/>
      </c>
      <c r="N398" s="48" t="str">
        <f aca="false">IF(AND(AND(MOVIMIENTOS!$B397&lt;&gt;"",NOT(AND(MOVIMIENTOS!$B397="PROCESO",MOVIMIENTOS!$C397&lt;&gt;"Chancho")),NOT(AND(MOVIMIENTOS!$B397="SALDO INICIAL",MOVIMIENTOS!$C397="Chancho"))),OR(MOVIMIENTOS!$B397="ENVÍO A SUPESA",MOVIMIENTOS!$B397="MALOGRADO",MOVIMIENTOS!$B397="OTRA SALIDA",MOVIMIENTOS!$B397="TRASIEGO",AND(MOVIMIENTOS!$B397="PROCESO",MOVIMIENTOS!$C397="Chancho"),AND(MOVIMIENTOS!$B397="REGALO",MOVIMIENTOS!$C397&lt;&gt;"Chancho"),AND(MOVIMIENTOS!$B397="VENTA",MOVIMIENTOS!$C397&lt;&gt;"Chancho"),AND(MOVIMIENTOS!$B397="AJUSTE",MOVIMIENTOS!$C397&lt;&gt;"Chancho",N(MOVIMIENTOS!$F397)&lt;0))),IF(MOVIMIENTOS!$B397="AJUSTE",-N(MOVIMIENTOS!$F397),N(MOVIMIENTOS!$F397)),"")</f>
        <v/>
      </c>
      <c r="O398" s="48" t="str">
        <f aca="false">IF(AND(MOVIMIENTOS!$B397&lt;&gt;"",NOT(AND(MOVIMIENTOS!$B397="PROCESO",MOVIMIENTOS!$C397&lt;&gt;"Chancho")),NOT(AND(MOVIMIENTOS!$B397="SALDO INICIAL",MOVIMIENTOS!$C397="Chancho"))),IF(MOVIMIENTOS!$B397="RECHAZO",MOVIMIENTOS!$E397&amp;" jabas rechazadas · van a reproceso",IF(MOVIMIENTOS!$B397="REPROCESO",MOVIMIENTOS!$E397&amp;" kg recuperados (merma del día: "&amp;TEXT(SUMPRODUCT((MOVIMIENTOS!$A$5:$A$400=MOVIMIENTOS!$A397)*(MOVIMIENTOS!$B$5:$B$400="RECHAZO")*(MOVIMIENTOS!$D$5:$D$400="jabas")*MOVIMIENTOS!$E$5:$E$400*IFERROR(_xlfn.SWITCH(MOVIMIENTOS!$C$5:$C$400,"A",15,"P",18,"C",17,"M",17,0),0))-SUMPRODUCT((MOVIMIENTOS!$A$5:$A$400=MOVIMIENTOS!$A397)*(MOVIMIENTOS!$B$5:$B$400="REPROCESO")*MOVIMIENTOS!$I$5:$I$400),"+#,##0;-#,##0;0")&amp;" kg)",TRIM(IF(MOVIMIENTOS!$G397&lt;&gt;"",MOVIMIENTOS!$G397&amp;"  ","")&amp;IF(N(MOVIMIENTOS!$D397)&gt;0,MOVIMIENTOS!$D397&amp;" "&amp;MOVIMIENTOS!$D397,"")))),"")</f>
        <v/>
      </c>
      <c r="P398" s="48" t="n">
        <f aca="false">N(P397)+N(M398)-N(N398)</f>
        <v>-290.5</v>
      </c>
      <c r="Q398" s="48"/>
      <c r="R398" s="48"/>
      <c r="S398" s="48"/>
      <c r="T398" s="48"/>
    </row>
    <row r="399" customFormat="false" ht="15" hidden="false" customHeight="true" outlineLevel="0" collapsed="false">
      <c r="A399" s="51" t="str">
        <f aca="false">IFERROR(INDEX(K$6:K$401,MATCH(ROW()-5,J$6:J$401,0)),"")</f>
        <v/>
      </c>
      <c r="B399" s="56" t="str">
        <f aca="false">IFERROR(INDEX(L$6:L$401,MATCH(ROW()-5,J$6:J$401,0)),"")</f>
        <v/>
      </c>
      <c r="C399" s="52" t="str">
        <f aca="false">IFERROR(INDEX(M$6:M$401,MATCH(ROW()-5,J$6:J$401,0)),"")</f>
        <v/>
      </c>
      <c r="D399" s="52" t="str">
        <f aca="false">IFERROR(INDEX(N$6:N$401,MATCH(ROW()-5,J$6:J$401,0)),"")</f>
        <v/>
      </c>
      <c r="E399" s="56" t="str">
        <f aca="false">IFERROR(INDEX(O$6:O$401,MATCH(ROW()-5,J$6:J$401,0)),"")</f>
        <v/>
      </c>
      <c r="F399" s="52" t="str">
        <f aca="false">IFERROR(INDEX(P$6:P$401,MATCH(ROW()-5,J$6:J$401,0)),"")</f>
        <v/>
      </c>
      <c r="G399" s="48"/>
      <c r="H399" s="48"/>
      <c r="I399" s="48"/>
      <c r="J399" s="48" t="str">
        <f aca="false">IF(AND(MOVIMIENTOS!$B398&lt;&gt;"",NOT(AND(MOVIMIENTOS!$B398="PROCESO",MOVIMIENTOS!$C398&lt;&gt;"Chancho")),NOT(AND(MOVIMIENTOS!$B398="SALDO INICIAL",MOVIMIENTOS!$C398="Chancho"))),COUNT(J$6:J398)+1,"")</f>
        <v/>
      </c>
      <c r="K399" s="48" t="str">
        <f aca="false">IF(AND(MOVIMIENTOS!$B398&lt;&gt;"",NOT(AND(MOVIMIENTOS!$B398="PROCESO",MOVIMIENTOS!$C398&lt;&gt;"Chancho")),NOT(AND(MOVIMIENTOS!$B398="SALDO INICIAL",MOVIMIENTOS!$C398="Chancho"))),MOVIMIENTOS!$A398,"")</f>
        <v/>
      </c>
      <c r="L399" s="48" t="str">
        <f aca="false">IF(AND(MOVIMIENTOS!$B398&lt;&gt;"",NOT(AND(MOVIMIENTOS!$B398="PROCESO",MOVIMIENTOS!$C398&lt;&gt;"Chancho")),NOT(AND(MOVIMIENTOS!$B398="SALDO INICIAL",MOVIMIENTOS!$C398="Chancho"))),IF(MOVIMIENTOS!$B398="SALDO INICIAL","APERTURA ("&amp;MOVIMIENTOS!$C398&amp;")",IF(MOVIMIENTOS!$B398="COMPRA","INGRESO (compra)",IF(MOVIMIENTOS!$B398="PROCESO","CHANCHO (proceso)",IF(MOVIMIENTOS!$B398="ENVÍO A SUPESA","ENVÍO cal. "&amp;MOVIMIENTOS!$C398,IF(MOVIMIENTOS!$B398="VENTA CHANCHO","VENTA CHANCHO",IF(MOVIMIENTOS!$B398="VENTA","VENTA cal. "&amp;MOVIMIENTOS!$C398,IF(MOVIMIENTOS!$B398="REGALO","REGALO "&amp;MOVIMIENTOS!$C398,IF(MOVIMIENTOS!$B398="RECHAZO","RECHAZO cal. "&amp;MOVIMIENTOS!$C398&amp;" (va a reproceso)",IF(MOVIMIENTOS!$B398="DEVOLUCIÓN","DEVOLUCIÓN cal. "&amp;MOVIMIENTOS!$C398&amp;" (regresa intacta)",IF(MOVIMIENTOS!$B398="TRASIEGO","TRASIEGO cal. "&amp;MOVIMIENTOS!$C398,MOVIMIENTOS!$B398)))))))))),"")</f>
        <v/>
      </c>
      <c r="M399" s="48" t="str">
        <f aca="false">IF(AND(AND(MOVIMIENTOS!$B398&lt;&gt;"",NOT(AND(MOVIMIENTOS!$B398="PROCESO",MOVIMIENTOS!$C398&lt;&gt;"Chancho")),NOT(AND(MOVIMIENTOS!$B398="SALDO INICIAL",MOVIMIENTOS!$C398="Chancho"))),OR(MOVIMIENTOS!$B398="SALDO INICIAL",MOVIMIENTOS!$B398="COMPRA",MOVIMIENTOS!$B398="REPROCESO",MOVIMIENTOS!$B398="DEVOLUCIÓN",AND(MOVIMIENTOS!$B398="AJUSTE",MOVIMIENTOS!$C398&lt;&gt;"Chancho",N(MOVIMIENTOS!$F398)&gt;=0))),N(MOVIMIENTOS!$F398),"")</f>
        <v/>
      </c>
      <c r="N399" s="48" t="str">
        <f aca="false">IF(AND(AND(MOVIMIENTOS!$B398&lt;&gt;"",NOT(AND(MOVIMIENTOS!$B398="PROCESO",MOVIMIENTOS!$C398&lt;&gt;"Chancho")),NOT(AND(MOVIMIENTOS!$B398="SALDO INICIAL",MOVIMIENTOS!$C398="Chancho"))),OR(MOVIMIENTOS!$B398="ENVÍO A SUPESA",MOVIMIENTOS!$B398="MALOGRADO",MOVIMIENTOS!$B398="OTRA SALIDA",MOVIMIENTOS!$B398="TRASIEGO",AND(MOVIMIENTOS!$B398="PROCESO",MOVIMIENTOS!$C398="Chancho"),AND(MOVIMIENTOS!$B398="REGALO",MOVIMIENTOS!$C398&lt;&gt;"Chancho"),AND(MOVIMIENTOS!$B398="VENTA",MOVIMIENTOS!$C398&lt;&gt;"Chancho"),AND(MOVIMIENTOS!$B398="AJUSTE",MOVIMIENTOS!$C398&lt;&gt;"Chancho",N(MOVIMIENTOS!$F398)&lt;0))),IF(MOVIMIENTOS!$B398="AJUSTE",-N(MOVIMIENTOS!$F398),N(MOVIMIENTOS!$F398)),"")</f>
        <v/>
      </c>
      <c r="O399" s="48" t="str">
        <f aca="false">IF(AND(MOVIMIENTOS!$B398&lt;&gt;"",NOT(AND(MOVIMIENTOS!$B398="PROCESO",MOVIMIENTOS!$C398&lt;&gt;"Chancho")),NOT(AND(MOVIMIENTOS!$B398="SALDO INICIAL",MOVIMIENTOS!$C398="Chancho"))),IF(MOVIMIENTOS!$B398="RECHAZO",MOVIMIENTOS!$E398&amp;" jabas rechazadas · van a reproceso",IF(MOVIMIENTOS!$B398="REPROCESO",MOVIMIENTOS!$E398&amp;" kg recuperados (merma del día: "&amp;TEXT(SUMPRODUCT((MOVIMIENTOS!$A$5:$A$400=MOVIMIENTOS!$A398)*(MOVIMIENTOS!$B$5:$B$400="RECHAZO")*(MOVIMIENTOS!$D$5:$D$400="jabas")*MOVIMIENTOS!$E$5:$E$400*IFERROR(_xlfn.SWITCH(MOVIMIENTOS!$C$5:$C$400,"A",15,"P",18,"C",17,"M",17,0),0))-SUMPRODUCT((MOVIMIENTOS!$A$5:$A$400=MOVIMIENTOS!$A398)*(MOVIMIENTOS!$B$5:$B$400="REPROCESO")*MOVIMIENTOS!$I$5:$I$400),"+#,##0;-#,##0;0")&amp;" kg)",TRIM(IF(MOVIMIENTOS!$G398&lt;&gt;"",MOVIMIENTOS!$G398&amp;"  ","")&amp;IF(N(MOVIMIENTOS!$D398)&gt;0,MOVIMIENTOS!$D398&amp;" "&amp;MOVIMIENTOS!$D398,"")))),"")</f>
        <v/>
      </c>
      <c r="P399" s="48" t="n">
        <f aca="false">N(P398)+N(M399)-N(N399)</f>
        <v>-290.5</v>
      </c>
      <c r="Q399" s="48"/>
      <c r="R399" s="48"/>
      <c r="S399" s="48"/>
      <c r="T399" s="48"/>
    </row>
    <row r="400" customFormat="false" ht="15" hidden="false" customHeight="true" outlineLevel="0" collapsed="false">
      <c r="A400" s="51" t="str">
        <f aca="false">IFERROR(INDEX(K$6:K$401,MATCH(ROW()-5,J$6:J$401,0)),"")</f>
        <v/>
      </c>
      <c r="B400" s="56" t="str">
        <f aca="false">IFERROR(INDEX(L$6:L$401,MATCH(ROW()-5,J$6:J$401,0)),"")</f>
        <v/>
      </c>
      <c r="C400" s="52" t="str">
        <f aca="false">IFERROR(INDEX(M$6:M$401,MATCH(ROW()-5,J$6:J$401,0)),"")</f>
        <v/>
      </c>
      <c r="D400" s="52" t="str">
        <f aca="false">IFERROR(INDEX(N$6:N$401,MATCH(ROW()-5,J$6:J$401,0)),"")</f>
        <v/>
      </c>
      <c r="E400" s="56" t="str">
        <f aca="false">IFERROR(INDEX(O$6:O$401,MATCH(ROW()-5,J$6:J$401,0)),"")</f>
        <v/>
      </c>
      <c r="F400" s="52" t="str">
        <f aca="false">IFERROR(INDEX(P$6:P$401,MATCH(ROW()-5,J$6:J$401,0)),"")</f>
        <v/>
      </c>
      <c r="G400" s="48"/>
      <c r="H400" s="48"/>
      <c r="I400" s="48"/>
      <c r="J400" s="48" t="str">
        <f aca="false">IF(AND(MOVIMIENTOS!$B399&lt;&gt;"",NOT(AND(MOVIMIENTOS!$B399="PROCESO",MOVIMIENTOS!$C399&lt;&gt;"Chancho")),NOT(AND(MOVIMIENTOS!$B399="SALDO INICIAL",MOVIMIENTOS!$C399="Chancho"))),COUNT(J$6:J399)+1,"")</f>
        <v/>
      </c>
      <c r="K400" s="48" t="str">
        <f aca="false">IF(AND(MOVIMIENTOS!$B399&lt;&gt;"",NOT(AND(MOVIMIENTOS!$B399="PROCESO",MOVIMIENTOS!$C399&lt;&gt;"Chancho")),NOT(AND(MOVIMIENTOS!$B399="SALDO INICIAL",MOVIMIENTOS!$C399="Chancho"))),MOVIMIENTOS!$A399,"")</f>
        <v/>
      </c>
      <c r="L400" s="48" t="str">
        <f aca="false">IF(AND(MOVIMIENTOS!$B399&lt;&gt;"",NOT(AND(MOVIMIENTOS!$B399="PROCESO",MOVIMIENTOS!$C399&lt;&gt;"Chancho")),NOT(AND(MOVIMIENTOS!$B399="SALDO INICIAL",MOVIMIENTOS!$C399="Chancho"))),IF(MOVIMIENTOS!$B399="SALDO INICIAL","APERTURA ("&amp;MOVIMIENTOS!$C399&amp;")",IF(MOVIMIENTOS!$B399="COMPRA","INGRESO (compra)",IF(MOVIMIENTOS!$B399="PROCESO","CHANCHO (proceso)",IF(MOVIMIENTOS!$B399="ENVÍO A SUPESA","ENVÍO cal. "&amp;MOVIMIENTOS!$C399,IF(MOVIMIENTOS!$B399="VENTA CHANCHO","VENTA CHANCHO",IF(MOVIMIENTOS!$B399="VENTA","VENTA cal. "&amp;MOVIMIENTOS!$C399,IF(MOVIMIENTOS!$B399="REGALO","REGALO "&amp;MOVIMIENTOS!$C399,IF(MOVIMIENTOS!$B399="RECHAZO","RECHAZO cal. "&amp;MOVIMIENTOS!$C399&amp;" (va a reproceso)",IF(MOVIMIENTOS!$B399="DEVOLUCIÓN","DEVOLUCIÓN cal. "&amp;MOVIMIENTOS!$C399&amp;" (regresa intacta)",IF(MOVIMIENTOS!$B399="TRASIEGO","TRASIEGO cal. "&amp;MOVIMIENTOS!$C399,MOVIMIENTOS!$B399)))))))))),"")</f>
        <v/>
      </c>
      <c r="M400" s="48" t="str">
        <f aca="false">IF(AND(AND(MOVIMIENTOS!$B399&lt;&gt;"",NOT(AND(MOVIMIENTOS!$B399="PROCESO",MOVIMIENTOS!$C399&lt;&gt;"Chancho")),NOT(AND(MOVIMIENTOS!$B399="SALDO INICIAL",MOVIMIENTOS!$C399="Chancho"))),OR(MOVIMIENTOS!$B399="SALDO INICIAL",MOVIMIENTOS!$B399="COMPRA",MOVIMIENTOS!$B399="REPROCESO",MOVIMIENTOS!$B399="DEVOLUCIÓN",AND(MOVIMIENTOS!$B399="AJUSTE",MOVIMIENTOS!$C399&lt;&gt;"Chancho",N(MOVIMIENTOS!$F399)&gt;=0))),N(MOVIMIENTOS!$F399),"")</f>
        <v/>
      </c>
      <c r="N400" s="48" t="str">
        <f aca="false">IF(AND(AND(MOVIMIENTOS!$B399&lt;&gt;"",NOT(AND(MOVIMIENTOS!$B399="PROCESO",MOVIMIENTOS!$C399&lt;&gt;"Chancho")),NOT(AND(MOVIMIENTOS!$B399="SALDO INICIAL",MOVIMIENTOS!$C399="Chancho"))),OR(MOVIMIENTOS!$B399="ENVÍO A SUPESA",MOVIMIENTOS!$B399="MALOGRADO",MOVIMIENTOS!$B399="OTRA SALIDA",MOVIMIENTOS!$B399="TRASIEGO",AND(MOVIMIENTOS!$B399="PROCESO",MOVIMIENTOS!$C399="Chancho"),AND(MOVIMIENTOS!$B399="REGALO",MOVIMIENTOS!$C399&lt;&gt;"Chancho"),AND(MOVIMIENTOS!$B399="VENTA",MOVIMIENTOS!$C399&lt;&gt;"Chancho"),AND(MOVIMIENTOS!$B399="AJUSTE",MOVIMIENTOS!$C399&lt;&gt;"Chancho",N(MOVIMIENTOS!$F399)&lt;0))),IF(MOVIMIENTOS!$B399="AJUSTE",-N(MOVIMIENTOS!$F399),N(MOVIMIENTOS!$F399)),"")</f>
        <v/>
      </c>
      <c r="O400" s="48" t="str">
        <f aca="false">IF(AND(MOVIMIENTOS!$B399&lt;&gt;"",NOT(AND(MOVIMIENTOS!$B399="PROCESO",MOVIMIENTOS!$C399&lt;&gt;"Chancho")),NOT(AND(MOVIMIENTOS!$B399="SALDO INICIAL",MOVIMIENTOS!$C399="Chancho"))),IF(MOVIMIENTOS!$B399="RECHAZO",MOVIMIENTOS!$E399&amp;" jabas rechazadas · van a reproceso",IF(MOVIMIENTOS!$B399="REPROCESO",MOVIMIENTOS!$E399&amp;" kg recuperados (merma del día: "&amp;TEXT(SUMPRODUCT((MOVIMIENTOS!$A$5:$A$400=MOVIMIENTOS!$A399)*(MOVIMIENTOS!$B$5:$B$400="RECHAZO")*(MOVIMIENTOS!$D$5:$D$400="jabas")*MOVIMIENTOS!$E$5:$E$400*IFERROR(_xlfn.SWITCH(MOVIMIENTOS!$C$5:$C$400,"A",15,"P",18,"C",17,"M",17,0),0))-SUMPRODUCT((MOVIMIENTOS!$A$5:$A$400=MOVIMIENTOS!$A399)*(MOVIMIENTOS!$B$5:$B$400="REPROCESO")*MOVIMIENTOS!$I$5:$I$400),"+#,##0;-#,##0;0")&amp;" kg)",TRIM(IF(MOVIMIENTOS!$G399&lt;&gt;"",MOVIMIENTOS!$G399&amp;"  ","")&amp;IF(N(MOVIMIENTOS!$D399)&gt;0,MOVIMIENTOS!$D399&amp;" "&amp;MOVIMIENTOS!$D399,"")))),"")</f>
        <v/>
      </c>
      <c r="P400" s="48" t="n">
        <f aca="false">N(P399)+N(M400)-N(N400)</f>
        <v>-290.5</v>
      </c>
      <c r="Q400" s="48"/>
      <c r="R400" s="48"/>
      <c r="S400" s="48"/>
      <c r="T400" s="48"/>
    </row>
    <row r="401" customFormat="false" ht="15" hidden="false" customHeight="true" outlineLevel="0" collapsed="false">
      <c r="A401" s="51" t="str">
        <f aca="false">IFERROR(INDEX(K$6:K$401,MATCH(ROW()-5,J$6:J$401,0)),"")</f>
        <v/>
      </c>
      <c r="B401" s="56" t="str">
        <f aca="false">IFERROR(INDEX(L$6:L$401,MATCH(ROW()-5,J$6:J$401,0)),"")</f>
        <v/>
      </c>
      <c r="C401" s="52" t="str">
        <f aca="false">IFERROR(INDEX(M$6:M$401,MATCH(ROW()-5,J$6:J$401,0)),"")</f>
        <v/>
      </c>
      <c r="D401" s="52" t="str">
        <f aca="false">IFERROR(INDEX(N$6:N$401,MATCH(ROW()-5,J$6:J$401,0)),"")</f>
        <v/>
      </c>
      <c r="E401" s="56" t="str">
        <f aca="false">IFERROR(INDEX(O$6:O$401,MATCH(ROW()-5,J$6:J$401,0)),"")</f>
        <v/>
      </c>
      <c r="F401" s="52" t="str">
        <f aca="false">IFERROR(INDEX(P$6:P$401,MATCH(ROW()-5,J$6:J$401,0)),"")</f>
        <v/>
      </c>
      <c r="G401" s="48"/>
      <c r="H401" s="48"/>
      <c r="I401" s="48"/>
      <c r="J401" s="48" t="str">
        <f aca="false">IF(AND(MOVIMIENTOS!$B400&lt;&gt;"",NOT(AND(MOVIMIENTOS!$B400="PROCESO",MOVIMIENTOS!$C400&lt;&gt;"Chancho")),NOT(AND(MOVIMIENTOS!$B400="SALDO INICIAL",MOVIMIENTOS!$C400="Chancho"))),COUNT(J$6:J400)+1,"")</f>
        <v/>
      </c>
      <c r="K401" s="48" t="str">
        <f aca="false">IF(AND(MOVIMIENTOS!$B400&lt;&gt;"",NOT(AND(MOVIMIENTOS!$B400="PROCESO",MOVIMIENTOS!$C400&lt;&gt;"Chancho")),NOT(AND(MOVIMIENTOS!$B400="SALDO INICIAL",MOVIMIENTOS!$C400="Chancho"))),MOVIMIENTOS!$A400,"")</f>
        <v/>
      </c>
      <c r="L401" s="48" t="str">
        <f aca="false">IF(AND(MOVIMIENTOS!$B400&lt;&gt;"",NOT(AND(MOVIMIENTOS!$B400="PROCESO",MOVIMIENTOS!$C400&lt;&gt;"Chancho")),NOT(AND(MOVIMIENTOS!$B400="SALDO INICIAL",MOVIMIENTOS!$C400="Chancho"))),IF(MOVIMIENTOS!$B400="SALDO INICIAL","APERTURA ("&amp;MOVIMIENTOS!$C400&amp;")",IF(MOVIMIENTOS!$B400="COMPRA","INGRESO (compra)",IF(MOVIMIENTOS!$B400="PROCESO","CHANCHO (proceso)",IF(MOVIMIENTOS!$B400="ENVÍO A SUPESA","ENVÍO cal. "&amp;MOVIMIENTOS!$C400,IF(MOVIMIENTOS!$B400="VENTA CHANCHO","VENTA CHANCHO",IF(MOVIMIENTOS!$B400="VENTA","VENTA cal. "&amp;MOVIMIENTOS!$C400,IF(MOVIMIENTOS!$B400="REGALO","REGALO "&amp;MOVIMIENTOS!$C400,IF(MOVIMIENTOS!$B400="RECHAZO","RECHAZO cal. "&amp;MOVIMIENTOS!$C400&amp;" (va a reproceso)",IF(MOVIMIENTOS!$B400="DEVOLUCIÓN","DEVOLUCIÓN cal. "&amp;MOVIMIENTOS!$C400&amp;" (regresa intacta)",IF(MOVIMIENTOS!$B400="TRASIEGO","TRASIEGO cal. "&amp;MOVIMIENTOS!$C400,MOVIMIENTOS!$B400)))))))))),"")</f>
        <v/>
      </c>
      <c r="M401" s="48" t="str">
        <f aca="false">IF(AND(AND(MOVIMIENTOS!$B400&lt;&gt;"",NOT(AND(MOVIMIENTOS!$B400="PROCESO",MOVIMIENTOS!$C400&lt;&gt;"Chancho")),NOT(AND(MOVIMIENTOS!$B400="SALDO INICIAL",MOVIMIENTOS!$C400="Chancho"))),OR(MOVIMIENTOS!$B400="SALDO INICIAL",MOVIMIENTOS!$B400="COMPRA",MOVIMIENTOS!$B400="REPROCESO",MOVIMIENTOS!$B400="DEVOLUCIÓN",AND(MOVIMIENTOS!$B400="AJUSTE",MOVIMIENTOS!$C400&lt;&gt;"Chancho",N(MOVIMIENTOS!$F400)&gt;=0))),N(MOVIMIENTOS!$F400),"")</f>
        <v/>
      </c>
      <c r="N401" s="48" t="str">
        <f aca="false">IF(AND(AND(MOVIMIENTOS!$B400&lt;&gt;"",NOT(AND(MOVIMIENTOS!$B400="PROCESO",MOVIMIENTOS!$C400&lt;&gt;"Chancho")),NOT(AND(MOVIMIENTOS!$B400="SALDO INICIAL",MOVIMIENTOS!$C400="Chancho"))),OR(MOVIMIENTOS!$B400="ENVÍO A SUPESA",MOVIMIENTOS!$B400="MALOGRADO",MOVIMIENTOS!$B400="OTRA SALIDA",MOVIMIENTOS!$B400="TRASIEGO",AND(MOVIMIENTOS!$B400="PROCESO",MOVIMIENTOS!$C400="Chancho"),AND(MOVIMIENTOS!$B400="REGALO",MOVIMIENTOS!$C400&lt;&gt;"Chancho"),AND(MOVIMIENTOS!$B400="VENTA",MOVIMIENTOS!$C400&lt;&gt;"Chancho"),AND(MOVIMIENTOS!$B400="AJUSTE",MOVIMIENTOS!$C400&lt;&gt;"Chancho",N(MOVIMIENTOS!$F400)&lt;0))),IF(MOVIMIENTOS!$B400="AJUSTE",-N(MOVIMIENTOS!$F400),N(MOVIMIENTOS!$F400)),"")</f>
        <v/>
      </c>
      <c r="O401" s="48" t="str">
        <f aca="false">IF(AND(MOVIMIENTOS!$B400&lt;&gt;"",NOT(AND(MOVIMIENTOS!$B400="PROCESO",MOVIMIENTOS!$C400&lt;&gt;"Chancho")),NOT(AND(MOVIMIENTOS!$B400="SALDO INICIAL",MOVIMIENTOS!$C400="Chancho"))),IF(MOVIMIENTOS!$B400="RECHAZO",MOVIMIENTOS!$E400&amp;" jabas rechazadas · van a reproceso",IF(MOVIMIENTOS!$B400="REPROCESO",MOVIMIENTOS!$E400&amp;" kg recuperados (merma del día: "&amp;TEXT(SUMPRODUCT((MOVIMIENTOS!$A$5:$A$400=MOVIMIENTOS!$A400)*(MOVIMIENTOS!$B$5:$B$400="RECHAZO")*(MOVIMIENTOS!$D$5:$D$400="jabas")*MOVIMIENTOS!$E$5:$E$400*IFERROR(_xlfn.SWITCH(MOVIMIENTOS!$C$5:$C$400,"A",15,"P",18,"C",17,"M",17,0),0))-SUMPRODUCT((MOVIMIENTOS!$A$5:$A$400=MOVIMIENTOS!$A400)*(MOVIMIENTOS!$B$5:$B$400="REPROCESO")*MOVIMIENTOS!$I$5:$I$400),"+#,##0;-#,##0;0")&amp;" kg)",TRIM(IF(MOVIMIENTOS!$G400&lt;&gt;"",MOVIMIENTOS!$G400&amp;"  ","")&amp;IF(N(MOVIMIENTOS!$D400)&gt;0,MOVIMIENTOS!$D400&amp;" "&amp;MOVIMIENTOS!$D400,"")))),"")</f>
        <v/>
      </c>
      <c r="P401" s="48" t="n">
        <f aca="false">N(P400)+N(M401)-N(N401)</f>
        <v>-290.5</v>
      </c>
      <c r="Q401" s="48"/>
      <c r="R401" s="48"/>
      <c r="S401" s="48"/>
      <c r="T401" s="48"/>
    </row>
  </sheetData>
  <autoFilter ref="A5:F401"/>
  <mergeCells count="2">
    <mergeCell ref="A1:F1"/>
    <mergeCell ref="A2:F2"/>
  </mergeCells>
  <conditionalFormatting sqref="A6:F401">
    <cfRule type="expression" priority="2" aboveAverage="0" equalAverage="0" bottom="0" percent="0" rank="0" text="" dxfId="37">
      <formula>LEFT($B6,8)="APERTURA"</formula>
    </cfRule>
    <cfRule type="expression" priority="3" aboveAverage="0" equalAverage="0" bottom="0" percent="0" rank="0" text="" dxfId="38">
      <formula>$B6="INGRESO (compra)"</formula>
    </cfRule>
    <cfRule type="expression" priority="4" aboveAverage="0" equalAverage="0" bottom="0" percent="0" rank="0" text="" dxfId="39">
      <formula>LEFT($B6,4)="RECHA"</formula>
    </cfRule>
    <cfRule type="expression" priority="5" aboveAverage="0" equalAverage="0" bottom="0" percent="0" rank="0" text="" dxfId="40">
      <formula>$B6="REPROCESO"</formula>
    </cfRule>
    <cfRule type="expression" priority="6" aboveAverage="0" equalAverage="0" bottom="0" percent="0" rank="0" text="" dxfId="39">
      <formula>LEFT($B6,10)="DEVOLUCIÓN"</formula>
    </cfRule>
    <cfRule type="expression" priority="7" aboveAverage="0" equalAverage="0" bottom="0" percent="0" rank="0" text="" dxfId="41">
      <formula>$B6="MALOGRADO"</formula>
    </cfRule>
    <cfRule type="expression" priority="8" aboveAverage="0" equalAverage="0" bottom="0" percent="0" rank="0" text="" dxfId="42">
      <formula>LEFT($B6,5)="ENVÍO"</formula>
    </cfRule>
    <cfRule type="expression" priority="9" aboveAverage="0" equalAverage="0" bottom="0" percent="0" rank="0" text="" dxfId="43">
      <formula>$B6="CHANCHO (proceso)"</formula>
    </cfRule>
    <cfRule type="expression" priority="10" aboveAverage="0" equalAverage="0" bottom="0" percent="0" rank="0" text="" dxfId="43">
      <formula>$B6="VENTA CHANCHO"</formula>
    </cfRule>
    <cfRule type="expression" priority="11" aboveAverage="0" equalAverage="0" bottom="0" percent="0" rank="0" text="" dxfId="44">
      <formula>LEFT($B6,5)="VENTA"</formula>
    </cfRule>
    <cfRule type="expression" priority="12" aboveAverage="0" equalAverage="0" bottom="0" percent="0" rank="0" text="" dxfId="45">
      <formula>LEFT($B6,6)="REGALO"</formula>
    </cfRule>
    <cfRule type="expression" priority="13" aboveAverage="0" equalAverage="0" bottom="0" percent="0" rank="0" text="" dxfId="46">
      <formula>LEFT($B6,8)="TRASIEGO"</formula>
    </cfRule>
    <cfRule type="expression" priority="14" aboveAverage="0" equalAverage="0" bottom="0" percent="0" rank="0" text="" dxfId="37">
      <formula>LEFT($B6,6)="AJUSTE"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8.6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4</v>
      </c>
      <c r="B1" s="1" t="s">
        <v>7</v>
      </c>
      <c r="D1" s="1" t="s">
        <v>86</v>
      </c>
      <c r="F1" s="1" t="s">
        <v>87</v>
      </c>
      <c r="H1" s="1" t="s">
        <v>88</v>
      </c>
    </row>
    <row r="2" customFormat="false" ht="15" hidden="false" customHeight="true" outlineLevel="0" collapsed="false">
      <c r="A2" s="1" t="s">
        <v>11</v>
      </c>
      <c r="B2" s="1" t="n">
        <v>15</v>
      </c>
      <c r="D2" s="1" t="s">
        <v>20</v>
      </c>
      <c r="F2" s="1" t="s">
        <v>11</v>
      </c>
      <c r="H2" s="1" t="s">
        <v>12</v>
      </c>
    </row>
    <row r="3" customFormat="false" ht="15" hidden="false" customHeight="true" outlineLevel="0" collapsed="false">
      <c r="A3" s="1" t="s">
        <v>24</v>
      </c>
      <c r="B3" s="1" t="n">
        <v>18</v>
      </c>
      <c r="D3" s="1" t="s">
        <v>23</v>
      </c>
      <c r="F3" s="1" t="s">
        <v>24</v>
      </c>
      <c r="H3" s="1" t="s">
        <v>19</v>
      </c>
    </row>
    <row r="4" customFormat="false" ht="15" hidden="false" customHeight="true" outlineLevel="0" collapsed="false">
      <c r="A4" s="1" t="s">
        <v>25</v>
      </c>
      <c r="B4" s="1" t="n">
        <v>17</v>
      </c>
      <c r="D4" s="1" t="s">
        <v>26</v>
      </c>
      <c r="F4" s="1" t="s">
        <v>25</v>
      </c>
      <c r="H4" s="1" t="s">
        <v>47</v>
      </c>
    </row>
    <row r="5" customFormat="false" ht="15" hidden="false" customHeight="true" outlineLevel="0" collapsed="false">
      <c r="A5" s="1" t="s">
        <v>14</v>
      </c>
      <c r="B5" s="1" t="n">
        <v>17</v>
      </c>
      <c r="D5" s="1" t="s">
        <v>89</v>
      </c>
      <c r="F5" s="1" t="s">
        <v>14</v>
      </c>
    </row>
    <row r="6" customFormat="false" ht="15" hidden="false" customHeight="true" outlineLevel="0" collapsed="false">
      <c r="A6" s="1" t="s">
        <v>18</v>
      </c>
      <c r="B6" s="1" t="n">
        <v>95</v>
      </c>
      <c r="D6" s="1" t="s">
        <v>31</v>
      </c>
      <c r="F6" s="1" t="s">
        <v>18</v>
      </c>
    </row>
    <row r="7" customFormat="false" ht="15" hidden="false" customHeight="true" outlineLevel="0" collapsed="false">
      <c r="D7" s="1" t="s">
        <v>90</v>
      </c>
      <c r="F7" s="1" t="s">
        <v>21</v>
      </c>
    </row>
    <row r="8" customFormat="false" ht="15" hidden="false" customHeight="true" outlineLevel="0" collapsed="false">
      <c r="D8" s="1" t="s">
        <v>45</v>
      </c>
      <c r="F8" s="1" t="s">
        <v>61</v>
      </c>
    </row>
    <row r="9" customFormat="false" ht="15" hidden="false" customHeight="true" outlineLevel="0" collapsed="false">
      <c r="A9" s="57" t="s">
        <v>91</v>
      </c>
      <c r="D9" s="1" t="s">
        <v>46</v>
      </c>
      <c r="F9" s="1" t="s">
        <v>92</v>
      </c>
    </row>
    <row r="10" customFormat="false" ht="15" hidden="false" customHeight="true" outlineLevel="0" collapsed="false">
      <c r="D10" s="1" t="s">
        <v>52</v>
      </c>
    </row>
    <row r="11" customFormat="false" ht="15" hidden="false" customHeight="true" outlineLevel="0" collapsed="false">
      <c r="D11" s="1" t="s">
        <v>49</v>
      </c>
    </row>
    <row r="12" customFormat="false" ht="15" hidden="false" customHeight="true" outlineLevel="0" collapsed="false">
      <c r="D12" s="1" t="s">
        <v>93</v>
      </c>
    </row>
    <row r="13" customFormat="false" ht="15" hidden="false" customHeight="true" outlineLevel="0" collapsed="false">
      <c r="D13" s="1" t="s">
        <v>37</v>
      </c>
    </row>
    <row r="14" customFormat="false" ht="15" hidden="false" customHeight="true" outlineLevel="0" collapsed="false">
      <c r="D14" s="1" t="s">
        <v>10</v>
      </c>
    </row>
    <row r="15" customFormat="false" ht="15" hidden="false" customHeight="true" outlineLevel="0" collapsed="false">
      <c r="D15" s="1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2026-07-25T02:09:50Z</dcterms:created>
  <dc:creator>openpyxl</dc:creator>
  <dc:description/>
  <dc:language>en-US</dc:language>
  <cp:lastModifiedBy>Mirian Martinez Paredes</cp:lastModifiedBy>
  <dcterms:modified xsi:type="dcterms:W3CDTF">2026-07-30T14:38:11Z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