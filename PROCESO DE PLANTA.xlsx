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irianmartinez/Desktop/Agro Pacayales/GESTION COSTOS/"/>
    </mc:Choice>
  </mc:AlternateContent>
  <xr:revisionPtr revIDLastSave="0" documentId="13_ncr:1_{558AE1FE-5CE3-7C4F-8A3B-C3287DF4804E}" xr6:coauthVersionLast="47" xr6:coauthVersionMax="47" xr10:uidLastSave="{00000000-0000-0000-0000-000000000000}"/>
  <bookViews>
    <workbookView xWindow="4320" yWindow="600" windowWidth="24480" windowHeight="17400" tabRatio="500" xr2:uid="{00000000-000D-0000-FFFF-FFFF00000000}"/>
  </bookViews>
  <sheets>
    <sheet name="MOVIMIENTOS" sheetId="1" r:id="rId1"/>
    <sheet name="SALDO DIARIO" sheetId="2" r:id="rId2"/>
    <sheet name="KARDEX" sheetId="3" r:id="rId3"/>
    <sheet name="LISTAS" sheetId="4" r:id="rId4"/>
    <sheet name="BALANCE SEMANAL" sheetId="5" r:id="rId5"/>
  </sheets>
  <definedNames>
    <definedName name="_xlnm._FilterDatabase" localSheetId="4" hidden="1">'BALANCE SEMANAL'!$A$5:$AG$33</definedName>
    <definedName name="_xlnm._FilterDatabase" localSheetId="2" hidden="1">KARDEX!$A$5:$G$137</definedName>
    <definedName name="_xlnm._FilterDatabase" localSheetId="0" hidden="1">MOVIMIENTOS!$A$4:$H$417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24" i="1" l="1"/>
  <c r="F323" i="1"/>
  <c r="F322" i="1"/>
  <c r="F321" i="1"/>
  <c r="F320" i="1"/>
  <c r="F319" i="1"/>
  <c r="F318" i="1"/>
  <c r="F317" i="1"/>
  <c r="F316" i="1"/>
  <c r="F315" i="1"/>
  <c r="AD39" i="5"/>
  <c r="AB39" i="5"/>
  <c r="Z39" i="5"/>
  <c r="R39" i="5"/>
  <c r="Q39" i="5"/>
  <c r="P39" i="5"/>
  <c r="O39" i="5"/>
  <c r="N39" i="5"/>
  <c r="M39" i="5"/>
  <c r="L39" i="5"/>
  <c r="I39" i="5"/>
  <c r="H39" i="5"/>
  <c r="G39" i="5"/>
  <c r="F39" i="5"/>
  <c r="D39" i="5"/>
  <c r="AI38" i="5"/>
  <c r="AD38" i="5"/>
  <c r="AB38" i="5"/>
  <c r="Z38" i="5"/>
  <c r="AM38" i="5" s="1"/>
  <c r="R38" i="5"/>
  <c r="Q38" i="5"/>
  <c r="P38" i="5"/>
  <c r="O38" i="5"/>
  <c r="N38" i="5"/>
  <c r="M38" i="5"/>
  <c r="L38" i="5"/>
  <c r="I38" i="5"/>
  <c r="H38" i="5"/>
  <c r="G38" i="5"/>
  <c r="F38" i="5"/>
  <c r="AI37" i="5"/>
  <c r="AD37" i="5"/>
  <c r="AB37" i="5"/>
  <c r="Z37" i="5"/>
  <c r="AM37" i="5" s="1"/>
  <c r="R37" i="5"/>
  <c r="Q37" i="5"/>
  <c r="P37" i="5"/>
  <c r="O37" i="5"/>
  <c r="N37" i="5"/>
  <c r="M37" i="5"/>
  <c r="L37" i="5"/>
  <c r="I37" i="5"/>
  <c r="H37" i="5"/>
  <c r="G37" i="5"/>
  <c r="F37" i="5"/>
  <c r="AI36" i="5"/>
  <c r="AD36" i="5"/>
  <c r="AC36" i="5"/>
  <c r="AB36" i="5"/>
  <c r="Z36" i="5"/>
  <c r="AM36" i="5" s="1"/>
  <c r="R36" i="5"/>
  <c r="Q36" i="5"/>
  <c r="P36" i="5"/>
  <c r="O36" i="5"/>
  <c r="N36" i="5"/>
  <c r="M36" i="5"/>
  <c r="L36" i="5"/>
  <c r="I36" i="5"/>
  <c r="H36" i="5"/>
  <c r="G36" i="5"/>
  <c r="F36" i="5"/>
  <c r="E36" i="5"/>
  <c r="AJ36" i="5" s="1"/>
  <c r="D36" i="5"/>
  <c r="AI35" i="5"/>
  <c r="AD35" i="5"/>
  <c r="AC35" i="5"/>
  <c r="AB35" i="5"/>
  <c r="AA35" i="5"/>
  <c r="AN35" i="5" s="1"/>
  <c r="Z35" i="5"/>
  <c r="AM35" i="5" s="1"/>
  <c r="R35" i="5"/>
  <c r="Q35" i="5"/>
  <c r="P35" i="5"/>
  <c r="O35" i="5"/>
  <c r="N35" i="5"/>
  <c r="M35" i="5"/>
  <c r="L35" i="5"/>
  <c r="I35" i="5"/>
  <c r="H35" i="5"/>
  <c r="G35" i="5"/>
  <c r="F35" i="5"/>
  <c r="E35" i="5"/>
  <c r="AJ35" i="5" s="1"/>
  <c r="D35" i="5"/>
  <c r="AI34" i="5"/>
  <c r="AD34" i="5"/>
  <c r="AB34" i="5"/>
  <c r="Z34" i="5"/>
  <c r="AM34" i="5" s="1"/>
  <c r="R34" i="5"/>
  <c r="Q34" i="5"/>
  <c r="P34" i="5"/>
  <c r="O34" i="5"/>
  <c r="N34" i="5"/>
  <c r="M34" i="5"/>
  <c r="L34" i="5"/>
  <c r="I34" i="5"/>
  <c r="H34" i="5"/>
  <c r="G34" i="5"/>
  <c r="F34" i="5"/>
  <c r="E34" i="5"/>
  <c r="AJ34" i="5" s="1"/>
  <c r="D34" i="5"/>
  <c r="AI33" i="5"/>
  <c r="AD33" i="5"/>
  <c r="AB33" i="5"/>
  <c r="Z33" i="5"/>
  <c r="AM33" i="5" s="1"/>
  <c r="R33" i="5"/>
  <c r="Q33" i="5"/>
  <c r="P33" i="5"/>
  <c r="O33" i="5"/>
  <c r="N33" i="5"/>
  <c r="M33" i="5"/>
  <c r="I33" i="5"/>
  <c r="H33" i="5"/>
  <c r="G33" i="5"/>
  <c r="F33" i="5"/>
  <c r="E33" i="5"/>
  <c r="AJ33" i="5" s="1"/>
  <c r="D33" i="5"/>
  <c r="AI32" i="5"/>
  <c r="AD32" i="5"/>
  <c r="AB32" i="5"/>
  <c r="Z32" i="5"/>
  <c r="AM32" i="5" s="1"/>
  <c r="R32" i="5"/>
  <c r="Q32" i="5"/>
  <c r="P32" i="5"/>
  <c r="O32" i="5"/>
  <c r="N32" i="5"/>
  <c r="M32" i="5"/>
  <c r="I32" i="5"/>
  <c r="H32" i="5"/>
  <c r="G32" i="5"/>
  <c r="F32" i="5"/>
  <c r="D32" i="5"/>
  <c r="AI31" i="5"/>
  <c r="AD31" i="5"/>
  <c r="AC31" i="5"/>
  <c r="AB31" i="5"/>
  <c r="Z31" i="5"/>
  <c r="AM31" i="5" s="1"/>
  <c r="R31" i="5"/>
  <c r="Q31" i="5"/>
  <c r="P31" i="5"/>
  <c r="O31" i="5"/>
  <c r="N31" i="5"/>
  <c r="M31" i="5"/>
  <c r="L31" i="5"/>
  <c r="I31" i="5"/>
  <c r="H31" i="5"/>
  <c r="G31" i="5"/>
  <c r="F31" i="5"/>
  <c r="D31" i="5"/>
  <c r="AI30" i="5"/>
  <c r="AD30" i="5"/>
  <c r="AB30" i="5"/>
  <c r="AA30" i="5"/>
  <c r="AN30" i="5" s="1"/>
  <c r="Z30" i="5"/>
  <c r="AM30" i="5" s="1"/>
  <c r="R30" i="5"/>
  <c r="Q30" i="5"/>
  <c r="P30" i="5"/>
  <c r="O30" i="5"/>
  <c r="N30" i="5"/>
  <c r="M30" i="5"/>
  <c r="L30" i="5"/>
  <c r="I30" i="5"/>
  <c r="H30" i="5"/>
  <c r="G30" i="5"/>
  <c r="F30" i="5"/>
  <c r="E30" i="5"/>
  <c r="AG30" i="5" s="1"/>
  <c r="AP30" i="5" s="1"/>
  <c r="D30" i="5"/>
  <c r="AI29" i="5"/>
  <c r="AD29" i="5"/>
  <c r="AC29" i="5"/>
  <c r="AB29" i="5"/>
  <c r="Z29" i="5"/>
  <c r="AM29" i="5" s="1"/>
  <c r="R29" i="5"/>
  <c r="Q29" i="5"/>
  <c r="P29" i="5"/>
  <c r="O29" i="5"/>
  <c r="N29" i="5"/>
  <c r="M29" i="5"/>
  <c r="L29" i="5"/>
  <c r="I29" i="5"/>
  <c r="H29" i="5"/>
  <c r="G29" i="5"/>
  <c r="F29" i="5"/>
  <c r="E29" i="5"/>
  <c r="AJ29" i="5" s="1"/>
  <c r="D29" i="5"/>
  <c r="AI28" i="5"/>
  <c r="AD28" i="5"/>
  <c r="AB28" i="5"/>
  <c r="Z28" i="5"/>
  <c r="AM28" i="5" s="1"/>
  <c r="R28" i="5"/>
  <c r="Q28" i="5"/>
  <c r="P28" i="5"/>
  <c r="O28" i="5"/>
  <c r="N28" i="5"/>
  <c r="M28" i="5"/>
  <c r="I28" i="5"/>
  <c r="H28" i="5"/>
  <c r="G28" i="5"/>
  <c r="F28" i="5"/>
  <c r="E28" i="5"/>
  <c r="AJ28" i="5" s="1"/>
  <c r="D28" i="5"/>
  <c r="AI27" i="5"/>
  <c r="AD27" i="5"/>
  <c r="AC27" i="5"/>
  <c r="AB27" i="5"/>
  <c r="AA27" i="5"/>
  <c r="AN27" i="5" s="1"/>
  <c r="Z27" i="5"/>
  <c r="AM27" i="5" s="1"/>
  <c r="R27" i="5"/>
  <c r="Q27" i="5"/>
  <c r="P27" i="5"/>
  <c r="O27" i="5"/>
  <c r="N27" i="5"/>
  <c r="M27" i="5"/>
  <c r="L27" i="5"/>
  <c r="I27" i="5"/>
  <c r="H27" i="5"/>
  <c r="G27" i="5"/>
  <c r="F27" i="5"/>
  <c r="E27" i="5"/>
  <c r="AJ27" i="5" s="1"/>
  <c r="D27" i="5"/>
  <c r="AI26" i="5"/>
  <c r="AD26" i="5"/>
  <c r="AC26" i="5"/>
  <c r="AB26" i="5"/>
  <c r="Z26" i="5"/>
  <c r="AM26" i="5" s="1"/>
  <c r="R26" i="5"/>
  <c r="Q26" i="5"/>
  <c r="P26" i="5"/>
  <c r="O26" i="5"/>
  <c r="N26" i="5"/>
  <c r="M26" i="5"/>
  <c r="L26" i="5"/>
  <c r="I26" i="5"/>
  <c r="H26" i="5"/>
  <c r="G26" i="5"/>
  <c r="F26" i="5"/>
  <c r="D26" i="5"/>
  <c r="AI25" i="5"/>
  <c r="AD25" i="5"/>
  <c r="AB25" i="5"/>
  <c r="Z25" i="5"/>
  <c r="AM25" i="5" s="1"/>
  <c r="R25" i="5"/>
  <c r="Q25" i="5"/>
  <c r="P25" i="5"/>
  <c r="O25" i="5"/>
  <c r="N25" i="5"/>
  <c r="M25" i="5"/>
  <c r="I25" i="5"/>
  <c r="H25" i="5"/>
  <c r="G25" i="5"/>
  <c r="F25" i="5"/>
  <c r="D25" i="5"/>
  <c r="AI24" i="5"/>
  <c r="AD24" i="5"/>
  <c r="AC24" i="5"/>
  <c r="AB24" i="5"/>
  <c r="Z24" i="5"/>
  <c r="AM24" i="5" s="1"/>
  <c r="R24" i="5"/>
  <c r="Q24" i="5"/>
  <c r="P24" i="5"/>
  <c r="O24" i="5"/>
  <c r="N24" i="5"/>
  <c r="M24" i="5"/>
  <c r="L24" i="5"/>
  <c r="I24" i="5"/>
  <c r="H24" i="5"/>
  <c r="G24" i="5"/>
  <c r="F24" i="5"/>
  <c r="D24" i="5"/>
  <c r="AI23" i="5"/>
  <c r="AD23" i="5"/>
  <c r="AB23" i="5"/>
  <c r="Z23" i="5"/>
  <c r="AM23" i="5" s="1"/>
  <c r="R23" i="5"/>
  <c r="Q23" i="5"/>
  <c r="P23" i="5"/>
  <c r="O23" i="5"/>
  <c r="N23" i="5"/>
  <c r="M23" i="5"/>
  <c r="I23" i="5"/>
  <c r="H23" i="5"/>
  <c r="G23" i="5"/>
  <c r="F23" i="5"/>
  <c r="D23" i="5"/>
  <c r="AI22" i="5"/>
  <c r="AD22" i="5"/>
  <c r="AC22" i="5"/>
  <c r="AB22" i="5"/>
  <c r="Z22" i="5"/>
  <c r="AM22" i="5" s="1"/>
  <c r="R22" i="5"/>
  <c r="Q22" i="5"/>
  <c r="P22" i="5"/>
  <c r="O22" i="5"/>
  <c r="N22" i="5"/>
  <c r="M22" i="5"/>
  <c r="I22" i="5"/>
  <c r="H22" i="5"/>
  <c r="G22" i="5"/>
  <c r="F22" i="5"/>
  <c r="D22" i="5"/>
  <c r="AI21" i="5"/>
  <c r="AD21" i="5"/>
  <c r="AB21" i="5"/>
  <c r="Z21" i="5"/>
  <c r="AM21" i="5" s="1"/>
  <c r="R21" i="5"/>
  <c r="Q21" i="5"/>
  <c r="P21" i="5"/>
  <c r="O21" i="5"/>
  <c r="N21" i="5"/>
  <c r="M21" i="5"/>
  <c r="L21" i="5"/>
  <c r="I21" i="5"/>
  <c r="H21" i="5"/>
  <c r="G21" i="5"/>
  <c r="F21" i="5"/>
  <c r="D21" i="5"/>
  <c r="AI20" i="5"/>
  <c r="AD20" i="5"/>
  <c r="AC20" i="5"/>
  <c r="AB20" i="5"/>
  <c r="Z20" i="5"/>
  <c r="AM20" i="5" s="1"/>
  <c r="R20" i="5"/>
  <c r="Q20" i="5"/>
  <c r="P20" i="5"/>
  <c r="O20" i="5"/>
  <c r="N20" i="5"/>
  <c r="M20" i="5"/>
  <c r="L20" i="5"/>
  <c r="I20" i="5"/>
  <c r="H20" i="5"/>
  <c r="G20" i="5"/>
  <c r="F20" i="5"/>
  <c r="D20" i="5"/>
  <c r="AI19" i="5"/>
  <c r="AD19" i="5"/>
  <c r="AC19" i="5"/>
  <c r="AB19" i="5"/>
  <c r="Z19" i="5"/>
  <c r="AM19" i="5" s="1"/>
  <c r="R19" i="5"/>
  <c r="Q19" i="5"/>
  <c r="P19" i="5"/>
  <c r="O19" i="5"/>
  <c r="N19" i="5"/>
  <c r="M19" i="5"/>
  <c r="L19" i="5"/>
  <c r="I19" i="5"/>
  <c r="H19" i="5"/>
  <c r="G19" i="5"/>
  <c r="F19" i="5"/>
  <c r="D19" i="5"/>
  <c r="AI18" i="5"/>
  <c r="AD18" i="5"/>
  <c r="AB18" i="5"/>
  <c r="Z18" i="5"/>
  <c r="AM18" i="5" s="1"/>
  <c r="R18" i="5"/>
  <c r="Q18" i="5"/>
  <c r="P18" i="5"/>
  <c r="O18" i="5"/>
  <c r="N18" i="5"/>
  <c r="M18" i="5"/>
  <c r="L18" i="5"/>
  <c r="I18" i="5"/>
  <c r="H18" i="5"/>
  <c r="G18" i="5"/>
  <c r="F18" i="5"/>
  <c r="D18" i="5"/>
  <c r="AI17" i="5"/>
  <c r="AD17" i="5"/>
  <c r="AC17" i="5"/>
  <c r="AB17" i="5"/>
  <c r="Z17" i="5"/>
  <c r="AM17" i="5" s="1"/>
  <c r="R17" i="5"/>
  <c r="Q17" i="5"/>
  <c r="P17" i="5"/>
  <c r="O17" i="5"/>
  <c r="N17" i="5"/>
  <c r="M17" i="5"/>
  <c r="L17" i="5"/>
  <c r="I17" i="5"/>
  <c r="H17" i="5"/>
  <c r="G17" i="5"/>
  <c r="F17" i="5"/>
  <c r="D17" i="5"/>
  <c r="AI16" i="5"/>
  <c r="AD16" i="5"/>
  <c r="AB16" i="5"/>
  <c r="Z16" i="5"/>
  <c r="AM16" i="5" s="1"/>
  <c r="R16" i="5"/>
  <c r="Q16" i="5"/>
  <c r="P16" i="5"/>
  <c r="O16" i="5"/>
  <c r="N16" i="5"/>
  <c r="M16" i="5"/>
  <c r="L16" i="5"/>
  <c r="I16" i="5"/>
  <c r="H16" i="5"/>
  <c r="G16" i="5"/>
  <c r="F16" i="5"/>
  <c r="D16" i="5"/>
  <c r="AI15" i="5"/>
  <c r="AD15" i="5"/>
  <c r="AC15" i="5"/>
  <c r="AB15" i="5"/>
  <c r="Z15" i="5"/>
  <c r="AM15" i="5" s="1"/>
  <c r="R15" i="5"/>
  <c r="Q15" i="5"/>
  <c r="P15" i="5"/>
  <c r="O15" i="5"/>
  <c r="N15" i="5"/>
  <c r="M15" i="5"/>
  <c r="L15" i="5"/>
  <c r="I15" i="5"/>
  <c r="H15" i="5"/>
  <c r="G15" i="5"/>
  <c r="F15" i="5"/>
  <c r="D15" i="5"/>
  <c r="AI14" i="5"/>
  <c r="AD14" i="5"/>
  <c r="AC14" i="5"/>
  <c r="AB14" i="5"/>
  <c r="Z14" i="5"/>
  <c r="AM14" i="5" s="1"/>
  <c r="R14" i="5"/>
  <c r="Q14" i="5"/>
  <c r="P14" i="5"/>
  <c r="O14" i="5"/>
  <c r="N14" i="5"/>
  <c r="M14" i="5"/>
  <c r="L14" i="5"/>
  <c r="I14" i="5"/>
  <c r="H14" i="5"/>
  <c r="G14" i="5"/>
  <c r="F14" i="5"/>
  <c r="D14" i="5"/>
  <c r="AI13" i="5"/>
  <c r="AD13" i="5"/>
  <c r="AC13" i="5"/>
  <c r="AB13" i="5"/>
  <c r="Z13" i="5"/>
  <c r="AM13" i="5" s="1"/>
  <c r="R13" i="5"/>
  <c r="Q13" i="5"/>
  <c r="P13" i="5"/>
  <c r="O13" i="5"/>
  <c r="N13" i="5"/>
  <c r="M13" i="5"/>
  <c r="L13" i="5"/>
  <c r="I13" i="5"/>
  <c r="H13" i="5"/>
  <c r="G13" i="5"/>
  <c r="F13" i="5"/>
  <c r="D13" i="5"/>
  <c r="AI12" i="5"/>
  <c r="AD12" i="5"/>
  <c r="AC12" i="5"/>
  <c r="AB12" i="5"/>
  <c r="AA12" i="5"/>
  <c r="AN12" i="5" s="1"/>
  <c r="Z12" i="5"/>
  <c r="AM12" i="5" s="1"/>
  <c r="T12" i="5"/>
  <c r="AL12" i="5" s="1"/>
  <c r="R12" i="5"/>
  <c r="Q12" i="5"/>
  <c r="P12" i="5"/>
  <c r="O12" i="5"/>
  <c r="N12" i="5"/>
  <c r="M12" i="5"/>
  <c r="L12" i="5"/>
  <c r="I12" i="5"/>
  <c r="H12" i="5"/>
  <c r="G12" i="5"/>
  <c r="F12" i="5"/>
  <c r="E12" i="5"/>
  <c r="AJ12" i="5" s="1"/>
  <c r="D12" i="5"/>
  <c r="AI11" i="5"/>
  <c r="AD11" i="5"/>
  <c r="AC11" i="5"/>
  <c r="AB11" i="5"/>
  <c r="AA11" i="5"/>
  <c r="AN11" i="5" s="1"/>
  <c r="Z11" i="5"/>
  <c r="AM11" i="5" s="1"/>
  <c r="T11" i="5"/>
  <c r="AL11" i="5" s="1"/>
  <c r="R11" i="5"/>
  <c r="Q11" i="5"/>
  <c r="P11" i="5"/>
  <c r="O11" i="5"/>
  <c r="N11" i="5"/>
  <c r="M11" i="5"/>
  <c r="L11" i="5"/>
  <c r="I11" i="5"/>
  <c r="H11" i="5"/>
  <c r="G11" i="5"/>
  <c r="F11" i="5"/>
  <c r="E11" i="5"/>
  <c r="AJ11" i="5" s="1"/>
  <c r="D11" i="5"/>
  <c r="AI10" i="5"/>
  <c r="AD10" i="5"/>
  <c r="AC10" i="5"/>
  <c r="AB10" i="5"/>
  <c r="AA10" i="5"/>
  <c r="AN10" i="5" s="1"/>
  <c r="Z10" i="5"/>
  <c r="AM10" i="5" s="1"/>
  <c r="T10" i="5"/>
  <c r="AL10" i="5" s="1"/>
  <c r="R10" i="5"/>
  <c r="Q10" i="5"/>
  <c r="P10" i="5"/>
  <c r="O10" i="5"/>
  <c r="N10" i="5"/>
  <c r="M10" i="5"/>
  <c r="L10" i="5"/>
  <c r="I10" i="5"/>
  <c r="H10" i="5"/>
  <c r="G10" i="5"/>
  <c r="F10" i="5"/>
  <c r="E10" i="5"/>
  <c r="AJ10" i="5" s="1"/>
  <c r="D10" i="5"/>
  <c r="AI9" i="5"/>
  <c r="AD9" i="5"/>
  <c r="AC9" i="5"/>
  <c r="AB9" i="5"/>
  <c r="AA9" i="5"/>
  <c r="AN9" i="5" s="1"/>
  <c r="Z9" i="5"/>
  <c r="AM9" i="5" s="1"/>
  <c r="T9" i="5"/>
  <c r="AL9" i="5" s="1"/>
  <c r="R9" i="5"/>
  <c r="Q9" i="5"/>
  <c r="P9" i="5"/>
  <c r="O9" i="5"/>
  <c r="N9" i="5"/>
  <c r="M9" i="5"/>
  <c r="L9" i="5"/>
  <c r="I9" i="5"/>
  <c r="H9" i="5"/>
  <c r="G9" i="5"/>
  <c r="F9" i="5"/>
  <c r="E9" i="5"/>
  <c r="AG9" i="5" s="1"/>
  <c r="AP9" i="5" s="1"/>
  <c r="D9" i="5"/>
  <c r="AI8" i="5"/>
  <c r="AD8" i="5"/>
  <c r="AC8" i="5"/>
  <c r="AB8" i="5"/>
  <c r="AA8" i="5"/>
  <c r="AN8" i="5" s="1"/>
  <c r="Z8" i="5"/>
  <c r="AM8" i="5" s="1"/>
  <c r="T8" i="5"/>
  <c r="AL8" i="5" s="1"/>
  <c r="R8" i="5"/>
  <c r="Q8" i="5"/>
  <c r="P8" i="5"/>
  <c r="O8" i="5"/>
  <c r="N8" i="5"/>
  <c r="M8" i="5"/>
  <c r="L8" i="5"/>
  <c r="I8" i="5"/>
  <c r="H8" i="5"/>
  <c r="G8" i="5"/>
  <c r="F8" i="5"/>
  <c r="E8" i="5"/>
  <c r="D8" i="5"/>
  <c r="AI7" i="5"/>
  <c r="AD7" i="5"/>
  <c r="AC7" i="5"/>
  <c r="AB7" i="5"/>
  <c r="AA7" i="5"/>
  <c r="AN7" i="5" s="1"/>
  <c r="Z7" i="5"/>
  <c r="AM7" i="5" s="1"/>
  <c r="T7" i="5"/>
  <c r="AL7" i="5" s="1"/>
  <c r="R7" i="5"/>
  <c r="Q7" i="5"/>
  <c r="P7" i="5"/>
  <c r="O7" i="5"/>
  <c r="N7" i="5"/>
  <c r="M7" i="5"/>
  <c r="L7" i="5"/>
  <c r="I7" i="5"/>
  <c r="H7" i="5"/>
  <c r="G7" i="5"/>
  <c r="F7" i="5"/>
  <c r="E7" i="5"/>
  <c r="AJ7" i="5" s="1"/>
  <c r="D7" i="5"/>
  <c r="AI6" i="5"/>
  <c r="AD6" i="5"/>
  <c r="AC6" i="5"/>
  <c r="AB6" i="5"/>
  <c r="AA6" i="5"/>
  <c r="AN6" i="5" s="1"/>
  <c r="Z6" i="5"/>
  <c r="T6" i="5"/>
  <c r="R6" i="5"/>
  <c r="Q6" i="5"/>
  <c r="P6" i="5"/>
  <c r="O6" i="5"/>
  <c r="N6" i="5"/>
  <c r="M6" i="5"/>
  <c r="L6" i="5"/>
  <c r="I6" i="5"/>
  <c r="H6" i="5"/>
  <c r="G6" i="5"/>
  <c r="F6" i="5"/>
  <c r="E6" i="5"/>
  <c r="D6" i="5"/>
  <c r="F174" i="3"/>
  <c r="F172" i="3"/>
  <c r="F168" i="3"/>
  <c r="F167" i="3"/>
  <c r="F166" i="3"/>
  <c r="F165" i="3"/>
  <c r="F163" i="3"/>
  <c r="F158" i="3"/>
  <c r="F156" i="3"/>
  <c r="F153" i="3"/>
  <c r="F152" i="3"/>
  <c r="F150" i="3"/>
  <c r="F148" i="3"/>
  <c r="F146" i="3"/>
  <c r="F145" i="3"/>
  <c r="F143" i="3"/>
  <c r="F141" i="3"/>
  <c r="F139" i="3"/>
  <c r="F137" i="3"/>
  <c r="F135" i="3"/>
  <c r="F133" i="3"/>
  <c r="F130" i="3"/>
  <c r="F129" i="3"/>
  <c r="F127" i="3"/>
  <c r="F125" i="3"/>
  <c r="F121" i="3"/>
  <c r="F119" i="3"/>
  <c r="F115" i="3"/>
  <c r="F114" i="3"/>
  <c r="F113" i="3"/>
  <c r="F111" i="3"/>
  <c r="F109" i="3"/>
  <c r="F105" i="3"/>
  <c r="F102" i="3"/>
  <c r="F99" i="3"/>
  <c r="F98" i="3"/>
  <c r="F92" i="3"/>
  <c r="F90" i="3"/>
  <c r="F87" i="3"/>
  <c r="F85" i="3"/>
  <c r="F82" i="3"/>
  <c r="F79" i="3"/>
  <c r="F77" i="3"/>
  <c r="F76" i="3"/>
  <c r="F74" i="3"/>
  <c r="F71" i="3"/>
  <c r="F70" i="3"/>
  <c r="F66" i="3"/>
  <c r="F65" i="3"/>
  <c r="F63" i="3"/>
  <c r="F61" i="3"/>
  <c r="F60" i="3"/>
  <c r="F59" i="3"/>
  <c r="F57" i="3"/>
  <c r="F55" i="3"/>
  <c r="F53" i="3"/>
  <c r="F51" i="3"/>
  <c r="F48" i="3"/>
  <c r="F47" i="3"/>
  <c r="F46" i="3"/>
  <c r="F42" i="3"/>
  <c r="F41" i="3"/>
  <c r="F40" i="3"/>
  <c r="F38" i="3"/>
  <c r="F36" i="3"/>
  <c r="F33" i="3"/>
  <c r="F31" i="3"/>
  <c r="F29" i="3"/>
  <c r="F27" i="3"/>
  <c r="F25" i="3"/>
  <c r="F22" i="3"/>
  <c r="F20" i="3"/>
  <c r="F17" i="3"/>
  <c r="F15" i="3"/>
  <c r="F12" i="3"/>
  <c r="F10" i="3"/>
  <c r="F8" i="3"/>
  <c r="K400" i="2"/>
  <c r="J400" i="2"/>
  <c r="K399" i="2"/>
  <c r="J399" i="2"/>
  <c r="K398" i="2"/>
  <c r="J398" i="2"/>
  <c r="K397" i="2"/>
  <c r="J397" i="2"/>
  <c r="K396" i="2"/>
  <c r="J396" i="2"/>
  <c r="K395" i="2"/>
  <c r="J395" i="2"/>
  <c r="K394" i="2"/>
  <c r="J394" i="2"/>
  <c r="K393" i="2"/>
  <c r="J393" i="2"/>
  <c r="K392" i="2"/>
  <c r="J392" i="2"/>
  <c r="K391" i="2"/>
  <c r="J391" i="2"/>
  <c r="K390" i="2"/>
  <c r="J390" i="2"/>
  <c r="K389" i="2"/>
  <c r="J389" i="2"/>
  <c r="K388" i="2"/>
  <c r="J388" i="2"/>
  <c r="K387" i="2"/>
  <c r="J387" i="2"/>
  <c r="K386" i="2"/>
  <c r="J386" i="2"/>
  <c r="K385" i="2"/>
  <c r="J385" i="2"/>
  <c r="K384" i="2"/>
  <c r="J384" i="2"/>
  <c r="K383" i="2"/>
  <c r="J383" i="2"/>
  <c r="K382" i="2"/>
  <c r="J382" i="2"/>
  <c r="K381" i="2"/>
  <c r="J381" i="2"/>
  <c r="K380" i="2"/>
  <c r="J380" i="2"/>
  <c r="K379" i="2"/>
  <c r="J379" i="2"/>
  <c r="K378" i="2"/>
  <c r="J378" i="2"/>
  <c r="K377" i="2"/>
  <c r="J377" i="2"/>
  <c r="K376" i="2"/>
  <c r="J376" i="2"/>
  <c r="K375" i="2"/>
  <c r="J375" i="2"/>
  <c r="K374" i="2"/>
  <c r="J374" i="2"/>
  <c r="K373" i="2"/>
  <c r="J373" i="2"/>
  <c r="K372" i="2"/>
  <c r="J372" i="2"/>
  <c r="K371" i="2"/>
  <c r="J371" i="2"/>
  <c r="K370" i="2"/>
  <c r="J370" i="2"/>
  <c r="K369" i="2"/>
  <c r="J369" i="2"/>
  <c r="K368" i="2"/>
  <c r="J368" i="2"/>
  <c r="K367" i="2"/>
  <c r="J367" i="2"/>
  <c r="K366" i="2"/>
  <c r="J366" i="2"/>
  <c r="K365" i="2"/>
  <c r="J365" i="2"/>
  <c r="K364" i="2"/>
  <c r="J364" i="2"/>
  <c r="K363" i="2"/>
  <c r="J363" i="2"/>
  <c r="K362" i="2"/>
  <c r="J362" i="2"/>
  <c r="K361" i="2"/>
  <c r="J361" i="2"/>
  <c r="K360" i="2"/>
  <c r="J360" i="2"/>
  <c r="K359" i="2"/>
  <c r="J359" i="2"/>
  <c r="K358" i="2"/>
  <c r="J358" i="2"/>
  <c r="K357" i="2"/>
  <c r="J357" i="2"/>
  <c r="K356" i="2"/>
  <c r="J356" i="2"/>
  <c r="K355" i="2"/>
  <c r="J355" i="2"/>
  <c r="K354" i="2"/>
  <c r="J354" i="2"/>
  <c r="K353" i="2"/>
  <c r="J353" i="2"/>
  <c r="K352" i="2"/>
  <c r="J352" i="2"/>
  <c r="K351" i="2"/>
  <c r="J351" i="2"/>
  <c r="K350" i="2"/>
  <c r="J350" i="2"/>
  <c r="K349" i="2"/>
  <c r="J349" i="2"/>
  <c r="K348" i="2"/>
  <c r="J348" i="2"/>
  <c r="K347" i="2"/>
  <c r="J347" i="2"/>
  <c r="K346" i="2"/>
  <c r="J346" i="2"/>
  <c r="K345" i="2"/>
  <c r="J345" i="2"/>
  <c r="K344" i="2"/>
  <c r="J344" i="2"/>
  <c r="K343" i="2"/>
  <c r="J343" i="2"/>
  <c r="K342" i="2"/>
  <c r="J342" i="2"/>
  <c r="K341" i="2"/>
  <c r="J341" i="2"/>
  <c r="K340" i="2"/>
  <c r="J340" i="2"/>
  <c r="K339" i="2"/>
  <c r="J339" i="2"/>
  <c r="K338" i="2"/>
  <c r="J338" i="2"/>
  <c r="K337" i="2"/>
  <c r="J337" i="2"/>
  <c r="K336" i="2"/>
  <c r="J336" i="2"/>
  <c r="K335" i="2"/>
  <c r="J335" i="2"/>
  <c r="K334" i="2"/>
  <c r="J334" i="2"/>
  <c r="K333" i="2"/>
  <c r="J333" i="2"/>
  <c r="K332" i="2"/>
  <c r="J332" i="2"/>
  <c r="K331" i="2"/>
  <c r="J331" i="2"/>
  <c r="K330" i="2"/>
  <c r="J330" i="2"/>
  <c r="K329" i="2"/>
  <c r="J329" i="2"/>
  <c r="K328" i="2"/>
  <c r="J328" i="2"/>
  <c r="K327" i="2"/>
  <c r="J327" i="2"/>
  <c r="K326" i="2"/>
  <c r="J326" i="2"/>
  <c r="K325" i="2"/>
  <c r="J325" i="2"/>
  <c r="K324" i="2"/>
  <c r="J324" i="2"/>
  <c r="K323" i="2"/>
  <c r="J323" i="2"/>
  <c r="K322" i="2"/>
  <c r="J322" i="2"/>
  <c r="K321" i="2"/>
  <c r="J321" i="2"/>
  <c r="K320" i="2"/>
  <c r="J320" i="2"/>
  <c r="K319" i="2"/>
  <c r="J319" i="2"/>
  <c r="K318" i="2"/>
  <c r="J318" i="2"/>
  <c r="K317" i="2"/>
  <c r="J317" i="2"/>
  <c r="K316" i="2"/>
  <c r="J316" i="2"/>
  <c r="K315" i="2"/>
  <c r="J315" i="2"/>
  <c r="K314" i="2"/>
  <c r="J314" i="2"/>
  <c r="K313" i="2"/>
  <c r="J313" i="2"/>
  <c r="K312" i="2"/>
  <c r="J312" i="2"/>
  <c r="K311" i="2"/>
  <c r="J311" i="2"/>
  <c r="K310" i="2"/>
  <c r="J310" i="2"/>
  <c r="K309" i="2"/>
  <c r="J309" i="2"/>
  <c r="K308" i="2"/>
  <c r="J308" i="2"/>
  <c r="K307" i="2"/>
  <c r="J307" i="2"/>
  <c r="K306" i="2"/>
  <c r="J306" i="2"/>
  <c r="K305" i="2"/>
  <c r="J305" i="2"/>
  <c r="K304" i="2"/>
  <c r="J304" i="2"/>
  <c r="K303" i="2"/>
  <c r="J303" i="2"/>
  <c r="K302" i="2"/>
  <c r="J302" i="2"/>
  <c r="K301" i="2"/>
  <c r="J301" i="2"/>
  <c r="K300" i="2"/>
  <c r="J300" i="2"/>
  <c r="K299" i="2"/>
  <c r="J299" i="2"/>
  <c r="K298" i="2"/>
  <c r="J298" i="2"/>
  <c r="K297" i="2"/>
  <c r="J297" i="2"/>
  <c r="K296" i="2"/>
  <c r="J296" i="2"/>
  <c r="K295" i="2"/>
  <c r="J295" i="2"/>
  <c r="K294" i="2"/>
  <c r="J294" i="2"/>
  <c r="K293" i="2"/>
  <c r="J293" i="2"/>
  <c r="K292" i="2"/>
  <c r="J292" i="2"/>
  <c r="K291" i="2"/>
  <c r="J291" i="2"/>
  <c r="K290" i="2"/>
  <c r="J290" i="2"/>
  <c r="K289" i="2"/>
  <c r="J289" i="2"/>
  <c r="K288" i="2"/>
  <c r="J288" i="2"/>
  <c r="K287" i="2"/>
  <c r="K286" i="2"/>
  <c r="J286" i="2"/>
  <c r="K285" i="2"/>
  <c r="J285" i="2"/>
  <c r="K284" i="2"/>
  <c r="J284" i="2"/>
  <c r="K283" i="2"/>
  <c r="J283" i="2"/>
  <c r="K282" i="2"/>
  <c r="J282" i="2"/>
  <c r="K281" i="2"/>
  <c r="J281" i="2"/>
  <c r="K280" i="2"/>
  <c r="J280" i="2"/>
  <c r="K279" i="2"/>
  <c r="J279" i="2"/>
  <c r="K278" i="2"/>
  <c r="J278" i="2"/>
  <c r="K277" i="2"/>
  <c r="J277" i="2"/>
  <c r="K276" i="2"/>
  <c r="K275" i="2"/>
  <c r="J275" i="2"/>
  <c r="K274" i="2"/>
  <c r="J274" i="2"/>
  <c r="K273" i="2"/>
  <c r="J273" i="2"/>
  <c r="K272" i="2"/>
  <c r="J272" i="2"/>
  <c r="K271" i="2"/>
  <c r="J271" i="2"/>
  <c r="K270" i="2"/>
  <c r="K269" i="2"/>
  <c r="J269" i="2"/>
  <c r="K268" i="2"/>
  <c r="J268" i="2"/>
  <c r="K267" i="2"/>
  <c r="J267" i="2"/>
  <c r="K266" i="2"/>
  <c r="J266" i="2"/>
  <c r="K265" i="2"/>
  <c r="J265" i="2"/>
  <c r="K264" i="2"/>
  <c r="J264" i="2"/>
  <c r="K263" i="2"/>
  <c r="J263" i="2"/>
  <c r="K262" i="2"/>
  <c r="J262" i="2"/>
  <c r="K261" i="2"/>
  <c r="J261" i="2"/>
  <c r="K259" i="2"/>
  <c r="K258" i="2"/>
  <c r="J258" i="2"/>
  <c r="K257" i="2"/>
  <c r="J257" i="2"/>
  <c r="K256" i="2"/>
  <c r="J256" i="2"/>
  <c r="K255" i="2"/>
  <c r="J255" i="2"/>
  <c r="K254" i="2"/>
  <c r="K253" i="2"/>
  <c r="J253" i="2"/>
  <c r="K252" i="2"/>
  <c r="J252" i="2"/>
  <c r="K251" i="2"/>
  <c r="J251" i="2"/>
  <c r="K250" i="2"/>
  <c r="J250" i="2"/>
  <c r="K249" i="2"/>
  <c r="J249" i="2"/>
  <c r="K248" i="2"/>
  <c r="J248" i="2"/>
  <c r="K247" i="2"/>
  <c r="J247" i="2"/>
  <c r="K246" i="2"/>
  <c r="J246" i="2"/>
  <c r="K245" i="2"/>
  <c r="J245" i="2"/>
  <c r="K244" i="2"/>
  <c r="K243" i="2"/>
  <c r="J243" i="2"/>
  <c r="K242" i="2"/>
  <c r="J242" i="2"/>
  <c r="K241" i="2"/>
  <c r="J241" i="2"/>
  <c r="K240" i="2"/>
  <c r="J240" i="2"/>
  <c r="K239" i="2"/>
  <c r="J239" i="2"/>
  <c r="K238" i="2"/>
  <c r="J238" i="2"/>
  <c r="K237" i="2"/>
  <c r="J237" i="2"/>
  <c r="K236" i="2"/>
  <c r="J236" i="2"/>
  <c r="K235" i="2"/>
  <c r="J235" i="2"/>
  <c r="K234" i="2"/>
  <c r="K233" i="2"/>
  <c r="J233" i="2"/>
  <c r="K232" i="2"/>
  <c r="J232" i="2"/>
  <c r="K231" i="2"/>
  <c r="J231" i="2"/>
  <c r="K230" i="2"/>
  <c r="J230" i="2"/>
  <c r="K229" i="2"/>
  <c r="J229" i="2"/>
  <c r="K228" i="2"/>
  <c r="J228" i="2"/>
  <c r="K227" i="2"/>
  <c r="J227" i="2"/>
  <c r="K226" i="2"/>
  <c r="J226" i="2"/>
  <c r="K225" i="2"/>
  <c r="J225" i="2"/>
  <c r="K224" i="2"/>
  <c r="J224" i="2"/>
  <c r="K223" i="2"/>
  <c r="K222" i="2"/>
  <c r="J222" i="2"/>
  <c r="K221" i="2"/>
  <c r="J221" i="2"/>
  <c r="K220" i="2"/>
  <c r="J220" i="2"/>
  <c r="K219" i="2"/>
  <c r="J219" i="2"/>
  <c r="K218" i="2"/>
  <c r="J218" i="2"/>
  <c r="K217" i="2"/>
  <c r="J217" i="2"/>
  <c r="K216" i="2"/>
  <c r="J216" i="2"/>
  <c r="K215" i="2"/>
  <c r="J215" i="2"/>
  <c r="K214" i="2"/>
  <c r="J214" i="2"/>
  <c r="K213" i="2"/>
  <c r="J213" i="2"/>
  <c r="K212" i="2"/>
  <c r="K211" i="2"/>
  <c r="J211" i="2"/>
  <c r="K210" i="2"/>
  <c r="J210" i="2"/>
  <c r="K209" i="2"/>
  <c r="J209" i="2"/>
  <c r="K208" i="2"/>
  <c r="J208" i="2"/>
  <c r="K207" i="2"/>
  <c r="K206" i="2"/>
  <c r="J206" i="2"/>
  <c r="K205" i="2"/>
  <c r="J205" i="2"/>
  <c r="K204" i="2"/>
  <c r="J204" i="2"/>
  <c r="K203" i="2"/>
  <c r="J203" i="2"/>
  <c r="K202" i="2"/>
  <c r="J202" i="2"/>
  <c r="K201" i="2"/>
  <c r="J201" i="2"/>
  <c r="K200" i="2"/>
  <c r="J200" i="2"/>
  <c r="K199" i="2"/>
  <c r="J199" i="2"/>
  <c r="K198" i="2"/>
  <c r="J198" i="2"/>
  <c r="K197" i="2"/>
  <c r="K196" i="2"/>
  <c r="J196" i="2"/>
  <c r="K195" i="2"/>
  <c r="J195" i="2"/>
  <c r="K194" i="2"/>
  <c r="J194" i="2"/>
  <c r="K193" i="2"/>
  <c r="J193" i="2"/>
  <c r="K192" i="2"/>
  <c r="J192" i="2"/>
  <c r="K191" i="2"/>
  <c r="J191" i="2"/>
  <c r="K190" i="2"/>
  <c r="J190" i="2"/>
  <c r="K189" i="2"/>
  <c r="J189" i="2"/>
  <c r="K188" i="2"/>
  <c r="J188" i="2"/>
  <c r="K187" i="2"/>
  <c r="J187" i="2"/>
  <c r="K186" i="2"/>
  <c r="J186" i="2"/>
  <c r="K185" i="2"/>
  <c r="J185" i="2"/>
  <c r="K184" i="2"/>
  <c r="J184" i="2"/>
  <c r="K183" i="2"/>
  <c r="K182" i="2"/>
  <c r="J182" i="2"/>
  <c r="K181" i="2"/>
  <c r="J181" i="2"/>
  <c r="K180" i="2"/>
  <c r="K179" i="2"/>
  <c r="J179" i="2"/>
  <c r="K178" i="2"/>
  <c r="J178" i="2"/>
  <c r="K177" i="2"/>
  <c r="J177" i="2"/>
  <c r="K176" i="2"/>
  <c r="J176" i="2"/>
  <c r="K175" i="2"/>
  <c r="J175" i="2"/>
  <c r="K174" i="2"/>
  <c r="J174" i="2"/>
  <c r="K173" i="2"/>
  <c r="J173" i="2"/>
  <c r="K172" i="2"/>
  <c r="J172" i="2"/>
  <c r="K171" i="2"/>
  <c r="J171" i="2"/>
  <c r="K170" i="2"/>
  <c r="K169" i="2"/>
  <c r="J169" i="2"/>
  <c r="K168" i="2"/>
  <c r="J168" i="2"/>
  <c r="K167" i="2"/>
  <c r="J167" i="2"/>
  <c r="K166" i="2"/>
  <c r="J166" i="2"/>
  <c r="K165" i="2"/>
  <c r="J165" i="2"/>
  <c r="K164" i="2"/>
  <c r="J164" i="2"/>
  <c r="K163" i="2"/>
  <c r="J163" i="2"/>
  <c r="K162" i="2"/>
  <c r="J162" i="2"/>
  <c r="K161" i="2"/>
  <c r="J161" i="2"/>
  <c r="K160" i="2"/>
  <c r="J160" i="2"/>
  <c r="K159" i="2"/>
  <c r="J159" i="2"/>
  <c r="K158" i="2"/>
  <c r="J158" i="2"/>
  <c r="K157" i="2"/>
  <c r="J157" i="2"/>
  <c r="K156" i="2"/>
  <c r="J156" i="2"/>
  <c r="K155" i="2"/>
  <c r="J155" i="2"/>
  <c r="K154" i="2"/>
  <c r="J154" i="2"/>
  <c r="K153" i="2"/>
  <c r="K152" i="2"/>
  <c r="J152" i="2"/>
  <c r="K151" i="2"/>
  <c r="J151" i="2"/>
  <c r="K150" i="2"/>
  <c r="J150" i="2"/>
  <c r="K149" i="2"/>
  <c r="J149" i="2"/>
  <c r="K148" i="2"/>
  <c r="J148" i="2"/>
  <c r="K147" i="2"/>
  <c r="J147" i="2"/>
  <c r="K146" i="2"/>
  <c r="J146" i="2"/>
  <c r="K145" i="2"/>
  <c r="J145" i="2"/>
  <c r="K144" i="2"/>
  <c r="J144" i="2"/>
  <c r="K143" i="2"/>
  <c r="K142" i="2"/>
  <c r="J142" i="2"/>
  <c r="K141" i="2"/>
  <c r="J141" i="2"/>
  <c r="K140" i="2"/>
  <c r="J140" i="2"/>
  <c r="K139" i="2"/>
  <c r="J139" i="2"/>
  <c r="K138" i="2"/>
  <c r="J138" i="2"/>
  <c r="K137" i="2"/>
  <c r="J137" i="2"/>
  <c r="K136" i="2"/>
  <c r="J136" i="2"/>
  <c r="K135" i="2"/>
  <c r="J135" i="2"/>
  <c r="K134" i="2"/>
  <c r="J134" i="2"/>
  <c r="K133" i="2"/>
  <c r="J133" i="2"/>
  <c r="K132" i="2"/>
  <c r="J132" i="2"/>
  <c r="K131" i="2"/>
  <c r="J131" i="2"/>
  <c r="K130" i="2"/>
  <c r="J130" i="2"/>
  <c r="K129" i="2"/>
  <c r="J129" i="2"/>
  <c r="K128" i="2"/>
  <c r="J128" i="2"/>
  <c r="K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K111" i="2"/>
  <c r="J111" i="2"/>
  <c r="K110" i="2"/>
  <c r="J110" i="2"/>
  <c r="K109" i="2"/>
  <c r="K108" i="2"/>
  <c r="J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I430" i="1"/>
  <c r="F430" i="1"/>
  <c r="F429" i="1"/>
  <c r="I429" i="1" s="1"/>
  <c r="F428" i="1"/>
  <c r="I428" i="1" s="1"/>
  <c r="F427" i="1"/>
  <c r="I427" i="1" s="1"/>
  <c r="F426" i="1"/>
  <c r="I426" i="1" s="1"/>
  <c r="F425" i="1"/>
  <c r="I425" i="1" s="1"/>
  <c r="F424" i="1"/>
  <c r="I424" i="1" s="1"/>
  <c r="F423" i="1"/>
  <c r="I423" i="1" s="1"/>
  <c r="I422" i="1"/>
  <c r="F422" i="1"/>
  <c r="F421" i="1"/>
  <c r="I421" i="1" s="1"/>
  <c r="I420" i="1"/>
  <c r="F420" i="1"/>
  <c r="F419" i="1"/>
  <c r="I419" i="1" s="1"/>
  <c r="F418" i="1"/>
  <c r="I418" i="1" s="1"/>
  <c r="F417" i="1"/>
  <c r="I417" i="1" s="1"/>
  <c r="F416" i="1"/>
  <c r="I416" i="1" s="1"/>
  <c r="F415" i="1"/>
  <c r="I415" i="1" s="1"/>
  <c r="I414" i="1"/>
  <c r="F414" i="1"/>
  <c r="F413" i="1"/>
  <c r="I413" i="1" s="1"/>
  <c r="F412" i="1"/>
  <c r="I412" i="1" s="1"/>
  <c r="F411" i="1"/>
  <c r="I411" i="1" s="1"/>
  <c r="F410" i="1"/>
  <c r="I410" i="1" s="1"/>
  <c r="F409" i="1"/>
  <c r="I409" i="1" s="1"/>
  <c r="F408" i="1"/>
  <c r="I408" i="1" s="1"/>
  <c r="F407" i="1"/>
  <c r="I407" i="1" s="1"/>
  <c r="I406" i="1"/>
  <c r="F406" i="1"/>
  <c r="F405" i="1"/>
  <c r="I405" i="1" s="1"/>
  <c r="I404" i="1"/>
  <c r="F404" i="1"/>
  <c r="F403" i="1"/>
  <c r="I403" i="1" s="1"/>
  <c r="F402" i="1"/>
  <c r="I402" i="1" s="1"/>
  <c r="F401" i="1"/>
  <c r="I401" i="1" s="1"/>
  <c r="F400" i="1"/>
  <c r="I400" i="1" s="1"/>
  <c r="F399" i="1"/>
  <c r="I399" i="1" s="1"/>
  <c r="I398" i="1"/>
  <c r="F398" i="1"/>
  <c r="F397" i="1"/>
  <c r="I397" i="1" s="1"/>
  <c r="F396" i="1"/>
  <c r="I396" i="1" s="1"/>
  <c r="F395" i="1"/>
  <c r="I395" i="1" s="1"/>
  <c r="F394" i="1"/>
  <c r="I394" i="1" s="1"/>
  <c r="F393" i="1"/>
  <c r="I393" i="1" s="1"/>
  <c r="F392" i="1"/>
  <c r="I392" i="1" s="1"/>
  <c r="F391" i="1"/>
  <c r="I391" i="1" s="1"/>
  <c r="I390" i="1"/>
  <c r="F390" i="1"/>
  <c r="F389" i="1"/>
  <c r="I389" i="1" s="1"/>
  <c r="I388" i="1"/>
  <c r="F388" i="1"/>
  <c r="F387" i="1"/>
  <c r="I387" i="1" s="1"/>
  <c r="F386" i="1"/>
  <c r="I386" i="1" s="1"/>
  <c r="F385" i="1"/>
  <c r="I385" i="1" s="1"/>
  <c r="F384" i="1"/>
  <c r="I384" i="1" s="1"/>
  <c r="F383" i="1"/>
  <c r="I383" i="1" s="1"/>
  <c r="I382" i="1"/>
  <c r="F382" i="1"/>
  <c r="F381" i="1"/>
  <c r="I381" i="1" s="1"/>
  <c r="F380" i="1"/>
  <c r="I380" i="1" s="1"/>
  <c r="F379" i="1"/>
  <c r="I379" i="1" s="1"/>
  <c r="F378" i="1"/>
  <c r="I378" i="1" s="1"/>
  <c r="F377" i="1"/>
  <c r="I377" i="1" s="1"/>
  <c r="F376" i="1"/>
  <c r="I376" i="1" s="1"/>
  <c r="F375" i="1"/>
  <c r="I375" i="1" s="1"/>
  <c r="I374" i="1"/>
  <c r="F374" i="1"/>
  <c r="F373" i="1"/>
  <c r="I373" i="1" s="1"/>
  <c r="I372" i="1"/>
  <c r="F372" i="1"/>
  <c r="F371" i="1"/>
  <c r="I371" i="1" s="1"/>
  <c r="F370" i="1"/>
  <c r="I370" i="1" s="1"/>
  <c r="F369" i="1"/>
  <c r="I369" i="1" s="1"/>
  <c r="F368" i="1"/>
  <c r="I368" i="1" s="1"/>
  <c r="F367" i="1"/>
  <c r="I367" i="1" s="1"/>
  <c r="I366" i="1"/>
  <c r="F366" i="1"/>
  <c r="F365" i="1"/>
  <c r="I365" i="1" s="1"/>
  <c r="F364" i="1"/>
  <c r="I364" i="1" s="1"/>
  <c r="F363" i="1"/>
  <c r="I363" i="1" s="1"/>
  <c r="F362" i="1"/>
  <c r="I362" i="1" s="1"/>
  <c r="F361" i="1"/>
  <c r="I361" i="1" s="1"/>
  <c r="F360" i="1"/>
  <c r="I360" i="1" s="1"/>
  <c r="F359" i="1"/>
  <c r="I359" i="1" s="1"/>
  <c r="I358" i="1"/>
  <c r="F358" i="1"/>
  <c r="F357" i="1"/>
  <c r="I357" i="1" s="1"/>
  <c r="I356" i="1"/>
  <c r="F356" i="1"/>
  <c r="F355" i="1"/>
  <c r="I355" i="1" s="1"/>
  <c r="F354" i="1"/>
  <c r="I354" i="1" s="1"/>
  <c r="F353" i="1"/>
  <c r="I353" i="1" s="1"/>
  <c r="F352" i="1"/>
  <c r="I352" i="1" s="1"/>
  <c r="F351" i="1"/>
  <c r="I351" i="1" s="1"/>
  <c r="I350" i="1"/>
  <c r="F350" i="1"/>
  <c r="F349" i="1"/>
  <c r="I349" i="1" s="1"/>
  <c r="F348" i="1"/>
  <c r="I348" i="1" s="1"/>
  <c r="F347" i="1"/>
  <c r="I347" i="1" s="1"/>
  <c r="F346" i="1"/>
  <c r="I346" i="1" s="1"/>
  <c r="F345" i="1"/>
  <c r="I345" i="1" s="1"/>
  <c r="F344" i="1"/>
  <c r="I344" i="1" s="1"/>
  <c r="F343" i="1"/>
  <c r="I343" i="1" s="1"/>
  <c r="I342" i="1"/>
  <c r="F342" i="1"/>
  <c r="F341" i="1"/>
  <c r="I341" i="1" s="1"/>
  <c r="I340" i="1"/>
  <c r="F340" i="1"/>
  <c r="F339" i="1"/>
  <c r="I339" i="1" s="1"/>
  <c r="F338" i="1"/>
  <c r="I338" i="1" s="1"/>
  <c r="F337" i="1"/>
  <c r="I337" i="1" s="1"/>
  <c r="F336" i="1"/>
  <c r="I336" i="1" s="1"/>
  <c r="F335" i="1"/>
  <c r="I335" i="1" s="1"/>
  <c r="I334" i="1"/>
  <c r="F334" i="1"/>
  <c r="F333" i="1"/>
  <c r="I333" i="1" s="1"/>
  <c r="F332" i="1"/>
  <c r="I332" i="1" s="1"/>
  <c r="F331" i="1"/>
  <c r="I331" i="1" s="1"/>
  <c r="F330" i="1"/>
  <c r="I330" i="1" s="1"/>
  <c r="F329" i="1"/>
  <c r="I329" i="1" s="1"/>
  <c r="F328" i="1"/>
  <c r="I328" i="1" s="1"/>
  <c r="F327" i="1"/>
  <c r="I327" i="1" s="1"/>
  <c r="I326" i="1"/>
  <c r="F326" i="1"/>
  <c r="F325" i="1"/>
  <c r="I325" i="1" s="1"/>
  <c r="I324" i="1"/>
  <c r="I323" i="1"/>
  <c r="I322" i="1"/>
  <c r="I321" i="1"/>
  <c r="I320" i="1"/>
  <c r="I319" i="1"/>
  <c r="I318" i="1"/>
  <c r="I317" i="1"/>
  <c r="I316" i="1"/>
  <c r="I315" i="1"/>
  <c r="F314" i="1"/>
  <c r="I314" i="1" s="1"/>
  <c r="F313" i="1"/>
  <c r="I313" i="1" s="1"/>
  <c r="F312" i="1"/>
  <c r="I312" i="1" s="1"/>
  <c r="F311" i="1"/>
  <c r="I310" i="1"/>
  <c r="F310" i="1"/>
  <c r="AA39" i="5" s="1"/>
  <c r="F309" i="1"/>
  <c r="I309" i="1" s="1"/>
  <c r="I308" i="1"/>
  <c r="F308" i="1"/>
  <c r="F307" i="1"/>
  <c r="E39" i="5" s="1"/>
  <c r="F306" i="1"/>
  <c r="AC39" i="5" s="1"/>
  <c r="F305" i="1"/>
  <c r="AC38" i="5" s="1"/>
  <c r="F304" i="1"/>
  <c r="I304" i="1" s="1"/>
  <c r="F303" i="1"/>
  <c r="I303" i="1" s="1"/>
  <c r="F302" i="1"/>
  <c r="I302" i="1" s="1"/>
  <c r="I301" i="1"/>
  <c r="F301" i="1"/>
  <c r="F300" i="1"/>
  <c r="AA38" i="5" s="1"/>
  <c r="AN38" i="5" s="1"/>
  <c r="I299" i="1"/>
  <c r="F299" i="1"/>
  <c r="F298" i="1"/>
  <c r="I298" i="1" s="1"/>
  <c r="I297" i="1"/>
  <c r="F297" i="1"/>
  <c r="F296" i="1"/>
  <c r="I296" i="1" s="1"/>
  <c r="E295" i="1"/>
  <c r="F295" i="1" s="1"/>
  <c r="F292" i="1"/>
  <c r="I292" i="1" s="1"/>
  <c r="F291" i="1"/>
  <c r="I291" i="1" s="1"/>
  <c r="F290" i="1"/>
  <c r="I290" i="1" s="1"/>
  <c r="I289" i="1"/>
  <c r="F289" i="1"/>
  <c r="F288" i="1"/>
  <c r="I288" i="1" s="1"/>
  <c r="F287" i="1"/>
  <c r="I287" i="1" s="1"/>
  <c r="F286" i="1"/>
  <c r="I286" i="1" s="1"/>
  <c r="I285" i="1"/>
  <c r="F285" i="1"/>
  <c r="F284" i="1"/>
  <c r="F283" i="1"/>
  <c r="I283" i="1" s="1"/>
  <c r="F282" i="1"/>
  <c r="I282" i="1" s="1"/>
  <c r="F281" i="1"/>
  <c r="I281" i="1" s="1"/>
  <c r="F280" i="1"/>
  <c r="I280" i="1" s="1"/>
  <c r="E279" i="1"/>
  <c r="I278" i="1"/>
  <c r="F278" i="1"/>
  <c r="F277" i="1"/>
  <c r="I277" i="1" s="1"/>
  <c r="F276" i="1"/>
  <c r="I276" i="1" s="1"/>
  <c r="F275" i="1"/>
  <c r="T36" i="5" s="1"/>
  <c r="AL36" i="5" s="1"/>
  <c r="I274" i="1"/>
  <c r="F274" i="1"/>
  <c r="AA36" i="5" s="1"/>
  <c r="AN36" i="5" s="1"/>
  <c r="F273" i="1"/>
  <c r="I273" i="1" s="1"/>
  <c r="I272" i="1"/>
  <c r="F272" i="1"/>
  <c r="F271" i="1"/>
  <c r="I271" i="1" s="1"/>
  <c r="I270" i="1"/>
  <c r="F270" i="1"/>
  <c r="I269" i="1"/>
  <c r="C156" i="3" s="1"/>
  <c r="F268" i="1"/>
  <c r="I268" i="1" s="1"/>
  <c r="C153" i="3" s="1"/>
  <c r="F267" i="1"/>
  <c r="I267" i="1" s="1"/>
  <c r="F266" i="1"/>
  <c r="I266" i="1" s="1"/>
  <c r="F265" i="1"/>
  <c r="I265" i="1" s="1"/>
  <c r="F264" i="1"/>
  <c r="F262" i="1"/>
  <c r="F259" i="1"/>
  <c r="I259" i="1" s="1"/>
  <c r="F258" i="1"/>
  <c r="I258" i="1" s="1"/>
  <c r="F257" i="1"/>
  <c r="I257" i="1" s="1"/>
  <c r="F256" i="1"/>
  <c r="I255" i="1"/>
  <c r="F255" i="1"/>
  <c r="AA34" i="5" s="1"/>
  <c r="F254" i="1"/>
  <c r="I254" i="1" s="1"/>
  <c r="F253" i="1"/>
  <c r="I253" i="1" s="1"/>
  <c r="F252" i="1"/>
  <c r="I252" i="1" s="1"/>
  <c r="F251" i="1"/>
  <c r="I251" i="1" s="1"/>
  <c r="I250" i="1"/>
  <c r="C146" i="3" s="1"/>
  <c r="F249" i="1"/>
  <c r="AC34" i="5" s="1"/>
  <c r="F248" i="1"/>
  <c r="AC33" i="5" s="1"/>
  <c r="F247" i="1"/>
  <c r="L33" i="5" s="1"/>
  <c r="F246" i="1"/>
  <c r="F245" i="1"/>
  <c r="I245" i="1" s="1"/>
  <c r="F244" i="1"/>
  <c r="I244" i="1" s="1"/>
  <c r="I243" i="1"/>
  <c r="F243" i="1"/>
  <c r="F242" i="1"/>
  <c r="F241" i="1"/>
  <c r="AA33" i="5" s="1"/>
  <c r="AN33" i="5" s="1"/>
  <c r="I240" i="1"/>
  <c r="F240" i="1"/>
  <c r="F239" i="1"/>
  <c r="I239" i="1" s="1"/>
  <c r="F238" i="1"/>
  <c r="I238" i="1" s="1"/>
  <c r="I237" i="1"/>
  <c r="F237" i="1"/>
  <c r="I236" i="1"/>
  <c r="C139" i="3" s="1"/>
  <c r="F235" i="1"/>
  <c r="L32" i="5" s="1"/>
  <c r="F234" i="1"/>
  <c r="F233" i="1"/>
  <c r="AC32" i="5" s="1"/>
  <c r="I232" i="1"/>
  <c r="F232" i="1"/>
  <c r="F231" i="1"/>
  <c r="I231" i="1" s="1"/>
  <c r="F230" i="1"/>
  <c r="I230" i="1" s="1"/>
  <c r="F229" i="1"/>
  <c r="I229" i="1" s="1"/>
  <c r="I228" i="1"/>
  <c r="F228" i="1"/>
  <c r="AA32" i="5" s="1"/>
  <c r="AN32" i="5" s="1"/>
  <c r="F227" i="1"/>
  <c r="I227" i="1" s="1"/>
  <c r="F226" i="1"/>
  <c r="I226" i="1" s="1"/>
  <c r="F225" i="1"/>
  <c r="I225" i="1" s="1"/>
  <c r="F224" i="1"/>
  <c r="I224" i="1" s="1"/>
  <c r="F223" i="1"/>
  <c r="E32" i="5" s="1"/>
  <c r="F222" i="1"/>
  <c r="I222" i="1" s="1"/>
  <c r="F221" i="1"/>
  <c r="I221" i="1" s="1"/>
  <c r="F220" i="1"/>
  <c r="I220" i="1" s="1"/>
  <c r="F219" i="1"/>
  <c r="T31" i="5" s="1"/>
  <c r="AL31" i="5" s="1"/>
  <c r="I218" i="1"/>
  <c r="F217" i="1"/>
  <c r="AA31" i="5" s="1"/>
  <c r="AN31" i="5" s="1"/>
  <c r="F216" i="1"/>
  <c r="I216" i="1" s="1"/>
  <c r="F215" i="1"/>
  <c r="I215" i="1" s="1"/>
  <c r="F214" i="1"/>
  <c r="I214" i="1" s="1"/>
  <c r="F213" i="1"/>
  <c r="I213" i="1" s="1"/>
  <c r="F212" i="1"/>
  <c r="F211" i="1"/>
  <c r="AC30" i="5" s="1"/>
  <c r="F210" i="1"/>
  <c r="I210" i="1" s="1"/>
  <c r="I209" i="1"/>
  <c r="F209" i="1"/>
  <c r="F208" i="1"/>
  <c r="I208" i="1" s="1"/>
  <c r="F207" i="1"/>
  <c r="I207" i="1" s="1"/>
  <c r="F206" i="1"/>
  <c r="I206" i="1" s="1"/>
  <c r="F205" i="1"/>
  <c r="I205" i="1" s="1"/>
  <c r="F204" i="1"/>
  <c r="I204" i="1" s="1"/>
  <c r="F203" i="1"/>
  <c r="F202" i="1"/>
  <c r="AA29" i="5" s="1"/>
  <c r="AN29" i="5" s="1"/>
  <c r="I201" i="1"/>
  <c r="F201" i="1"/>
  <c r="F200" i="1"/>
  <c r="I200" i="1" s="1"/>
  <c r="F199" i="1"/>
  <c r="I199" i="1" s="1"/>
  <c r="I198" i="1"/>
  <c r="F198" i="1"/>
  <c r="I197" i="1"/>
  <c r="C119" i="3" s="1"/>
  <c r="F196" i="1"/>
  <c r="L28" i="5" s="1"/>
  <c r="F195" i="1"/>
  <c r="I195" i="1" s="1"/>
  <c r="F194" i="1"/>
  <c r="I194" i="1" s="1"/>
  <c r="F193" i="1"/>
  <c r="I193" i="1" s="1"/>
  <c r="F192" i="1"/>
  <c r="F191" i="1"/>
  <c r="I191" i="1" s="1"/>
  <c r="F190" i="1"/>
  <c r="I190" i="1" s="1"/>
  <c r="I189" i="1"/>
  <c r="F189" i="1"/>
  <c r="F188" i="1"/>
  <c r="AA28" i="5" s="1"/>
  <c r="F187" i="1"/>
  <c r="I187" i="1" s="1"/>
  <c r="I186" i="1"/>
  <c r="F186" i="1"/>
  <c r="F185" i="1"/>
  <c r="I185" i="1" s="1"/>
  <c r="F184" i="1"/>
  <c r="I184" i="1" s="1"/>
  <c r="I183" i="1"/>
  <c r="C109" i="3" s="1"/>
  <c r="F182" i="1"/>
  <c r="I182" i="1" s="1"/>
  <c r="F181" i="1"/>
  <c r="I181" i="1" s="1"/>
  <c r="I180" i="1"/>
  <c r="F180" i="1"/>
  <c r="F179" i="1"/>
  <c r="F178" i="1"/>
  <c r="I178" i="1" s="1"/>
  <c r="F177" i="1"/>
  <c r="I177" i="1" s="1"/>
  <c r="F176" i="1"/>
  <c r="I176" i="1" s="1"/>
  <c r="F175" i="1"/>
  <c r="I175" i="1" s="1"/>
  <c r="F174" i="1"/>
  <c r="I174" i="1" s="1"/>
  <c r="F173" i="1"/>
  <c r="I173" i="1" s="1"/>
  <c r="F172" i="1"/>
  <c r="I172" i="1" s="1"/>
  <c r="F171" i="1"/>
  <c r="F170" i="1"/>
  <c r="E26" i="5" s="1"/>
  <c r="F169" i="1"/>
  <c r="I169" i="1" s="1"/>
  <c r="E100" i="3" s="1"/>
  <c r="I168" i="1"/>
  <c r="F168" i="1"/>
  <c r="F167" i="1"/>
  <c r="F166" i="1"/>
  <c r="I166" i="1" s="1"/>
  <c r="C97" i="3" s="1"/>
  <c r="F165" i="1"/>
  <c r="I165" i="1" s="1"/>
  <c r="F164" i="1"/>
  <c r="I164" i="1" s="1"/>
  <c r="C95" i="3" s="1"/>
  <c r="F163" i="1"/>
  <c r="I163" i="1" s="1"/>
  <c r="F162" i="1"/>
  <c r="I162" i="1" s="1"/>
  <c r="F161" i="1"/>
  <c r="I161" i="1" s="1"/>
  <c r="F160" i="1"/>
  <c r="I160" i="1" s="1"/>
  <c r="F159" i="1"/>
  <c r="F158" i="1"/>
  <c r="AA25" i="5" s="1"/>
  <c r="AN25" i="5" s="1"/>
  <c r="F157" i="1"/>
  <c r="I157" i="1" s="1"/>
  <c r="I156" i="1"/>
  <c r="F156" i="1"/>
  <c r="F155" i="1"/>
  <c r="I155" i="1" s="1"/>
  <c r="F154" i="1"/>
  <c r="I154" i="1" s="1"/>
  <c r="F153" i="1"/>
  <c r="E25" i="5" s="1"/>
  <c r="F152" i="1"/>
  <c r="I152" i="1" s="1"/>
  <c r="F151" i="1"/>
  <c r="I151" i="1" s="1"/>
  <c r="F150" i="1"/>
  <c r="I150" i="1" s="1"/>
  <c r="I149" i="1"/>
  <c r="F149" i="1"/>
  <c r="F148" i="1"/>
  <c r="AA24" i="5" s="1"/>
  <c r="AN24" i="5" s="1"/>
  <c r="F147" i="1"/>
  <c r="I147" i="1" s="1"/>
  <c r="F146" i="1"/>
  <c r="I146" i="1" s="1"/>
  <c r="F145" i="1"/>
  <c r="I145" i="1" s="1"/>
  <c r="I144" i="1"/>
  <c r="F144" i="1"/>
  <c r="F143" i="1"/>
  <c r="F142" i="1"/>
  <c r="L23" i="5" s="1"/>
  <c r="F141" i="1"/>
  <c r="I141" i="1" s="1"/>
  <c r="F140" i="1"/>
  <c r="I140" i="1" s="1"/>
  <c r="C81" i="3" s="1"/>
  <c r="F139" i="1"/>
  <c r="I139" i="1" s="1"/>
  <c r="F138" i="1"/>
  <c r="AC23" i="5" s="1"/>
  <c r="F137" i="1"/>
  <c r="I137" i="1" s="1"/>
  <c r="F136" i="1"/>
  <c r="I136" i="1" s="1"/>
  <c r="F135" i="1"/>
  <c r="I135" i="1" s="1"/>
  <c r="F134" i="1"/>
  <c r="F133" i="1"/>
  <c r="I133" i="1" s="1"/>
  <c r="E77" i="3" s="1"/>
  <c r="I132" i="1"/>
  <c r="F132" i="1"/>
  <c r="AA23" i="5" s="1"/>
  <c r="AN23" i="5" s="1"/>
  <c r="F131" i="1"/>
  <c r="I131" i="1" s="1"/>
  <c r="F130" i="1"/>
  <c r="I130" i="1" s="1"/>
  <c r="F129" i="1"/>
  <c r="I129" i="1" s="1"/>
  <c r="I128" i="1"/>
  <c r="F128" i="1"/>
  <c r="F127" i="1"/>
  <c r="I126" i="1"/>
  <c r="C72" i="3" s="1"/>
  <c r="F126" i="1"/>
  <c r="L22" i="5" s="1"/>
  <c r="F125" i="1"/>
  <c r="I125" i="1" s="1"/>
  <c r="F124" i="1"/>
  <c r="I124" i="1" s="1"/>
  <c r="F123" i="1"/>
  <c r="I123" i="1" s="1"/>
  <c r="F122" i="1"/>
  <c r="I122" i="1" s="1"/>
  <c r="F121" i="1"/>
  <c r="I121" i="1" s="1"/>
  <c r="I120" i="1"/>
  <c r="F120" i="1"/>
  <c r="F119" i="1"/>
  <c r="I119" i="1" s="1"/>
  <c r="F118" i="1"/>
  <c r="F117" i="1"/>
  <c r="I117" i="1" s="1"/>
  <c r="F116" i="1"/>
  <c r="I116" i="1" s="1"/>
  <c r="F115" i="1"/>
  <c r="I115" i="1" s="1"/>
  <c r="F114" i="1"/>
  <c r="I114" i="1" s="1"/>
  <c r="F113" i="1"/>
  <c r="I113" i="1" s="1"/>
  <c r="F112" i="1"/>
  <c r="I112" i="1" s="1"/>
  <c r="F111" i="1"/>
  <c r="I111" i="1" s="1"/>
  <c r="F110" i="1"/>
  <c r="I110" i="1" s="1"/>
  <c r="F109" i="1"/>
  <c r="E22" i="5" s="1"/>
  <c r="I108" i="1"/>
  <c r="F108" i="1"/>
  <c r="F107" i="1"/>
  <c r="I107" i="1" s="1"/>
  <c r="F106" i="1"/>
  <c r="AC21" i="5" s="1"/>
  <c r="F105" i="1"/>
  <c r="I105" i="1" s="1"/>
  <c r="I104" i="1"/>
  <c r="F104" i="1"/>
  <c r="F103" i="1"/>
  <c r="I103" i="1" s="1"/>
  <c r="F102" i="1"/>
  <c r="F101" i="1"/>
  <c r="AA21" i="5" s="1"/>
  <c r="AN21" i="5" s="1"/>
  <c r="I100" i="1"/>
  <c r="F100" i="1"/>
  <c r="F99" i="1"/>
  <c r="I99" i="1" s="1"/>
  <c r="F98" i="1"/>
  <c r="I98" i="1" s="1"/>
  <c r="F97" i="1"/>
  <c r="I97" i="1" s="1"/>
  <c r="F96" i="1"/>
  <c r="E21" i="5" s="1"/>
  <c r="F95" i="1"/>
  <c r="I94" i="1"/>
  <c r="F94" i="1"/>
  <c r="F93" i="1"/>
  <c r="I93" i="1" s="1"/>
  <c r="F92" i="1"/>
  <c r="I92" i="1" s="1"/>
  <c r="F91" i="1"/>
  <c r="F90" i="1"/>
  <c r="AA20" i="5" s="1"/>
  <c r="F89" i="1"/>
  <c r="I89" i="1" s="1"/>
  <c r="F88" i="1"/>
  <c r="I88" i="1" s="1"/>
  <c r="F87" i="1"/>
  <c r="I87" i="1" s="1"/>
  <c r="F86" i="1"/>
  <c r="I86" i="1" s="1"/>
  <c r="F85" i="1"/>
  <c r="E19" i="5" s="1"/>
  <c r="F84" i="1"/>
  <c r="I84" i="1" s="1"/>
  <c r="F83" i="1"/>
  <c r="F82" i="1"/>
  <c r="I82" i="1" s="1"/>
  <c r="F81" i="1"/>
  <c r="I81" i="1" s="1"/>
  <c r="F80" i="1"/>
  <c r="I80" i="1" s="1"/>
  <c r="F79" i="1"/>
  <c r="I79" i="1" s="1"/>
  <c r="F78" i="1"/>
  <c r="I78" i="1" s="1"/>
  <c r="F77" i="1"/>
  <c r="I77" i="1" s="1"/>
  <c r="F76" i="1"/>
  <c r="I76" i="1" s="1"/>
  <c r="F75" i="1"/>
  <c r="F74" i="1"/>
  <c r="I74" i="1" s="1"/>
  <c r="F73" i="1"/>
  <c r="I73" i="1" s="1"/>
  <c r="F72" i="1"/>
  <c r="I72" i="1" s="1"/>
  <c r="F71" i="1"/>
  <c r="I71" i="1" s="1"/>
  <c r="C41" i="3" s="1"/>
  <c r="F70" i="1"/>
  <c r="AC18" i="5" s="1"/>
  <c r="F69" i="1"/>
  <c r="I69" i="1" s="1"/>
  <c r="F68" i="1"/>
  <c r="I68" i="1" s="1"/>
  <c r="F67" i="1"/>
  <c r="I67" i="1" s="1"/>
  <c r="F66" i="1"/>
  <c r="F65" i="1"/>
  <c r="F64" i="1"/>
  <c r="I64" i="1" s="1"/>
  <c r="F63" i="1"/>
  <c r="I63" i="1" s="1"/>
  <c r="I62" i="1"/>
  <c r="F62" i="1"/>
  <c r="F61" i="1"/>
  <c r="I61" i="1" s="1"/>
  <c r="F60" i="1"/>
  <c r="E18" i="5" s="1"/>
  <c r="F59" i="1"/>
  <c r="I59" i="1" s="1"/>
  <c r="F58" i="1"/>
  <c r="I58" i="1" s="1"/>
  <c r="F57" i="1"/>
  <c r="I57" i="1" s="1"/>
  <c r="F56" i="1"/>
  <c r="F55" i="1"/>
  <c r="F54" i="1"/>
  <c r="I54" i="1" s="1"/>
  <c r="F53" i="1"/>
  <c r="I53" i="1" s="1"/>
  <c r="F52" i="1"/>
  <c r="I52" i="1" s="1"/>
  <c r="F51" i="1"/>
  <c r="I51" i="1" s="1"/>
  <c r="F50" i="1"/>
  <c r="E17" i="5" s="1"/>
  <c r="F49" i="1"/>
  <c r="AC16" i="5" s="1"/>
  <c r="F48" i="1"/>
  <c r="I48" i="1" s="1"/>
  <c r="F47" i="1"/>
  <c r="I47" i="1" s="1"/>
  <c r="F46" i="1"/>
  <c r="I46" i="1" s="1"/>
  <c r="F45" i="1"/>
  <c r="T16" i="5" s="1"/>
  <c r="AL16" i="5" s="1"/>
  <c r="I44" i="1"/>
  <c r="E27" i="3" s="1"/>
  <c r="F44" i="1"/>
  <c r="AA16" i="5" s="1"/>
  <c r="AN16" i="5" s="1"/>
  <c r="F43" i="1"/>
  <c r="I43" i="1" s="1"/>
  <c r="F42" i="1"/>
  <c r="I42" i="1" s="1"/>
  <c r="F41" i="1"/>
  <c r="I41" i="1" s="1"/>
  <c r="F40" i="1"/>
  <c r="I40" i="1" s="1"/>
  <c r="F39" i="1"/>
  <c r="F38" i="1"/>
  <c r="I38" i="1" s="1"/>
  <c r="F37" i="1"/>
  <c r="I37" i="1" s="1"/>
  <c r="F36" i="1"/>
  <c r="I36" i="1" s="1"/>
  <c r="F35" i="1"/>
  <c r="F34" i="1"/>
  <c r="AA15" i="5" s="1"/>
  <c r="AN15" i="5" s="1"/>
  <c r="F33" i="1"/>
  <c r="I33" i="1" s="1"/>
  <c r="F32" i="1"/>
  <c r="I32" i="1" s="1"/>
  <c r="F31" i="1"/>
  <c r="I31" i="1" s="1"/>
  <c r="I30" i="1"/>
  <c r="F30" i="1"/>
  <c r="F29" i="1"/>
  <c r="E15" i="5" s="1"/>
  <c r="F28" i="1"/>
  <c r="I28" i="1" s="1"/>
  <c r="F27" i="1"/>
  <c r="I27" i="1" s="1"/>
  <c r="F26" i="1"/>
  <c r="I26" i="1" s="1"/>
  <c r="F25" i="1"/>
  <c r="F24" i="1"/>
  <c r="AA14" i="5" s="1"/>
  <c r="AN14" i="5" s="1"/>
  <c r="F23" i="1"/>
  <c r="I23" i="1" s="1"/>
  <c r="F22" i="1"/>
  <c r="I22" i="1" s="1"/>
  <c r="I21" i="1"/>
  <c r="F21" i="1"/>
  <c r="F20" i="1"/>
  <c r="I20" i="1" s="1"/>
  <c r="F19" i="1"/>
  <c r="F18" i="1"/>
  <c r="I18" i="1" s="1"/>
  <c r="F17" i="1"/>
  <c r="I17" i="1" s="1"/>
  <c r="F16" i="1"/>
  <c r="I16" i="1" s="1"/>
  <c r="F15" i="1"/>
  <c r="F14" i="1"/>
  <c r="AA13" i="5" s="1"/>
  <c r="F13" i="1"/>
  <c r="I13" i="1" s="1"/>
  <c r="F12" i="1"/>
  <c r="I12" i="1" s="1"/>
  <c r="F11" i="1"/>
  <c r="I11" i="1" s="1"/>
  <c r="F10" i="1"/>
  <c r="I10" i="1" s="1"/>
  <c r="F9" i="1"/>
  <c r="E13" i="5" s="1"/>
  <c r="F8" i="1"/>
  <c r="I8" i="1" s="1"/>
  <c r="F7" i="1"/>
  <c r="I7" i="1" s="1"/>
  <c r="C8" i="3" s="1"/>
  <c r="F6" i="1"/>
  <c r="I6" i="1" s="1"/>
  <c r="F5" i="1"/>
  <c r="I5" i="1" s="1"/>
  <c r="AV10" i="5" l="1"/>
  <c r="AV8" i="5"/>
  <c r="K18" i="5"/>
  <c r="AK18" i="5" s="1"/>
  <c r="E38" i="5"/>
  <c r="AJ38" i="5" s="1"/>
  <c r="I295" i="1"/>
  <c r="C170" i="3" s="1"/>
  <c r="I96" i="1"/>
  <c r="C55" i="3" s="1"/>
  <c r="I223" i="1"/>
  <c r="C133" i="3" s="1"/>
  <c r="I233" i="1"/>
  <c r="I158" i="1"/>
  <c r="I170" i="1"/>
  <c r="C102" i="3" s="1"/>
  <c r="I211" i="1"/>
  <c r="I217" i="1"/>
  <c r="AV9" i="5"/>
  <c r="I148" i="1"/>
  <c r="I196" i="1"/>
  <c r="C117" i="3" s="1"/>
  <c r="T22" i="5"/>
  <c r="AL22" i="5" s="1"/>
  <c r="I202" i="1"/>
  <c r="I306" i="1"/>
  <c r="AA18" i="5"/>
  <c r="AN18" i="5" s="1"/>
  <c r="S7" i="5"/>
  <c r="J18" i="5"/>
  <c r="I85" i="1"/>
  <c r="C48" i="3" s="1"/>
  <c r="S18" i="5"/>
  <c r="AG11" i="5"/>
  <c r="AP11" i="5" s="1"/>
  <c r="S22" i="5"/>
  <c r="J31" i="5"/>
  <c r="K32" i="5"/>
  <c r="AK32" i="5" s="1"/>
  <c r="J33" i="5"/>
  <c r="AG12" i="5"/>
  <c r="AP12" i="5" s="1"/>
  <c r="J16" i="5"/>
  <c r="J28" i="5"/>
  <c r="S38" i="5"/>
  <c r="S11" i="5"/>
  <c r="S23" i="5"/>
  <c r="S24" i="5"/>
  <c r="J36" i="5"/>
  <c r="AG10" i="5"/>
  <c r="AP10" i="5" s="1"/>
  <c r="S14" i="5"/>
  <c r="K10" i="5"/>
  <c r="K37" i="5"/>
  <c r="AK37" i="5" s="1"/>
  <c r="AV7" i="5"/>
  <c r="S19" i="5"/>
  <c r="K27" i="5"/>
  <c r="AF27" i="5" s="1"/>
  <c r="AJ30" i="5"/>
  <c r="J32" i="5"/>
  <c r="K34" i="5"/>
  <c r="AK34" i="5" s="1"/>
  <c r="S34" i="5"/>
  <c r="S39" i="5"/>
  <c r="S9" i="5"/>
  <c r="S12" i="5"/>
  <c r="J13" i="5"/>
  <c r="S13" i="5"/>
  <c r="J19" i="5"/>
  <c r="K39" i="5"/>
  <c r="AS6" i="5"/>
  <c r="S10" i="5"/>
  <c r="J11" i="5"/>
  <c r="K20" i="5"/>
  <c r="AK20" i="5" s="1"/>
  <c r="J30" i="5"/>
  <c r="K35" i="5"/>
  <c r="K9" i="5"/>
  <c r="K13" i="5"/>
  <c r="AF13" i="5" s="1"/>
  <c r="AG13" i="5" s="1"/>
  <c r="AP13" i="5" s="1"/>
  <c r="K14" i="5"/>
  <c r="AK14" i="5" s="1"/>
  <c r="S32" i="5"/>
  <c r="J37" i="5"/>
  <c r="K7" i="5"/>
  <c r="AK7" i="5" s="1"/>
  <c r="J24" i="5"/>
  <c r="J20" i="5"/>
  <c r="S25" i="5"/>
  <c r="S26" i="5"/>
  <c r="S29" i="5"/>
  <c r="E42" i="3"/>
  <c r="D42" i="3"/>
  <c r="C7" i="3"/>
  <c r="G7" i="3" s="1"/>
  <c r="G8" i="3" s="1"/>
  <c r="AJ22" i="5"/>
  <c r="E23" i="5"/>
  <c r="I127" i="1"/>
  <c r="C74" i="3" s="1"/>
  <c r="E88" i="3"/>
  <c r="AJ13" i="5"/>
  <c r="I118" i="1"/>
  <c r="E67" i="3" s="1"/>
  <c r="E76" i="3"/>
  <c r="D76" i="3"/>
  <c r="I275" i="1"/>
  <c r="E159" i="3" s="1"/>
  <c r="F279" i="1"/>
  <c r="I307" i="1"/>
  <c r="I49" i="1"/>
  <c r="E20" i="5"/>
  <c r="I95" i="1"/>
  <c r="C53" i="3" s="1"/>
  <c r="D27" i="3"/>
  <c r="I45" i="1"/>
  <c r="E28" i="3" s="1"/>
  <c r="J19" i="2"/>
  <c r="AJ18" i="5"/>
  <c r="AA19" i="5"/>
  <c r="AN19" i="5" s="1"/>
  <c r="I83" i="1"/>
  <c r="I101" i="1"/>
  <c r="I142" i="1"/>
  <c r="C83" i="3" s="1"/>
  <c r="AJ26" i="5"/>
  <c r="AA26" i="5"/>
  <c r="AN26" i="5" s="1"/>
  <c r="I179" i="1"/>
  <c r="T28" i="5"/>
  <c r="AL28" i="5" s="1"/>
  <c r="E121" i="3"/>
  <c r="D121" i="3"/>
  <c r="T30" i="5"/>
  <c r="AL30" i="5" s="1"/>
  <c r="AN34" i="5"/>
  <c r="AA37" i="5"/>
  <c r="AN37" i="5" s="1"/>
  <c r="I284" i="1"/>
  <c r="A6" i="2"/>
  <c r="AN20" i="5"/>
  <c r="E66" i="3"/>
  <c r="D66" i="3"/>
  <c r="D92" i="3"/>
  <c r="E92" i="3"/>
  <c r="T21" i="5"/>
  <c r="AL21" i="5" s="1"/>
  <c r="I106" i="1"/>
  <c r="I138" i="1"/>
  <c r="E31" i="5"/>
  <c r="I212" i="1"/>
  <c r="C127" i="3" s="1"/>
  <c r="T25" i="5"/>
  <c r="AL25" i="5" s="1"/>
  <c r="I159" i="1"/>
  <c r="E93" i="3" s="1"/>
  <c r="D37" i="5"/>
  <c r="F161" i="3"/>
  <c r="I9" i="1"/>
  <c r="C10" i="3" s="1"/>
  <c r="I14" i="1"/>
  <c r="E14" i="5"/>
  <c r="I19" i="1"/>
  <c r="C15" i="3" s="1"/>
  <c r="T17" i="5"/>
  <c r="AL17" i="5" s="1"/>
  <c r="I60" i="1"/>
  <c r="C36" i="3" s="1"/>
  <c r="AJ15" i="5"/>
  <c r="I56" i="1"/>
  <c r="E34" i="3" s="1"/>
  <c r="I65" i="1"/>
  <c r="T29" i="5"/>
  <c r="AL29" i="5" s="1"/>
  <c r="E124" i="3"/>
  <c r="AJ25" i="5"/>
  <c r="T26" i="5"/>
  <c r="AL26" i="5" s="1"/>
  <c r="I171" i="1"/>
  <c r="E103" i="3" s="1"/>
  <c r="E107" i="3"/>
  <c r="I203" i="1"/>
  <c r="E122" i="3" s="1"/>
  <c r="D129" i="3"/>
  <c r="E129" i="3"/>
  <c r="T34" i="5"/>
  <c r="E164" i="3"/>
  <c r="I300" i="1"/>
  <c r="T39" i="5"/>
  <c r="A5" i="2"/>
  <c r="A7" i="2"/>
  <c r="T15" i="5"/>
  <c r="AL15" i="5" s="1"/>
  <c r="I35" i="1"/>
  <c r="E23" i="3" s="1"/>
  <c r="I90" i="1"/>
  <c r="I219" i="1"/>
  <c r="E131" i="3" s="1"/>
  <c r="E135" i="3"/>
  <c r="D135" i="3"/>
  <c r="E158" i="3"/>
  <c r="D158" i="3"/>
  <c r="AJ17" i="5"/>
  <c r="T20" i="5"/>
  <c r="I91" i="1"/>
  <c r="E52" i="3" s="1"/>
  <c r="I109" i="1"/>
  <c r="C63" i="3" s="1"/>
  <c r="J29" i="2"/>
  <c r="J39" i="2" s="1"/>
  <c r="AN13" i="5"/>
  <c r="I50" i="1"/>
  <c r="C31" i="3" s="1"/>
  <c r="AA17" i="5"/>
  <c r="AN17" i="5" s="1"/>
  <c r="I55" i="1"/>
  <c r="T13" i="5"/>
  <c r="I15" i="1"/>
  <c r="E13" i="3" s="1"/>
  <c r="I24" i="1"/>
  <c r="T23" i="5"/>
  <c r="AL23" i="5" s="1"/>
  <c r="E24" i="5"/>
  <c r="I143" i="1"/>
  <c r="C85" i="3" s="1"/>
  <c r="E112" i="3"/>
  <c r="D148" i="3"/>
  <c r="E148" i="3"/>
  <c r="T14" i="5"/>
  <c r="AL14" i="5" s="1"/>
  <c r="I29" i="1"/>
  <c r="C20" i="3" s="1"/>
  <c r="T18" i="5"/>
  <c r="AL18" i="5" s="1"/>
  <c r="I70" i="1"/>
  <c r="T19" i="5"/>
  <c r="AL19" i="5" s="1"/>
  <c r="I75" i="1"/>
  <c r="E44" i="3" s="1"/>
  <c r="I102" i="1"/>
  <c r="E58" i="3" s="1"/>
  <c r="I134" i="1"/>
  <c r="E78" i="3" s="1"/>
  <c r="E87" i="3"/>
  <c r="D87" i="3"/>
  <c r="I25" i="1"/>
  <c r="E18" i="3" s="1"/>
  <c r="I34" i="1"/>
  <c r="E16" i="5"/>
  <c r="I39" i="1"/>
  <c r="C25" i="3" s="1"/>
  <c r="I66" i="1"/>
  <c r="E39" i="3" s="1"/>
  <c r="AJ19" i="5"/>
  <c r="D65" i="3"/>
  <c r="E65" i="3"/>
  <c r="T24" i="5"/>
  <c r="AL24" i="5" s="1"/>
  <c r="I153" i="1"/>
  <c r="C90" i="3" s="1"/>
  <c r="AC25" i="5"/>
  <c r="I167" i="1"/>
  <c r="AJ32" i="5"/>
  <c r="AF32" i="5"/>
  <c r="AO32" i="5" s="1"/>
  <c r="I241" i="1"/>
  <c r="I256" i="1"/>
  <c r="E149" i="3" s="1"/>
  <c r="T35" i="5"/>
  <c r="AL35" i="5" s="1"/>
  <c r="I264" i="1"/>
  <c r="E154" i="3" s="1"/>
  <c r="T38" i="5"/>
  <c r="AL38" i="5" s="1"/>
  <c r="I305" i="1"/>
  <c r="I311" i="1"/>
  <c r="T33" i="5"/>
  <c r="AL33" i="5" s="1"/>
  <c r="I242" i="1"/>
  <c r="E142" i="3" s="1"/>
  <c r="E173" i="3"/>
  <c r="K6" i="5"/>
  <c r="J6" i="5"/>
  <c r="AK13" i="5"/>
  <c r="AN28" i="5"/>
  <c r="AW9" i="5"/>
  <c r="AC28" i="5"/>
  <c r="T32" i="5"/>
  <c r="AL32" i="5" s="1"/>
  <c r="AJ21" i="5"/>
  <c r="AA22" i="5"/>
  <c r="AN22" i="5" s="1"/>
  <c r="L25" i="5"/>
  <c r="T27" i="5"/>
  <c r="I188" i="1"/>
  <c r="I192" i="1"/>
  <c r="E136" i="3"/>
  <c r="T37" i="5"/>
  <c r="AL37" i="5" s="1"/>
  <c r="AC37" i="5"/>
  <c r="D38" i="5"/>
  <c r="F170" i="3"/>
  <c r="AY6" i="5"/>
  <c r="K8" i="5"/>
  <c r="J8" i="5"/>
  <c r="AL6" i="5"/>
  <c r="AU6" i="5"/>
  <c r="J7" i="5"/>
  <c r="AK10" i="5"/>
  <c r="AF10" i="5"/>
  <c r="AO10" i="5" s="1"/>
  <c r="S8" i="5"/>
  <c r="K11" i="5"/>
  <c r="AK11" i="5" s="1"/>
  <c r="K12" i="5"/>
  <c r="AK12" i="5" s="1"/>
  <c r="J12" i="5"/>
  <c r="AO27" i="5"/>
  <c r="J14" i="5"/>
  <c r="J21" i="5"/>
  <c r="K22" i="5"/>
  <c r="AK22" i="5" s="1"/>
  <c r="J22" i="5"/>
  <c r="AF11" i="5"/>
  <c r="AO11" i="5" s="1"/>
  <c r="AJ9" i="5"/>
  <c r="AJ6" i="5"/>
  <c r="AG6" i="5"/>
  <c r="AP6" i="5" s="1"/>
  <c r="AV6" i="5"/>
  <c r="AV11" i="5" s="1"/>
  <c r="AM6" i="5"/>
  <c r="AG7" i="5"/>
  <c r="AP7" i="5" s="1"/>
  <c r="J9" i="5"/>
  <c r="J10" i="5"/>
  <c r="J23" i="5"/>
  <c r="S6" i="5"/>
  <c r="AW6" i="5"/>
  <c r="AJ8" i="5"/>
  <c r="AG8" i="5"/>
  <c r="AP8" i="5" s="1"/>
  <c r="K17" i="5"/>
  <c r="AK17" i="5" s="1"/>
  <c r="J17" i="5"/>
  <c r="K15" i="5"/>
  <c r="AK15" i="5" s="1"/>
  <c r="S15" i="5"/>
  <c r="K25" i="5"/>
  <c r="AK25" i="5" s="1"/>
  <c r="K26" i="5"/>
  <c r="AK26" i="5" s="1"/>
  <c r="AK27" i="5"/>
  <c r="K29" i="5"/>
  <c r="K38" i="5"/>
  <c r="AK38" i="5" s="1"/>
  <c r="J38" i="5"/>
  <c r="S20" i="5"/>
  <c r="S27" i="5"/>
  <c r="K30" i="5"/>
  <c r="S35" i="5"/>
  <c r="K16" i="5"/>
  <c r="AK16" i="5" s="1"/>
  <c r="S16" i="5"/>
  <c r="S30" i="5"/>
  <c r="J15" i="5"/>
  <c r="J25" i="5"/>
  <c r="J26" i="5"/>
  <c r="J29" i="5"/>
  <c r="K31" i="5"/>
  <c r="AK31" i="5" s="1"/>
  <c r="S31" i="5"/>
  <c r="J34" i="5"/>
  <c r="K21" i="5"/>
  <c r="AF21" i="5" s="1"/>
  <c r="J27" i="5"/>
  <c r="K28" i="5"/>
  <c r="S28" i="5"/>
  <c r="K33" i="5"/>
  <c r="J35" i="5"/>
  <c r="K36" i="5"/>
  <c r="S36" i="5"/>
  <c r="S17" i="5"/>
  <c r="K19" i="5"/>
  <c r="AK19" i="5" s="1"/>
  <c r="S21" i="5"/>
  <c r="K23" i="5"/>
  <c r="AK23" i="5" s="1"/>
  <c r="K24" i="5"/>
  <c r="AK24" i="5" s="1"/>
  <c r="S33" i="5"/>
  <c r="S37" i="5"/>
  <c r="AG27" i="5"/>
  <c r="AP27" i="5" s="1"/>
  <c r="AG35" i="5"/>
  <c r="AP35" i="5" s="1"/>
  <c r="J39" i="5"/>
  <c r="AF34" i="5" l="1"/>
  <c r="AG34" i="5" s="1"/>
  <c r="AP34" i="5" s="1"/>
  <c r="AF7" i="5"/>
  <c r="AO7" i="5" s="1"/>
  <c r="A8" i="2"/>
  <c r="J60" i="2"/>
  <c r="J50" i="2"/>
  <c r="A10" i="2" s="1"/>
  <c r="AF18" i="5"/>
  <c r="AO18" i="5" s="1"/>
  <c r="AG32" i="5"/>
  <c r="AP32" i="5" s="1"/>
  <c r="AK9" i="5"/>
  <c r="AF9" i="5"/>
  <c r="AO9" i="5" s="1"/>
  <c r="AF35" i="5"/>
  <c r="AO35" i="5" s="1"/>
  <c r="AK35" i="5"/>
  <c r="AF15" i="5"/>
  <c r="AO21" i="5"/>
  <c r="AG21" i="5"/>
  <c r="AP21" i="5" s="1"/>
  <c r="AT6" i="5"/>
  <c r="AK6" i="5"/>
  <c r="AF6" i="5"/>
  <c r="B6" i="2"/>
  <c r="U13" i="5" s="1"/>
  <c r="E6" i="2"/>
  <c r="X13" i="5" s="1"/>
  <c r="D6" i="2"/>
  <c r="W13" i="5" s="1"/>
  <c r="C6" i="2"/>
  <c r="V13" i="5" s="1"/>
  <c r="F6" i="2"/>
  <c r="AE13" i="5" s="1"/>
  <c r="E111" i="3"/>
  <c r="D111" i="3"/>
  <c r="E33" i="3"/>
  <c r="D33" i="3"/>
  <c r="B7" i="2"/>
  <c r="U14" i="5" s="1"/>
  <c r="D7" i="2"/>
  <c r="W14" i="5" s="1"/>
  <c r="C7" i="2"/>
  <c r="V14" i="5" s="1"/>
  <c r="E7" i="2"/>
  <c r="X14" i="5" s="1"/>
  <c r="F7" i="2"/>
  <c r="AE14" i="5" s="1"/>
  <c r="A9" i="2"/>
  <c r="AJ31" i="5"/>
  <c r="AF31" i="5"/>
  <c r="AO31" i="5" s="1"/>
  <c r="AS9" i="5"/>
  <c r="AW8" i="5"/>
  <c r="AW10" i="5"/>
  <c r="AF26" i="5"/>
  <c r="AJ20" i="5"/>
  <c r="AF20" i="5"/>
  <c r="AS8" i="5"/>
  <c r="AL27" i="5"/>
  <c r="AU9" i="5"/>
  <c r="AJ16" i="5"/>
  <c r="AF16" i="5"/>
  <c r="AO16" i="5" s="1"/>
  <c r="AL20" i="5"/>
  <c r="AU8" i="5"/>
  <c r="D5" i="2"/>
  <c r="W12" i="5" s="1"/>
  <c r="C5" i="2"/>
  <c r="V12" i="5" s="1"/>
  <c r="E5" i="2"/>
  <c r="X12" i="5" s="1"/>
  <c r="B5" i="2"/>
  <c r="F5" i="2"/>
  <c r="AE12" i="5" s="1"/>
  <c r="AU7" i="5"/>
  <c r="AL13" i="5"/>
  <c r="AK33" i="5"/>
  <c r="AF33" i="5"/>
  <c r="AO34" i="5"/>
  <c r="AK28" i="5"/>
  <c r="AF28" i="5"/>
  <c r="AT9" i="5"/>
  <c r="AT7" i="5"/>
  <c r="D62" i="3"/>
  <c r="AF30" i="5"/>
  <c r="AO30" i="5" s="1"/>
  <c r="AK30" i="5"/>
  <c r="E141" i="3"/>
  <c r="D141" i="3"/>
  <c r="D22" i="3"/>
  <c r="E22" i="3"/>
  <c r="AF17" i="5"/>
  <c r="E51" i="3"/>
  <c r="D51" i="3"/>
  <c r="AS7" i="5"/>
  <c r="AJ24" i="5"/>
  <c r="AF24" i="5"/>
  <c r="AW7" i="5"/>
  <c r="D172" i="3"/>
  <c r="E172" i="3"/>
  <c r="E38" i="3"/>
  <c r="D38" i="3"/>
  <c r="AF14" i="5"/>
  <c r="AJ14" i="5"/>
  <c r="AF38" i="5"/>
  <c r="A11" i="2"/>
  <c r="AJ23" i="5"/>
  <c r="AF23" i="5"/>
  <c r="AO23" i="5" s="1"/>
  <c r="G10" i="3"/>
  <c r="G11" i="3" s="1"/>
  <c r="G12" i="3" s="1"/>
  <c r="G13" i="3" s="1"/>
  <c r="G6" i="3"/>
  <c r="AF19" i="5"/>
  <c r="AF25" i="5"/>
  <c r="D12" i="3"/>
  <c r="E12" i="3"/>
  <c r="E57" i="3"/>
  <c r="D57" i="3"/>
  <c r="D24" i="3"/>
  <c r="E163" i="3"/>
  <c r="D163" i="3"/>
  <c r="E105" i="3"/>
  <c r="D105" i="3"/>
  <c r="AK36" i="5"/>
  <c r="AF36" i="5"/>
  <c r="AT10" i="5"/>
  <c r="AK29" i="5"/>
  <c r="AF29" i="5"/>
  <c r="AK8" i="5"/>
  <c r="AF8" i="5"/>
  <c r="AO8" i="5" s="1"/>
  <c r="F8" i="2"/>
  <c r="AE15" i="5" s="1"/>
  <c r="C8" i="2"/>
  <c r="V15" i="5" s="1"/>
  <c r="B8" i="2"/>
  <c r="E8" i="2"/>
  <c r="X15" i="5" s="1"/>
  <c r="D8" i="2"/>
  <c r="W15" i="5" s="1"/>
  <c r="AT8" i="5"/>
  <c r="AK21" i="5"/>
  <c r="AF12" i="5"/>
  <c r="AO12" i="5" s="1"/>
  <c r="D17" i="3"/>
  <c r="E17" i="3"/>
  <c r="AL34" i="5"/>
  <c r="AU10" i="5"/>
  <c r="E46" i="3"/>
  <c r="D46" i="3"/>
  <c r="E37" i="5"/>
  <c r="I279" i="1"/>
  <c r="E62" i="3" s="1"/>
  <c r="AO13" i="5"/>
  <c r="AF22" i="5"/>
  <c r="C43" i="3"/>
  <c r="E151" i="3"/>
  <c r="D10" i="2" l="1"/>
  <c r="W17" i="5" s="1"/>
  <c r="F10" i="2"/>
  <c r="AE17" i="5" s="1"/>
  <c r="E10" i="2"/>
  <c r="X17" i="5" s="1"/>
  <c r="B10" i="2"/>
  <c r="C10" i="2"/>
  <c r="C9" i="3"/>
  <c r="E169" i="3"/>
  <c r="D73" i="3"/>
  <c r="C35" i="3"/>
  <c r="F69" i="3"/>
  <c r="D35" i="3"/>
  <c r="D9" i="3"/>
  <c r="C101" i="3"/>
  <c r="F94" i="3"/>
  <c r="C73" i="3"/>
  <c r="F95" i="3"/>
  <c r="E30" i="3"/>
  <c r="C49" i="3"/>
  <c r="E84" i="3"/>
  <c r="D157" i="3"/>
  <c r="C19" i="3"/>
  <c r="F68" i="3"/>
  <c r="E160" i="3"/>
  <c r="D6" i="3"/>
  <c r="C84" i="3"/>
  <c r="D118" i="3"/>
  <c r="D140" i="3"/>
  <c r="E54" i="3"/>
  <c r="D151" i="3"/>
  <c r="C108" i="3"/>
  <c r="D144" i="3"/>
  <c r="E14" i="3"/>
  <c r="D110" i="3"/>
  <c r="D162" i="3"/>
  <c r="F80" i="3"/>
  <c r="E9" i="3"/>
  <c r="C138" i="3"/>
  <c r="C106" i="3"/>
  <c r="F106" i="3" s="1"/>
  <c r="C126" i="3"/>
  <c r="D104" i="3"/>
  <c r="J75" i="2"/>
  <c r="J86" i="2" s="1"/>
  <c r="C54" i="3"/>
  <c r="C30" i="3"/>
  <c r="AX7" i="5"/>
  <c r="AY7" i="5" s="1"/>
  <c r="C160" i="3"/>
  <c r="C151" i="3"/>
  <c r="F151" i="3" s="1"/>
  <c r="C155" i="3"/>
  <c r="E132" i="3"/>
  <c r="E106" i="3"/>
  <c r="E89" i="3"/>
  <c r="D54" i="3"/>
  <c r="E43" i="3"/>
  <c r="D56" i="3"/>
  <c r="D30" i="3"/>
  <c r="E138" i="3"/>
  <c r="C62" i="3"/>
  <c r="F62" i="3" s="1"/>
  <c r="D26" i="3"/>
  <c r="F83" i="3"/>
  <c r="F97" i="3"/>
  <c r="D45" i="3"/>
  <c r="E35" i="3"/>
  <c r="D169" i="3"/>
  <c r="H7" i="2"/>
  <c r="D126" i="3"/>
  <c r="D11" i="3"/>
  <c r="F96" i="3"/>
  <c r="D37" i="3"/>
  <c r="D84" i="3"/>
  <c r="F84" i="3" s="1"/>
  <c r="D147" i="3"/>
  <c r="E6" i="3"/>
  <c r="AG18" i="5"/>
  <c r="AP18" i="5" s="1"/>
  <c r="AW11" i="5"/>
  <c r="AU11" i="5"/>
  <c r="AO15" i="5"/>
  <c r="AG15" i="5"/>
  <c r="AP15" i="5" s="1"/>
  <c r="AG31" i="5"/>
  <c r="AP31" i="5" s="1"/>
  <c r="G5" i="2"/>
  <c r="Y12" i="5" s="1"/>
  <c r="AO24" i="5"/>
  <c r="AG24" i="5"/>
  <c r="AP24" i="5" s="1"/>
  <c r="A13" i="2"/>
  <c r="G8" i="2"/>
  <c r="Y15" i="5" s="1"/>
  <c r="U15" i="5"/>
  <c r="G7" i="2"/>
  <c r="Y14" i="5" s="1"/>
  <c r="AO22" i="5"/>
  <c r="AG22" i="5"/>
  <c r="AP22" i="5" s="1"/>
  <c r="B11" i="2"/>
  <c r="U18" i="5" s="1"/>
  <c r="E11" i="2"/>
  <c r="X18" i="5" s="1"/>
  <c r="D11" i="2"/>
  <c r="W18" i="5" s="1"/>
  <c r="H11" i="2"/>
  <c r="F11" i="2"/>
  <c r="AE18" i="5" s="1"/>
  <c r="C11" i="2"/>
  <c r="V18" i="5" s="1"/>
  <c r="AO19" i="5"/>
  <c r="AG19" i="5"/>
  <c r="AP19" i="5" s="1"/>
  <c r="U12" i="5"/>
  <c r="AG28" i="5"/>
  <c r="AP28" i="5" s="1"/>
  <c r="AO28" i="5"/>
  <c r="AX9" i="5"/>
  <c r="AY9" i="5" s="1"/>
  <c r="AO20" i="5"/>
  <c r="AX8" i="5"/>
  <c r="AY8" i="5" s="1"/>
  <c r="AG20" i="5"/>
  <c r="AP20" i="5" s="1"/>
  <c r="AO14" i="5"/>
  <c r="AG14" i="5"/>
  <c r="AP14" i="5" s="1"/>
  <c r="AO17" i="5"/>
  <c r="AG17" i="5"/>
  <c r="AP17" i="5" s="1"/>
  <c r="AG29" i="5"/>
  <c r="AP29" i="5" s="1"/>
  <c r="AO29" i="5"/>
  <c r="AO38" i="5"/>
  <c r="AG38" i="5"/>
  <c r="AP38" i="5" s="1"/>
  <c r="AO25" i="5"/>
  <c r="AG25" i="5"/>
  <c r="AP25" i="5" s="1"/>
  <c r="D138" i="3"/>
  <c r="D89" i="3"/>
  <c r="E101" i="3"/>
  <c r="AG33" i="5"/>
  <c r="AP33" i="5" s="1"/>
  <c r="AO33" i="5"/>
  <c r="C24" i="3"/>
  <c r="F24" i="3" s="1"/>
  <c r="C144" i="3"/>
  <c r="D171" i="3"/>
  <c r="D64" i="3"/>
  <c r="AX6" i="5"/>
  <c r="AO6" i="5"/>
  <c r="E155" i="3"/>
  <c r="G6" i="2"/>
  <c r="Y13" i="5" s="1"/>
  <c r="D14" i="3"/>
  <c r="AT11" i="5"/>
  <c r="D120" i="3"/>
  <c r="H10" i="2"/>
  <c r="D160" i="3"/>
  <c r="D155" i="3"/>
  <c r="D91" i="3"/>
  <c r="C89" i="3"/>
  <c r="E144" i="3"/>
  <c r="D16" i="3"/>
  <c r="C14" i="3"/>
  <c r="D32" i="3"/>
  <c r="H5" i="2"/>
  <c r="D21" i="3"/>
  <c r="C132" i="3"/>
  <c r="D75" i="3"/>
  <c r="AO26" i="5"/>
  <c r="AG26" i="5"/>
  <c r="AP26" i="5" s="1"/>
  <c r="F9" i="2"/>
  <c r="AE16" i="5" s="1"/>
  <c r="E9" i="2"/>
  <c r="X16" i="5" s="1"/>
  <c r="D9" i="2"/>
  <c r="W16" i="5" s="1"/>
  <c r="C9" i="2"/>
  <c r="V16" i="5" s="1"/>
  <c r="B9" i="2"/>
  <c r="U16" i="5" s="1"/>
  <c r="H9" i="2"/>
  <c r="D50" i="3"/>
  <c r="F72" i="3"/>
  <c r="E126" i="3"/>
  <c r="AG36" i="5"/>
  <c r="AP36" i="5" s="1"/>
  <c r="AO36" i="5"/>
  <c r="G15" i="3"/>
  <c r="G16" i="3" s="1"/>
  <c r="G17" i="3" s="1"/>
  <c r="G18" i="3" s="1"/>
  <c r="G9" i="3"/>
  <c r="C161" i="3"/>
  <c r="F116" i="3"/>
  <c r="E118" i="3"/>
  <c r="D49" i="3"/>
  <c r="F49" i="3" s="1"/>
  <c r="D101" i="3"/>
  <c r="F101" i="3" s="1"/>
  <c r="D128" i="3"/>
  <c r="C169" i="3"/>
  <c r="F169" i="3" s="1"/>
  <c r="E108" i="3"/>
  <c r="E49" i="3"/>
  <c r="D86" i="3"/>
  <c r="D43" i="3"/>
  <c r="F43" i="3" s="1"/>
  <c r="AJ37" i="5"/>
  <c r="AF37" i="5"/>
  <c r="AO37" i="5" s="1"/>
  <c r="AS10" i="5"/>
  <c r="AS11" i="5" s="1"/>
  <c r="H8" i="2"/>
  <c r="D123" i="3"/>
  <c r="C123" i="3"/>
  <c r="F123" i="3" s="1"/>
  <c r="C118" i="3"/>
  <c r="F118" i="3" s="1"/>
  <c r="AG23" i="5"/>
  <c r="AP23" i="5" s="1"/>
  <c r="E73" i="3"/>
  <c r="E24" i="3"/>
  <c r="D19" i="3"/>
  <c r="F19" i="3" s="1"/>
  <c r="F117" i="3"/>
  <c r="D108" i="3"/>
  <c r="F108" i="3" s="1"/>
  <c r="V17" i="5"/>
  <c r="U17" i="5"/>
  <c r="D134" i="3"/>
  <c r="AG16" i="5"/>
  <c r="AP16" i="5" s="1"/>
  <c r="D132" i="3"/>
  <c r="E19" i="3"/>
  <c r="C6" i="3"/>
  <c r="F6" i="3" s="1"/>
  <c r="H6" i="2"/>
  <c r="E123" i="3"/>
  <c r="D106" i="3"/>
  <c r="F126" i="3" l="1"/>
  <c r="F73" i="3"/>
  <c r="F144" i="3"/>
  <c r="F155" i="3"/>
  <c r="F30" i="3"/>
  <c r="F138" i="3"/>
  <c r="F89" i="3"/>
  <c r="G10" i="2"/>
  <c r="Y17" i="5" s="1"/>
  <c r="F9" i="3"/>
  <c r="A12" i="2"/>
  <c r="J109" i="2"/>
  <c r="F54" i="3"/>
  <c r="J96" i="2"/>
  <c r="A14" i="2" s="1"/>
  <c r="D14" i="2" s="1"/>
  <c r="W21" i="5" s="1"/>
  <c r="F35" i="3"/>
  <c r="F160" i="3"/>
  <c r="AG37" i="5"/>
  <c r="AP37" i="5" s="1"/>
  <c r="G11" i="2"/>
  <c r="Y18" i="5" s="1"/>
  <c r="G20" i="3"/>
  <c r="G21" i="3" s="1"/>
  <c r="G22" i="3" s="1"/>
  <c r="G23" i="3" s="1"/>
  <c r="G14" i="3"/>
  <c r="F132" i="3"/>
  <c r="J127" i="2"/>
  <c r="J143" i="2" s="1"/>
  <c r="J153" i="2" s="1"/>
  <c r="F13" i="2"/>
  <c r="AE20" i="5" s="1"/>
  <c r="B13" i="2"/>
  <c r="U20" i="5" s="1"/>
  <c r="H13" i="2"/>
  <c r="D13" i="2"/>
  <c r="W20" i="5" s="1"/>
  <c r="E13" i="2"/>
  <c r="X20" i="5" s="1"/>
  <c r="C13" i="2"/>
  <c r="V20" i="5" s="1"/>
  <c r="H14" i="2"/>
  <c r="E14" i="2"/>
  <c r="X21" i="5" s="1"/>
  <c r="F14" i="2"/>
  <c r="AE21" i="5" s="1"/>
  <c r="C14" i="2"/>
  <c r="V21" i="5" s="1"/>
  <c r="G9" i="2"/>
  <c r="Y16" i="5" s="1"/>
  <c r="AX10" i="5"/>
  <c r="AX11" i="5" s="1"/>
  <c r="AY11" i="5" s="1"/>
  <c r="A16" i="2"/>
  <c r="F14" i="3"/>
  <c r="B14" i="2" l="1"/>
  <c r="A15" i="2"/>
  <c r="C12" i="2"/>
  <c r="V19" i="5" s="1"/>
  <c r="B12" i="2"/>
  <c r="F12" i="2"/>
  <c r="AE19" i="5" s="1"/>
  <c r="E12" i="2"/>
  <c r="X19" i="5" s="1"/>
  <c r="D12" i="2"/>
  <c r="W19" i="5" s="1"/>
  <c r="H12" i="2"/>
  <c r="G14" i="2"/>
  <c r="Y21" i="5" s="1"/>
  <c r="AY10" i="5"/>
  <c r="A18" i="2"/>
  <c r="G13" i="2"/>
  <c r="Y20" i="5" s="1"/>
  <c r="G25" i="3"/>
  <c r="G26" i="3" s="1"/>
  <c r="G27" i="3" s="1"/>
  <c r="G28" i="3" s="1"/>
  <c r="G29" i="3" s="1"/>
  <c r="G19" i="3"/>
  <c r="J170" i="2"/>
  <c r="B15" i="2"/>
  <c r="U22" i="5" s="1"/>
  <c r="H15" i="2"/>
  <c r="D15" i="2"/>
  <c r="W22" i="5" s="1"/>
  <c r="F15" i="2"/>
  <c r="AE22" i="5" s="1"/>
  <c r="E15" i="2"/>
  <c r="X22" i="5" s="1"/>
  <c r="C15" i="2"/>
  <c r="V22" i="5" s="1"/>
  <c r="H16" i="2"/>
  <c r="F16" i="2"/>
  <c r="AE23" i="5" s="1"/>
  <c r="C16" i="2"/>
  <c r="V23" i="5" s="1"/>
  <c r="E16" i="2"/>
  <c r="B16" i="2"/>
  <c r="U23" i="5" s="1"/>
  <c r="D16" i="2"/>
  <c r="W23" i="5" s="1"/>
  <c r="J180" i="2"/>
  <c r="U21" i="5"/>
  <c r="A17" i="2"/>
  <c r="G12" i="2" l="1"/>
  <c r="Y19" i="5" s="1"/>
  <c r="U19" i="5"/>
  <c r="G31" i="3"/>
  <c r="G32" i="3" s="1"/>
  <c r="G33" i="3" s="1"/>
  <c r="G34" i="3" s="1"/>
  <c r="G24" i="3"/>
  <c r="F17" i="2"/>
  <c r="AE24" i="5" s="1"/>
  <c r="E17" i="2"/>
  <c r="X24" i="5" s="1"/>
  <c r="B17" i="2"/>
  <c r="U24" i="5" s="1"/>
  <c r="D17" i="2"/>
  <c r="W24" i="5" s="1"/>
  <c r="H17" i="2"/>
  <c r="C17" i="2"/>
  <c r="G15" i="2"/>
  <c r="Y22" i="5" s="1"/>
  <c r="G16" i="2"/>
  <c r="Y23" i="5" s="1"/>
  <c r="D18" i="2"/>
  <c r="F18" i="2"/>
  <c r="AE25" i="5" s="1"/>
  <c r="E18" i="2"/>
  <c r="C18" i="2"/>
  <c r="V25" i="5" s="1"/>
  <c r="B18" i="2"/>
  <c r="U25" i="5" s="1"/>
  <c r="H18" i="2"/>
  <c r="J183" i="2"/>
  <c r="G30" i="3" l="1"/>
  <c r="G36" i="3"/>
  <c r="G37" i="3" s="1"/>
  <c r="G38" i="3" s="1"/>
  <c r="G39" i="3" s="1"/>
  <c r="G40" i="3" s="1"/>
  <c r="G41" i="3" s="1"/>
  <c r="G42" i="3" s="1"/>
  <c r="J197" i="2"/>
  <c r="J207" i="2" s="1"/>
  <c r="J212" i="2" s="1"/>
  <c r="J223" i="2" s="1"/>
  <c r="J234" i="2" s="1"/>
  <c r="J244" i="2" s="1"/>
  <c r="J254" i="2" s="1"/>
  <c r="J259" i="2" s="1"/>
  <c r="J270" i="2" s="1"/>
  <c r="J276" i="2" s="1"/>
  <c r="J287" i="2" s="1"/>
  <c r="A21" i="2"/>
  <c r="G18" i="2"/>
  <c r="Y25" i="5" s="1"/>
  <c r="G17" i="2"/>
  <c r="F21" i="2" l="1"/>
  <c r="B21" i="2"/>
  <c r="H21" i="2"/>
  <c r="E21" i="2"/>
  <c r="D21" i="2"/>
  <c r="C21" i="2"/>
  <c r="A46" i="2"/>
  <c r="A36" i="2"/>
  <c r="A25" i="2"/>
  <c r="A41" i="2"/>
  <c r="A35" i="2"/>
  <c r="A24" i="2"/>
  <c r="A19" i="2"/>
  <c r="A44" i="2"/>
  <c r="A56" i="2"/>
  <c r="A29" i="2"/>
  <c r="A53" i="2"/>
  <c r="A58" i="2"/>
  <c r="A27" i="2"/>
  <c r="A57" i="2"/>
  <c r="A61" i="2"/>
  <c r="A51" i="2"/>
  <c r="A37" i="2"/>
  <c r="A31" i="2"/>
  <c r="A55" i="2"/>
  <c r="A42" i="2"/>
  <c r="A67" i="2"/>
  <c r="A64" i="2"/>
  <c r="A30" i="2"/>
  <c r="A60" i="2"/>
  <c r="A54" i="2"/>
  <c r="A26" i="2"/>
  <c r="A63" i="2"/>
  <c r="A22" i="2"/>
  <c r="A33" i="2"/>
  <c r="A62" i="2"/>
  <c r="A43" i="2"/>
  <c r="A47" i="2"/>
  <c r="A49" i="2"/>
  <c r="A68" i="2"/>
  <c r="A34" i="2"/>
  <c r="A40" i="2"/>
  <c r="A52" i="2"/>
  <c r="A65" i="2"/>
  <c r="A23" i="2"/>
  <c r="A38" i="2"/>
  <c r="A32" i="2"/>
  <c r="A20" i="2"/>
  <c r="A50" i="2"/>
  <c r="A48" i="2"/>
  <c r="A45" i="2"/>
  <c r="A69" i="2"/>
  <c r="A28" i="2"/>
  <c r="A66" i="2"/>
  <c r="A39" i="2"/>
  <c r="A59" i="2"/>
  <c r="G44" i="3"/>
  <c r="G45" i="3" s="1"/>
  <c r="G46" i="3" s="1"/>
  <c r="G47" i="3" s="1"/>
  <c r="G48" i="3" s="1"/>
  <c r="G35" i="3"/>
  <c r="G21" i="2" l="1"/>
  <c r="C66" i="2"/>
  <c r="B66" i="2"/>
  <c r="H66" i="2"/>
  <c r="G66" i="2"/>
  <c r="F66" i="2"/>
  <c r="D66" i="2"/>
  <c r="E66" i="2"/>
  <c r="G47" i="2"/>
  <c r="D47" i="2"/>
  <c r="C47" i="2"/>
  <c r="B47" i="2"/>
  <c r="F47" i="2"/>
  <c r="H47" i="2"/>
  <c r="E47" i="2"/>
  <c r="E60" i="2"/>
  <c r="B60" i="2"/>
  <c r="H60" i="2"/>
  <c r="D60" i="2"/>
  <c r="G60" i="2"/>
  <c r="C60" i="2"/>
  <c r="F60" i="2"/>
  <c r="G51" i="2"/>
  <c r="C51" i="2"/>
  <c r="B51" i="2"/>
  <c r="D51" i="2"/>
  <c r="H51" i="2"/>
  <c r="F51" i="2"/>
  <c r="E51" i="2"/>
  <c r="H28" i="2"/>
  <c r="C28" i="2"/>
  <c r="V35" i="5" s="1"/>
  <c r="B28" i="2"/>
  <c r="U35" i="5" s="1"/>
  <c r="E28" i="2"/>
  <c r="D28" i="2"/>
  <c r="F28" i="2"/>
  <c r="B23" i="2"/>
  <c r="H23" i="2"/>
  <c r="F23" i="2"/>
  <c r="E23" i="2"/>
  <c r="X30" i="5" s="1"/>
  <c r="D23" i="2"/>
  <c r="W30" i="5" s="1"/>
  <c r="C23" i="2"/>
  <c r="V30" i="5" s="1"/>
  <c r="G43" i="2"/>
  <c r="B43" i="2"/>
  <c r="H43" i="2"/>
  <c r="F43" i="2"/>
  <c r="E43" i="2"/>
  <c r="D43" i="2"/>
  <c r="C43" i="2"/>
  <c r="D30" i="2"/>
  <c r="W37" i="5" s="1"/>
  <c r="F30" i="2"/>
  <c r="E30" i="2"/>
  <c r="X37" i="5" s="1"/>
  <c r="C30" i="2"/>
  <c r="V37" i="5" s="1"/>
  <c r="B30" i="2"/>
  <c r="U37" i="5" s="1"/>
  <c r="H30" i="2"/>
  <c r="B19" i="2"/>
  <c r="U26" i="5" s="1"/>
  <c r="E19" i="2"/>
  <c r="X26" i="5" s="1"/>
  <c r="D19" i="2"/>
  <c r="W26" i="5" s="1"/>
  <c r="F19" i="2"/>
  <c r="C19" i="2"/>
  <c r="H19" i="2"/>
  <c r="Y8" i="5"/>
  <c r="V9" i="5"/>
  <c r="W9" i="5"/>
  <c r="AE7" i="5"/>
  <c r="U9" i="5"/>
  <c r="AE35" i="5"/>
  <c r="W28" i="5"/>
  <c r="Y7" i="5"/>
  <c r="V11" i="5"/>
  <c r="X11" i="5"/>
  <c r="AE6" i="5"/>
  <c r="Y28" i="5"/>
  <c r="X35" i="5"/>
  <c r="U11" i="5"/>
  <c r="W8" i="5"/>
  <c r="AE37" i="5"/>
  <c r="X7" i="5"/>
  <c r="X6" i="5"/>
  <c r="W11" i="5"/>
  <c r="V10" i="5"/>
  <c r="X28" i="5"/>
  <c r="U8" i="5"/>
  <c r="Y10" i="5"/>
  <c r="AE11" i="5"/>
  <c r="V7" i="5"/>
  <c r="V6" i="5"/>
  <c r="AE9" i="5"/>
  <c r="AE30" i="5"/>
  <c r="U28" i="5"/>
  <c r="Y11" i="5"/>
  <c r="X10" i="5"/>
  <c r="C69" i="2"/>
  <c r="V24" i="5" s="1"/>
  <c r="H69" i="2"/>
  <c r="G69" i="2"/>
  <c r="Y24" i="5" s="1"/>
  <c r="F69" i="2"/>
  <c r="D69" i="2"/>
  <c r="W25" i="5" s="1"/>
  <c r="E69" i="2"/>
  <c r="B69" i="2"/>
  <c r="AE10" i="5"/>
  <c r="AE8" i="5"/>
  <c r="V28" i="5"/>
  <c r="U6" i="5"/>
  <c r="V26" i="5"/>
  <c r="X9" i="5"/>
  <c r="W6" i="5"/>
  <c r="Y6" i="5"/>
  <c r="U10" i="5"/>
  <c r="V8" i="5"/>
  <c r="X8" i="5"/>
  <c r="W7" i="5"/>
  <c r="W35" i="5"/>
  <c r="Y9" i="5"/>
  <c r="W10" i="5"/>
  <c r="AE28" i="5"/>
  <c r="U7" i="5"/>
  <c r="C65" i="2"/>
  <c r="D65" i="2"/>
  <c r="H65" i="2"/>
  <c r="G65" i="2"/>
  <c r="F65" i="2"/>
  <c r="E65" i="2"/>
  <c r="B65" i="2"/>
  <c r="E48" i="2"/>
  <c r="C48" i="2"/>
  <c r="F48" i="2"/>
  <c r="D48" i="2"/>
  <c r="B48" i="2"/>
  <c r="G48" i="2"/>
  <c r="H48" i="2"/>
  <c r="E40" i="2"/>
  <c r="C40" i="2"/>
  <c r="B40" i="2"/>
  <c r="F40" i="2"/>
  <c r="H40" i="2"/>
  <c r="G40" i="2"/>
  <c r="D40" i="2"/>
  <c r="D22" i="2"/>
  <c r="W29" i="5" s="1"/>
  <c r="H22" i="2"/>
  <c r="F22" i="2"/>
  <c r="E22" i="2"/>
  <c r="B22" i="2"/>
  <c r="C22" i="2"/>
  <c r="B42" i="2"/>
  <c r="D42" i="2"/>
  <c r="C42" i="2"/>
  <c r="H42" i="2"/>
  <c r="G42" i="2"/>
  <c r="F42" i="2"/>
  <c r="E42" i="2"/>
  <c r="C58" i="2"/>
  <c r="B58" i="2"/>
  <c r="H58" i="2"/>
  <c r="G58" i="2"/>
  <c r="D58" i="2"/>
  <c r="F58" i="2"/>
  <c r="E58" i="2"/>
  <c r="C41" i="2"/>
  <c r="B41" i="2"/>
  <c r="D41" i="2"/>
  <c r="F41" i="2"/>
  <c r="E41" i="2"/>
  <c r="H41" i="2"/>
  <c r="G41" i="2"/>
  <c r="G43" i="3"/>
  <c r="G50" i="3"/>
  <c r="G51" i="3" s="1"/>
  <c r="G52" i="3" s="1"/>
  <c r="G53" i="3" s="1"/>
  <c r="B50" i="2"/>
  <c r="C50" i="2"/>
  <c r="H50" i="2"/>
  <c r="G50" i="2"/>
  <c r="F50" i="2"/>
  <c r="E50" i="2"/>
  <c r="D50" i="2"/>
  <c r="D34" i="2"/>
  <c r="F34" i="2"/>
  <c r="E34" i="2"/>
  <c r="H34" i="2"/>
  <c r="G34" i="2"/>
  <c r="C34" i="2"/>
  <c r="B34" i="2"/>
  <c r="G63" i="2"/>
  <c r="E63" i="2"/>
  <c r="F63" i="2"/>
  <c r="D63" i="2"/>
  <c r="C63" i="2"/>
  <c r="B63" i="2"/>
  <c r="H63" i="2"/>
  <c r="G55" i="2"/>
  <c r="E55" i="2"/>
  <c r="F55" i="2"/>
  <c r="D55" i="2"/>
  <c r="C55" i="2"/>
  <c r="B55" i="2"/>
  <c r="H55" i="2"/>
  <c r="C53" i="2"/>
  <c r="H53" i="2"/>
  <c r="D53" i="2"/>
  <c r="B53" i="2"/>
  <c r="F53" i="2"/>
  <c r="E53" i="2"/>
  <c r="G53" i="2"/>
  <c r="F25" i="2"/>
  <c r="E25" i="2"/>
  <c r="H25" i="2"/>
  <c r="B25" i="2"/>
  <c r="D25" i="2"/>
  <c r="C25" i="2"/>
  <c r="V32" i="5" s="1"/>
  <c r="G59" i="2"/>
  <c r="B59" i="2"/>
  <c r="H59" i="2"/>
  <c r="D59" i="2"/>
  <c r="F59" i="2"/>
  <c r="C59" i="2"/>
  <c r="E59" i="2"/>
  <c r="H20" i="2"/>
  <c r="C20" i="2"/>
  <c r="B20" i="2"/>
  <c r="U27" i="5" s="1"/>
  <c r="F20" i="2"/>
  <c r="E20" i="2"/>
  <c r="D20" i="2"/>
  <c r="E68" i="2"/>
  <c r="B68" i="2"/>
  <c r="H68" i="2"/>
  <c r="G68" i="2"/>
  <c r="D68" i="2"/>
  <c r="F68" i="2"/>
  <c r="C68" i="2"/>
  <c r="D26" i="2"/>
  <c r="F26" i="2"/>
  <c r="E26" i="2"/>
  <c r="H26" i="2"/>
  <c r="C26" i="2"/>
  <c r="B26" i="2"/>
  <c r="B31" i="2"/>
  <c r="U38" i="5" s="1"/>
  <c r="H31" i="2"/>
  <c r="F31" i="2"/>
  <c r="E31" i="2"/>
  <c r="X38" i="5" s="1"/>
  <c r="D31" i="2"/>
  <c r="W38" i="5" s="1"/>
  <c r="C31" i="2"/>
  <c r="F29" i="2"/>
  <c r="AE36" i="5" s="1"/>
  <c r="B29" i="2"/>
  <c r="E29" i="2"/>
  <c r="X36" i="5" s="1"/>
  <c r="D29" i="2"/>
  <c r="C29" i="2"/>
  <c r="V36" i="5" s="1"/>
  <c r="H29" i="2"/>
  <c r="H36" i="2"/>
  <c r="C36" i="2"/>
  <c r="B36" i="2"/>
  <c r="E36" i="2"/>
  <c r="G36" i="2"/>
  <c r="F36" i="2"/>
  <c r="D36" i="2"/>
  <c r="G39" i="2"/>
  <c r="D39" i="2"/>
  <c r="B39" i="2"/>
  <c r="H39" i="2"/>
  <c r="F39" i="2"/>
  <c r="E39" i="2"/>
  <c r="C39" i="2"/>
  <c r="H32" i="2"/>
  <c r="F32" i="2"/>
  <c r="E32" i="2"/>
  <c r="D32" i="2"/>
  <c r="C32" i="2"/>
  <c r="B32" i="2"/>
  <c r="U39" i="5" s="1"/>
  <c r="C49" i="2"/>
  <c r="B49" i="2"/>
  <c r="G49" i="2"/>
  <c r="F49" i="2"/>
  <c r="E49" i="2"/>
  <c r="D49" i="2"/>
  <c r="H49" i="2"/>
  <c r="G54" i="2"/>
  <c r="B54" i="2"/>
  <c r="E54" i="2"/>
  <c r="D54" i="2"/>
  <c r="H54" i="2"/>
  <c r="C54" i="2"/>
  <c r="F54" i="2"/>
  <c r="C37" i="2"/>
  <c r="G37" i="2"/>
  <c r="B37" i="2"/>
  <c r="E37" i="2"/>
  <c r="D37" i="2"/>
  <c r="H37" i="2"/>
  <c r="F37" i="2"/>
  <c r="E56" i="2"/>
  <c r="D56" i="2"/>
  <c r="H56" i="2"/>
  <c r="G56" i="2"/>
  <c r="F56" i="2"/>
  <c r="C56" i="2"/>
  <c r="B56" i="2"/>
  <c r="F46" i="2"/>
  <c r="B46" i="2"/>
  <c r="C46" i="2"/>
  <c r="H46" i="2"/>
  <c r="E46" i="2"/>
  <c r="G46" i="2"/>
  <c r="D46" i="2"/>
  <c r="F38" i="2"/>
  <c r="C38" i="2"/>
  <c r="B38" i="2"/>
  <c r="H38" i="2"/>
  <c r="G38" i="2"/>
  <c r="E38" i="2"/>
  <c r="D38" i="2"/>
  <c r="E44" i="2"/>
  <c r="H44" i="2"/>
  <c r="G44" i="2"/>
  <c r="F44" i="2"/>
  <c r="B44" i="2"/>
  <c r="D44" i="2"/>
  <c r="C44" i="2"/>
  <c r="C61" i="2"/>
  <c r="H61" i="2"/>
  <c r="D61" i="2"/>
  <c r="B61" i="2"/>
  <c r="F61" i="2"/>
  <c r="E61" i="2"/>
  <c r="G61" i="2"/>
  <c r="G62" i="2"/>
  <c r="B62" i="2"/>
  <c r="E62" i="2"/>
  <c r="D62" i="2"/>
  <c r="C62" i="2"/>
  <c r="H62" i="2"/>
  <c r="F62" i="2"/>
  <c r="E64" i="2"/>
  <c r="D64" i="2"/>
  <c r="H64" i="2"/>
  <c r="G64" i="2"/>
  <c r="F64" i="2"/>
  <c r="C64" i="2"/>
  <c r="B64" i="2"/>
  <c r="C57" i="2"/>
  <c r="D57" i="2"/>
  <c r="H57" i="2"/>
  <c r="G57" i="2"/>
  <c r="F57" i="2"/>
  <c r="E57" i="2"/>
  <c r="B57" i="2"/>
  <c r="H24" i="2"/>
  <c r="F24" i="2"/>
  <c r="AE31" i="5" s="1"/>
  <c r="D24" i="2"/>
  <c r="W31" i="5" s="1"/>
  <c r="E24" i="2"/>
  <c r="C24" i="2"/>
  <c r="B24" i="2"/>
  <c r="C45" i="2"/>
  <c r="G45" i="2"/>
  <c r="H45" i="2"/>
  <c r="B45" i="2"/>
  <c r="F45" i="2"/>
  <c r="D45" i="2"/>
  <c r="E45" i="2"/>
  <c r="E52" i="2"/>
  <c r="B52" i="2"/>
  <c r="C52" i="2"/>
  <c r="F52" i="2"/>
  <c r="H52" i="2"/>
  <c r="G52" i="2"/>
  <c r="D52" i="2"/>
  <c r="F33" i="2"/>
  <c r="E33" i="2"/>
  <c r="H33" i="2"/>
  <c r="D33" i="2"/>
  <c r="C33" i="2"/>
  <c r="B33" i="2"/>
  <c r="G67" i="2"/>
  <c r="B67" i="2"/>
  <c r="H67" i="2"/>
  <c r="F67" i="2"/>
  <c r="D67" i="2"/>
  <c r="E67" i="2"/>
  <c r="C67" i="2"/>
  <c r="B27" i="2"/>
  <c r="U34" i="5" s="1"/>
  <c r="E27" i="2"/>
  <c r="D27" i="2"/>
  <c r="W34" i="5" s="1"/>
  <c r="C27" i="2"/>
  <c r="V34" i="5" s="1"/>
  <c r="F27" i="2"/>
  <c r="H27" i="2"/>
  <c r="B35" i="2"/>
  <c r="E35" i="2"/>
  <c r="D35" i="2"/>
  <c r="H35" i="2"/>
  <c r="C35" i="2"/>
  <c r="G35" i="2"/>
  <c r="F35" i="2"/>
  <c r="G33" i="2" l="1"/>
  <c r="V29" i="5"/>
  <c r="AE29" i="5"/>
  <c r="X32" i="5"/>
  <c r="G25" i="2"/>
  <c r="Y32" i="5" s="1"/>
  <c r="G28" i="2"/>
  <c r="Y35" i="5" s="1"/>
  <c r="U31" i="5"/>
  <c r="G24" i="2"/>
  <c r="Y31" i="5" s="1"/>
  <c r="AE34" i="5"/>
  <c r="G29" i="2"/>
  <c r="Y36" i="5" s="1"/>
  <c r="G26" i="2"/>
  <c r="Y33" i="5" s="1"/>
  <c r="G30" i="2"/>
  <c r="Y37" i="5" s="1"/>
  <c r="U32" i="5"/>
  <c r="G23" i="2"/>
  <c r="Y30" i="5" s="1"/>
  <c r="X34" i="5"/>
  <c r="G19" i="2"/>
  <c r="Y26" i="5" s="1"/>
  <c r="G22" i="2"/>
  <c r="Y29" i="5" s="1"/>
  <c r="G32" i="2"/>
  <c r="Y39" i="5" s="1"/>
  <c r="G27" i="2"/>
  <c r="Y34" i="5" s="1"/>
  <c r="AE26" i="5"/>
  <c r="V38" i="5"/>
  <c r="U30" i="5"/>
  <c r="W33" i="5"/>
  <c r="U33" i="5"/>
  <c r="V39" i="5"/>
  <c r="U29" i="5"/>
  <c r="G31" i="2"/>
  <c r="Y38" i="5" s="1"/>
  <c r="G20" i="2"/>
  <c r="Y27" i="5" s="1"/>
  <c r="X23" i="5"/>
  <c r="X25" i="5"/>
  <c r="X31" i="5"/>
  <c r="AE38" i="5"/>
  <c r="W39" i="5"/>
  <c r="V33" i="5"/>
  <c r="X29" i="5"/>
  <c r="U36" i="5"/>
  <c r="W36" i="5"/>
  <c r="V31" i="5"/>
  <c r="W27" i="5"/>
  <c r="X27" i="5"/>
  <c r="AE27" i="5"/>
  <c r="X39" i="5"/>
  <c r="V27" i="5"/>
  <c r="AE39" i="5"/>
  <c r="G55" i="3"/>
  <c r="G56" i="3" s="1"/>
  <c r="G57" i="3" s="1"/>
  <c r="G58" i="3" s="1"/>
  <c r="G59" i="3" s="1"/>
  <c r="G60" i="3" s="1"/>
  <c r="G61" i="3" s="1"/>
  <c r="G49" i="3"/>
  <c r="W32" i="5"/>
  <c r="AE32" i="5"/>
  <c r="X33" i="5"/>
  <c r="AE33" i="5"/>
  <c r="G54" i="3" l="1"/>
  <c r="G63" i="3"/>
  <c r="G64" i="3" s="1"/>
  <c r="G65" i="3" s="1"/>
  <c r="G66" i="3" s="1"/>
  <c r="G67" i="3" s="1"/>
  <c r="G68" i="3" s="1"/>
  <c r="G69" i="3" s="1"/>
  <c r="G70" i="3" s="1"/>
  <c r="G71" i="3" s="1"/>
  <c r="G72" i="3" s="1"/>
  <c r="G62" i="3" l="1"/>
  <c r="G74" i="3"/>
  <c r="G75" i="3" s="1"/>
  <c r="G76" i="3" s="1"/>
  <c r="G77" i="3" s="1"/>
  <c r="G78" i="3" s="1"/>
  <c r="G79" i="3" s="1"/>
  <c r="G80" i="3" s="1"/>
  <c r="G81" i="3" s="1"/>
  <c r="G82" i="3" s="1"/>
  <c r="G83" i="3" s="1"/>
  <c r="G85" i="3" l="1"/>
  <c r="G86" i="3" s="1"/>
  <c r="G87" i="3" s="1"/>
  <c r="G88" i="3" s="1"/>
  <c r="G73" i="3"/>
  <c r="G84" i="3" l="1"/>
  <c r="G90" i="3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89" i="3" l="1"/>
  <c r="G102" i="3"/>
  <c r="G103" i="3" s="1"/>
  <c r="G104" i="3" s="1"/>
  <c r="G105" i="3" s="1"/>
  <c r="G101" i="3" l="1"/>
  <c r="G107" i="3"/>
  <c r="G109" i="3" l="1"/>
  <c r="G110" i="3" s="1"/>
  <c r="G111" i="3" s="1"/>
  <c r="G112" i="3" s="1"/>
  <c r="G113" i="3" s="1"/>
  <c r="G114" i="3" s="1"/>
  <c r="G115" i="3" s="1"/>
  <c r="G116" i="3" s="1"/>
  <c r="G117" i="3" s="1"/>
  <c r="G106" i="3"/>
  <c r="G119" i="3" l="1"/>
  <c r="G120" i="3" s="1"/>
  <c r="G121" i="3" s="1"/>
  <c r="G122" i="3" s="1"/>
  <c r="G108" i="3"/>
  <c r="G124" i="3" l="1"/>
  <c r="G125" i="3" s="1"/>
  <c r="G118" i="3"/>
  <c r="G127" i="3" l="1"/>
  <c r="G128" i="3" s="1"/>
  <c r="G129" i="3" s="1"/>
  <c r="G130" i="3" s="1"/>
  <c r="G131" i="3" s="1"/>
  <c r="G123" i="3"/>
  <c r="G126" i="3" l="1"/>
  <c r="G133" i="3"/>
  <c r="G134" i="3" s="1"/>
  <c r="G135" i="3" s="1"/>
  <c r="G136" i="3" s="1"/>
  <c r="G137" i="3" s="1"/>
  <c r="G139" i="3" l="1"/>
  <c r="G140" i="3" s="1"/>
  <c r="G141" i="3" s="1"/>
  <c r="G142" i="3" s="1"/>
  <c r="G143" i="3" s="1"/>
  <c r="G132" i="3"/>
  <c r="G138" i="3" l="1"/>
  <c r="G145" i="3"/>
  <c r="G146" i="3" s="1"/>
  <c r="G147" i="3" s="1"/>
  <c r="G148" i="3" s="1"/>
  <c r="G149" i="3" s="1"/>
  <c r="G150" i="3" s="1"/>
  <c r="G144" i="3" l="1"/>
  <c r="G152" i="3"/>
  <c r="G153" i="3" s="1"/>
  <c r="G154" i="3" s="1"/>
  <c r="G156" i="3" l="1"/>
  <c r="G157" i="3" s="1"/>
  <c r="G158" i="3" s="1"/>
  <c r="G159" i="3" s="1"/>
  <c r="G151" i="3"/>
  <c r="G161" i="3" l="1"/>
  <c r="G162" i="3" s="1"/>
  <c r="G163" i="3" s="1"/>
  <c r="G164" i="3" s="1"/>
  <c r="G165" i="3" s="1"/>
  <c r="G166" i="3" s="1"/>
  <c r="G167" i="3" s="1"/>
  <c r="G168" i="3" s="1"/>
  <c r="G155" i="3"/>
  <c r="G170" i="3" l="1"/>
  <c r="G171" i="3" s="1"/>
  <c r="G172" i="3" s="1"/>
  <c r="G173" i="3" s="1"/>
  <c r="G174" i="3" s="1"/>
  <c r="G169" i="3" s="1"/>
  <c r="G16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Mirian Martinez Paredes</author>
  </authors>
  <commentList>
    <comment ref="H291" authorId="0" shapeId="0" xr:uid="{4A1DD6BE-BBF4-CE43-A2C3-894F65955A17}">
      <text>
        <r>
          <rPr>
            <b/>
            <sz val="10"/>
            <color rgb="FF000000"/>
            <rFont val="Tahoma"/>
            <family val="2"/>
          </rPr>
          <t>Mirian Martinez Paredes: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15 sacos entregaron miércoles y y 6 sacos el jueves en total 21 sacos</t>
        </r>
      </text>
    </comment>
  </commentList>
</comments>
</file>

<file path=xl/sharedStrings.xml><?xml version="1.0" encoding="utf-8"?>
<sst xmlns="http://schemas.openxmlformats.org/spreadsheetml/2006/main" count="1482" uniqueCount="235">
  <si>
    <t>AGRO PACAYALES · PLANTA CAMOTE 2026  |  MOVIMIENTOS — registra aquí un evento por fila</t>
  </si>
  <si>
    <t>Única hoja que llenas: escribe la fecha como 24-7 (saldrá "vie 24-07" solita) + Tipo (lista) + Calidad + Unidad (jabas/sacos/kg) + Cantidad → los Kg salen solos. Si registras en kg (muestras, malogrado, reproceso, otras salidas) los Kg = Cantidad. Guía/ticket y nota al final. KARDEX, SALDO DIARIO y RESUMEN se arman solos.</t>
  </si>
  <si>
    <t>Fecha</t>
  </si>
  <si>
    <t>Tipo</t>
  </si>
  <si>
    <t>Calidad</t>
  </si>
  <si>
    <t>Unidad</t>
  </si>
  <si>
    <t>Cantidad</t>
  </si>
  <si>
    <t>Kg</t>
  </si>
  <si>
    <t>N° Guía / Ticket</t>
  </si>
  <si>
    <t>Observación</t>
  </si>
  <si>
    <t>AJUSTE</t>
  </si>
  <si>
    <t>A</t>
  </si>
  <si>
    <t>jabas</t>
  </si>
  <si>
    <t>M</t>
  </si>
  <si>
    <t>SALDO INICIAL</t>
  </si>
  <si>
    <t>Chancho</t>
  </si>
  <si>
    <t>sacos</t>
  </si>
  <si>
    <t>COMPRA</t>
  </si>
  <si>
    <t>—</t>
  </si>
  <si>
    <t>peso aprox 95 kg/saco</t>
  </si>
  <si>
    <t>PROCESO</t>
  </si>
  <si>
    <t>P</t>
  </si>
  <si>
    <t>C</t>
  </si>
  <si>
    <t>ENVÍO A SUPESA</t>
  </si>
  <si>
    <t>2977</t>
  </si>
  <si>
    <t>2980</t>
  </si>
  <si>
    <t>2984</t>
  </si>
  <si>
    <t>2986</t>
  </si>
  <si>
    <t>VENTA CHANCHO</t>
  </si>
  <si>
    <t>TCK002-724</t>
  </si>
  <si>
    <t>2992</t>
  </si>
  <si>
    <t>2994</t>
  </si>
  <si>
    <t>TCK002-725</t>
  </si>
  <si>
    <t>2996</t>
  </si>
  <si>
    <t>TRASIEGO</t>
  </si>
  <si>
    <t>Compra del sabado 18/07 (33 sacos)</t>
  </si>
  <si>
    <t>2998</t>
  </si>
  <si>
    <t>Compra del domingo 19/07 (17 sacos)</t>
  </si>
  <si>
    <t>TOTAL 70 SACOS, LUNES PROCESO 48</t>
  </si>
  <si>
    <t>3001</t>
  </si>
  <si>
    <t>TCK002-726</t>
  </si>
  <si>
    <t>3004</t>
  </si>
  <si>
    <t>RECHAZO</t>
  </si>
  <si>
    <t>REPROCESO</t>
  </si>
  <si>
    <t>kg</t>
  </si>
  <si>
    <t>kg recuperados de jabas rechazadas</t>
  </si>
  <si>
    <t>MALOGRADO</t>
  </si>
  <si>
    <t>3006</t>
  </si>
  <si>
    <t>S/T</t>
  </si>
  <si>
    <t>POR REGULARIZAR</t>
  </si>
  <si>
    <t>DEVOLUCIÓN</t>
  </si>
  <si>
    <t>Envio de mas por error (guia 3006); jabas retornaron intactas, no se reprocesaron</t>
  </si>
  <si>
    <t>kg recuperados de la jaba de A rechazada (las 9 jabas de M devueltas no se reprocesaron)</t>
  </si>
  <si>
    <t>3008</t>
  </si>
  <si>
    <t>EN TOTAL SE COMPRARON 80 SACOS, 43 PROCESARON 24-07 Y 37 PROCESARAN SABADO 25</t>
  </si>
  <si>
    <t>3011</t>
  </si>
  <si>
    <t>TCK002-729</t>
  </si>
  <si>
    <t>TCK002-734</t>
  </si>
  <si>
    <t>ENVIO A TOTTUS</t>
  </si>
  <si>
    <t>Primera</t>
  </si>
  <si>
    <t>Se envió como muestra.</t>
  </si>
  <si>
    <t>Se procesó del saldo de los 37 sacos del jue23</t>
  </si>
  <si>
    <t>Se compraron 100 sacos , solo se procesó 45</t>
  </si>
  <si>
    <t>TCK002-732</t>
  </si>
  <si>
    <t>TCK002-731</t>
  </si>
  <si>
    <t>FALTA</t>
  </si>
  <si>
    <t>TCK002-730</t>
  </si>
  <si>
    <t>se compró 100 sacos solo se procesó 30</t>
  </si>
  <si>
    <t>Se compró el jue pero se va procesar vie</t>
  </si>
  <si>
    <t>TCK002-733</t>
  </si>
  <si>
    <t>T725-581251</t>
  </si>
  <si>
    <t>Se compró 97 sacos, se procesó 37 y 60 domingo</t>
  </si>
  <si>
    <t>TCK002-735</t>
  </si>
  <si>
    <t>-</t>
  </si>
  <si>
    <t>TCK002-736</t>
  </si>
  <si>
    <t>PROCESO DE 60 SACOS, SALDO DE LOS 97</t>
  </si>
  <si>
    <t>TCK002-737</t>
  </si>
  <si>
    <t>cancelado S/.180 recibió anthony en efectivo</t>
  </si>
  <si>
    <t>Del rechazo de M y P (2 jabas) del 02/08 se reprocesó y se armó 1 jaba de C</t>
  </si>
  <si>
    <t>DOMINGO HUBO DEVOLUCIÓN DE 20 JABAS</t>
  </si>
  <si>
    <t>compra Florentino Castillón</t>
  </si>
  <si>
    <t>Compra de 100 sacos Jeison de la Cruz</t>
  </si>
  <si>
    <t>Sin ticket venta a Cesar</t>
  </si>
  <si>
    <t>Sin ticket venta a Saúl</t>
  </si>
  <si>
    <t>TCK002-741</t>
  </si>
  <si>
    <t>Total 21 sacos</t>
  </si>
  <si>
    <t>Diferencia de los 100 sacos comprados el dia mie05</t>
  </si>
  <si>
    <t>TCK002-740</t>
  </si>
  <si>
    <t>50 sacos</t>
  </si>
  <si>
    <t>AGRO PACAYALES · PLANTA CAMOTE 2026  |  SALDO DIARIO — lo que queda en almacén al cierre de cada día</t>
  </si>
  <si>
    <t>Automático. Cada fila = cierre del día: jabas por calidad para contar el almacén, sacos de chancho y kg del kardex. RECHAZO no suma (va a reproceso); DEVOLUCIÓN sí suma completo. La última fila con datos es tu stock de HOY.</t>
  </si>
  <si>
    <t>A
(jabas)</t>
  </si>
  <si>
    <t>P
(jabas)</t>
  </si>
  <si>
    <t>C
(jabas)</t>
  </si>
  <si>
    <t>M
(jabas)</t>
  </si>
  <si>
    <t>Chancho
(sacos)</t>
  </si>
  <si>
    <t>TOTAL
jabas</t>
  </si>
  <si>
    <t>Stock
Kg</t>
  </si>
  <si>
    <t>AGRO PACAYALES · PLANTA CAMOTE 2026  |  KARDEX — Ingreso, Procesado y Enviado de camote (kg) por día</t>
  </si>
  <si>
    <t>Cada día empieza con una fila de RESUMEN en negrita: Ingreso (compra), Procesado (selección + chancho) y Enviado a SUPESA, además del Stock Kg al cierre del día. Debajo va el detalle de cada movimiento. SELECCIÓN y RECHAZO son informativos (no restan del Stock Kg): SELECCIÓN es cuánto se clasificó en A/P/C/M ese día, RECHAZO son jabas que van a reproceso. El chancho sí sale del Stock Kg (pasa a su propio conteo en sacos).</t>
  </si>
  <si>
    <t>INGRESO</t>
  </si>
  <si>
    <t>PROCESADO</t>
  </si>
  <si>
    <t>SALIDAS</t>
  </si>
  <si>
    <t>Detalle</t>
  </si>
  <si>
    <t>Ingreso Kg</t>
  </si>
  <si>
    <t>Procesado Kg</t>
  </si>
  <si>
    <t>Salidas Kg</t>
  </si>
  <si>
    <t>N. Guía / Nota</t>
  </si>
  <si>
    <t>Stock Kg</t>
  </si>
  <si>
    <t>📅 RESUMEN DEL DÍA</t>
  </si>
  <si>
    <t>Cal. A+M</t>
  </si>
  <si>
    <t>APERTURA (M)</t>
  </si>
  <si>
    <t>INGRESO (compra)</t>
  </si>
  <si>
    <t>SELECCIÓN (proceso)</t>
  </si>
  <si>
    <t>A=59j  ·  P=11j  ·  C=12j  ·  M=64j</t>
  </si>
  <si>
    <t>CHANCHO (proceso)</t>
  </si>
  <si>
    <t>Cal. A+C+M+P  ·  2977</t>
  </si>
  <si>
    <t>A=107j  ·  P=11j  ·  C=12j  ·  M=110j</t>
  </si>
  <si>
    <t>Cal. A+C+M+P  ·  2980</t>
  </si>
  <si>
    <t>A=45j  ·  P=11j  ·  C=12j  ·  M=121j</t>
  </si>
  <si>
    <t>Cal. A+C+M+P  ·  2984</t>
  </si>
  <si>
    <t>A=79j  ·  P=22j  ·  C=21j  ·  M=83j</t>
  </si>
  <si>
    <t>Cal. A+C+M+P  ·  2986</t>
  </si>
  <si>
    <t>A=68j  ·  P=11j  ·  C=12j  ·  M=116j</t>
  </si>
  <si>
    <t>Cal. A+C+M+P  ·  2992</t>
  </si>
  <si>
    <t>A=103j  ·  P=4j  ·  C=9j  ·  M=196j</t>
  </si>
  <si>
    <t>Cal. A+C+M+P  ·  2994</t>
  </si>
  <si>
    <t>Cal. A+C+M+P  ·  2996</t>
  </si>
  <si>
    <t>A=67j  ·  P=11j  ·  C=12j  ·  M=54j</t>
  </si>
  <si>
    <t>TRASIEGO cal. A</t>
  </si>
  <si>
    <t>A=40j  ·  P=0j  ·  C=0j  ·  M=34j</t>
  </si>
  <si>
    <t>Cal. A+C+M+P  ·  2998</t>
  </si>
  <si>
    <t>A=68j  ·  P=23j  ·  C=23j  ·  M=129j</t>
  </si>
  <si>
    <t>Cal. A+C+M+P  ·  3001</t>
  </si>
  <si>
    <t>TRASIEGO cal. P</t>
  </si>
  <si>
    <t>TRASIEGO cal. C</t>
  </si>
  <si>
    <t>A=90j  ·  P=11j  ·  C=12j  ·  M=144j</t>
  </si>
  <si>
    <t>Cal. A+C+M+P  ·  3004</t>
  </si>
  <si>
    <t>RECHAZO cal. A (va a reproceso)</t>
  </si>
  <si>
    <t>RECHAZO cal. M (va a reproceso)</t>
  </si>
  <si>
    <t>TRASIEGO cal. M</t>
  </si>
  <si>
    <t>A=64j  ·  P=11j  ·  C=12j  ·  M=111j</t>
  </si>
  <si>
    <t>Cal. A+C+M+P  ·  3006</t>
  </si>
  <si>
    <t>DEVOLUCIÓN (regresa intacta)</t>
  </si>
  <si>
    <t>A=78j  ·  P=11j  ·  C=12j  ·  M=94j</t>
  </si>
  <si>
    <t>Cal. A+C+M+P  ·  3008</t>
  </si>
  <si>
    <t>A=48j  ·  P=3j  ·  C=5j  ·  M=95j</t>
  </si>
  <si>
    <t>Cal. A+C+M+P  ·  3011</t>
  </si>
  <si>
    <t>ENVÍO A TOTTUS</t>
  </si>
  <si>
    <t>Cal. A+C+M+P  ·  3014</t>
  </si>
  <si>
    <t>A=96j  ·  P=21j  ·  C=12j  ·  M=110j</t>
  </si>
  <si>
    <t>Cal. A+C+P  ·  3018</t>
  </si>
  <si>
    <t>A=97j  ·  P=13j  ·  C=18j  ·  M=77j</t>
  </si>
  <si>
    <t>Cal. A+C+P  ·  3021</t>
  </si>
  <si>
    <t>A=133j  ·  P=4j  ·  C=12j  ·  M=94j</t>
  </si>
  <si>
    <t>Cal. A+C+M+P  ·  3023</t>
  </si>
  <si>
    <t>Cal. A+C+M+P  ·  3025</t>
  </si>
  <si>
    <t>A=46j  ·  P=11j  ·  C=5j  ·  M=90j</t>
  </si>
  <si>
    <t>Cal. A+C+M+P</t>
  </si>
  <si>
    <t>A=137j  ·  P=11j  ·  C=12j  ·  M=182j</t>
  </si>
  <si>
    <t>A=46j  ·  P=14j  ·  C=10j  ·  M=108j</t>
  </si>
  <si>
    <t>A=98j  ·  P=14j  ·  C=23j  ·  M=152j</t>
  </si>
  <si>
    <t>DEVOLUCIÓN cal. C</t>
  </si>
  <si>
    <t>DEVOLUCIÓN cal. A</t>
  </si>
  <si>
    <t>A=37j  ·  P=11j  ·  C=12j  ·  M=78j</t>
  </si>
  <si>
    <t>A=96j  ·  P=22j  ·  C=23j  ·  M=153j</t>
  </si>
  <si>
    <t>A=79j  ·  P=11j  ·  C=12j  ·  M=147j</t>
  </si>
  <si>
    <t>Tipos</t>
  </si>
  <si>
    <t>Calidades</t>
  </si>
  <si>
    <t>Unidades</t>
  </si>
  <si>
    <t>VENTA</t>
  </si>
  <si>
    <t>REGALO</t>
  </si>
  <si>
    <t>(Agrega aquí nuevas calidades con su factor kg por jaba para que los Kg salgan solos)</t>
  </si>
  <si>
    <t>Segunda</t>
  </si>
  <si>
    <t>OTRA SALIDA</t>
  </si>
  <si>
    <t>AGRO PACAYALES · PLANTA CAMOTE — BALANCE SEMANAL (auto, se alimenta de MOVIMIENTOS)</t>
  </si>
  <si>
    <t>Una fila = un día, todas las semanas juntas (filtra/agrupa por la columna Semana). Columnas en amarillo = kilos. Se reconstruye cuando Claude corre el rebuild sobre MOVIMIENTOS.</t>
  </si>
  <si>
    <t>SELECCIÓN (jabas)</t>
  </si>
  <si>
    <t>DESPACHO</t>
  </si>
  <si>
    <t>SALDO EN PLANTA</t>
  </si>
  <si>
    <t>CHANCHO</t>
  </si>
  <si>
    <t>MERMA</t>
  </si>
  <si>
    <t>RESUMEN DIARIO (solo totales)</t>
  </si>
  <si>
    <t>REPORTE SEMANAL (totales)</t>
  </si>
  <si>
    <t>Día</t>
  </si>
  <si>
    <t>Semana</t>
  </si>
  <si>
    <t>Ingreso
(sacos)</t>
  </si>
  <si>
    <t>Ingreso
(kg)</t>
  </si>
  <si>
    <t>Sel. A
(jabas)</t>
  </si>
  <si>
    <t>Sel. P
(jabas)</t>
  </si>
  <si>
    <t>Sel. C
(jabas)</t>
  </si>
  <si>
    <t>Sel. M
(jabas)</t>
  </si>
  <si>
    <t>Sel. Total
(jabas)</t>
  </si>
  <si>
    <t>Sel. Total
(kg)</t>
  </si>
  <si>
    <t>Reproceso
(kg)</t>
  </si>
  <si>
    <t>Despacho
Destino</t>
  </si>
  <si>
    <t>Despacho
Guía</t>
  </si>
  <si>
    <t>Desp. A
(jabas)</t>
  </si>
  <si>
    <t>Desp. P
(jabas)</t>
  </si>
  <si>
    <t>Desp. C
(jabas)</t>
  </si>
  <si>
    <t>Desp. M
(jabas)</t>
  </si>
  <si>
    <t>Desp. Total
(jabas)</t>
  </si>
  <si>
    <t>Desp. Total
(kg)</t>
  </si>
  <si>
    <t>Saldo A
(jabas)</t>
  </si>
  <si>
    <t>Saldo P
(jabas)</t>
  </si>
  <si>
    <t>Saldo C
(jabas)</t>
  </si>
  <si>
    <t>Saldo M
(jabas)</t>
  </si>
  <si>
    <t>Saldo Total
(jabas)</t>
  </si>
  <si>
    <t>Chancho
Prod(s)</t>
  </si>
  <si>
    <t>Chancho
Prod(kg)</t>
  </si>
  <si>
    <t>Chancho
Venta(s)</t>
  </si>
  <si>
    <t>Chancho
Venta(kg)</t>
  </si>
  <si>
    <t>Chancho
Ticket/Guía</t>
  </si>
  <si>
    <t>Chancho
Saldo(s)</t>
  </si>
  <si>
    <t>Merma
(kg)</t>
  </si>
  <si>
    <t>Merma
(%)</t>
  </si>
  <si>
    <t>Proceso
(kg)</t>
  </si>
  <si>
    <t>Enviado
(kg)</t>
  </si>
  <si>
    <t>Chancho
procesado (sacos)</t>
  </si>
  <si>
    <t>Chancho
procesado (kg)</t>
  </si>
  <si>
    <t>Dom</t>
  </si>
  <si>
    <t>Semana 28</t>
  </si>
  <si>
    <t>Lun</t>
  </si>
  <si>
    <t>Semana 29</t>
  </si>
  <si>
    <t>Mar</t>
  </si>
  <si>
    <t>Semana 30</t>
  </si>
  <si>
    <t>Mié</t>
  </si>
  <si>
    <t>Semana 31</t>
  </si>
  <si>
    <t>Jué</t>
  </si>
  <si>
    <t>Semana 32</t>
  </si>
  <si>
    <t>Vie</t>
  </si>
  <si>
    <t>TOTAL</t>
  </si>
  <si>
    <t>Sáb</t>
  </si>
  <si>
    <t>Jue</t>
  </si>
  <si>
    <t>Diferencia de la entrega del 05-08 (total 21 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</si>
</sst>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C0A]ddd\ dd\-mm"/>
    <numFmt numFmtId="165" formatCode="#,##0.#;\(#,##0.#\);\-"/>
    <numFmt numFmtId="166" formatCode="yyyy\-mm\-dd\ h:mm:ss"/>
    <numFmt numFmtId="167" formatCode="dd/mm/yyyy"/>
    <numFmt numFmtId="168" formatCode="0.0\%"/>
  </numFmts>
  <fonts count="33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1"/>
    </font>
    <font>
      <sz val="9"/>
      <color rgb="FF555555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57F17"/>
      <name val="Arial"/>
      <family val="2"/>
      <charset val="1"/>
    </font>
    <font>
      <b/>
      <sz val="10"/>
      <color rgb="FF5D4037"/>
      <name val="Arial"/>
      <family val="2"/>
      <charset val="1"/>
    </font>
    <font>
      <b/>
      <sz val="10"/>
      <color rgb="FF0D47A1"/>
      <name val="Arial"/>
      <family val="2"/>
      <charset val="1"/>
    </font>
    <font>
      <sz val="10"/>
      <color rgb="FF1B5E20"/>
      <name val="Arial"/>
      <family val="2"/>
      <charset val="1"/>
    </font>
    <font>
      <sz val="10"/>
      <color rgb="FF311B92"/>
      <name val="Arial"/>
      <family val="2"/>
      <charset val="1"/>
    </font>
    <font>
      <b/>
      <sz val="10"/>
      <color rgb="FF4E342E"/>
      <name val="Arial"/>
      <family val="2"/>
      <charset val="1"/>
    </font>
    <font>
      <sz val="10"/>
      <color rgb="FF01579B"/>
      <name val="Arial"/>
      <family val="2"/>
      <charset val="1"/>
    </font>
    <font>
      <b/>
      <sz val="10"/>
      <color rgb="FFBF360C"/>
      <name val="Arial"/>
      <family val="2"/>
      <charset val="1"/>
    </font>
    <font>
      <b/>
      <sz val="10"/>
      <color rgb="FF00695C"/>
      <name val="Arial"/>
      <family val="2"/>
      <charset val="1"/>
    </font>
    <font>
      <b/>
      <sz val="10"/>
      <color rgb="FFB71C1C"/>
      <name val="Arial"/>
      <family val="2"/>
      <charset val="1"/>
    </font>
    <font>
      <sz val="10"/>
      <color rgb="FFE65100"/>
      <name val="Arial"/>
      <family val="2"/>
      <charset val="1"/>
    </font>
    <font>
      <sz val="10"/>
      <color rgb="FF37474F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37474F"/>
      <name val="Arial"/>
      <family val="2"/>
      <charset val="1"/>
    </font>
    <font>
      <i/>
      <sz val="10"/>
      <color rgb="FF00695C"/>
      <name val="Arial"/>
      <family val="2"/>
      <charset val="1"/>
    </font>
    <font>
      <i/>
      <sz val="9"/>
      <color rgb="FF888888"/>
      <name val="Arial"/>
      <family val="2"/>
      <charset val="1"/>
    </font>
    <font>
      <b/>
      <sz val="12"/>
      <name val="Cambria"/>
      <family val="1"/>
      <charset val="1"/>
    </font>
    <font>
      <i/>
      <sz val="9"/>
      <color rgb="FF777777"/>
      <name val="Cambria"/>
      <family val="1"/>
      <charset val="1"/>
    </font>
    <font>
      <b/>
      <sz val="10"/>
      <color rgb="FFFFFFFF"/>
      <name val="Cambria"/>
      <family val="1"/>
      <charset val="1"/>
    </font>
    <font>
      <b/>
      <sz val="10"/>
      <color rgb="FF4A148C"/>
      <name val="Cambria"/>
      <family val="1"/>
      <charset val="1"/>
    </font>
    <font>
      <b/>
      <sz val="8"/>
      <color rgb="FF333333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sz val="11"/>
      <color rgb="FFB71C1C"/>
      <name val="Cambria"/>
      <family val="1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263238"/>
        <bgColor rgb="FF333333"/>
      </patternFill>
    </fill>
    <fill>
      <patternFill patternType="solid">
        <fgColor rgb="FF37474F"/>
        <bgColor rgb="FF455A64"/>
      </patternFill>
    </fill>
    <fill>
      <patternFill patternType="solid">
        <fgColor rgb="FFFFF8E1"/>
        <bgColor rgb="FFFFF3E0"/>
      </patternFill>
    </fill>
    <fill>
      <patternFill patternType="solid">
        <fgColor rgb="FFE3F2FD"/>
        <bgColor rgb="FFE1F5FE"/>
      </patternFill>
    </fill>
    <fill>
      <patternFill patternType="solid">
        <fgColor rgb="FFE8F5E9"/>
        <bgColor rgb="FFE0F2F1"/>
      </patternFill>
    </fill>
    <fill>
      <patternFill patternType="solid">
        <fgColor rgb="FFEDE7F6"/>
        <bgColor rgb="FFECE4F7"/>
      </patternFill>
    </fill>
    <fill>
      <patternFill patternType="solid">
        <fgColor rgb="FFEFEBE9"/>
        <bgColor rgb="FFECEFF1"/>
      </patternFill>
    </fill>
    <fill>
      <patternFill patternType="solid">
        <fgColor rgb="FFE1F5FE"/>
        <bgColor rgb="FFE3F2FD"/>
      </patternFill>
    </fill>
    <fill>
      <patternFill patternType="solid">
        <fgColor rgb="FFFFF3E0"/>
        <bgColor rgb="FFFFF8E1"/>
      </patternFill>
    </fill>
    <fill>
      <patternFill patternType="solid">
        <fgColor rgb="FFE0F2F1"/>
        <bgColor rgb="FFE3F2FD"/>
      </patternFill>
    </fill>
    <fill>
      <patternFill patternType="solid">
        <fgColor rgb="FFFFEBEE"/>
        <bgColor rgb="FFFCE4EC"/>
      </patternFill>
    </fill>
    <fill>
      <patternFill patternType="solid">
        <fgColor rgb="FFFFFFFF"/>
        <bgColor rgb="FFF5F5F5"/>
      </patternFill>
    </fill>
    <fill>
      <patternFill patternType="solid">
        <fgColor rgb="FF1565C0"/>
        <bgColor rgb="FF01579B"/>
      </patternFill>
    </fill>
    <fill>
      <patternFill patternType="solid">
        <fgColor rgb="FF00695C"/>
        <bgColor rgb="FF01579B"/>
      </patternFill>
    </fill>
    <fill>
      <patternFill patternType="solid">
        <fgColor rgb="FF8E24AA"/>
        <bgColor rgb="FF512DA8"/>
      </patternFill>
    </fill>
    <fill>
      <patternFill patternType="solid">
        <fgColor rgb="FF2E7D32"/>
        <bgColor rgb="FF33691E"/>
      </patternFill>
    </fill>
    <fill>
      <patternFill patternType="solid">
        <fgColor rgb="FF512DA8"/>
        <bgColor rgb="FF4527A0"/>
      </patternFill>
    </fill>
    <fill>
      <patternFill patternType="solid">
        <fgColor rgb="FF5D4037"/>
        <bgColor rgb="FF4E342E"/>
      </patternFill>
    </fill>
    <fill>
      <patternFill patternType="solid">
        <fgColor rgb="FFB71C1C"/>
        <bgColor rgb="FFC62828"/>
      </patternFill>
    </fill>
    <fill>
      <patternFill patternType="solid">
        <fgColor rgb="FFECE4F7"/>
        <bgColor rgb="FFEDE7F6"/>
      </patternFill>
    </fill>
    <fill>
      <patternFill patternType="solid">
        <fgColor rgb="FFF5F5F5"/>
        <bgColor rgb="FFECEFF1"/>
      </patternFill>
    </fill>
    <fill>
      <patternFill patternType="solid">
        <fgColor rgb="FFFFF9C4"/>
        <bgColor rgb="FFFFF8E1"/>
      </patternFill>
    </fill>
    <fill>
      <patternFill patternType="solid">
        <fgColor rgb="FFE0E0E0"/>
        <bgColor rgb="FFDDDDDD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medium">
        <color rgb="FFDDDDDD"/>
      </top>
      <bottom style="thin">
        <color rgb="FFDDDDDD"/>
      </bottom>
      <diagonal/>
    </border>
    <border>
      <left/>
      <right/>
      <top style="medium">
        <color rgb="FF1B5E20"/>
      </top>
      <bottom style="medium">
        <color rgb="FF1B5E2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165" fontId="8" fillId="7" borderId="1" xfId="0" applyNumberFormat="1" applyFont="1" applyFill="1" applyBorder="1" applyAlignment="1">
      <alignment horizontal="right" vertical="center"/>
    </xf>
    <xf numFmtId="164" fontId="9" fillId="8" borderId="1" xfId="0" applyNumberFormat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165" fontId="9" fillId="8" borderId="1" xfId="0" applyNumberFormat="1" applyFont="1" applyFill="1" applyBorder="1" applyAlignment="1">
      <alignment horizontal="right" vertical="center"/>
    </xf>
    <xf numFmtId="164" fontId="10" fillId="9" borderId="1" xfId="0" applyNumberFormat="1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165" fontId="10" fillId="9" borderId="1" xfId="0" applyNumberFormat="1" applyFont="1" applyFill="1" applyBorder="1" applyAlignment="1">
      <alignment horizontal="right" vertical="center"/>
    </xf>
    <xf numFmtId="164" fontId="11" fillId="10" borderId="1" xfId="0" applyNumberFormat="1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165" fontId="11" fillId="10" borderId="1" xfId="0" applyNumberFormat="1" applyFont="1" applyFill="1" applyBorder="1" applyAlignment="1">
      <alignment horizontal="right" vertical="center"/>
    </xf>
    <xf numFmtId="164" fontId="12" fillId="11" borderId="1" xfId="0" applyNumberFormat="1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5" fontId="12" fillId="11" borderId="1" xfId="0" applyNumberFormat="1" applyFont="1" applyFill="1" applyBorder="1" applyAlignment="1">
      <alignment horizontal="right" vertical="center"/>
    </xf>
    <xf numFmtId="164" fontId="13" fillId="12" borderId="1" xfId="0" applyNumberFormat="1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165" fontId="13" fillId="12" borderId="1" xfId="0" applyNumberFormat="1" applyFont="1" applyFill="1" applyBorder="1" applyAlignment="1">
      <alignment horizontal="right" vertical="center"/>
    </xf>
    <xf numFmtId="164" fontId="14" fillId="10" borderId="1" xfId="0" applyNumberFormat="1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165" fontId="14" fillId="10" borderId="1" xfId="0" applyNumberFormat="1" applyFont="1" applyFill="1" applyBorder="1" applyAlignment="1">
      <alignment horizontal="right" vertical="center"/>
    </xf>
    <xf numFmtId="164" fontId="15" fillId="13" borderId="1" xfId="0" applyNumberFormat="1" applyFont="1" applyFill="1" applyBorder="1" applyAlignment="1">
      <alignment horizontal="left" vertical="center"/>
    </xf>
    <xf numFmtId="0" fontId="15" fillId="13" borderId="1" xfId="0" applyFont="1" applyFill="1" applyBorder="1" applyAlignment="1">
      <alignment horizontal="left" vertical="center"/>
    </xf>
    <xf numFmtId="165" fontId="15" fillId="13" borderId="1" xfId="0" applyNumberFormat="1" applyFont="1" applyFill="1" applyBorder="1" applyAlignment="1">
      <alignment horizontal="right" vertical="center"/>
    </xf>
    <xf numFmtId="0" fontId="16" fillId="8" borderId="1" xfId="0" applyFont="1" applyFill="1" applyBorder="1" applyAlignment="1">
      <alignment horizontal="left" vertical="center"/>
    </xf>
    <xf numFmtId="16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right" vertical="center"/>
    </xf>
    <xf numFmtId="4" fontId="0" fillId="0" borderId="0" xfId="0" applyNumberFormat="1"/>
    <xf numFmtId="164" fontId="17" fillId="0" borderId="0" xfId="0" applyNumberFormat="1" applyFont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165" fontId="8" fillId="7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left" vertical="center"/>
    </xf>
    <xf numFmtId="164" fontId="17" fillId="0" borderId="2" xfId="0" applyNumberFormat="1" applyFont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165" fontId="8" fillId="7" borderId="2" xfId="0" applyNumberFormat="1" applyFont="1" applyFill="1" applyBorder="1" applyAlignment="1">
      <alignment horizontal="right" vertical="center"/>
    </xf>
    <xf numFmtId="0" fontId="17" fillId="0" borderId="2" xfId="0" applyFont="1" applyBorder="1" applyAlignment="1">
      <alignment horizontal="left" vertical="center"/>
    </xf>
    <xf numFmtId="165" fontId="17" fillId="0" borderId="0" xfId="0" applyNumberFormat="1" applyFont="1" applyAlignment="1">
      <alignment horizontal="right" vertical="center"/>
    </xf>
    <xf numFmtId="0" fontId="17" fillId="13" borderId="1" xfId="0" applyFont="1" applyFill="1" applyBorder="1" applyAlignment="1">
      <alignment horizontal="left" vertical="center"/>
    </xf>
    <xf numFmtId="0" fontId="18" fillId="0" borderId="0" xfId="0" applyFont="1"/>
    <xf numFmtId="0" fontId="19" fillId="0" borderId="0" xfId="0" applyFont="1"/>
    <xf numFmtId="164" fontId="15" fillId="0" borderId="1" xfId="0" applyNumberFormat="1" applyFont="1" applyBorder="1" applyAlignment="1">
      <alignment horizontal="left" vertical="center"/>
    </xf>
    <xf numFmtId="165" fontId="15" fillId="0" borderId="1" xfId="0" applyNumberFormat="1" applyFont="1" applyBorder="1" applyAlignment="1">
      <alignment horizontal="right" vertical="center"/>
    </xf>
    <xf numFmtId="164" fontId="19" fillId="0" borderId="0" xfId="0" applyNumberFormat="1" applyFont="1"/>
    <xf numFmtId="0" fontId="20" fillId="14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  <xf numFmtId="0" fontId="20" fillId="16" borderId="0" xfId="0" applyFont="1" applyFill="1" applyAlignment="1">
      <alignment horizontal="center"/>
    </xf>
    <xf numFmtId="164" fontId="3" fillId="17" borderId="3" xfId="0" applyNumberFormat="1" applyFont="1" applyFill="1" applyBorder="1" applyAlignment="1">
      <alignment horizontal="left" vertical="center"/>
    </xf>
    <xf numFmtId="0" fontId="3" fillId="17" borderId="3" xfId="0" applyFont="1" applyFill="1" applyBorder="1" applyAlignment="1">
      <alignment horizontal="left" vertical="center" wrapText="1"/>
    </xf>
    <xf numFmtId="165" fontId="3" fillId="17" borderId="3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 wrapText="1"/>
    </xf>
    <xf numFmtId="164" fontId="21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165" fontId="21" fillId="0" borderId="1" xfId="0" applyNumberFormat="1" applyFont="1" applyBorder="1" applyAlignment="1">
      <alignment horizontal="right" vertical="center"/>
    </xf>
    <xf numFmtId="164" fontId="22" fillId="11" borderId="1" xfId="0" applyNumberFormat="1" applyFont="1" applyFill="1" applyBorder="1" applyAlignment="1">
      <alignment horizontal="left" vertical="center"/>
    </xf>
    <xf numFmtId="0" fontId="22" fillId="11" borderId="1" xfId="0" applyFont="1" applyFill="1" applyBorder="1" applyAlignment="1">
      <alignment horizontal="left" vertical="center" wrapText="1"/>
    </xf>
    <xf numFmtId="165" fontId="22" fillId="11" borderId="1" xfId="0" applyNumberFormat="1" applyFont="1" applyFill="1" applyBorder="1" applyAlignment="1">
      <alignment horizontal="right" vertical="center"/>
    </xf>
    <xf numFmtId="166" fontId="19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8" fillId="22" borderId="4" xfId="0" applyFont="1" applyFill="1" applyBorder="1" applyAlignment="1">
      <alignment horizontal="center" vertical="center" wrapText="1"/>
    </xf>
    <xf numFmtId="0" fontId="28" fillId="23" borderId="4" xfId="0" applyFont="1" applyFill="1" applyBorder="1" applyAlignment="1">
      <alignment horizontal="center" vertical="center" wrapText="1"/>
    </xf>
    <xf numFmtId="0" fontId="28" fillId="24" borderId="4" xfId="0" applyFont="1" applyFill="1" applyBorder="1" applyAlignment="1">
      <alignment horizontal="center" vertical="center" wrapText="1"/>
    </xf>
    <xf numFmtId="167" fontId="0" fillId="0" borderId="4" xfId="0" applyNumberFormat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29" fillId="23" borderId="4" xfId="0" applyFont="1" applyFill="1" applyBorder="1" applyAlignment="1">
      <alignment horizontal="center"/>
    </xf>
    <xf numFmtId="168" fontId="30" fillId="0" borderId="4" xfId="0" applyNumberFormat="1" applyFon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9" fillId="24" borderId="4" xfId="0" applyFont="1" applyFill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7" fillId="21" borderId="0" xfId="0" applyFont="1" applyFill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6" fillId="18" borderId="0" xfId="0" applyFont="1" applyFill="1" applyAlignment="1">
      <alignment horizontal="center" vertical="center"/>
    </xf>
    <xf numFmtId="0" fontId="26" fillId="19" borderId="0" xfId="0" applyFont="1" applyFill="1" applyAlignment="1">
      <alignment horizontal="center" vertical="center"/>
    </xf>
    <xf numFmtId="0" fontId="26" fillId="20" borderId="0" xfId="0" applyFont="1" applyFill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rgb="FFFFF8E1"/>
        </patternFill>
      </fill>
    </dxf>
    <dxf>
      <fill>
        <patternFill>
          <bgColor rgb="FFE1F5FE"/>
        </patternFill>
      </fill>
    </dxf>
    <dxf>
      <fill>
        <patternFill>
          <bgColor rgb="FFFCE4EC"/>
        </patternFill>
      </fill>
    </dxf>
    <dxf>
      <fill>
        <patternFill>
          <bgColor rgb="FFD1C4E9"/>
        </patternFill>
      </fill>
    </dxf>
    <dxf>
      <fill>
        <patternFill>
          <bgColor rgb="FFEFEBE9"/>
        </patternFill>
      </fill>
    </dxf>
    <dxf>
      <fill>
        <patternFill>
          <bgColor rgb="FFEFEBE9"/>
        </patternFill>
      </fill>
    </dxf>
    <dxf>
      <fill>
        <patternFill>
          <bgColor rgb="FFEDE7F6"/>
        </patternFill>
      </fill>
    </dxf>
    <dxf>
      <fill>
        <patternFill>
          <bgColor rgb="FFFFEBEE"/>
        </patternFill>
      </fill>
    </dxf>
    <dxf>
      <fill>
        <patternFill>
          <bgColor rgb="FFFFF3E0"/>
        </patternFill>
      </fill>
    </dxf>
    <dxf>
      <fill>
        <patternFill>
          <bgColor rgb="FFE0F2F1"/>
        </patternFill>
      </fill>
    </dxf>
    <dxf>
      <fill>
        <patternFill>
          <bgColor rgb="FFFFF3E0"/>
        </patternFill>
      </fill>
    </dxf>
    <dxf>
      <fill>
        <patternFill>
          <bgColor rgb="FFE3F2FD"/>
        </patternFill>
      </fill>
    </dxf>
    <dxf>
      <fill>
        <patternFill>
          <bgColor rgb="FFFFF8E1"/>
        </patternFill>
      </fill>
    </dxf>
    <dxf>
      <font>
        <b/>
        <color rgb="FF33691E"/>
      </font>
      <fill>
        <patternFill>
          <bgColor rgb="FFFFF9C4"/>
        </patternFill>
      </fill>
      <border diagonalUp="0" diagonalDown="0">
        <left/>
        <right/>
        <top/>
        <bottom style="thin">
          <color rgb="FFDDDDDD"/>
        </bottom>
      </border>
    </dxf>
    <dxf>
      <font>
        <b/>
        <color rgb="FFC62828"/>
      </font>
    </dxf>
    <dxf>
      <font>
        <b/>
        <color rgb="FF5D4037"/>
      </font>
      <fill>
        <patternFill>
          <bgColor rgb="FFFFF8E1"/>
        </patternFill>
      </fill>
    </dxf>
    <dxf>
      <font>
        <b/>
        <color rgb="FF880E4F"/>
      </font>
      <fill>
        <patternFill>
          <bgColor rgb="FFFCE4EC"/>
        </patternFill>
      </fill>
    </dxf>
    <dxf>
      <font>
        <b/>
        <color rgb="FFF57F17"/>
      </font>
      <fill>
        <patternFill>
          <bgColor rgb="FFFFF8E1"/>
        </patternFill>
      </fill>
    </dxf>
    <dxf>
      <font>
        <color rgb="FF01579B"/>
      </font>
      <fill>
        <patternFill>
          <bgColor rgb="FFE1F5FE"/>
        </patternFill>
      </fill>
    </dxf>
    <dxf>
      <font>
        <b/>
        <color rgb="FF455A64"/>
      </font>
      <fill>
        <patternFill>
          <bgColor rgb="FFECEFF1"/>
        </patternFill>
      </fill>
    </dxf>
    <dxf>
      <font>
        <b/>
        <color rgb="FFB71C1C"/>
      </font>
      <fill>
        <patternFill>
          <bgColor rgb="FFFFEBEE"/>
        </patternFill>
      </fill>
    </dxf>
    <dxf>
      <font>
        <b/>
        <color rgb="FF00695C"/>
      </font>
      <fill>
        <patternFill>
          <bgColor rgb="FFE0F2F1"/>
        </patternFill>
      </fill>
    </dxf>
    <dxf>
      <font>
        <color rgb="FFE65100"/>
      </font>
      <fill>
        <patternFill>
          <bgColor rgb="FFFFF3E0"/>
        </patternFill>
      </fill>
    </dxf>
    <dxf>
      <font>
        <b/>
        <color rgb="FF4E342E"/>
      </font>
      <fill>
        <patternFill>
          <bgColor rgb="FFEFEBE9"/>
        </patternFill>
      </fill>
    </dxf>
    <dxf>
      <font>
        <b/>
        <color rgb="FF4527A0"/>
      </font>
      <fill>
        <patternFill>
          <bgColor rgb="FFD1C4E9"/>
        </patternFill>
      </fill>
    </dxf>
    <dxf>
      <font>
        <color rgb="FF311B92"/>
      </font>
      <fill>
        <patternFill>
          <bgColor rgb="FFEDE7F6"/>
        </patternFill>
      </fill>
    </dxf>
    <dxf>
      <font>
        <color rgb="FF1B5E20"/>
      </font>
      <fill>
        <patternFill>
          <bgColor rgb="FFE8F5E9"/>
        </patternFill>
      </fill>
    </dxf>
    <dxf>
      <font>
        <b/>
        <color rgb="FF0D47A1"/>
      </font>
      <fill>
        <patternFill>
          <bgColor rgb="FFE3F2F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F5F5F5"/>
      <rgbColor rgb="FFB71C1C"/>
      <rgbColor rgb="FF1B5E20"/>
      <rgbColor rgb="FF311B92"/>
      <rgbColor rgb="FF33691E"/>
      <rgbColor rgb="FF880E4F"/>
      <rgbColor rgb="FF00695C"/>
      <rgbColor rgb="FFCCCCCC"/>
      <rgbColor rgb="FF888888"/>
      <rgbColor rgb="FFECE4F7"/>
      <rgbColor rgb="FF8E24AA"/>
      <rgbColor rgb="FFFFF9C4"/>
      <rgbColor rgb="FFE1F5FE"/>
      <rgbColor rgb="FF4A148C"/>
      <rgbColor rgb="FFEDE7F6"/>
      <rgbColor rgb="FF1565C0"/>
      <rgbColor rgb="FFD1C4E9"/>
      <rgbColor rgb="FF5D4037"/>
      <rgbColor rgb="FFFF00FF"/>
      <rgbColor rgb="FFEFEBE9"/>
      <rgbColor rgb="FF00FFFF"/>
      <rgbColor rgb="FF512DA8"/>
      <rgbColor rgb="FF4E342E"/>
      <rgbColor rgb="FF01579B"/>
      <rgbColor rgb="FF0000FF"/>
      <rgbColor rgb="FF00CCFF"/>
      <rgbColor rgb="FFE0F2F1"/>
      <rgbColor rgb="FFE8F5E9"/>
      <rgbColor rgb="FFFFF8E1"/>
      <rgbColor rgb="FFDDDDDD"/>
      <rgbColor rgb="FFFCE4EC"/>
      <rgbColor rgb="FFE0E0E0"/>
      <rgbColor rgb="FFFAC090"/>
      <rgbColor rgb="FF455A64"/>
      <rgbColor rgb="FFE3F2FD"/>
      <rgbColor rgb="FFECEFF1"/>
      <rgbColor rgb="FFFFEBEE"/>
      <rgbColor rgb="FFF57F17"/>
      <rgbColor rgb="FFE65100"/>
      <rgbColor rgb="FF777777"/>
      <rgbColor rgb="FF555555"/>
      <rgbColor rgb="FF0D47A1"/>
      <rgbColor rgb="FF2E7D32"/>
      <rgbColor rgb="FF37474F"/>
      <rgbColor rgb="FF263238"/>
      <rgbColor rgb="FFBF360C"/>
      <rgbColor rgb="FFC62828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0"/>
  <sheetViews>
    <sheetView showGridLines="0" tabSelected="1" zoomScaleNormal="100" workbookViewId="0">
      <pane ySplit="4" topLeftCell="A291" activePane="bottomLeft" state="frozen"/>
      <selection pane="bottomLeft" activeCell="E309" sqref="E309"/>
    </sheetView>
  </sheetViews>
  <sheetFormatPr baseColWidth="10" defaultColWidth="8.6640625" defaultRowHeight="15" x14ac:dyDescent="0.2"/>
  <cols>
    <col min="1" max="1" width="13" customWidth="1"/>
    <col min="2" max="2" width="17" customWidth="1"/>
    <col min="3" max="3" width="10" customWidth="1"/>
    <col min="4" max="4" width="9" customWidth="1"/>
    <col min="5" max="5" width="11" customWidth="1"/>
    <col min="6" max="6" width="10" customWidth="1"/>
    <col min="7" max="7" width="16" customWidth="1"/>
    <col min="8" max="8" width="38" customWidth="1"/>
    <col min="9" max="9" width="13" hidden="1" customWidth="1"/>
    <col min="10" max="10" width="6.1640625" customWidth="1"/>
  </cols>
  <sheetData>
    <row r="1" spans="1:9" ht="21.75" customHeight="1" x14ac:dyDescent="0.2">
      <c r="A1" s="86" t="s">
        <v>0</v>
      </c>
      <c r="B1" s="86"/>
      <c r="C1" s="86"/>
      <c r="D1" s="86"/>
      <c r="E1" s="86"/>
      <c r="F1" s="86"/>
      <c r="G1" s="86"/>
      <c r="H1" s="86"/>
    </row>
    <row r="2" spans="1:9" ht="15" customHeight="1" x14ac:dyDescent="0.2">
      <c r="A2" s="87" t="s">
        <v>1</v>
      </c>
      <c r="B2" s="87"/>
      <c r="C2" s="87"/>
      <c r="D2" s="87"/>
      <c r="E2" s="87"/>
      <c r="F2" s="87"/>
      <c r="G2" s="87"/>
      <c r="H2" s="87"/>
    </row>
    <row r="4" spans="1:9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9" ht="15" customHeight="1" x14ac:dyDescent="0.2">
      <c r="A5" s="2">
        <v>46214</v>
      </c>
      <c r="B5" s="3" t="s">
        <v>10</v>
      </c>
      <c r="C5" s="3" t="s">
        <v>11</v>
      </c>
      <c r="D5" s="3" t="s">
        <v>12</v>
      </c>
      <c r="E5" s="4">
        <v>2</v>
      </c>
      <c r="F5" s="4">
        <f>IF($B5="","",IF($D5="kg",N($E5),IF($D5="sacos",N($E5)*97,IF($D5="jabas",N($E5)*IFERROR(VLOOKUP($C5,LISTAS!$A$2:$B$12,2,0),0),""))))</f>
        <v>30</v>
      </c>
      <c r="G5" s="3"/>
      <c r="H5" s="3"/>
      <c r="I5">
        <f t="shared" ref="I5:I68" si="0">N($F5)</f>
        <v>30</v>
      </c>
    </row>
    <row r="6" spans="1:9" ht="15" customHeight="1" x14ac:dyDescent="0.2">
      <c r="A6" s="2">
        <v>46214</v>
      </c>
      <c r="B6" s="3" t="s">
        <v>10</v>
      </c>
      <c r="C6" s="3" t="s">
        <v>13</v>
      </c>
      <c r="D6" s="3" t="s">
        <v>12</v>
      </c>
      <c r="E6" s="4">
        <v>1</v>
      </c>
      <c r="F6" s="4">
        <f>IF($B6="","",IF($D6="kg",N($E6),IF($D6="sacos",N($E6)*97,IF($D6="jabas",N($E6)*IFERROR(VLOOKUP($C6,LISTAS!$A$2:$B$12,2,0),0),""))))</f>
        <v>17</v>
      </c>
      <c r="G6" s="3"/>
      <c r="H6" s="3"/>
      <c r="I6">
        <f t="shared" si="0"/>
        <v>17</v>
      </c>
    </row>
    <row r="7" spans="1:9" ht="15" customHeight="1" x14ac:dyDescent="0.2">
      <c r="A7" s="5">
        <v>46214</v>
      </c>
      <c r="B7" s="6" t="s">
        <v>14</v>
      </c>
      <c r="C7" s="6" t="s">
        <v>13</v>
      </c>
      <c r="D7" s="6" t="s">
        <v>12</v>
      </c>
      <c r="E7" s="7">
        <v>7</v>
      </c>
      <c r="F7" s="7">
        <f>IF($B7="","",IF($D7="kg",N($E7),IF($D7="sacos",N($E7)*97,IF($D7="jabas",N($E7)*IFERROR(VLOOKUP($C7,LISTAS!$A$2:$B$12,2,0),0),""))))</f>
        <v>119</v>
      </c>
      <c r="G7" s="6"/>
      <c r="H7" s="6"/>
      <c r="I7">
        <f t="shared" si="0"/>
        <v>119</v>
      </c>
    </row>
    <row r="8" spans="1:9" ht="15" customHeight="1" x14ac:dyDescent="0.2">
      <c r="A8" s="5">
        <v>46214</v>
      </c>
      <c r="B8" s="6" t="s">
        <v>14</v>
      </c>
      <c r="C8" s="6" t="s">
        <v>15</v>
      </c>
      <c r="D8" s="6" t="s">
        <v>16</v>
      </c>
      <c r="E8" s="7">
        <v>20</v>
      </c>
      <c r="F8" s="7">
        <f>IF($B8="","",IF($D8="kg",N($E8),IF($D8="sacos",N($E8)*97,IF($D8="jabas",N($E8)*IFERROR(VLOOKUP($C8,LISTAS!$A$2:$B$12,2,0),0),""))))</f>
        <v>1940</v>
      </c>
      <c r="G8" s="6"/>
      <c r="H8" s="6"/>
      <c r="I8">
        <f t="shared" si="0"/>
        <v>1940</v>
      </c>
    </row>
    <row r="9" spans="1:9" ht="15" customHeight="1" x14ac:dyDescent="0.2">
      <c r="A9" s="8">
        <v>46215</v>
      </c>
      <c r="B9" s="9" t="s">
        <v>17</v>
      </c>
      <c r="C9" s="9" t="s">
        <v>18</v>
      </c>
      <c r="D9" s="9" t="s">
        <v>16</v>
      </c>
      <c r="E9" s="10">
        <v>30</v>
      </c>
      <c r="F9" s="10">
        <f>IF($B9="","",IF($D9="kg",N($E9),IF($D9="sacos",N($E9)*97,IF($D9="jabas",N($E9)*IFERROR(VLOOKUP($C9,LISTAS!$A$2:$B$12,2,0),0),""))))</f>
        <v>2910</v>
      </c>
      <c r="G9" s="9"/>
      <c r="H9" s="9" t="s">
        <v>19</v>
      </c>
      <c r="I9">
        <f t="shared" si="0"/>
        <v>2910</v>
      </c>
    </row>
    <row r="10" spans="1:9" ht="15" customHeight="1" x14ac:dyDescent="0.2">
      <c r="A10" s="11">
        <v>46215</v>
      </c>
      <c r="B10" s="12" t="s">
        <v>20</v>
      </c>
      <c r="C10" s="12" t="s">
        <v>11</v>
      </c>
      <c r="D10" s="12" t="s">
        <v>12</v>
      </c>
      <c r="E10" s="13">
        <v>59</v>
      </c>
      <c r="F10" s="13">
        <f>IF($B10="","",IF($D10="kg",N($E10),IF($D10="sacos",N($E10)*97,IF($D10="jabas",N($E10)*IFERROR(VLOOKUP($C10,LISTAS!$A$2:$B$12,2,0),0),""))))</f>
        <v>885</v>
      </c>
      <c r="G10" s="12"/>
      <c r="H10" s="12"/>
      <c r="I10">
        <f t="shared" si="0"/>
        <v>885</v>
      </c>
    </row>
    <row r="11" spans="1:9" ht="15" customHeight="1" x14ac:dyDescent="0.2">
      <c r="A11" s="11">
        <v>46215</v>
      </c>
      <c r="B11" s="12" t="s">
        <v>20</v>
      </c>
      <c r="C11" s="12" t="s">
        <v>21</v>
      </c>
      <c r="D11" s="12" t="s">
        <v>12</v>
      </c>
      <c r="E11" s="13">
        <v>11</v>
      </c>
      <c r="F11" s="13">
        <f>IF($B11="","",IF($D11="kg",N($E11),IF($D11="sacos",N($E11)*97,IF($D11="jabas",N($E11)*IFERROR(VLOOKUP($C11,LISTAS!$A$2:$B$12,2,0),0),""))))</f>
        <v>198</v>
      </c>
      <c r="G11" s="12"/>
      <c r="H11" s="12"/>
      <c r="I11">
        <f t="shared" si="0"/>
        <v>198</v>
      </c>
    </row>
    <row r="12" spans="1:9" ht="15" customHeight="1" x14ac:dyDescent="0.2">
      <c r="A12" s="11">
        <v>46215</v>
      </c>
      <c r="B12" s="12" t="s">
        <v>20</v>
      </c>
      <c r="C12" s="12" t="s">
        <v>22</v>
      </c>
      <c r="D12" s="12" t="s">
        <v>12</v>
      </c>
      <c r="E12" s="13">
        <v>12</v>
      </c>
      <c r="F12" s="13">
        <f>IF($B12="","",IF($D12="kg",N($E12),IF($D12="sacos",N($E12)*97,IF($D12="jabas",N($E12)*IFERROR(VLOOKUP($C12,LISTAS!$A$2:$B$12,2,0),0),""))))</f>
        <v>204</v>
      </c>
      <c r="G12" s="12"/>
      <c r="H12" s="12"/>
      <c r="I12">
        <f t="shared" si="0"/>
        <v>204</v>
      </c>
    </row>
    <row r="13" spans="1:9" ht="15" customHeight="1" x14ac:dyDescent="0.2">
      <c r="A13" s="11">
        <v>46215</v>
      </c>
      <c r="B13" s="12" t="s">
        <v>20</v>
      </c>
      <c r="C13" s="12" t="s">
        <v>13</v>
      </c>
      <c r="D13" s="12" t="s">
        <v>12</v>
      </c>
      <c r="E13" s="13">
        <v>64</v>
      </c>
      <c r="F13" s="13">
        <f>IF($B13="","",IF($D13="kg",N($E13),IF($D13="sacos",N($E13)*97,IF($D13="jabas",N($E13)*IFERROR(VLOOKUP($C13,LISTAS!$A$2:$B$12,2,0),0),""))))</f>
        <v>1088</v>
      </c>
      <c r="G13" s="12"/>
      <c r="H13" s="12"/>
      <c r="I13">
        <f t="shared" si="0"/>
        <v>1088</v>
      </c>
    </row>
    <row r="14" spans="1:9" ht="15" customHeight="1" x14ac:dyDescent="0.2">
      <c r="A14" s="11">
        <v>46215</v>
      </c>
      <c r="B14" s="12" t="s">
        <v>20</v>
      </c>
      <c r="C14" s="12" t="s">
        <v>15</v>
      </c>
      <c r="D14" s="12" t="s">
        <v>16</v>
      </c>
      <c r="E14" s="13">
        <v>6</v>
      </c>
      <c r="F14" s="13">
        <f>IF($B14="","",IF($D14="kg",N($E14),IF($D14="sacos",N($E14)*97,IF($D14="jabas",N($E14)*IFERROR(VLOOKUP($C14,LISTAS!$A$2:$B$12,2,0),0),""))))</f>
        <v>582</v>
      </c>
      <c r="G14" s="12"/>
      <c r="H14" s="12"/>
      <c r="I14">
        <f t="shared" si="0"/>
        <v>582</v>
      </c>
    </row>
    <row r="15" spans="1:9" ht="15" customHeight="1" x14ac:dyDescent="0.2">
      <c r="A15" s="14">
        <v>46215</v>
      </c>
      <c r="B15" s="15" t="s">
        <v>23</v>
      </c>
      <c r="C15" s="15" t="s">
        <v>11</v>
      </c>
      <c r="D15" s="15" t="s">
        <v>12</v>
      </c>
      <c r="E15" s="16">
        <v>67</v>
      </c>
      <c r="F15" s="16">
        <f>IF($B15="","",IF($D15="kg",N($E15),IF($D15="sacos",N($E15)*97,IF($D15="jabas",N($E15)*IFERROR(VLOOKUP($C15,LISTAS!$A$2:$B$12,2,0),0),""))))</f>
        <v>1005</v>
      </c>
      <c r="G15" s="15" t="s">
        <v>24</v>
      </c>
      <c r="H15" s="15"/>
      <c r="I15">
        <f t="shared" si="0"/>
        <v>1005</v>
      </c>
    </row>
    <row r="16" spans="1:9" ht="15" customHeight="1" x14ac:dyDescent="0.2">
      <c r="A16" s="14">
        <v>46215</v>
      </c>
      <c r="B16" s="15" t="s">
        <v>23</v>
      </c>
      <c r="C16" s="15" t="s">
        <v>21</v>
      </c>
      <c r="D16" s="15" t="s">
        <v>12</v>
      </c>
      <c r="E16" s="16">
        <v>11</v>
      </c>
      <c r="F16" s="16">
        <f>IF($B16="","",IF($D16="kg",N($E16),IF($D16="sacos",N($E16)*97,IF($D16="jabas",N($E16)*IFERROR(VLOOKUP($C16,LISTAS!$A$2:$B$12,2,0),0),""))))</f>
        <v>198</v>
      </c>
      <c r="G16" s="15" t="s">
        <v>24</v>
      </c>
      <c r="H16" s="15"/>
      <c r="I16">
        <f t="shared" si="0"/>
        <v>198</v>
      </c>
    </row>
    <row r="17" spans="1:9" ht="15" customHeight="1" x14ac:dyDescent="0.2">
      <c r="A17" s="14">
        <v>46215</v>
      </c>
      <c r="B17" s="15" t="s">
        <v>23</v>
      </c>
      <c r="C17" s="15" t="s">
        <v>22</v>
      </c>
      <c r="D17" s="15" t="s">
        <v>12</v>
      </c>
      <c r="E17" s="16">
        <v>12</v>
      </c>
      <c r="F17" s="16">
        <f>IF($B17="","",IF($D17="kg",N($E17),IF($D17="sacos",N($E17)*97,IF($D17="jabas",N($E17)*IFERROR(VLOOKUP($C17,LISTAS!$A$2:$B$12,2,0),0),""))))</f>
        <v>204</v>
      </c>
      <c r="G17" s="15" t="s">
        <v>24</v>
      </c>
      <c r="H17" s="15"/>
      <c r="I17">
        <f t="shared" si="0"/>
        <v>204</v>
      </c>
    </row>
    <row r="18" spans="1:9" ht="15" customHeight="1" x14ac:dyDescent="0.2">
      <c r="A18" s="14">
        <v>46215</v>
      </c>
      <c r="B18" s="15" t="s">
        <v>23</v>
      </c>
      <c r="C18" s="15" t="s">
        <v>13</v>
      </c>
      <c r="D18" s="15" t="s">
        <v>12</v>
      </c>
      <c r="E18" s="16">
        <v>42</v>
      </c>
      <c r="F18" s="16">
        <f>IF($B18="","",IF($D18="kg",N($E18),IF($D18="sacos",N($E18)*97,IF($D18="jabas",N($E18)*IFERROR(VLOOKUP($C18,LISTAS!$A$2:$B$12,2,0),0),""))))</f>
        <v>714</v>
      </c>
      <c r="G18" s="15" t="s">
        <v>24</v>
      </c>
      <c r="H18" s="15"/>
      <c r="I18">
        <f t="shared" si="0"/>
        <v>714</v>
      </c>
    </row>
    <row r="19" spans="1:9" ht="15" customHeight="1" x14ac:dyDescent="0.2">
      <c r="A19" s="8">
        <v>46216</v>
      </c>
      <c r="B19" s="9" t="s">
        <v>17</v>
      </c>
      <c r="C19" s="9" t="s">
        <v>18</v>
      </c>
      <c r="D19" s="9" t="s">
        <v>16</v>
      </c>
      <c r="E19" s="10">
        <v>40</v>
      </c>
      <c r="F19" s="10">
        <f>IF($B19="","",IF($D19="kg",N($E19),IF($D19="sacos",N($E19)*97,IF($D19="jabas",N($E19)*IFERROR(VLOOKUP($C19,LISTAS!$A$2:$B$12,2,0),0),""))))</f>
        <v>3880</v>
      </c>
      <c r="G19" s="9"/>
      <c r="H19" s="9" t="s">
        <v>19</v>
      </c>
      <c r="I19">
        <f t="shared" si="0"/>
        <v>3880</v>
      </c>
    </row>
    <row r="20" spans="1:9" ht="15" customHeight="1" x14ac:dyDescent="0.2">
      <c r="A20" s="11">
        <v>46216</v>
      </c>
      <c r="B20" s="12" t="s">
        <v>20</v>
      </c>
      <c r="C20" s="12" t="s">
        <v>11</v>
      </c>
      <c r="D20" s="12" t="s">
        <v>12</v>
      </c>
      <c r="E20" s="13">
        <v>107</v>
      </c>
      <c r="F20" s="13">
        <f>IF($B20="","",IF($D20="kg",N($E20),IF($D20="sacos",N($E20)*97,IF($D20="jabas",N($E20)*IFERROR(VLOOKUP($C20,LISTAS!$A$2:$B$12,2,0),0),""))))</f>
        <v>1605</v>
      </c>
      <c r="G20" s="12"/>
      <c r="H20" s="12"/>
      <c r="I20">
        <f t="shared" si="0"/>
        <v>1605</v>
      </c>
    </row>
    <row r="21" spans="1:9" ht="15" customHeight="1" x14ac:dyDescent="0.2">
      <c r="A21" s="11">
        <v>46216</v>
      </c>
      <c r="B21" s="12" t="s">
        <v>20</v>
      </c>
      <c r="C21" s="12" t="s">
        <v>21</v>
      </c>
      <c r="D21" s="12" t="s">
        <v>12</v>
      </c>
      <c r="E21" s="13">
        <v>11</v>
      </c>
      <c r="F21" s="13">
        <f>IF($B21="","",IF($D21="kg",N($E21),IF($D21="sacos",N($E21)*97,IF($D21="jabas",N($E21)*IFERROR(VLOOKUP($C21,LISTAS!$A$2:$B$12,2,0),0),""))))</f>
        <v>198</v>
      </c>
      <c r="G21" s="12"/>
      <c r="H21" s="12"/>
      <c r="I21">
        <f t="shared" si="0"/>
        <v>198</v>
      </c>
    </row>
    <row r="22" spans="1:9" ht="15" customHeight="1" x14ac:dyDescent="0.2">
      <c r="A22" s="11">
        <v>46216</v>
      </c>
      <c r="B22" s="12" t="s">
        <v>20</v>
      </c>
      <c r="C22" s="12" t="s">
        <v>22</v>
      </c>
      <c r="D22" s="12" t="s">
        <v>12</v>
      </c>
      <c r="E22" s="13">
        <v>12</v>
      </c>
      <c r="F22" s="13">
        <f>IF($B22="","",IF($D22="kg",N($E22),IF($D22="sacos",N($E22)*97,IF($D22="jabas",N($E22)*IFERROR(VLOOKUP($C22,LISTAS!$A$2:$B$12,2,0),0),""))))</f>
        <v>204</v>
      </c>
      <c r="G22" s="12"/>
      <c r="H22" s="12"/>
      <c r="I22">
        <f t="shared" si="0"/>
        <v>204</v>
      </c>
    </row>
    <row r="23" spans="1:9" ht="15" customHeight="1" x14ac:dyDescent="0.2">
      <c r="A23" s="11">
        <v>46216</v>
      </c>
      <c r="B23" s="12" t="s">
        <v>20</v>
      </c>
      <c r="C23" s="12" t="s">
        <v>13</v>
      </c>
      <c r="D23" s="12" t="s">
        <v>12</v>
      </c>
      <c r="E23" s="13">
        <v>110</v>
      </c>
      <c r="F23" s="13">
        <f>IF($B23="","",IF($D23="kg",N($E23),IF($D23="sacos",N($E23)*97,IF($D23="jabas",N($E23)*IFERROR(VLOOKUP($C23,LISTAS!$A$2:$B$12,2,0),0),""))))</f>
        <v>1870</v>
      </c>
      <c r="G23" s="12"/>
      <c r="H23" s="12"/>
      <c r="I23">
        <f t="shared" si="0"/>
        <v>1870</v>
      </c>
    </row>
    <row r="24" spans="1:9" ht="15" customHeight="1" x14ac:dyDescent="0.2">
      <c r="A24" s="11">
        <v>46216</v>
      </c>
      <c r="B24" s="12" t="s">
        <v>20</v>
      </c>
      <c r="C24" s="12" t="s">
        <v>15</v>
      </c>
      <c r="D24" s="12" t="s">
        <v>16</v>
      </c>
      <c r="E24" s="13">
        <v>2</v>
      </c>
      <c r="F24" s="13">
        <f>IF($B24="","",IF($D24="kg",N($E24),IF($D24="sacos",N($E24)*97,IF($D24="jabas",N($E24)*IFERROR(VLOOKUP($C24,LISTAS!$A$2:$B$12,2,0),0),""))))</f>
        <v>194</v>
      </c>
      <c r="G24" s="12"/>
      <c r="H24" s="12"/>
      <c r="I24">
        <f t="shared" si="0"/>
        <v>194</v>
      </c>
    </row>
    <row r="25" spans="1:9" ht="15" customHeight="1" x14ac:dyDescent="0.2">
      <c r="A25" s="14">
        <v>46216</v>
      </c>
      <c r="B25" s="15" t="s">
        <v>23</v>
      </c>
      <c r="C25" s="15" t="s">
        <v>11</v>
      </c>
      <c r="D25" s="15" t="s">
        <v>12</v>
      </c>
      <c r="E25" s="16">
        <v>67</v>
      </c>
      <c r="F25" s="16">
        <f>IF($B25="","",IF($D25="kg",N($E25),IF($D25="sacos",N($E25)*97,IF($D25="jabas",N($E25)*IFERROR(VLOOKUP($C25,LISTAS!$A$2:$B$12,2,0),0),""))))</f>
        <v>1005</v>
      </c>
      <c r="G25" s="15" t="s">
        <v>25</v>
      </c>
      <c r="H25" s="15"/>
      <c r="I25">
        <f t="shared" si="0"/>
        <v>1005</v>
      </c>
    </row>
    <row r="26" spans="1:9" ht="15" customHeight="1" x14ac:dyDescent="0.2">
      <c r="A26" s="14">
        <v>46216</v>
      </c>
      <c r="B26" s="15" t="s">
        <v>23</v>
      </c>
      <c r="C26" s="15" t="s">
        <v>21</v>
      </c>
      <c r="D26" s="15" t="s">
        <v>12</v>
      </c>
      <c r="E26" s="16">
        <v>11</v>
      </c>
      <c r="F26" s="16">
        <f>IF($B26="","",IF($D26="kg",N($E26),IF($D26="sacos",N($E26)*97,IF($D26="jabas",N($E26)*IFERROR(VLOOKUP($C26,LISTAS!$A$2:$B$12,2,0),0),""))))</f>
        <v>198</v>
      </c>
      <c r="G26" s="15" t="s">
        <v>25</v>
      </c>
      <c r="H26" s="15"/>
      <c r="I26">
        <f t="shared" si="0"/>
        <v>198</v>
      </c>
    </row>
    <row r="27" spans="1:9" ht="15" customHeight="1" x14ac:dyDescent="0.2">
      <c r="A27" s="14">
        <v>46216</v>
      </c>
      <c r="B27" s="15" t="s">
        <v>23</v>
      </c>
      <c r="C27" s="15" t="s">
        <v>22</v>
      </c>
      <c r="D27" s="15" t="s">
        <v>12</v>
      </c>
      <c r="E27" s="16">
        <v>12</v>
      </c>
      <c r="F27" s="16">
        <f>IF($B27="","",IF($D27="kg",N($E27),IF($D27="sacos",N($E27)*97,IF($D27="jabas",N($E27)*IFERROR(VLOOKUP($C27,LISTAS!$A$2:$B$12,2,0),0),""))))</f>
        <v>204</v>
      </c>
      <c r="G27" s="15" t="s">
        <v>25</v>
      </c>
      <c r="H27" s="15"/>
      <c r="I27">
        <f t="shared" si="0"/>
        <v>204</v>
      </c>
    </row>
    <row r="28" spans="1:9" ht="15" customHeight="1" x14ac:dyDescent="0.2">
      <c r="A28" s="14">
        <v>46216</v>
      </c>
      <c r="B28" s="15" t="s">
        <v>23</v>
      </c>
      <c r="C28" s="15" t="s">
        <v>13</v>
      </c>
      <c r="D28" s="15" t="s">
        <v>12</v>
      </c>
      <c r="E28" s="16">
        <v>97</v>
      </c>
      <c r="F28" s="16">
        <f>IF($B28="","",IF($D28="kg",N($E28),IF($D28="sacos",N($E28)*97,IF($D28="jabas",N($E28)*IFERROR(VLOOKUP($C28,LISTAS!$A$2:$B$12,2,0),0),""))))</f>
        <v>1649</v>
      </c>
      <c r="G28" s="15" t="s">
        <v>25</v>
      </c>
      <c r="H28" s="15"/>
      <c r="I28">
        <f t="shared" si="0"/>
        <v>1649</v>
      </c>
    </row>
    <row r="29" spans="1:9" ht="15" customHeight="1" x14ac:dyDescent="0.2">
      <c r="A29" s="8">
        <v>46217</v>
      </c>
      <c r="B29" s="9" t="s">
        <v>17</v>
      </c>
      <c r="C29" s="9" t="s">
        <v>18</v>
      </c>
      <c r="D29" s="9" t="s">
        <v>16</v>
      </c>
      <c r="E29" s="10">
        <v>40</v>
      </c>
      <c r="F29" s="10">
        <f>IF($B29="","",IF($D29="kg",N($E29),IF($D29="sacos",N($E29)*97,IF($D29="jabas",N($E29)*IFERROR(VLOOKUP($C29,LISTAS!$A$2:$B$12,2,0),0),""))))</f>
        <v>3880</v>
      </c>
      <c r="G29" s="9"/>
      <c r="H29" s="9" t="s">
        <v>19</v>
      </c>
      <c r="I29">
        <f t="shared" si="0"/>
        <v>3880</v>
      </c>
    </row>
    <row r="30" spans="1:9" ht="15" customHeight="1" x14ac:dyDescent="0.2">
      <c r="A30" s="11">
        <v>46217</v>
      </c>
      <c r="B30" s="12" t="s">
        <v>20</v>
      </c>
      <c r="C30" s="12" t="s">
        <v>11</v>
      </c>
      <c r="D30" s="12" t="s">
        <v>12</v>
      </c>
      <c r="E30" s="13">
        <v>45</v>
      </c>
      <c r="F30" s="13">
        <f>IF($B30="","",IF($D30="kg",N($E30),IF($D30="sacos",N($E30)*97,IF($D30="jabas",N($E30)*IFERROR(VLOOKUP($C30,LISTAS!$A$2:$B$12,2,0),0),""))))</f>
        <v>675</v>
      </c>
      <c r="G30" s="12"/>
      <c r="H30" s="12"/>
      <c r="I30">
        <f t="shared" si="0"/>
        <v>675</v>
      </c>
    </row>
    <row r="31" spans="1:9" ht="15" customHeight="1" x14ac:dyDescent="0.2">
      <c r="A31" s="11">
        <v>46217</v>
      </c>
      <c r="B31" s="12" t="s">
        <v>20</v>
      </c>
      <c r="C31" s="12" t="s">
        <v>21</v>
      </c>
      <c r="D31" s="12" t="s">
        <v>12</v>
      </c>
      <c r="E31" s="13">
        <v>11</v>
      </c>
      <c r="F31" s="13">
        <f>IF($B31="","",IF($D31="kg",N($E31),IF($D31="sacos",N($E31)*97,IF($D31="jabas",N($E31)*IFERROR(VLOOKUP($C31,LISTAS!$A$2:$B$12,2,0),0),""))))</f>
        <v>198</v>
      </c>
      <c r="G31" s="12"/>
      <c r="H31" s="12"/>
      <c r="I31">
        <f t="shared" si="0"/>
        <v>198</v>
      </c>
    </row>
    <row r="32" spans="1:9" ht="15" customHeight="1" x14ac:dyDescent="0.2">
      <c r="A32" s="11">
        <v>46217</v>
      </c>
      <c r="B32" s="12" t="s">
        <v>20</v>
      </c>
      <c r="C32" s="12" t="s">
        <v>22</v>
      </c>
      <c r="D32" s="12" t="s">
        <v>12</v>
      </c>
      <c r="E32" s="13">
        <v>12</v>
      </c>
      <c r="F32" s="13">
        <f>IF($B32="","",IF($D32="kg",N($E32),IF($D32="sacos",N($E32)*97,IF($D32="jabas",N($E32)*IFERROR(VLOOKUP($C32,LISTAS!$A$2:$B$12,2,0),0),""))))</f>
        <v>204</v>
      </c>
      <c r="G32" s="12"/>
      <c r="H32" s="12"/>
      <c r="I32">
        <f t="shared" si="0"/>
        <v>204</v>
      </c>
    </row>
    <row r="33" spans="1:9" ht="15" customHeight="1" x14ac:dyDescent="0.2">
      <c r="A33" s="11">
        <v>46217</v>
      </c>
      <c r="B33" s="12" t="s">
        <v>20</v>
      </c>
      <c r="C33" s="12" t="s">
        <v>13</v>
      </c>
      <c r="D33" s="12" t="s">
        <v>12</v>
      </c>
      <c r="E33" s="13">
        <v>121</v>
      </c>
      <c r="F33" s="13">
        <f>IF($B33="","",IF($D33="kg",N($E33),IF($D33="sacos",N($E33)*97,IF($D33="jabas",N($E33)*IFERROR(VLOOKUP($C33,LISTAS!$A$2:$B$12,2,0),0),""))))</f>
        <v>2057</v>
      </c>
      <c r="G33" s="12"/>
      <c r="H33" s="12"/>
      <c r="I33">
        <f t="shared" si="0"/>
        <v>2057</v>
      </c>
    </row>
    <row r="34" spans="1:9" ht="15" customHeight="1" x14ac:dyDescent="0.2">
      <c r="A34" s="11">
        <v>46217</v>
      </c>
      <c r="B34" s="12" t="s">
        <v>20</v>
      </c>
      <c r="C34" s="12" t="s">
        <v>15</v>
      </c>
      <c r="D34" s="12" t="s">
        <v>16</v>
      </c>
      <c r="E34" s="13">
        <v>7</v>
      </c>
      <c r="F34" s="13">
        <f>IF($B34="","",IF($D34="kg",N($E34),IF($D34="sacos",N($E34)*97,IF($D34="jabas",N($E34)*IFERROR(VLOOKUP($C34,LISTAS!$A$2:$B$12,2,0),0),""))))</f>
        <v>679</v>
      </c>
      <c r="G34" s="12"/>
      <c r="H34" s="12"/>
      <c r="I34">
        <f t="shared" si="0"/>
        <v>679</v>
      </c>
    </row>
    <row r="35" spans="1:9" ht="15" customHeight="1" x14ac:dyDescent="0.2">
      <c r="A35" s="14">
        <v>46217</v>
      </c>
      <c r="B35" s="15" t="s">
        <v>23</v>
      </c>
      <c r="C35" s="15" t="s">
        <v>11</v>
      </c>
      <c r="D35" s="15" t="s">
        <v>12</v>
      </c>
      <c r="E35" s="16">
        <v>67</v>
      </c>
      <c r="F35" s="16">
        <f>IF($B35="","",IF($D35="kg",N($E35),IF($D35="sacos",N($E35)*97,IF($D35="jabas",N($E35)*IFERROR(VLOOKUP($C35,LISTAS!$A$2:$B$12,2,0),0),""))))</f>
        <v>1005</v>
      </c>
      <c r="G35" s="15" t="s">
        <v>26</v>
      </c>
      <c r="H35" s="15"/>
      <c r="I35">
        <f t="shared" si="0"/>
        <v>1005</v>
      </c>
    </row>
    <row r="36" spans="1:9" ht="15" customHeight="1" x14ac:dyDescent="0.2">
      <c r="A36" s="14">
        <v>46217</v>
      </c>
      <c r="B36" s="15" t="s">
        <v>23</v>
      </c>
      <c r="C36" s="15" t="s">
        <v>21</v>
      </c>
      <c r="D36" s="15" t="s">
        <v>12</v>
      </c>
      <c r="E36" s="16">
        <v>11</v>
      </c>
      <c r="F36" s="16">
        <f>IF($B36="","",IF($D36="kg",N($E36),IF($D36="sacos",N($E36)*97,IF($D36="jabas",N($E36)*IFERROR(VLOOKUP($C36,LISTAS!$A$2:$B$12,2,0),0),""))))</f>
        <v>198</v>
      </c>
      <c r="G36" s="15" t="s">
        <v>26</v>
      </c>
      <c r="H36" s="15"/>
      <c r="I36">
        <f t="shared" si="0"/>
        <v>198</v>
      </c>
    </row>
    <row r="37" spans="1:9" ht="15" customHeight="1" x14ac:dyDescent="0.2">
      <c r="A37" s="14">
        <v>46217</v>
      </c>
      <c r="B37" s="15" t="s">
        <v>23</v>
      </c>
      <c r="C37" s="15" t="s">
        <v>22</v>
      </c>
      <c r="D37" s="15" t="s">
        <v>12</v>
      </c>
      <c r="E37" s="16">
        <v>12</v>
      </c>
      <c r="F37" s="16">
        <f>IF($B37="","",IF($D37="kg",N($E37),IF($D37="sacos",N($E37)*97,IF($D37="jabas",N($E37)*IFERROR(VLOOKUP($C37,LISTAS!$A$2:$B$12,2,0),0),""))))</f>
        <v>204</v>
      </c>
      <c r="G37" s="15" t="s">
        <v>26</v>
      </c>
      <c r="H37" s="15"/>
      <c r="I37">
        <f t="shared" si="0"/>
        <v>204</v>
      </c>
    </row>
    <row r="38" spans="1:9" ht="15" customHeight="1" x14ac:dyDescent="0.2">
      <c r="A38" s="14">
        <v>46217</v>
      </c>
      <c r="B38" s="15" t="s">
        <v>23</v>
      </c>
      <c r="C38" s="15" t="s">
        <v>13</v>
      </c>
      <c r="D38" s="15" t="s">
        <v>12</v>
      </c>
      <c r="E38" s="16">
        <v>116</v>
      </c>
      <c r="F38" s="16">
        <f>IF($B38="","",IF($D38="kg",N($E38),IF($D38="sacos",N($E38)*97,IF($D38="jabas",N($E38)*IFERROR(VLOOKUP($C38,LISTAS!$A$2:$B$12,2,0),0),""))))</f>
        <v>1972</v>
      </c>
      <c r="G38" s="15" t="s">
        <v>26</v>
      </c>
      <c r="H38" s="15"/>
      <c r="I38">
        <f t="shared" si="0"/>
        <v>1972</v>
      </c>
    </row>
    <row r="39" spans="1:9" ht="15" customHeight="1" x14ac:dyDescent="0.2">
      <c r="A39" s="8">
        <v>46218</v>
      </c>
      <c r="B39" s="9" t="s">
        <v>17</v>
      </c>
      <c r="C39" s="9" t="s">
        <v>18</v>
      </c>
      <c r="D39" s="9" t="s">
        <v>16</v>
      </c>
      <c r="E39" s="10">
        <v>40</v>
      </c>
      <c r="F39" s="10">
        <f>IF($B39="","",IF($D39="kg",N($E39),IF($D39="sacos",N($E39)*97,IF($D39="jabas",N($E39)*IFERROR(VLOOKUP($C39,LISTAS!$A$2:$B$12,2,0),0),""))))</f>
        <v>3880</v>
      </c>
      <c r="G39" s="9"/>
      <c r="H39" s="9" t="s">
        <v>19</v>
      </c>
      <c r="I39">
        <f t="shared" si="0"/>
        <v>3880</v>
      </c>
    </row>
    <row r="40" spans="1:9" ht="15" customHeight="1" x14ac:dyDescent="0.2">
      <c r="A40" s="11">
        <v>46218</v>
      </c>
      <c r="B40" s="12" t="s">
        <v>20</v>
      </c>
      <c r="C40" s="12" t="s">
        <v>11</v>
      </c>
      <c r="D40" s="12" t="s">
        <v>12</v>
      </c>
      <c r="E40" s="13">
        <v>79</v>
      </c>
      <c r="F40" s="13">
        <f>IF($B40="","",IF($D40="kg",N($E40),IF($D40="sacos",N($E40)*97,IF($D40="jabas",N($E40)*IFERROR(VLOOKUP($C40,LISTAS!$A$2:$B$12,2,0),0),""))))</f>
        <v>1185</v>
      </c>
      <c r="G40" s="12"/>
      <c r="H40" s="12"/>
      <c r="I40">
        <f t="shared" si="0"/>
        <v>1185</v>
      </c>
    </row>
    <row r="41" spans="1:9" ht="15" customHeight="1" x14ac:dyDescent="0.2">
      <c r="A41" s="11">
        <v>46218</v>
      </c>
      <c r="B41" s="12" t="s">
        <v>20</v>
      </c>
      <c r="C41" s="12" t="s">
        <v>21</v>
      </c>
      <c r="D41" s="12" t="s">
        <v>12</v>
      </c>
      <c r="E41" s="13">
        <v>22</v>
      </c>
      <c r="F41" s="13">
        <f>IF($B41="","",IF($D41="kg",N($E41),IF($D41="sacos",N($E41)*97,IF($D41="jabas",N($E41)*IFERROR(VLOOKUP($C41,LISTAS!$A$2:$B$12,2,0),0),""))))</f>
        <v>396</v>
      </c>
      <c r="G41" s="12"/>
      <c r="H41" s="12"/>
      <c r="I41">
        <f t="shared" si="0"/>
        <v>396</v>
      </c>
    </row>
    <row r="42" spans="1:9" ht="15" customHeight="1" x14ac:dyDescent="0.2">
      <c r="A42" s="11">
        <v>46218</v>
      </c>
      <c r="B42" s="12" t="s">
        <v>20</v>
      </c>
      <c r="C42" s="12" t="s">
        <v>22</v>
      </c>
      <c r="D42" s="12" t="s">
        <v>12</v>
      </c>
      <c r="E42" s="13">
        <v>21</v>
      </c>
      <c r="F42" s="13">
        <f>IF($B42="","",IF($D42="kg",N($E42),IF($D42="sacos",N($E42)*97,IF($D42="jabas",N($E42)*IFERROR(VLOOKUP($C42,LISTAS!$A$2:$B$12,2,0),0),""))))</f>
        <v>357</v>
      </c>
      <c r="G42" s="12"/>
      <c r="H42" s="12"/>
      <c r="I42">
        <f t="shared" si="0"/>
        <v>357</v>
      </c>
    </row>
    <row r="43" spans="1:9" ht="15" customHeight="1" x14ac:dyDescent="0.2">
      <c r="A43" s="11">
        <v>46218</v>
      </c>
      <c r="B43" s="12" t="s">
        <v>20</v>
      </c>
      <c r="C43" s="12" t="s">
        <v>13</v>
      </c>
      <c r="D43" s="12" t="s">
        <v>12</v>
      </c>
      <c r="E43" s="13">
        <v>83</v>
      </c>
      <c r="F43" s="13">
        <f>IF($B43="","",IF($D43="kg",N($E43),IF($D43="sacos",N($E43)*97,IF($D43="jabas",N($E43)*IFERROR(VLOOKUP($C43,LISTAS!$A$2:$B$12,2,0),0),""))))</f>
        <v>1411</v>
      </c>
      <c r="G43" s="12"/>
      <c r="H43" s="12"/>
      <c r="I43">
        <f t="shared" si="0"/>
        <v>1411</v>
      </c>
    </row>
    <row r="44" spans="1:9" ht="15" customHeight="1" x14ac:dyDescent="0.2">
      <c r="A44" s="11">
        <v>46218</v>
      </c>
      <c r="B44" s="12" t="s">
        <v>20</v>
      </c>
      <c r="C44" s="12" t="s">
        <v>15</v>
      </c>
      <c r="D44" s="12" t="s">
        <v>16</v>
      </c>
      <c r="E44" s="13">
        <v>5</v>
      </c>
      <c r="F44" s="13">
        <f>IF($B44="","",IF($D44="kg",N($E44),IF($D44="sacos",N($E44)*97,IF($D44="jabas",N($E44)*IFERROR(VLOOKUP($C44,LISTAS!$A$2:$B$12,2,0),0),""))))</f>
        <v>485</v>
      </c>
      <c r="G44" s="12"/>
      <c r="H44" s="12"/>
      <c r="I44">
        <f t="shared" si="0"/>
        <v>485</v>
      </c>
    </row>
    <row r="45" spans="1:9" ht="15" customHeight="1" x14ac:dyDescent="0.2">
      <c r="A45" s="14">
        <v>46218</v>
      </c>
      <c r="B45" s="15" t="s">
        <v>23</v>
      </c>
      <c r="C45" s="15" t="s">
        <v>11</v>
      </c>
      <c r="D45" s="15" t="s">
        <v>12</v>
      </c>
      <c r="E45" s="16">
        <v>67</v>
      </c>
      <c r="F45" s="16">
        <f>IF($B45="","",IF($D45="kg",N($E45),IF($D45="sacos",N($E45)*97,IF($D45="jabas",N($E45)*IFERROR(VLOOKUP($C45,LISTAS!$A$2:$B$12,2,0),0),""))))</f>
        <v>1005</v>
      </c>
      <c r="G45" s="15" t="s">
        <v>27</v>
      </c>
      <c r="H45" s="15"/>
      <c r="I45">
        <f t="shared" si="0"/>
        <v>1005</v>
      </c>
    </row>
    <row r="46" spans="1:9" ht="15" customHeight="1" x14ac:dyDescent="0.2">
      <c r="A46" s="14">
        <v>46218</v>
      </c>
      <c r="B46" s="15" t="s">
        <v>23</v>
      </c>
      <c r="C46" s="15" t="s">
        <v>21</v>
      </c>
      <c r="D46" s="15" t="s">
        <v>12</v>
      </c>
      <c r="E46" s="16">
        <v>11</v>
      </c>
      <c r="F46" s="16">
        <f>IF($B46="","",IF($D46="kg",N($E46),IF($D46="sacos",N($E46)*97,IF($D46="jabas",N($E46)*IFERROR(VLOOKUP($C46,LISTAS!$A$2:$B$12,2,0),0),""))))</f>
        <v>198</v>
      </c>
      <c r="G46" s="15" t="s">
        <v>27</v>
      </c>
      <c r="H46" s="15"/>
      <c r="I46">
        <f t="shared" si="0"/>
        <v>198</v>
      </c>
    </row>
    <row r="47" spans="1:9" ht="15" customHeight="1" x14ac:dyDescent="0.2">
      <c r="A47" s="14">
        <v>46218</v>
      </c>
      <c r="B47" s="15" t="s">
        <v>23</v>
      </c>
      <c r="C47" s="15" t="s">
        <v>22</v>
      </c>
      <c r="D47" s="15" t="s">
        <v>12</v>
      </c>
      <c r="E47" s="16">
        <v>9</v>
      </c>
      <c r="F47" s="16">
        <f>IF($B47="","",IF($D47="kg",N($E47),IF($D47="sacos",N($E47)*97,IF($D47="jabas",N($E47)*IFERROR(VLOOKUP($C47,LISTAS!$A$2:$B$12,2,0),0),""))))</f>
        <v>153</v>
      </c>
      <c r="G47" s="15" t="s">
        <v>27</v>
      </c>
      <c r="H47" s="15"/>
      <c r="I47">
        <f t="shared" si="0"/>
        <v>153</v>
      </c>
    </row>
    <row r="48" spans="1:9" ht="15" customHeight="1" x14ac:dyDescent="0.2">
      <c r="A48" s="14">
        <v>46218</v>
      </c>
      <c r="B48" s="15" t="s">
        <v>23</v>
      </c>
      <c r="C48" s="15" t="s">
        <v>13</v>
      </c>
      <c r="D48" s="15" t="s">
        <v>12</v>
      </c>
      <c r="E48" s="16">
        <v>95</v>
      </c>
      <c r="F48" s="16">
        <f>IF($B48="","",IF($D48="kg",N($E48),IF($D48="sacos",N($E48)*97,IF($D48="jabas",N($E48)*IFERROR(VLOOKUP($C48,LISTAS!$A$2:$B$12,2,0),0),""))))</f>
        <v>1615</v>
      </c>
      <c r="G48" s="15" t="s">
        <v>27</v>
      </c>
      <c r="H48" s="15"/>
      <c r="I48">
        <f t="shared" si="0"/>
        <v>1615</v>
      </c>
    </row>
    <row r="49" spans="1:9" ht="15" customHeight="1" x14ac:dyDescent="0.2">
      <c r="A49" s="17">
        <v>46218</v>
      </c>
      <c r="B49" s="18" t="s">
        <v>28</v>
      </c>
      <c r="C49" s="18" t="s">
        <v>15</v>
      </c>
      <c r="D49" s="18" t="s">
        <v>16</v>
      </c>
      <c r="E49" s="19">
        <v>35</v>
      </c>
      <c r="F49" s="19">
        <f>IF($B49="","",IF($D49="kg",N($E49),IF($D49="sacos",N($E49)*97,IF($D49="jabas",N($E49)*IFERROR(VLOOKUP($C49,LISTAS!$A$2:$B$12,2,0),0),""))))</f>
        <v>3395</v>
      </c>
      <c r="G49" s="18" t="s">
        <v>29</v>
      </c>
      <c r="H49" s="18"/>
      <c r="I49">
        <f t="shared" si="0"/>
        <v>3395</v>
      </c>
    </row>
    <row r="50" spans="1:9" ht="15" customHeight="1" x14ac:dyDescent="0.2">
      <c r="A50" s="8">
        <v>46219</v>
      </c>
      <c r="B50" s="9" t="s">
        <v>17</v>
      </c>
      <c r="C50" s="9" t="s">
        <v>18</v>
      </c>
      <c r="D50" s="9" t="s">
        <v>16</v>
      </c>
      <c r="E50" s="10">
        <v>40</v>
      </c>
      <c r="F50" s="10">
        <f>IF($B50="","",IF($D50="kg",N($E50),IF($D50="sacos",N($E50)*97,IF($D50="jabas",N($E50)*IFERROR(VLOOKUP($C50,LISTAS!$A$2:$B$12,2,0),0),""))))</f>
        <v>3880</v>
      </c>
      <c r="G50" s="9"/>
      <c r="H50" s="9" t="s">
        <v>19</v>
      </c>
      <c r="I50">
        <f t="shared" si="0"/>
        <v>3880</v>
      </c>
    </row>
    <row r="51" spans="1:9" ht="15" customHeight="1" x14ac:dyDescent="0.2">
      <c r="A51" s="11">
        <v>46219</v>
      </c>
      <c r="B51" s="12" t="s">
        <v>20</v>
      </c>
      <c r="C51" s="12" t="s">
        <v>11</v>
      </c>
      <c r="D51" s="12" t="s">
        <v>12</v>
      </c>
      <c r="E51" s="13">
        <v>68</v>
      </c>
      <c r="F51" s="13">
        <f>IF($B51="","",IF($D51="kg",N($E51),IF($D51="sacos",N($E51)*97,IF($D51="jabas",N($E51)*IFERROR(VLOOKUP($C51,LISTAS!$A$2:$B$12,2,0),0),""))))</f>
        <v>1020</v>
      </c>
      <c r="G51" s="12"/>
      <c r="H51" s="12"/>
      <c r="I51">
        <f t="shared" si="0"/>
        <v>1020</v>
      </c>
    </row>
    <row r="52" spans="1:9" ht="15" customHeight="1" x14ac:dyDescent="0.2">
      <c r="A52" s="11">
        <v>46219</v>
      </c>
      <c r="B52" s="12" t="s">
        <v>20</v>
      </c>
      <c r="C52" s="12" t="s">
        <v>21</v>
      </c>
      <c r="D52" s="12" t="s">
        <v>12</v>
      </c>
      <c r="E52" s="13">
        <v>11</v>
      </c>
      <c r="F52" s="13">
        <f>IF($B52="","",IF($D52="kg",N($E52),IF($D52="sacos",N($E52)*97,IF($D52="jabas",N($E52)*IFERROR(VLOOKUP($C52,LISTAS!$A$2:$B$12,2,0),0),""))))</f>
        <v>198</v>
      </c>
      <c r="G52" s="12"/>
      <c r="H52" s="12"/>
      <c r="I52">
        <f t="shared" si="0"/>
        <v>198</v>
      </c>
    </row>
    <row r="53" spans="1:9" ht="15" customHeight="1" x14ac:dyDescent="0.2">
      <c r="A53" s="11">
        <v>46219</v>
      </c>
      <c r="B53" s="12" t="s">
        <v>20</v>
      </c>
      <c r="C53" s="12" t="s">
        <v>22</v>
      </c>
      <c r="D53" s="12" t="s">
        <v>12</v>
      </c>
      <c r="E53" s="13">
        <v>12</v>
      </c>
      <c r="F53" s="13">
        <f>IF($B53="","",IF($D53="kg",N($E53),IF($D53="sacos",N($E53)*97,IF($D53="jabas",N($E53)*IFERROR(VLOOKUP($C53,LISTAS!$A$2:$B$12,2,0),0),""))))</f>
        <v>204</v>
      </c>
      <c r="G53" s="12"/>
      <c r="H53" s="12"/>
      <c r="I53">
        <f t="shared" si="0"/>
        <v>204</v>
      </c>
    </row>
    <row r="54" spans="1:9" ht="15" customHeight="1" x14ac:dyDescent="0.2">
      <c r="A54" s="11">
        <v>46219</v>
      </c>
      <c r="B54" s="12" t="s">
        <v>20</v>
      </c>
      <c r="C54" s="12" t="s">
        <v>13</v>
      </c>
      <c r="D54" s="12" t="s">
        <v>12</v>
      </c>
      <c r="E54" s="13">
        <v>116</v>
      </c>
      <c r="F54" s="13">
        <f>IF($B54="","",IF($D54="kg",N($E54),IF($D54="sacos",N($E54)*97,IF($D54="jabas",N($E54)*IFERROR(VLOOKUP($C54,LISTAS!$A$2:$B$12,2,0),0),""))))</f>
        <v>1972</v>
      </c>
      <c r="G54" s="12"/>
      <c r="H54" s="12"/>
      <c r="I54">
        <f t="shared" si="0"/>
        <v>1972</v>
      </c>
    </row>
    <row r="55" spans="1:9" ht="15" customHeight="1" x14ac:dyDescent="0.2">
      <c r="A55" s="11">
        <v>46219</v>
      </c>
      <c r="B55" s="12" t="s">
        <v>20</v>
      </c>
      <c r="C55" s="12" t="s">
        <v>15</v>
      </c>
      <c r="D55" s="12" t="s">
        <v>16</v>
      </c>
      <c r="E55" s="13">
        <v>4</v>
      </c>
      <c r="F55" s="13">
        <f>IF($B55="","",IF($D55="kg",N($E55),IF($D55="sacos",N($E55)*97,IF($D55="jabas",N($E55)*IFERROR(VLOOKUP($C55,LISTAS!$A$2:$B$12,2,0),0),""))))</f>
        <v>388</v>
      </c>
      <c r="G55" s="12"/>
      <c r="H55" s="12"/>
      <c r="I55">
        <f t="shared" si="0"/>
        <v>388</v>
      </c>
    </row>
    <row r="56" spans="1:9" ht="15" customHeight="1" x14ac:dyDescent="0.2">
      <c r="A56" s="14">
        <v>46219</v>
      </c>
      <c r="B56" s="15" t="s">
        <v>23</v>
      </c>
      <c r="C56" s="15" t="s">
        <v>11</v>
      </c>
      <c r="D56" s="15" t="s">
        <v>12</v>
      </c>
      <c r="E56" s="16">
        <v>63</v>
      </c>
      <c r="F56" s="16">
        <f>IF($B56="","",IF($D56="kg",N($E56),IF($D56="sacos",N($E56)*97,IF($D56="jabas",N($E56)*IFERROR(VLOOKUP($C56,LISTAS!$A$2:$B$12,2,0),0),""))))</f>
        <v>945</v>
      </c>
      <c r="G56" s="15" t="s">
        <v>30</v>
      </c>
      <c r="H56" s="15"/>
      <c r="I56">
        <f t="shared" si="0"/>
        <v>945</v>
      </c>
    </row>
    <row r="57" spans="1:9" ht="15" customHeight="1" x14ac:dyDescent="0.2">
      <c r="A57" s="14">
        <v>46219</v>
      </c>
      <c r="B57" s="15" t="s">
        <v>23</v>
      </c>
      <c r="C57" s="15" t="s">
        <v>21</v>
      </c>
      <c r="D57" s="15" t="s">
        <v>12</v>
      </c>
      <c r="E57" s="16">
        <v>11</v>
      </c>
      <c r="F57" s="16">
        <f>IF($B57="","",IF($D57="kg",N($E57),IF($D57="sacos",N($E57)*97,IF($D57="jabas",N($E57)*IFERROR(VLOOKUP($C57,LISTAS!$A$2:$B$12,2,0),0),""))))</f>
        <v>198</v>
      </c>
      <c r="G57" s="15" t="s">
        <v>30</v>
      </c>
      <c r="H57" s="15"/>
      <c r="I57">
        <f t="shared" si="0"/>
        <v>198</v>
      </c>
    </row>
    <row r="58" spans="1:9" ht="15" customHeight="1" x14ac:dyDescent="0.2">
      <c r="A58" s="14">
        <v>46219</v>
      </c>
      <c r="B58" s="15" t="s">
        <v>23</v>
      </c>
      <c r="C58" s="15" t="s">
        <v>22</v>
      </c>
      <c r="D58" s="15" t="s">
        <v>12</v>
      </c>
      <c r="E58" s="16">
        <v>12</v>
      </c>
      <c r="F58" s="16">
        <f>IF($B58="","",IF($D58="kg",N($E58),IF($D58="sacos",N($E58)*97,IF($D58="jabas",N($E58)*IFERROR(VLOOKUP($C58,LISTAS!$A$2:$B$12,2,0),0),""))))</f>
        <v>204</v>
      </c>
      <c r="G58" s="15" t="s">
        <v>30</v>
      </c>
      <c r="H58" s="15"/>
      <c r="I58">
        <f t="shared" si="0"/>
        <v>204</v>
      </c>
    </row>
    <row r="59" spans="1:9" ht="15" customHeight="1" x14ac:dyDescent="0.2">
      <c r="A59" s="14">
        <v>46219</v>
      </c>
      <c r="B59" s="15" t="s">
        <v>23</v>
      </c>
      <c r="C59" s="15" t="s">
        <v>13</v>
      </c>
      <c r="D59" s="15" t="s">
        <v>12</v>
      </c>
      <c r="E59" s="16">
        <v>115</v>
      </c>
      <c r="F59" s="16">
        <f>IF($B59="","",IF($D59="kg",N($E59),IF($D59="sacos",N($E59)*97,IF($D59="jabas",N($E59)*IFERROR(VLOOKUP($C59,LISTAS!$A$2:$B$12,2,0),0),""))))</f>
        <v>1955</v>
      </c>
      <c r="G59" s="15" t="s">
        <v>30</v>
      </c>
      <c r="H59" s="15"/>
      <c r="I59">
        <f t="shared" si="0"/>
        <v>1955</v>
      </c>
    </row>
    <row r="60" spans="1:9" ht="15" customHeight="1" x14ac:dyDescent="0.2">
      <c r="A60" s="8">
        <v>46220</v>
      </c>
      <c r="B60" s="9" t="s">
        <v>17</v>
      </c>
      <c r="C60" s="9" t="s">
        <v>18</v>
      </c>
      <c r="D60" s="9" t="s">
        <v>16</v>
      </c>
      <c r="E60" s="10">
        <v>60</v>
      </c>
      <c r="F60" s="10">
        <f>IF($B60="","",IF($D60="kg",N($E60),IF($D60="sacos",N($E60)*97,IF($D60="jabas",N($E60)*IFERROR(VLOOKUP($C60,LISTAS!$A$2:$B$12,2,0),0),""))))</f>
        <v>5820</v>
      </c>
      <c r="G60" s="9"/>
      <c r="H60" s="9" t="s">
        <v>19</v>
      </c>
      <c r="I60">
        <f t="shared" si="0"/>
        <v>5820</v>
      </c>
    </row>
    <row r="61" spans="1:9" ht="15" customHeight="1" x14ac:dyDescent="0.2">
      <c r="A61" s="11">
        <v>46220</v>
      </c>
      <c r="B61" s="12" t="s">
        <v>20</v>
      </c>
      <c r="C61" s="12" t="s">
        <v>11</v>
      </c>
      <c r="D61" s="12" t="s">
        <v>12</v>
      </c>
      <c r="E61" s="13">
        <v>99</v>
      </c>
      <c r="F61" s="13">
        <f>IF($B61="","",IF($D61="kg",N($E61),IF($D61="sacos",N($E61)*97,IF($D61="jabas",N($E61)*IFERROR(VLOOKUP($C61,LISTAS!$A$2:$B$12,2,0),0),""))))</f>
        <v>1485</v>
      </c>
      <c r="G61" s="12"/>
      <c r="H61" s="12"/>
      <c r="I61">
        <f t="shared" si="0"/>
        <v>1485</v>
      </c>
    </row>
    <row r="62" spans="1:9" ht="15" customHeight="1" x14ac:dyDescent="0.2">
      <c r="A62" s="11">
        <v>46220</v>
      </c>
      <c r="B62" s="12" t="s">
        <v>20</v>
      </c>
      <c r="C62" s="12" t="s">
        <v>21</v>
      </c>
      <c r="D62" s="12" t="s">
        <v>12</v>
      </c>
      <c r="E62" s="13">
        <v>4</v>
      </c>
      <c r="F62" s="13">
        <f>IF($B62="","",IF($D62="kg",N($E62),IF($D62="sacos",N($E62)*97,IF($D62="jabas",N($E62)*IFERROR(VLOOKUP($C62,LISTAS!$A$2:$B$12,2,0),0),""))))</f>
        <v>72</v>
      </c>
      <c r="G62" s="12"/>
      <c r="H62" s="12"/>
      <c r="I62">
        <f t="shared" si="0"/>
        <v>72</v>
      </c>
    </row>
    <row r="63" spans="1:9" ht="15" customHeight="1" x14ac:dyDescent="0.2">
      <c r="A63" s="11">
        <v>46220</v>
      </c>
      <c r="B63" s="12" t="s">
        <v>20</v>
      </c>
      <c r="C63" s="12" t="s">
        <v>22</v>
      </c>
      <c r="D63" s="12" t="s">
        <v>12</v>
      </c>
      <c r="E63" s="13">
        <v>9</v>
      </c>
      <c r="F63" s="13">
        <f>IF($B63="","",IF($D63="kg",N($E63),IF($D63="sacos",N($E63)*97,IF($D63="jabas",N($E63)*IFERROR(VLOOKUP($C63,LISTAS!$A$2:$B$12,2,0),0),""))))</f>
        <v>153</v>
      </c>
      <c r="G63" s="12"/>
      <c r="H63" s="12"/>
      <c r="I63">
        <f t="shared" si="0"/>
        <v>153</v>
      </c>
    </row>
    <row r="64" spans="1:9" ht="15" customHeight="1" x14ac:dyDescent="0.2">
      <c r="A64" s="11">
        <v>46220</v>
      </c>
      <c r="B64" s="12" t="s">
        <v>20</v>
      </c>
      <c r="C64" s="12" t="s">
        <v>13</v>
      </c>
      <c r="D64" s="12" t="s">
        <v>12</v>
      </c>
      <c r="E64" s="13">
        <v>178</v>
      </c>
      <c r="F64" s="13">
        <f>IF($B64="","",IF($D64="kg",N($E64),IF($D64="sacos",N($E64)*97,IF($D64="jabas",N($E64)*IFERROR(VLOOKUP($C64,LISTAS!$A$2:$B$12,2,0),0),""))))</f>
        <v>3026</v>
      </c>
      <c r="G64" s="12"/>
      <c r="H64" s="12"/>
      <c r="I64">
        <f t="shared" si="0"/>
        <v>3026</v>
      </c>
    </row>
    <row r="65" spans="1:9" ht="15" customHeight="1" x14ac:dyDescent="0.2">
      <c r="A65" s="11">
        <v>46220</v>
      </c>
      <c r="B65" s="12" t="s">
        <v>20</v>
      </c>
      <c r="C65" s="12" t="s">
        <v>15</v>
      </c>
      <c r="D65" s="12" t="s">
        <v>16</v>
      </c>
      <c r="E65" s="13">
        <v>10</v>
      </c>
      <c r="F65" s="13">
        <f>IF($B65="","",IF($D65="kg",N($E65),IF($D65="sacos",N($E65)*97,IF($D65="jabas",N($E65)*IFERROR(VLOOKUP($C65,LISTAS!$A$2:$B$12,2,0),0),""))))</f>
        <v>970</v>
      </c>
      <c r="G65" s="12"/>
      <c r="H65" s="12"/>
      <c r="I65">
        <f t="shared" si="0"/>
        <v>970</v>
      </c>
    </row>
    <row r="66" spans="1:9" ht="15" customHeight="1" x14ac:dyDescent="0.2">
      <c r="A66" s="14">
        <v>46220</v>
      </c>
      <c r="B66" s="15" t="s">
        <v>23</v>
      </c>
      <c r="C66" s="15" t="s">
        <v>11</v>
      </c>
      <c r="D66" s="15" t="s">
        <v>12</v>
      </c>
      <c r="E66" s="16">
        <v>67</v>
      </c>
      <c r="F66" s="16">
        <f>IF($B66="","",IF($D66="kg",N($E66),IF($D66="sacos",N($E66)*97,IF($D66="jabas",N($E66)*IFERROR(VLOOKUP($C66,LISTAS!$A$2:$B$12,2,0),0),""))))</f>
        <v>1005</v>
      </c>
      <c r="G66" s="15" t="s">
        <v>31</v>
      </c>
      <c r="H66" s="15"/>
      <c r="I66">
        <f t="shared" si="0"/>
        <v>1005</v>
      </c>
    </row>
    <row r="67" spans="1:9" ht="15" customHeight="1" x14ac:dyDescent="0.2">
      <c r="A67" s="14">
        <v>46220</v>
      </c>
      <c r="B67" s="15" t="s">
        <v>23</v>
      </c>
      <c r="C67" s="15" t="s">
        <v>21</v>
      </c>
      <c r="D67" s="15" t="s">
        <v>12</v>
      </c>
      <c r="E67" s="16">
        <v>11</v>
      </c>
      <c r="F67" s="16">
        <f>IF($B67="","",IF($D67="kg",N($E67),IF($D67="sacos",N($E67)*97,IF($D67="jabas",N($E67)*IFERROR(VLOOKUP($C67,LISTAS!$A$2:$B$12,2,0),0),""))))</f>
        <v>198</v>
      </c>
      <c r="G67" s="15" t="s">
        <v>31</v>
      </c>
      <c r="H67" s="15"/>
      <c r="I67">
        <f t="shared" si="0"/>
        <v>198</v>
      </c>
    </row>
    <row r="68" spans="1:9" ht="15" customHeight="1" x14ac:dyDescent="0.2">
      <c r="A68" s="14">
        <v>46220</v>
      </c>
      <c r="B68" s="15" t="s">
        <v>23</v>
      </c>
      <c r="C68" s="15" t="s">
        <v>22</v>
      </c>
      <c r="D68" s="15" t="s">
        <v>12</v>
      </c>
      <c r="E68" s="16">
        <v>12</v>
      </c>
      <c r="F68" s="16">
        <f>IF($B68="","",IF($D68="kg",N($E68),IF($D68="sacos",N($E68)*97,IF($D68="jabas",N($E68)*IFERROR(VLOOKUP($C68,LISTAS!$A$2:$B$12,2,0),0),""))))</f>
        <v>204</v>
      </c>
      <c r="G68" s="15" t="s">
        <v>31</v>
      </c>
      <c r="H68" s="15"/>
      <c r="I68">
        <f t="shared" si="0"/>
        <v>204</v>
      </c>
    </row>
    <row r="69" spans="1:9" ht="15" customHeight="1" x14ac:dyDescent="0.2">
      <c r="A69" s="14">
        <v>46220</v>
      </c>
      <c r="B69" s="15" t="s">
        <v>23</v>
      </c>
      <c r="C69" s="15" t="s">
        <v>13</v>
      </c>
      <c r="D69" s="15" t="s">
        <v>12</v>
      </c>
      <c r="E69" s="16">
        <v>118</v>
      </c>
      <c r="F69" s="16">
        <f>IF($B69="","",IF($D69="kg",N($E69),IF($D69="sacos",N($E69)*97,IF($D69="jabas",N($E69)*IFERROR(VLOOKUP($C69,LISTAS!$A$2:$B$12,2,0),0),""))))</f>
        <v>2006</v>
      </c>
      <c r="G69" s="15" t="s">
        <v>31</v>
      </c>
      <c r="H69" s="15"/>
      <c r="I69">
        <f t="shared" ref="I69:I132" si="1">N($F69)</f>
        <v>2006</v>
      </c>
    </row>
    <row r="70" spans="1:9" ht="15" customHeight="1" x14ac:dyDescent="0.2">
      <c r="A70" s="17">
        <v>46220</v>
      </c>
      <c r="B70" s="18" t="s">
        <v>28</v>
      </c>
      <c r="C70" s="18" t="s">
        <v>15</v>
      </c>
      <c r="D70" s="18" t="s">
        <v>16</v>
      </c>
      <c r="E70" s="19">
        <v>15</v>
      </c>
      <c r="F70" s="19">
        <f>IF($B70="","",IF($D70="kg",N($E70),IF($D70="sacos",N($E70)*97,IF($D70="jabas",N($E70)*IFERROR(VLOOKUP($C70,LISTAS!$A$2:$B$12,2,0),0),""))))</f>
        <v>1455</v>
      </c>
      <c r="G70" s="18" t="s">
        <v>32</v>
      </c>
      <c r="H70" s="18"/>
      <c r="I70">
        <f t="shared" si="1"/>
        <v>1455</v>
      </c>
    </row>
    <row r="71" spans="1:9" ht="15" customHeight="1" x14ac:dyDescent="0.2">
      <c r="A71" s="8">
        <v>46220</v>
      </c>
      <c r="B71" s="9" t="s">
        <v>17</v>
      </c>
      <c r="C71" s="9" t="s">
        <v>18</v>
      </c>
      <c r="D71" s="9" t="s">
        <v>16</v>
      </c>
      <c r="E71" s="10">
        <v>5</v>
      </c>
      <c r="F71" s="10">
        <f>IF($B71="","",IF($D71="kg",N($E71),IF($D71="sacos",N($E71)*97,IF($D71="jabas",N($E71)*IFERROR(VLOOKUP($C71,LISTAS!$A$2:$B$12,2,0),0),""))))</f>
        <v>485</v>
      </c>
      <c r="G71" s="9"/>
      <c r="H71" s="9" t="s">
        <v>19</v>
      </c>
      <c r="I71">
        <f t="shared" si="1"/>
        <v>485</v>
      </c>
    </row>
    <row r="72" spans="1:9" ht="15" customHeight="1" x14ac:dyDescent="0.2">
      <c r="A72" s="11">
        <v>46220</v>
      </c>
      <c r="B72" s="12" t="s">
        <v>20</v>
      </c>
      <c r="C72" s="12" t="s">
        <v>11</v>
      </c>
      <c r="D72" s="12" t="s">
        <v>12</v>
      </c>
      <c r="E72" s="13">
        <v>4</v>
      </c>
      <c r="F72" s="13">
        <f>IF($B72="","",IF($D72="kg",N($E72),IF($D72="sacos",N($E72)*97,IF($D72="jabas",N($E72)*IFERROR(VLOOKUP($C72,LISTAS!$A$2:$B$12,2,0),0),""))))</f>
        <v>60</v>
      </c>
      <c r="G72" s="12"/>
      <c r="H72" s="12"/>
      <c r="I72">
        <f t="shared" si="1"/>
        <v>60</v>
      </c>
    </row>
    <row r="73" spans="1:9" ht="15" customHeight="1" x14ac:dyDescent="0.2">
      <c r="A73" s="11">
        <v>46220</v>
      </c>
      <c r="B73" s="12" t="s">
        <v>20</v>
      </c>
      <c r="C73" s="12" t="s">
        <v>13</v>
      </c>
      <c r="D73" s="12" t="s">
        <v>12</v>
      </c>
      <c r="E73" s="13">
        <v>18</v>
      </c>
      <c r="F73" s="13">
        <f>IF($B73="","",IF($D73="kg",N($E73),IF($D73="sacos",N($E73)*97,IF($D73="jabas",N($E73)*IFERROR(VLOOKUP($C73,LISTAS!$A$2:$B$12,2,0),0),""))))</f>
        <v>306</v>
      </c>
      <c r="G73" s="12"/>
      <c r="H73" s="12"/>
      <c r="I73">
        <f t="shared" si="1"/>
        <v>306</v>
      </c>
    </row>
    <row r="74" spans="1:9" ht="15" customHeight="1" x14ac:dyDescent="0.2">
      <c r="A74" s="11">
        <v>46220</v>
      </c>
      <c r="B74" s="12" t="s">
        <v>20</v>
      </c>
      <c r="C74" s="12" t="s">
        <v>15</v>
      </c>
      <c r="D74" s="12" t="s">
        <v>16</v>
      </c>
      <c r="E74" s="13">
        <v>1</v>
      </c>
      <c r="F74" s="13">
        <f>IF($B74="","",IF($D74="kg",N($E74),IF($D74="sacos",N($E74)*97,IF($D74="jabas",N($E74)*IFERROR(VLOOKUP($C74,LISTAS!$A$2:$B$12,2,0),0),""))))</f>
        <v>97</v>
      </c>
      <c r="G74" s="12"/>
      <c r="H74" s="12"/>
      <c r="I74">
        <f t="shared" si="1"/>
        <v>97</v>
      </c>
    </row>
    <row r="75" spans="1:9" ht="15" customHeight="1" x14ac:dyDescent="0.2">
      <c r="A75" s="14">
        <v>46221</v>
      </c>
      <c r="B75" s="15" t="s">
        <v>23</v>
      </c>
      <c r="C75" s="15" t="s">
        <v>11</v>
      </c>
      <c r="D75" s="15" t="s">
        <v>12</v>
      </c>
      <c r="E75" s="16">
        <v>67</v>
      </c>
      <c r="F75" s="16">
        <f>IF($B75="","",IF($D75="kg",N($E75),IF($D75="sacos",N($E75)*97,IF($D75="jabas",N($E75)*IFERROR(VLOOKUP($C75,LISTAS!$A$2:$B$12,2,0),0),""))))</f>
        <v>1005</v>
      </c>
      <c r="G75" s="15" t="s">
        <v>33</v>
      </c>
      <c r="H75" s="15"/>
      <c r="I75">
        <f t="shared" si="1"/>
        <v>1005</v>
      </c>
    </row>
    <row r="76" spans="1:9" ht="15" customHeight="1" x14ac:dyDescent="0.2">
      <c r="A76" s="14">
        <v>46221</v>
      </c>
      <c r="B76" s="15" t="s">
        <v>23</v>
      </c>
      <c r="C76" s="15" t="s">
        <v>21</v>
      </c>
      <c r="D76" s="15" t="s">
        <v>12</v>
      </c>
      <c r="E76" s="16">
        <v>4</v>
      </c>
      <c r="F76" s="16">
        <f>IF($B76="","",IF($D76="kg",N($E76),IF($D76="sacos",N($E76)*97,IF($D76="jabas",N($E76)*IFERROR(VLOOKUP($C76,LISTAS!$A$2:$B$12,2,0),0),""))))</f>
        <v>72</v>
      </c>
      <c r="G76" s="15" t="s">
        <v>33</v>
      </c>
      <c r="H76" s="15"/>
      <c r="I76">
        <f t="shared" si="1"/>
        <v>72</v>
      </c>
    </row>
    <row r="77" spans="1:9" ht="15" customHeight="1" x14ac:dyDescent="0.2">
      <c r="A77" s="14">
        <v>46221</v>
      </c>
      <c r="B77" s="15" t="s">
        <v>23</v>
      </c>
      <c r="C77" s="15" t="s">
        <v>22</v>
      </c>
      <c r="D77" s="15" t="s">
        <v>12</v>
      </c>
      <c r="E77" s="16">
        <v>9</v>
      </c>
      <c r="F77" s="16">
        <f>IF($B77="","",IF($D77="kg",N($E77),IF($D77="sacos",N($E77)*97,IF($D77="jabas",N($E77)*IFERROR(VLOOKUP($C77,LISTAS!$A$2:$B$12,2,0),0),""))))</f>
        <v>153</v>
      </c>
      <c r="G77" s="15" t="s">
        <v>33</v>
      </c>
      <c r="H77" s="15"/>
      <c r="I77">
        <f t="shared" si="1"/>
        <v>153</v>
      </c>
    </row>
    <row r="78" spans="1:9" ht="15" customHeight="1" x14ac:dyDescent="0.2">
      <c r="A78" s="14">
        <v>46221</v>
      </c>
      <c r="B78" s="15" t="s">
        <v>23</v>
      </c>
      <c r="C78" s="15" t="s">
        <v>13</v>
      </c>
      <c r="D78" s="15" t="s">
        <v>12</v>
      </c>
      <c r="E78" s="16">
        <v>114</v>
      </c>
      <c r="F78" s="16">
        <f>IF($B78="","",IF($D78="kg",N($E78),IF($D78="sacos",N($E78)*97,IF($D78="jabas",N($E78)*IFERROR(VLOOKUP($C78,LISTAS!$A$2:$B$12,2,0),0),""))))</f>
        <v>1938</v>
      </c>
      <c r="G78" s="15" t="s">
        <v>33</v>
      </c>
      <c r="H78" s="15"/>
      <c r="I78">
        <f t="shared" si="1"/>
        <v>1938</v>
      </c>
    </row>
    <row r="79" spans="1:9" ht="15" customHeight="1" x14ac:dyDescent="0.2">
      <c r="A79" s="11">
        <v>46221</v>
      </c>
      <c r="B79" s="12" t="s">
        <v>20</v>
      </c>
      <c r="C79" s="12" t="s">
        <v>11</v>
      </c>
      <c r="D79" s="12" t="s">
        <v>12</v>
      </c>
      <c r="E79" s="13">
        <v>67</v>
      </c>
      <c r="F79" s="13">
        <f>IF($B79="","",IF($D79="kg",N($E79),IF($D79="sacos",N($E79)*97,IF($D79="jabas",N($E79)*IFERROR(VLOOKUP($C79,LISTAS!$A$2:$B$12,2,0),0),""))))</f>
        <v>1005</v>
      </c>
      <c r="G79" s="12"/>
      <c r="H79" s="12"/>
      <c r="I79">
        <f t="shared" si="1"/>
        <v>1005</v>
      </c>
    </row>
    <row r="80" spans="1:9" ht="15" customHeight="1" x14ac:dyDescent="0.2">
      <c r="A80" s="11">
        <v>46221</v>
      </c>
      <c r="B80" s="12" t="s">
        <v>20</v>
      </c>
      <c r="C80" s="12" t="s">
        <v>21</v>
      </c>
      <c r="D80" s="12" t="s">
        <v>12</v>
      </c>
      <c r="E80" s="13">
        <v>11</v>
      </c>
      <c r="F80" s="13">
        <f>IF($B80="","",IF($D80="kg",N($E80),IF($D80="sacos",N($E80)*97,IF($D80="jabas",N($E80)*IFERROR(VLOOKUP($C80,LISTAS!$A$2:$B$12,2,0),0),""))))</f>
        <v>198</v>
      </c>
      <c r="G80" s="12"/>
      <c r="H80" s="12"/>
      <c r="I80">
        <f t="shared" si="1"/>
        <v>198</v>
      </c>
    </row>
    <row r="81" spans="1:9" ht="15" customHeight="1" x14ac:dyDescent="0.2">
      <c r="A81" s="11">
        <v>46221</v>
      </c>
      <c r="B81" s="12" t="s">
        <v>20</v>
      </c>
      <c r="C81" s="12" t="s">
        <v>22</v>
      </c>
      <c r="D81" s="12" t="s">
        <v>12</v>
      </c>
      <c r="E81" s="13">
        <v>12</v>
      </c>
      <c r="F81" s="13">
        <f>IF($B81="","",IF($D81="kg",N($E81),IF($D81="sacos",N($E81)*97,IF($D81="jabas",N($E81)*IFERROR(VLOOKUP($C81,LISTAS!$A$2:$B$12,2,0),0),""))))</f>
        <v>204</v>
      </c>
      <c r="G81" s="12"/>
      <c r="H81" s="12"/>
      <c r="I81">
        <f t="shared" si="1"/>
        <v>204</v>
      </c>
    </row>
    <row r="82" spans="1:9" ht="15" customHeight="1" x14ac:dyDescent="0.2">
      <c r="A82" s="11">
        <v>46221</v>
      </c>
      <c r="B82" s="12" t="s">
        <v>20</v>
      </c>
      <c r="C82" s="12" t="s">
        <v>13</v>
      </c>
      <c r="D82" s="12" t="s">
        <v>12</v>
      </c>
      <c r="E82" s="13">
        <v>54</v>
      </c>
      <c r="F82" s="13">
        <f>IF($B82="","",IF($D82="kg",N($E82),IF($D82="sacos",N($E82)*97,IF($D82="jabas",N($E82)*IFERROR(VLOOKUP($C82,LISTAS!$A$2:$B$12,2,0),0),""))))</f>
        <v>918</v>
      </c>
      <c r="G82" s="12"/>
      <c r="H82" s="12"/>
      <c r="I82">
        <f t="shared" si="1"/>
        <v>918</v>
      </c>
    </row>
    <row r="83" spans="1:9" ht="15" customHeight="1" x14ac:dyDescent="0.2">
      <c r="A83" s="11">
        <v>46221</v>
      </c>
      <c r="B83" s="12" t="s">
        <v>20</v>
      </c>
      <c r="C83" s="12" t="s">
        <v>15</v>
      </c>
      <c r="D83" s="12" t="s">
        <v>16</v>
      </c>
      <c r="E83" s="13">
        <v>10</v>
      </c>
      <c r="F83" s="13">
        <f>IF($B83="","",IF($D83="kg",N($E83),IF($D83="sacos",N($E83)*97,IF($D83="jabas",N($E83)*IFERROR(VLOOKUP($C83,LISTAS!$A$2:$B$12,2,0),0),""))))</f>
        <v>970</v>
      </c>
      <c r="G83" s="12"/>
      <c r="H83" s="12"/>
      <c r="I83">
        <f t="shared" si="1"/>
        <v>970</v>
      </c>
    </row>
    <row r="84" spans="1:9" ht="15" customHeight="1" x14ac:dyDescent="0.2">
      <c r="A84" s="20">
        <v>46221</v>
      </c>
      <c r="B84" s="21" t="s">
        <v>34</v>
      </c>
      <c r="C84" s="21" t="s">
        <v>11</v>
      </c>
      <c r="D84" s="21" t="s">
        <v>12</v>
      </c>
      <c r="E84" s="22">
        <v>1</v>
      </c>
      <c r="F84" s="22">
        <f>IF($B84="","",IF($D84="kg",N($E84),IF($D84="sacos",N($E84)*97,IF($D84="jabas",N($E84)*IFERROR(VLOOKUP($C84,LISTAS!$A$2:$B$12,2,0),0),""))))</f>
        <v>15</v>
      </c>
      <c r="G84" s="21"/>
      <c r="H84" s="21"/>
      <c r="I84">
        <f t="shared" si="1"/>
        <v>15</v>
      </c>
    </row>
    <row r="85" spans="1:9" ht="15" customHeight="1" x14ac:dyDescent="0.2">
      <c r="A85" s="8">
        <v>46221</v>
      </c>
      <c r="B85" s="9" t="s">
        <v>17</v>
      </c>
      <c r="C85" s="9" t="s">
        <v>18</v>
      </c>
      <c r="D85" s="9" t="s">
        <v>16</v>
      </c>
      <c r="E85" s="10">
        <v>33</v>
      </c>
      <c r="F85" s="10">
        <f>IF($B85="","",IF($D85="kg",N($E85),IF($D85="sacos",N($E85)*97,IF($D85="jabas",N($E85)*IFERROR(VLOOKUP($C85,LISTAS!$A$2:$B$12,2,0),0),""))))</f>
        <v>3201</v>
      </c>
      <c r="G85" s="9"/>
      <c r="H85" s="9" t="s">
        <v>35</v>
      </c>
      <c r="I85">
        <f t="shared" si="1"/>
        <v>3201</v>
      </c>
    </row>
    <row r="86" spans="1:9" ht="15" customHeight="1" x14ac:dyDescent="0.2">
      <c r="A86" s="11">
        <v>46222</v>
      </c>
      <c r="B86" s="12" t="s">
        <v>20</v>
      </c>
      <c r="C86" s="12" t="s">
        <v>11</v>
      </c>
      <c r="D86" s="12" t="s">
        <v>12</v>
      </c>
      <c r="E86" s="13">
        <v>40</v>
      </c>
      <c r="F86" s="13">
        <f>IF($B86="","",IF($D86="kg",N($E86),IF($D86="sacos",N($E86)*97,IF($D86="jabas",N($E86)*IFERROR(VLOOKUP($C86,LISTAS!$A$2:$B$12,2,0),0),""))))</f>
        <v>600</v>
      </c>
      <c r="G86" s="12"/>
      <c r="H86" s="12"/>
      <c r="I86">
        <f t="shared" si="1"/>
        <v>600</v>
      </c>
    </row>
    <row r="87" spans="1:9" ht="15" customHeight="1" x14ac:dyDescent="0.2">
      <c r="A87" s="11">
        <v>46222</v>
      </c>
      <c r="B87" s="12" t="s">
        <v>20</v>
      </c>
      <c r="C87" s="12" t="s">
        <v>21</v>
      </c>
      <c r="D87" s="12" t="s">
        <v>12</v>
      </c>
      <c r="E87" s="13">
        <v>0</v>
      </c>
      <c r="F87" s="13">
        <f>IF($B87="","",IF($D87="kg",N($E87),IF($D87="sacos",N($E87)*97,IF($D87="jabas",N($E87)*IFERROR(VLOOKUP($C87,LISTAS!$A$2:$B$12,2,0),0),""))))</f>
        <v>0</v>
      </c>
      <c r="G87" s="12"/>
      <c r="H87" s="12"/>
      <c r="I87">
        <f t="shared" si="1"/>
        <v>0</v>
      </c>
    </row>
    <row r="88" spans="1:9" ht="15" customHeight="1" x14ac:dyDescent="0.2">
      <c r="A88" s="11">
        <v>46222</v>
      </c>
      <c r="B88" s="12" t="s">
        <v>20</v>
      </c>
      <c r="C88" s="12" t="s">
        <v>22</v>
      </c>
      <c r="D88" s="12" t="s">
        <v>12</v>
      </c>
      <c r="E88" s="13">
        <v>0</v>
      </c>
      <c r="F88" s="13">
        <f>IF($B88="","",IF($D88="kg",N($E88),IF($D88="sacos",N($E88)*97,IF($D88="jabas",N($E88)*IFERROR(VLOOKUP($C88,LISTAS!$A$2:$B$12,2,0),0),""))))</f>
        <v>0</v>
      </c>
      <c r="G88" s="12"/>
      <c r="H88" s="12"/>
      <c r="I88">
        <f t="shared" si="1"/>
        <v>0</v>
      </c>
    </row>
    <row r="89" spans="1:9" ht="15" customHeight="1" x14ac:dyDescent="0.2">
      <c r="A89" s="11">
        <v>46222</v>
      </c>
      <c r="B89" s="12" t="s">
        <v>20</v>
      </c>
      <c r="C89" s="12" t="s">
        <v>13</v>
      </c>
      <c r="D89" s="12" t="s">
        <v>12</v>
      </c>
      <c r="E89" s="13">
        <v>34</v>
      </c>
      <c r="F89" s="13">
        <f>IF($B89="","",IF($D89="kg",N($E89),IF($D89="sacos",N($E89)*97,IF($D89="jabas",N($E89)*IFERROR(VLOOKUP($C89,LISTAS!$A$2:$B$12,2,0),0),""))))</f>
        <v>578</v>
      </c>
      <c r="G89" s="12"/>
      <c r="H89" s="12"/>
      <c r="I89">
        <f t="shared" si="1"/>
        <v>578</v>
      </c>
    </row>
    <row r="90" spans="1:9" ht="15" customHeight="1" x14ac:dyDescent="0.2">
      <c r="A90" s="11">
        <v>46222</v>
      </c>
      <c r="B90" s="12" t="s">
        <v>20</v>
      </c>
      <c r="C90" s="12" t="s">
        <v>15</v>
      </c>
      <c r="D90" s="12" t="s">
        <v>16</v>
      </c>
      <c r="E90" s="13">
        <v>3</v>
      </c>
      <c r="F90" s="13">
        <f>IF($B90="","",IF($D90="kg",N($E90),IF($D90="sacos",N($E90)*97,IF($D90="jabas",N($E90)*IFERROR(VLOOKUP($C90,LISTAS!$A$2:$B$12,2,0),0),""))))</f>
        <v>291</v>
      </c>
      <c r="G90" s="12"/>
      <c r="H90" s="12"/>
      <c r="I90">
        <f t="shared" si="1"/>
        <v>291</v>
      </c>
    </row>
    <row r="91" spans="1:9" ht="15" customHeight="1" x14ac:dyDescent="0.2">
      <c r="A91" s="14">
        <v>46222</v>
      </c>
      <c r="B91" s="15" t="s">
        <v>23</v>
      </c>
      <c r="C91" s="15" t="s">
        <v>11</v>
      </c>
      <c r="D91" s="15" t="s">
        <v>12</v>
      </c>
      <c r="E91" s="16">
        <v>67</v>
      </c>
      <c r="F91" s="16">
        <f>IF($B91="","",IF($D91="kg",N($E91),IF($D91="sacos",N($E91)*97,IF($D91="jabas",N($E91)*IFERROR(VLOOKUP($C91,LISTAS!$A$2:$B$12,2,0),0),""))))</f>
        <v>1005</v>
      </c>
      <c r="G91" s="15" t="s">
        <v>36</v>
      </c>
      <c r="H91" s="15"/>
      <c r="I91">
        <f t="shared" si="1"/>
        <v>1005</v>
      </c>
    </row>
    <row r="92" spans="1:9" ht="15" customHeight="1" x14ac:dyDescent="0.2">
      <c r="A92" s="14">
        <v>46222</v>
      </c>
      <c r="B92" s="15" t="s">
        <v>23</v>
      </c>
      <c r="C92" s="15" t="s">
        <v>21</v>
      </c>
      <c r="D92" s="15" t="s">
        <v>12</v>
      </c>
      <c r="E92" s="16">
        <v>11</v>
      </c>
      <c r="F92" s="16">
        <f>IF($B92="","",IF($D92="kg",N($E92),IF($D92="sacos",N($E92)*97,IF($D92="jabas",N($E92)*IFERROR(VLOOKUP($C92,LISTAS!$A$2:$B$12,2,0),0),""))))</f>
        <v>198</v>
      </c>
      <c r="G92" s="15" t="s">
        <v>36</v>
      </c>
      <c r="H92" s="15"/>
      <c r="I92">
        <f t="shared" si="1"/>
        <v>198</v>
      </c>
    </row>
    <row r="93" spans="1:9" ht="15" customHeight="1" x14ac:dyDescent="0.2">
      <c r="A93" s="14">
        <v>46222</v>
      </c>
      <c r="B93" s="15" t="s">
        <v>23</v>
      </c>
      <c r="C93" s="15" t="s">
        <v>22</v>
      </c>
      <c r="D93" s="15" t="s">
        <v>12</v>
      </c>
      <c r="E93" s="16">
        <v>12</v>
      </c>
      <c r="F93" s="16">
        <f>IF($B93="","",IF($D93="kg",N($E93),IF($D93="sacos",N($E93)*97,IF($D93="jabas",N($E93)*IFERROR(VLOOKUP($C93,LISTAS!$A$2:$B$12,2,0),0),""))))</f>
        <v>204</v>
      </c>
      <c r="G93" s="15" t="s">
        <v>36</v>
      </c>
      <c r="H93" s="15"/>
      <c r="I93">
        <f t="shared" si="1"/>
        <v>204</v>
      </c>
    </row>
    <row r="94" spans="1:9" ht="15" customHeight="1" x14ac:dyDescent="0.2">
      <c r="A94" s="14">
        <v>46222</v>
      </c>
      <c r="B94" s="15" t="s">
        <v>23</v>
      </c>
      <c r="C94" s="15" t="s">
        <v>13</v>
      </c>
      <c r="D94" s="15" t="s">
        <v>12</v>
      </c>
      <c r="E94" s="16">
        <v>28</v>
      </c>
      <c r="F94" s="16">
        <f>IF($B94="","",IF($D94="kg",N($E94),IF($D94="sacos",N($E94)*97,IF($D94="jabas",N($E94)*IFERROR(VLOOKUP($C94,LISTAS!$A$2:$B$12,2,0),0),""))))</f>
        <v>476</v>
      </c>
      <c r="G94" s="15" t="s">
        <v>36</v>
      </c>
      <c r="H94" s="15"/>
      <c r="I94">
        <f t="shared" si="1"/>
        <v>476</v>
      </c>
    </row>
    <row r="95" spans="1:9" ht="15" customHeight="1" x14ac:dyDescent="0.2">
      <c r="A95" s="8">
        <v>46222</v>
      </c>
      <c r="B95" s="9" t="s">
        <v>17</v>
      </c>
      <c r="C95" s="9" t="s">
        <v>18</v>
      </c>
      <c r="D95" s="9" t="s">
        <v>16</v>
      </c>
      <c r="E95" s="10">
        <v>17</v>
      </c>
      <c r="F95" s="10">
        <f>IF($B95="","",IF($D95="kg",N($E95),IF($D95="sacos",N($E95)*97,IF($D95="jabas",N($E95)*IFERROR(VLOOKUP($C95,LISTAS!$A$2:$B$12,2,0),0),""))))</f>
        <v>1649</v>
      </c>
      <c r="G95" s="9"/>
      <c r="H95" s="9" t="s">
        <v>37</v>
      </c>
      <c r="I95">
        <f t="shared" si="1"/>
        <v>1649</v>
      </c>
    </row>
    <row r="96" spans="1:9" ht="15" customHeight="1" x14ac:dyDescent="0.2">
      <c r="A96" s="8">
        <v>46223</v>
      </c>
      <c r="B96" s="9" t="s">
        <v>17</v>
      </c>
      <c r="C96" s="9" t="s">
        <v>18</v>
      </c>
      <c r="D96" s="9" t="s">
        <v>16</v>
      </c>
      <c r="E96" s="10">
        <v>48</v>
      </c>
      <c r="F96" s="10">
        <f>IF($B96="","",IF($D96="kg",N($E96),IF($D96="sacos",N($E96)*97,IF($D96="jabas",N($E96)*IFERROR(VLOOKUP($C96,LISTAS!$A$2:$B$12,2,0),0),""))))</f>
        <v>4656</v>
      </c>
      <c r="G96" s="9"/>
      <c r="H96" s="9" t="s">
        <v>38</v>
      </c>
      <c r="I96">
        <f t="shared" si="1"/>
        <v>4656</v>
      </c>
    </row>
    <row r="97" spans="1:9" ht="15" customHeight="1" x14ac:dyDescent="0.2">
      <c r="A97" s="11">
        <v>46223</v>
      </c>
      <c r="B97" s="12" t="s">
        <v>20</v>
      </c>
      <c r="C97" s="12" t="s">
        <v>11</v>
      </c>
      <c r="D97" s="12" t="s">
        <v>12</v>
      </c>
      <c r="E97" s="13">
        <v>68</v>
      </c>
      <c r="F97" s="13">
        <f>IF($B97="","",IF($D97="kg",N($E97),IF($D97="sacos",N($E97)*97,IF($D97="jabas",N($E97)*IFERROR(VLOOKUP($C97,LISTAS!$A$2:$B$12,2,0),0),""))))</f>
        <v>1020</v>
      </c>
      <c r="G97" s="12"/>
      <c r="H97" s="12"/>
      <c r="I97">
        <f t="shared" si="1"/>
        <v>1020</v>
      </c>
    </row>
    <row r="98" spans="1:9" ht="15" customHeight="1" x14ac:dyDescent="0.2">
      <c r="A98" s="11">
        <v>46223</v>
      </c>
      <c r="B98" s="12" t="s">
        <v>20</v>
      </c>
      <c r="C98" s="12" t="s">
        <v>21</v>
      </c>
      <c r="D98" s="12" t="s">
        <v>12</v>
      </c>
      <c r="E98" s="13">
        <v>23</v>
      </c>
      <c r="F98" s="13">
        <f>IF($B98="","",IF($D98="kg",N($E98),IF($D98="sacos",N($E98)*97,IF($D98="jabas",N($E98)*IFERROR(VLOOKUP($C98,LISTAS!$A$2:$B$12,2,0),0),""))))</f>
        <v>414</v>
      </c>
      <c r="G98" s="12"/>
      <c r="H98" s="12"/>
      <c r="I98">
        <f t="shared" si="1"/>
        <v>414</v>
      </c>
    </row>
    <row r="99" spans="1:9" ht="15" customHeight="1" x14ac:dyDescent="0.2">
      <c r="A99" s="11">
        <v>46223</v>
      </c>
      <c r="B99" s="12" t="s">
        <v>20</v>
      </c>
      <c r="C99" s="12" t="s">
        <v>22</v>
      </c>
      <c r="D99" s="12" t="s">
        <v>12</v>
      </c>
      <c r="E99" s="13">
        <v>23</v>
      </c>
      <c r="F99" s="13">
        <f>IF($B99="","",IF($D99="kg",N($E99),IF($D99="sacos",N($E99)*97,IF($D99="jabas",N($E99)*IFERROR(VLOOKUP($C99,LISTAS!$A$2:$B$12,2,0),0),""))))</f>
        <v>391</v>
      </c>
      <c r="G99" s="12"/>
      <c r="H99" s="12"/>
      <c r="I99">
        <f t="shared" si="1"/>
        <v>391</v>
      </c>
    </row>
    <row r="100" spans="1:9" ht="15" customHeight="1" x14ac:dyDescent="0.2">
      <c r="A100" s="11">
        <v>46223</v>
      </c>
      <c r="B100" s="12" t="s">
        <v>20</v>
      </c>
      <c r="C100" s="12" t="s">
        <v>13</v>
      </c>
      <c r="D100" s="12" t="s">
        <v>12</v>
      </c>
      <c r="E100" s="13">
        <v>129</v>
      </c>
      <c r="F100" s="13">
        <f>IF($B100="","",IF($D100="kg",N($E100),IF($D100="sacos",N($E100)*97,IF($D100="jabas",N($E100)*IFERROR(VLOOKUP($C100,LISTAS!$A$2:$B$12,2,0),0),""))))</f>
        <v>2193</v>
      </c>
      <c r="G100" s="12"/>
      <c r="H100" s="12"/>
      <c r="I100">
        <f t="shared" si="1"/>
        <v>2193</v>
      </c>
    </row>
    <row r="101" spans="1:9" ht="15" customHeight="1" x14ac:dyDescent="0.2">
      <c r="A101" s="11">
        <v>46223</v>
      </c>
      <c r="B101" s="12" t="s">
        <v>20</v>
      </c>
      <c r="C101" s="12" t="s">
        <v>15</v>
      </c>
      <c r="D101" s="12" t="s">
        <v>16</v>
      </c>
      <c r="E101" s="13">
        <v>6.5</v>
      </c>
      <c r="F101" s="13">
        <f>IF($B101="","",IF($D101="kg",N($E101),IF($D101="sacos",N($E101)*97,IF($D101="jabas",N($E101)*IFERROR(VLOOKUP($C101,LISTAS!$A$2:$B$12,2,0),0),""))))</f>
        <v>630.5</v>
      </c>
      <c r="G101" s="12"/>
      <c r="H101" s="12"/>
      <c r="I101">
        <f t="shared" si="1"/>
        <v>630.5</v>
      </c>
    </row>
    <row r="102" spans="1:9" ht="15" customHeight="1" x14ac:dyDescent="0.2">
      <c r="A102" s="14">
        <v>46223</v>
      </c>
      <c r="B102" s="15" t="s">
        <v>23</v>
      </c>
      <c r="C102" s="15" t="s">
        <v>11</v>
      </c>
      <c r="D102" s="15" t="s">
        <v>12</v>
      </c>
      <c r="E102" s="16">
        <v>67</v>
      </c>
      <c r="F102" s="16">
        <f>IF($B102="","",IF($D102="kg",N($E102),IF($D102="sacos",N($E102)*97,IF($D102="jabas",N($E102)*IFERROR(VLOOKUP($C102,LISTAS!$A$2:$B$12,2,0),0),""))))</f>
        <v>1005</v>
      </c>
      <c r="G102" s="15" t="s">
        <v>39</v>
      </c>
      <c r="H102" s="15"/>
      <c r="I102">
        <f t="shared" si="1"/>
        <v>1005</v>
      </c>
    </row>
    <row r="103" spans="1:9" ht="15" customHeight="1" x14ac:dyDescent="0.2">
      <c r="A103" s="14">
        <v>46223</v>
      </c>
      <c r="B103" s="15" t="s">
        <v>23</v>
      </c>
      <c r="C103" s="15" t="s">
        <v>21</v>
      </c>
      <c r="D103" s="15" t="s">
        <v>12</v>
      </c>
      <c r="E103" s="16">
        <v>11</v>
      </c>
      <c r="F103" s="16">
        <f>IF($B103="","",IF($D103="kg",N($E103),IF($D103="sacos",N($E103)*97,IF($D103="jabas",N($E103)*IFERROR(VLOOKUP($C103,LISTAS!$A$2:$B$12,2,0),0),""))))</f>
        <v>198</v>
      </c>
      <c r="G103" s="15" t="s">
        <v>39</v>
      </c>
      <c r="H103" s="15"/>
      <c r="I103">
        <f t="shared" si="1"/>
        <v>198</v>
      </c>
    </row>
    <row r="104" spans="1:9" ht="15" customHeight="1" x14ac:dyDescent="0.2">
      <c r="A104" s="14">
        <v>46223</v>
      </c>
      <c r="B104" s="15" t="s">
        <v>23</v>
      </c>
      <c r="C104" s="15" t="s">
        <v>22</v>
      </c>
      <c r="D104" s="15" t="s">
        <v>12</v>
      </c>
      <c r="E104" s="16">
        <v>12</v>
      </c>
      <c r="F104" s="16">
        <f>IF($B104="","",IF($D104="kg",N($E104),IF($D104="sacos",N($E104)*97,IF($D104="jabas",N($E104)*IFERROR(VLOOKUP($C104,LISTAS!$A$2:$B$12,2,0),0),""))))</f>
        <v>204</v>
      </c>
      <c r="G104" s="15" t="s">
        <v>39</v>
      </c>
      <c r="H104" s="15"/>
      <c r="I104">
        <f t="shared" si="1"/>
        <v>204</v>
      </c>
    </row>
    <row r="105" spans="1:9" ht="15" customHeight="1" x14ac:dyDescent="0.2">
      <c r="A105" s="14">
        <v>46223</v>
      </c>
      <c r="B105" s="15" t="s">
        <v>23</v>
      </c>
      <c r="C105" s="15" t="s">
        <v>13</v>
      </c>
      <c r="D105" s="15" t="s">
        <v>12</v>
      </c>
      <c r="E105" s="16">
        <v>111</v>
      </c>
      <c r="F105" s="16">
        <f>IF($B105="","",IF($D105="kg",N($E105),IF($D105="sacos",N($E105)*97,IF($D105="jabas",N($E105)*IFERROR(VLOOKUP($C105,LISTAS!$A$2:$B$12,2,0),0),""))))</f>
        <v>1887</v>
      </c>
      <c r="G105" s="15" t="s">
        <v>39</v>
      </c>
      <c r="H105" s="15"/>
      <c r="I105">
        <f t="shared" si="1"/>
        <v>1887</v>
      </c>
    </row>
    <row r="106" spans="1:9" ht="15" customHeight="1" x14ac:dyDescent="0.2">
      <c r="A106" s="17">
        <v>46223</v>
      </c>
      <c r="B106" s="18" t="s">
        <v>28</v>
      </c>
      <c r="C106" s="18" t="s">
        <v>15</v>
      </c>
      <c r="D106" s="18" t="s">
        <v>16</v>
      </c>
      <c r="E106" s="19">
        <v>18</v>
      </c>
      <c r="F106" s="19">
        <f>IF($B106="","",IF($D106="kg",N($E106),IF($D106="sacos",N($E106)*97,IF($D106="jabas",N($E106)*IFERROR(VLOOKUP($C106,LISTAS!$A$2:$B$12,2,0),0),""))))</f>
        <v>1746</v>
      </c>
      <c r="G106" s="18" t="s">
        <v>40</v>
      </c>
      <c r="H106" s="18"/>
      <c r="I106">
        <f t="shared" si="1"/>
        <v>1746</v>
      </c>
    </row>
    <row r="107" spans="1:9" ht="15" customHeight="1" x14ac:dyDescent="0.2">
      <c r="A107" s="20">
        <v>46223</v>
      </c>
      <c r="B107" s="21" t="s">
        <v>34</v>
      </c>
      <c r="C107" s="21" t="s">
        <v>21</v>
      </c>
      <c r="D107" s="21" t="s">
        <v>12</v>
      </c>
      <c r="E107" s="22">
        <v>1</v>
      </c>
      <c r="F107" s="22">
        <f>IF($B107="","",IF($D107="kg",N($E107),IF($D107="sacos",N($E107)*97,IF($D107="jabas",N($E107)*IFERROR(VLOOKUP($C107,LISTAS!$A$2:$B$12,2,0),0),""))))</f>
        <v>18</v>
      </c>
      <c r="G107" s="21"/>
      <c r="H107" s="21"/>
      <c r="I107">
        <f t="shared" si="1"/>
        <v>18</v>
      </c>
    </row>
    <row r="108" spans="1:9" ht="15" customHeight="1" x14ac:dyDescent="0.2">
      <c r="A108" s="20">
        <v>46223</v>
      </c>
      <c r="B108" s="21" t="s">
        <v>34</v>
      </c>
      <c r="C108" s="21" t="s">
        <v>22</v>
      </c>
      <c r="D108" s="21" t="s">
        <v>12</v>
      </c>
      <c r="E108" s="22">
        <v>1</v>
      </c>
      <c r="F108" s="22">
        <f>IF($B108="","",IF($D108="kg",N($E108),IF($D108="sacos",N($E108)*97,IF($D108="jabas",N($E108)*IFERROR(VLOOKUP($C108,LISTAS!$A$2:$B$12,2,0),0),""))))</f>
        <v>17</v>
      </c>
      <c r="G108" s="21"/>
      <c r="H108" s="21"/>
      <c r="I108">
        <f t="shared" si="1"/>
        <v>17</v>
      </c>
    </row>
    <row r="109" spans="1:9" ht="15" customHeight="1" x14ac:dyDescent="0.2">
      <c r="A109" s="8">
        <v>46224</v>
      </c>
      <c r="B109" s="9" t="s">
        <v>17</v>
      </c>
      <c r="C109" s="9" t="s">
        <v>18</v>
      </c>
      <c r="D109" s="9" t="s">
        <v>16</v>
      </c>
      <c r="E109" s="10">
        <v>22</v>
      </c>
      <c r="F109" s="10">
        <f>IF($B109="","",IF($D109="kg",N($E109),IF($D109="sacos",N($E109)*97,IF($D109="jabas",N($E109)*IFERROR(VLOOKUP($C109,LISTAS!$A$2:$B$12,2,0),0),""))))</f>
        <v>2134</v>
      </c>
      <c r="G109" s="9"/>
      <c r="H109" s="9" t="s">
        <v>19</v>
      </c>
      <c r="I109">
        <f t="shared" si="1"/>
        <v>2134</v>
      </c>
    </row>
    <row r="110" spans="1:9" ht="15" customHeight="1" x14ac:dyDescent="0.2">
      <c r="A110" s="11">
        <v>46224</v>
      </c>
      <c r="B110" s="12" t="s">
        <v>20</v>
      </c>
      <c r="C110" s="12" t="s">
        <v>11</v>
      </c>
      <c r="D110" s="12" t="s">
        <v>12</v>
      </c>
      <c r="E110" s="13">
        <v>43</v>
      </c>
      <c r="F110" s="13">
        <f>IF($B110="","",IF($D110="kg",N($E110),IF($D110="sacos",N($E110)*97,IF($D110="jabas",N($E110)*IFERROR(VLOOKUP($C110,LISTAS!$A$2:$B$12,2,0),0),""))))</f>
        <v>645</v>
      </c>
      <c r="G110" s="12"/>
      <c r="H110" s="12"/>
      <c r="I110">
        <f t="shared" si="1"/>
        <v>645</v>
      </c>
    </row>
    <row r="111" spans="1:9" ht="15" customHeight="1" x14ac:dyDescent="0.2">
      <c r="A111" s="11">
        <v>46224</v>
      </c>
      <c r="B111" s="12" t="s">
        <v>20</v>
      </c>
      <c r="C111" s="12" t="s">
        <v>13</v>
      </c>
      <c r="D111" s="12" t="s">
        <v>12</v>
      </c>
      <c r="E111" s="13">
        <v>72</v>
      </c>
      <c r="F111" s="13">
        <f>IF($B111="","",IF($D111="kg",N($E111),IF($D111="sacos",N($E111)*97,IF($D111="jabas",N($E111)*IFERROR(VLOOKUP($C111,LISTAS!$A$2:$B$12,2,0),0),""))))</f>
        <v>1224</v>
      </c>
      <c r="G111" s="12"/>
      <c r="H111" s="12"/>
      <c r="I111">
        <f t="shared" si="1"/>
        <v>1224</v>
      </c>
    </row>
    <row r="112" spans="1:9" ht="15" customHeight="1" x14ac:dyDescent="0.2">
      <c r="A112" s="11">
        <v>46224</v>
      </c>
      <c r="B112" s="12" t="s">
        <v>20</v>
      </c>
      <c r="C112" s="12" t="s">
        <v>15</v>
      </c>
      <c r="D112" s="12" t="s">
        <v>16</v>
      </c>
      <c r="E112" s="13">
        <v>3</v>
      </c>
      <c r="F112" s="13">
        <f>IF($B112="","",IF($D112="kg",N($E112),IF($D112="sacos",N($E112)*97,IF($D112="jabas",N($E112)*IFERROR(VLOOKUP($C112,LISTAS!$A$2:$B$12,2,0),0),""))))</f>
        <v>291</v>
      </c>
      <c r="G112" s="12"/>
      <c r="H112" s="12"/>
      <c r="I112">
        <f t="shared" si="1"/>
        <v>291</v>
      </c>
    </row>
    <row r="113" spans="1:9" ht="15" customHeight="1" x14ac:dyDescent="0.2">
      <c r="A113" s="11">
        <v>46224</v>
      </c>
      <c r="B113" s="12" t="s">
        <v>20</v>
      </c>
      <c r="C113" s="12" t="s">
        <v>11</v>
      </c>
      <c r="D113" s="12" t="s">
        <v>12</v>
      </c>
      <c r="E113" s="13">
        <v>47</v>
      </c>
      <c r="F113" s="13">
        <f>IF($B113="","",IF($D113="kg",N($E113),IF($D113="sacos",N($E113)*97,IF($D113="jabas",N($E113)*IFERROR(VLOOKUP($C113,LISTAS!$A$2:$B$12,2,0),0),""))))</f>
        <v>705</v>
      </c>
      <c r="G113" s="12"/>
      <c r="H113" s="12"/>
      <c r="I113">
        <f t="shared" si="1"/>
        <v>705</v>
      </c>
    </row>
    <row r="114" spans="1:9" ht="15" customHeight="1" x14ac:dyDescent="0.2">
      <c r="A114" s="11">
        <v>46224</v>
      </c>
      <c r="B114" s="12" t="s">
        <v>20</v>
      </c>
      <c r="C114" s="12" t="s">
        <v>21</v>
      </c>
      <c r="D114" s="12" t="s">
        <v>12</v>
      </c>
      <c r="E114" s="13">
        <v>11</v>
      </c>
      <c r="F114" s="13">
        <f>IF($B114="","",IF($D114="kg",N($E114),IF($D114="sacos",N($E114)*97,IF($D114="jabas",N($E114)*IFERROR(VLOOKUP($C114,LISTAS!$A$2:$B$12,2,0),0),""))))</f>
        <v>198</v>
      </c>
      <c r="G114" s="12"/>
      <c r="H114" s="12"/>
      <c r="I114">
        <f t="shared" si="1"/>
        <v>198</v>
      </c>
    </row>
    <row r="115" spans="1:9" ht="15" customHeight="1" x14ac:dyDescent="0.2">
      <c r="A115" s="11">
        <v>46224</v>
      </c>
      <c r="B115" s="12" t="s">
        <v>20</v>
      </c>
      <c r="C115" s="12" t="s">
        <v>22</v>
      </c>
      <c r="D115" s="12" t="s">
        <v>12</v>
      </c>
      <c r="E115" s="13">
        <v>12</v>
      </c>
      <c r="F115" s="13">
        <f>IF($B115="","",IF($D115="kg",N($E115),IF($D115="sacos",N($E115)*97,IF($D115="jabas",N($E115)*IFERROR(VLOOKUP($C115,LISTAS!$A$2:$B$12,2,0),0),""))))</f>
        <v>204</v>
      </c>
      <c r="G115" s="12"/>
      <c r="H115" s="12"/>
      <c r="I115">
        <f t="shared" si="1"/>
        <v>204</v>
      </c>
    </row>
    <row r="116" spans="1:9" ht="15" customHeight="1" x14ac:dyDescent="0.2">
      <c r="A116" s="11">
        <v>46224</v>
      </c>
      <c r="B116" s="12" t="s">
        <v>20</v>
      </c>
      <c r="C116" s="12" t="s">
        <v>13</v>
      </c>
      <c r="D116" s="12" t="s">
        <v>12</v>
      </c>
      <c r="E116" s="13">
        <v>72</v>
      </c>
      <c r="F116" s="13">
        <f>IF($B116="","",IF($D116="kg",N($E116),IF($D116="sacos",N($E116)*97,IF($D116="jabas",N($E116)*IFERROR(VLOOKUP($C116,LISTAS!$A$2:$B$12,2,0),0),""))))</f>
        <v>1224</v>
      </c>
      <c r="G116" s="12"/>
      <c r="H116" s="12"/>
      <c r="I116">
        <f t="shared" si="1"/>
        <v>1224</v>
      </c>
    </row>
    <row r="117" spans="1:9" ht="15" customHeight="1" x14ac:dyDescent="0.2">
      <c r="A117" s="11">
        <v>46224</v>
      </c>
      <c r="B117" s="12" t="s">
        <v>20</v>
      </c>
      <c r="C117" s="12" t="s">
        <v>15</v>
      </c>
      <c r="D117" s="12" t="s">
        <v>16</v>
      </c>
      <c r="E117" s="13">
        <v>4</v>
      </c>
      <c r="F117" s="13">
        <f>IF($B117="","",IF($D117="kg",N($E117),IF($D117="sacos",N($E117)*97,IF($D117="jabas",N($E117)*IFERROR(VLOOKUP($C117,LISTAS!$A$2:$B$12,2,0),0),""))))</f>
        <v>388</v>
      </c>
      <c r="G117" s="12"/>
      <c r="H117" s="12"/>
      <c r="I117">
        <f t="shared" si="1"/>
        <v>388</v>
      </c>
    </row>
    <row r="118" spans="1:9" ht="15" customHeight="1" x14ac:dyDescent="0.2">
      <c r="A118" s="14">
        <v>46224</v>
      </c>
      <c r="B118" s="15" t="s">
        <v>23</v>
      </c>
      <c r="C118" s="15" t="s">
        <v>11</v>
      </c>
      <c r="D118" s="15" t="s">
        <v>12</v>
      </c>
      <c r="E118" s="16">
        <v>67</v>
      </c>
      <c r="F118" s="16">
        <f>IF($B118="","",IF($D118="kg",N($E118),IF($D118="sacos",N($E118)*97,IF($D118="jabas",N($E118)*IFERROR(VLOOKUP($C118,LISTAS!$A$2:$B$12,2,0),0),""))))</f>
        <v>1005</v>
      </c>
      <c r="G118" s="15" t="s">
        <v>41</v>
      </c>
      <c r="H118" s="15"/>
      <c r="I118">
        <f t="shared" si="1"/>
        <v>1005</v>
      </c>
    </row>
    <row r="119" spans="1:9" ht="15" customHeight="1" x14ac:dyDescent="0.2">
      <c r="A119" s="14">
        <v>46224</v>
      </c>
      <c r="B119" s="15" t="s">
        <v>23</v>
      </c>
      <c r="C119" s="15" t="s">
        <v>21</v>
      </c>
      <c r="D119" s="15" t="s">
        <v>12</v>
      </c>
      <c r="E119" s="16">
        <v>11</v>
      </c>
      <c r="F119" s="16">
        <f>IF($B119="","",IF($D119="kg",N($E119),IF($D119="sacos",N($E119)*97,IF($D119="jabas",N($E119)*IFERROR(VLOOKUP($C119,LISTAS!$A$2:$B$12,2,0),0),""))))</f>
        <v>198</v>
      </c>
      <c r="G119" s="15" t="s">
        <v>41</v>
      </c>
      <c r="H119" s="15"/>
      <c r="I119">
        <f t="shared" si="1"/>
        <v>198</v>
      </c>
    </row>
    <row r="120" spans="1:9" ht="15" customHeight="1" x14ac:dyDescent="0.2">
      <c r="A120" s="14">
        <v>46224</v>
      </c>
      <c r="B120" s="15" t="s">
        <v>23</v>
      </c>
      <c r="C120" s="15" t="s">
        <v>22</v>
      </c>
      <c r="D120" s="15" t="s">
        <v>12</v>
      </c>
      <c r="E120" s="16">
        <v>10</v>
      </c>
      <c r="F120" s="16">
        <f>IF($B120="","",IF($D120="kg",N($E120),IF($D120="sacos",N($E120)*97,IF($D120="jabas",N($E120)*IFERROR(VLOOKUP($C120,LISTAS!$A$2:$B$12,2,0),0),""))))</f>
        <v>170</v>
      </c>
      <c r="G120" s="15" t="s">
        <v>41</v>
      </c>
      <c r="H120" s="15"/>
      <c r="I120">
        <f t="shared" si="1"/>
        <v>170</v>
      </c>
    </row>
    <row r="121" spans="1:9" ht="15" customHeight="1" x14ac:dyDescent="0.2">
      <c r="A121" s="14">
        <v>46224</v>
      </c>
      <c r="B121" s="15" t="s">
        <v>23</v>
      </c>
      <c r="C121" s="15" t="s">
        <v>13</v>
      </c>
      <c r="D121" s="15" t="s">
        <v>12</v>
      </c>
      <c r="E121" s="16">
        <v>111</v>
      </c>
      <c r="F121" s="16">
        <f>IF($B121="","",IF($D121="kg",N($E121),IF($D121="sacos",N($E121)*97,IF($D121="jabas",N($E121)*IFERROR(VLOOKUP($C121,LISTAS!$A$2:$B$12,2,0),0),""))))</f>
        <v>1887</v>
      </c>
      <c r="G121" s="15" t="s">
        <v>41</v>
      </c>
      <c r="H121" s="15"/>
      <c r="I121">
        <f t="shared" si="1"/>
        <v>1887</v>
      </c>
    </row>
    <row r="122" spans="1:9" ht="15" customHeight="1" x14ac:dyDescent="0.2">
      <c r="A122" s="23">
        <v>46224</v>
      </c>
      <c r="B122" s="24" t="s">
        <v>42</v>
      </c>
      <c r="C122" s="24" t="s">
        <v>11</v>
      </c>
      <c r="D122" s="24" t="s">
        <v>12</v>
      </c>
      <c r="E122" s="25">
        <v>1</v>
      </c>
      <c r="F122" s="25">
        <f>IF($B122="","",IF($D122="kg",N($E122),IF($D122="sacos",N($E122)*97,IF($D122="jabas",N($E122)*IFERROR(VLOOKUP($C122,LISTAS!$A$2:$B$12,2,0),0),""))))</f>
        <v>15</v>
      </c>
      <c r="G122" s="24"/>
      <c r="H122" s="24"/>
      <c r="I122">
        <f t="shared" si="1"/>
        <v>15</v>
      </c>
    </row>
    <row r="123" spans="1:9" ht="15" customHeight="1" x14ac:dyDescent="0.2">
      <c r="A123" s="23">
        <v>46224</v>
      </c>
      <c r="B123" s="24" t="s">
        <v>42</v>
      </c>
      <c r="C123" s="24" t="s">
        <v>13</v>
      </c>
      <c r="D123" s="24" t="s">
        <v>12</v>
      </c>
      <c r="E123" s="25">
        <v>1</v>
      </c>
      <c r="F123" s="25">
        <f>IF($B123="","",IF($D123="kg",N($E123),IF($D123="sacos",N($E123)*97,IF($D123="jabas",N($E123)*IFERROR(VLOOKUP($C123,LISTAS!$A$2:$B$12,2,0),0),""))))</f>
        <v>17</v>
      </c>
      <c r="G123" s="24"/>
      <c r="H123" s="24"/>
      <c r="I123">
        <f t="shared" si="1"/>
        <v>17</v>
      </c>
    </row>
    <row r="124" spans="1:9" ht="15" customHeight="1" x14ac:dyDescent="0.2">
      <c r="A124" s="20">
        <v>46224</v>
      </c>
      <c r="B124" s="21" t="s">
        <v>34</v>
      </c>
      <c r="C124" s="21" t="s">
        <v>11</v>
      </c>
      <c r="D124" s="21" t="s">
        <v>12</v>
      </c>
      <c r="E124" s="22">
        <v>1</v>
      </c>
      <c r="F124" s="22">
        <f>IF($B124="","",IF($D124="kg",N($E124),IF($D124="sacos",N($E124)*97,IF($D124="jabas",N($E124)*IFERROR(VLOOKUP($C124,LISTAS!$A$2:$B$12,2,0),0),""))))</f>
        <v>15</v>
      </c>
      <c r="G124" s="21"/>
      <c r="H124" s="21"/>
      <c r="I124">
        <f t="shared" si="1"/>
        <v>15</v>
      </c>
    </row>
    <row r="125" spans="1:9" ht="15" customHeight="1" x14ac:dyDescent="0.2">
      <c r="A125" s="20">
        <v>46224</v>
      </c>
      <c r="B125" s="21" t="s">
        <v>34</v>
      </c>
      <c r="C125" s="21" t="s">
        <v>13</v>
      </c>
      <c r="D125" s="21" t="s">
        <v>12</v>
      </c>
      <c r="E125" s="22">
        <v>1</v>
      </c>
      <c r="F125" s="22">
        <f>IF($B125="","",IF($D125="kg",N($E125),IF($D125="sacos",N($E125)*97,IF($D125="jabas",N($E125)*IFERROR(VLOOKUP($C125,LISTAS!$A$2:$B$12,2,0),0),""))))</f>
        <v>17</v>
      </c>
      <c r="G125" s="21"/>
      <c r="H125" s="21"/>
      <c r="I125">
        <f t="shared" si="1"/>
        <v>17</v>
      </c>
    </row>
    <row r="126" spans="1:9" ht="15" customHeight="1" x14ac:dyDescent="0.2">
      <c r="A126" s="26">
        <v>46224</v>
      </c>
      <c r="B126" s="27" t="s">
        <v>43</v>
      </c>
      <c r="C126" s="27" t="s">
        <v>18</v>
      </c>
      <c r="D126" s="27" t="s">
        <v>44</v>
      </c>
      <c r="E126" s="28">
        <v>17</v>
      </c>
      <c r="F126" s="28">
        <f>IF($B126="","",IF($D126="kg",N($E126),IF($D126="sacos",N($E126)*97,IF($D126="jabas",N($E126)*IFERROR(VLOOKUP($C126,LISTAS!$A$2:$B$12,2,0),0),""))))</f>
        <v>17</v>
      </c>
      <c r="G126" s="27"/>
      <c r="H126" s="27" t="s">
        <v>45</v>
      </c>
      <c r="I126">
        <f t="shared" si="1"/>
        <v>17</v>
      </c>
    </row>
    <row r="127" spans="1:9" ht="15" customHeight="1" x14ac:dyDescent="0.2">
      <c r="A127" s="8">
        <v>46225</v>
      </c>
      <c r="B127" s="9" t="s">
        <v>17</v>
      </c>
      <c r="C127" s="9" t="s">
        <v>18</v>
      </c>
      <c r="D127" s="9" t="s">
        <v>16</v>
      </c>
      <c r="E127" s="10">
        <v>70</v>
      </c>
      <c r="F127" s="10">
        <f>IF($B127="","",IF($D127="kg",N($E127),IF($D127="sacos",N($E127)*97,IF($D127="jabas",N($E127)*IFERROR(VLOOKUP($C127,LISTAS!$A$2:$B$12,2,0),0),""))))</f>
        <v>6790</v>
      </c>
      <c r="G127" s="9"/>
      <c r="H127" s="9" t="s">
        <v>19</v>
      </c>
      <c r="I127">
        <f t="shared" si="1"/>
        <v>6790</v>
      </c>
    </row>
    <row r="128" spans="1:9" ht="15" customHeight="1" x14ac:dyDescent="0.2">
      <c r="A128" s="11">
        <v>46225</v>
      </c>
      <c r="B128" s="12" t="s">
        <v>20</v>
      </c>
      <c r="C128" s="12" t="s">
        <v>11</v>
      </c>
      <c r="D128" s="12" t="s">
        <v>12</v>
      </c>
      <c r="E128" s="13">
        <v>64</v>
      </c>
      <c r="F128" s="13">
        <f>IF($B128="","",IF($D128="kg",N($E128),IF($D128="sacos",N($E128)*97,IF($D128="jabas",N($E128)*IFERROR(VLOOKUP($C128,LISTAS!$A$2:$B$12,2,0),0),""))))</f>
        <v>960</v>
      </c>
      <c r="G128" s="12"/>
      <c r="H128" s="12"/>
      <c r="I128">
        <f t="shared" si="1"/>
        <v>960</v>
      </c>
    </row>
    <row r="129" spans="1:9" ht="15" customHeight="1" x14ac:dyDescent="0.2">
      <c r="A129" s="11">
        <v>46225</v>
      </c>
      <c r="B129" s="12" t="s">
        <v>20</v>
      </c>
      <c r="C129" s="12" t="s">
        <v>21</v>
      </c>
      <c r="D129" s="12" t="s">
        <v>12</v>
      </c>
      <c r="E129" s="13">
        <v>11</v>
      </c>
      <c r="F129" s="13">
        <f>IF($B129="","",IF($D129="kg",N($E129),IF($D129="sacos",N($E129)*97,IF($D129="jabas",N($E129)*IFERROR(VLOOKUP($C129,LISTAS!$A$2:$B$12,2,0),0),""))))</f>
        <v>198</v>
      </c>
      <c r="G129" s="12"/>
      <c r="H129" s="12"/>
      <c r="I129">
        <f t="shared" si="1"/>
        <v>198</v>
      </c>
    </row>
    <row r="130" spans="1:9" ht="15" customHeight="1" x14ac:dyDescent="0.2">
      <c r="A130" s="11">
        <v>46225</v>
      </c>
      <c r="B130" s="12" t="s">
        <v>20</v>
      </c>
      <c r="C130" s="12" t="s">
        <v>22</v>
      </c>
      <c r="D130" s="12" t="s">
        <v>12</v>
      </c>
      <c r="E130" s="13">
        <v>12</v>
      </c>
      <c r="F130" s="13">
        <f>IF($B130="","",IF($D130="kg",N($E130),IF($D130="sacos",N($E130)*97,IF($D130="jabas",N($E130)*IFERROR(VLOOKUP($C130,LISTAS!$A$2:$B$12,2,0),0),""))))</f>
        <v>204</v>
      </c>
      <c r="G130" s="12"/>
      <c r="H130" s="12"/>
      <c r="I130">
        <f t="shared" si="1"/>
        <v>204</v>
      </c>
    </row>
    <row r="131" spans="1:9" ht="15" customHeight="1" x14ac:dyDescent="0.2">
      <c r="A131" s="11">
        <v>46225</v>
      </c>
      <c r="B131" s="12" t="s">
        <v>20</v>
      </c>
      <c r="C131" s="12" t="s">
        <v>13</v>
      </c>
      <c r="D131" s="12" t="s">
        <v>12</v>
      </c>
      <c r="E131" s="13">
        <v>111</v>
      </c>
      <c r="F131" s="13">
        <f>IF($B131="","",IF($D131="kg",N($E131),IF($D131="sacos",N($E131)*97,IF($D131="jabas",N($E131)*IFERROR(VLOOKUP($C131,LISTAS!$A$2:$B$12,2,0),0),""))))</f>
        <v>1887</v>
      </c>
      <c r="G131" s="12"/>
      <c r="H131" s="12"/>
      <c r="I131">
        <f t="shared" si="1"/>
        <v>1887</v>
      </c>
    </row>
    <row r="132" spans="1:9" ht="15" customHeight="1" x14ac:dyDescent="0.2">
      <c r="A132" s="11">
        <v>46225</v>
      </c>
      <c r="B132" s="12" t="s">
        <v>20</v>
      </c>
      <c r="C132" s="12" t="s">
        <v>15</v>
      </c>
      <c r="D132" s="12" t="s">
        <v>16</v>
      </c>
      <c r="E132" s="13">
        <v>8</v>
      </c>
      <c r="F132" s="13">
        <f>IF($B132="","",IF($D132="kg",N($E132),IF($D132="sacos",N($E132)*97,IF($D132="jabas",N($E132)*IFERROR(VLOOKUP($C132,LISTAS!$A$2:$B$12,2,0),0),""))))</f>
        <v>776</v>
      </c>
      <c r="G132" s="12"/>
      <c r="H132" s="12"/>
      <c r="I132">
        <f t="shared" si="1"/>
        <v>776</v>
      </c>
    </row>
    <row r="133" spans="1:9" ht="15" customHeight="1" x14ac:dyDescent="0.2">
      <c r="A133" s="29">
        <v>46225</v>
      </c>
      <c r="B133" s="30" t="s">
        <v>46</v>
      </c>
      <c r="C133" s="30" t="s">
        <v>18</v>
      </c>
      <c r="D133" s="30" t="s">
        <v>44</v>
      </c>
      <c r="E133" s="31">
        <v>50</v>
      </c>
      <c r="F133" s="31">
        <f>IF($B133="","",IF($D133="kg",N($E133),IF($D133="sacos",N($E133)*97,IF($D133="jabas",N($E133)*IFERROR(VLOOKUP($C133,LISTAS!$A$2:$B$12,2,0),0),""))))</f>
        <v>50</v>
      </c>
      <c r="G133" s="30"/>
      <c r="H133" s="30"/>
      <c r="I133">
        <f t="shared" ref="I133:I196" si="2">N($F133)</f>
        <v>50</v>
      </c>
    </row>
    <row r="134" spans="1:9" ht="15" customHeight="1" x14ac:dyDescent="0.2">
      <c r="A134" s="14">
        <v>46225</v>
      </c>
      <c r="B134" s="15" t="s">
        <v>23</v>
      </c>
      <c r="C134" s="15" t="s">
        <v>11</v>
      </c>
      <c r="D134" s="15" t="s">
        <v>12</v>
      </c>
      <c r="E134" s="16">
        <v>67</v>
      </c>
      <c r="F134" s="16">
        <f>IF($B134="","",IF($D134="kg",N($E134),IF($D134="sacos",N($E134)*97,IF($D134="jabas",N($E134)*IFERROR(VLOOKUP($C134,LISTAS!$A$2:$B$12,2,0),0),""))))</f>
        <v>1005</v>
      </c>
      <c r="G134" s="15" t="s">
        <v>47</v>
      </c>
      <c r="H134" s="15"/>
      <c r="I134">
        <f t="shared" si="2"/>
        <v>1005</v>
      </c>
    </row>
    <row r="135" spans="1:9" ht="15" customHeight="1" x14ac:dyDescent="0.2">
      <c r="A135" s="14">
        <v>46225</v>
      </c>
      <c r="B135" s="15" t="s">
        <v>23</v>
      </c>
      <c r="C135" s="15" t="s">
        <v>21</v>
      </c>
      <c r="D135" s="15" t="s">
        <v>12</v>
      </c>
      <c r="E135" s="16">
        <v>11</v>
      </c>
      <c r="F135" s="16">
        <f>IF($B135="","",IF($D135="kg",N($E135),IF($D135="sacos",N($E135)*97,IF($D135="jabas",N($E135)*IFERROR(VLOOKUP($C135,LISTAS!$A$2:$B$12,2,0),0),""))))</f>
        <v>198</v>
      </c>
      <c r="G135" s="15" t="s">
        <v>47</v>
      </c>
      <c r="H135" s="15"/>
      <c r="I135">
        <f t="shared" si="2"/>
        <v>198</v>
      </c>
    </row>
    <row r="136" spans="1:9" ht="15" customHeight="1" x14ac:dyDescent="0.2">
      <c r="A136" s="14">
        <v>46225</v>
      </c>
      <c r="B136" s="15" t="s">
        <v>23</v>
      </c>
      <c r="C136" s="15" t="s">
        <v>22</v>
      </c>
      <c r="D136" s="15" t="s">
        <v>12</v>
      </c>
      <c r="E136" s="16">
        <v>12</v>
      </c>
      <c r="F136" s="16">
        <f>IF($B136="","",IF($D136="kg",N($E136),IF($D136="sacos",N($E136)*97,IF($D136="jabas",N($E136)*IFERROR(VLOOKUP($C136,LISTAS!$A$2:$B$12,2,0),0),""))))</f>
        <v>204</v>
      </c>
      <c r="G136" s="15" t="s">
        <v>47</v>
      </c>
      <c r="H136" s="15"/>
      <c r="I136">
        <f t="shared" si="2"/>
        <v>204</v>
      </c>
    </row>
    <row r="137" spans="1:9" ht="15" customHeight="1" x14ac:dyDescent="0.2">
      <c r="A137" s="14">
        <v>46225</v>
      </c>
      <c r="B137" s="15" t="s">
        <v>23</v>
      </c>
      <c r="C137" s="15" t="s">
        <v>13</v>
      </c>
      <c r="D137" s="15" t="s">
        <v>12</v>
      </c>
      <c r="E137" s="16">
        <v>111</v>
      </c>
      <c r="F137" s="16">
        <f>IF($B137="","",IF($D137="kg",N($E137),IF($D137="sacos",N($E137)*97,IF($D137="jabas",N($E137)*IFERROR(VLOOKUP($C137,LISTAS!$A$2:$B$12,2,0),0),""))))</f>
        <v>1887</v>
      </c>
      <c r="G137" s="15" t="s">
        <v>47</v>
      </c>
      <c r="H137" s="15"/>
      <c r="I137">
        <f t="shared" si="2"/>
        <v>1887</v>
      </c>
    </row>
    <row r="138" spans="1:9" ht="15" customHeight="1" x14ac:dyDescent="0.2">
      <c r="A138" s="17">
        <v>46225</v>
      </c>
      <c r="B138" s="18" t="s">
        <v>28</v>
      </c>
      <c r="C138" s="18" t="s">
        <v>15</v>
      </c>
      <c r="D138" s="18" t="s">
        <v>16</v>
      </c>
      <c r="E138" s="19">
        <v>10</v>
      </c>
      <c r="F138" s="19">
        <f>IF($B138="","",IF($D138="kg",N($E138),IF($D138="sacos",N($E138)*97,IF($D138="jabas",N($E138)*IFERROR(VLOOKUP($C138,LISTAS!$A$2:$B$12,2,0),0),""))))</f>
        <v>970</v>
      </c>
      <c r="G138" s="18" t="s">
        <v>48</v>
      </c>
      <c r="H138" s="18" t="s">
        <v>49</v>
      </c>
      <c r="I138">
        <f t="shared" si="2"/>
        <v>970</v>
      </c>
    </row>
    <row r="139" spans="1:9" ht="15" customHeight="1" x14ac:dyDescent="0.2">
      <c r="A139" s="23">
        <v>46225</v>
      </c>
      <c r="B139" s="24" t="s">
        <v>42</v>
      </c>
      <c r="C139" s="24" t="s">
        <v>11</v>
      </c>
      <c r="D139" s="24" t="s">
        <v>12</v>
      </c>
      <c r="E139" s="25">
        <v>1</v>
      </c>
      <c r="F139" s="25">
        <f>IF($B139="","",IF($D139="kg",N($E139),IF($D139="sacos",N($E139)*97,IF($D139="jabas",N($E139)*IFERROR(VLOOKUP($C139,LISTAS!$A$2:$B$12,2,0),0),""))))</f>
        <v>15</v>
      </c>
      <c r="G139" s="24"/>
      <c r="H139" s="24"/>
      <c r="I139">
        <f t="shared" si="2"/>
        <v>15</v>
      </c>
    </row>
    <row r="140" spans="1:9" ht="15" customHeight="1" x14ac:dyDescent="0.2">
      <c r="A140" s="32">
        <v>46225</v>
      </c>
      <c r="B140" s="33" t="s">
        <v>50</v>
      </c>
      <c r="C140" s="33" t="s">
        <v>13</v>
      </c>
      <c r="D140" s="33" t="s">
        <v>12</v>
      </c>
      <c r="E140" s="34">
        <v>9</v>
      </c>
      <c r="F140" s="34">
        <f>IF($B140="","",IF($D140="kg",N($E140),IF($D140="sacos",N($E140)*97,IF($D140="jabas",N($E140)*IFERROR(VLOOKUP($C140,LISTAS!$A$2:$B$12,2,0),0),""))))</f>
        <v>153</v>
      </c>
      <c r="G140" s="33"/>
      <c r="H140" s="33" t="s">
        <v>51</v>
      </c>
      <c r="I140">
        <f t="shared" si="2"/>
        <v>153</v>
      </c>
    </row>
    <row r="141" spans="1:9" ht="15" customHeight="1" x14ac:dyDescent="0.2">
      <c r="A141" s="20">
        <v>46225</v>
      </c>
      <c r="B141" s="21" t="s">
        <v>34</v>
      </c>
      <c r="C141" s="21" t="s">
        <v>11</v>
      </c>
      <c r="D141" s="21" t="s">
        <v>12</v>
      </c>
      <c r="E141" s="22">
        <v>1</v>
      </c>
      <c r="F141" s="22">
        <f>IF($B141="","",IF($D141="kg",N($E141),IF($D141="sacos",N($E141)*97,IF($D141="jabas",N($E141)*IFERROR(VLOOKUP($C141,LISTAS!$A$2:$B$12,2,0),0),""))))</f>
        <v>15</v>
      </c>
      <c r="G141" s="21"/>
      <c r="H141" s="21"/>
      <c r="I141">
        <f t="shared" si="2"/>
        <v>15</v>
      </c>
    </row>
    <row r="142" spans="1:9" ht="15" customHeight="1" x14ac:dyDescent="0.2">
      <c r="A142" s="26">
        <v>46225</v>
      </c>
      <c r="B142" s="27" t="s">
        <v>43</v>
      </c>
      <c r="C142" s="27" t="s">
        <v>18</v>
      </c>
      <c r="D142" s="27" t="s">
        <v>44</v>
      </c>
      <c r="E142" s="28">
        <v>9</v>
      </c>
      <c r="F142" s="28">
        <f>IF($B142="","",IF($D142="kg",N($E142),IF($D142="sacos",N($E142)*97,IF($D142="jabas",N($E142)*IFERROR(VLOOKUP($C142,LISTAS!$A$2:$B$12,2,0),0),""))))</f>
        <v>9</v>
      </c>
      <c r="G142" s="27"/>
      <c r="H142" s="27" t="s">
        <v>52</v>
      </c>
      <c r="I142">
        <f t="shared" si="2"/>
        <v>9</v>
      </c>
    </row>
    <row r="143" spans="1:9" ht="15" customHeight="1" x14ac:dyDescent="0.2">
      <c r="A143" s="8">
        <v>46226</v>
      </c>
      <c r="B143" s="9" t="s">
        <v>17</v>
      </c>
      <c r="C143" s="9" t="s">
        <v>18</v>
      </c>
      <c r="D143" s="9" t="s">
        <v>16</v>
      </c>
      <c r="E143" s="10">
        <v>40</v>
      </c>
      <c r="F143" s="10">
        <f>IF($B143="","",IF($D143="kg",N($E143),IF($D143="sacos",N($E143)*97,IF($D143="jabas",N($E143)*IFERROR(VLOOKUP($C143,LISTAS!$A$2:$B$12,2,0),0),""))))</f>
        <v>3880</v>
      </c>
      <c r="G143" s="9"/>
      <c r="H143" s="9" t="s">
        <v>19</v>
      </c>
      <c r="I143">
        <f t="shared" si="2"/>
        <v>3880</v>
      </c>
    </row>
    <row r="144" spans="1:9" ht="15" customHeight="1" x14ac:dyDescent="0.2">
      <c r="A144" s="11">
        <v>46226</v>
      </c>
      <c r="B144" s="12" t="s">
        <v>20</v>
      </c>
      <c r="C144" s="12" t="s">
        <v>11</v>
      </c>
      <c r="D144" s="12" t="s">
        <v>12</v>
      </c>
      <c r="E144" s="13">
        <v>78</v>
      </c>
      <c r="F144" s="13">
        <f>IF($B144="","",IF($D144="kg",N($E144),IF($D144="sacos",N($E144)*97,IF($D144="jabas",N($E144)*IFERROR(VLOOKUP($C144,LISTAS!$A$2:$B$12,2,0),0),""))))</f>
        <v>1170</v>
      </c>
      <c r="G144" s="12"/>
      <c r="H144" s="12"/>
      <c r="I144">
        <f t="shared" si="2"/>
        <v>1170</v>
      </c>
    </row>
    <row r="145" spans="1:9" ht="15" customHeight="1" x14ac:dyDescent="0.2">
      <c r="A145" s="11">
        <v>46226</v>
      </c>
      <c r="B145" s="12" t="s">
        <v>20</v>
      </c>
      <c r="C145" s="12" t="s">
        <v>21</v>
      </c>
      <c r="D145" s="12" t="s">
        <v>12</v>
      </c>
      <c r="E145" s="13">
        <v>11</v>
      </c>
      <c r="F145" s="13">
        <f>IF($B145="","",IF($D145="kg",N($E145),IF($D145="sacos",N($E145)*97,IF($D145="jabas",N($E145)*IFERROR(VLOOKUP($C145,LISTAS!$A$2:$B$12,2,0),0),""))))</f>
        <v>198</v>
      </c>
      <c r="G145" s="12"/>
      <c r="H145" s="12"/>
      <c r="I145">
        <f t="shared" si="2"/>
        <v>198</v>
      </c>
    </row>
    <row r="146" spans="1:9" ht="15" customHeight="1" x14ac:dyDescent="0.2">
      <c r="A146" s="11">
        <v>46226</v>
      </c>
      <c r="B146" s="12" t="s">
        <v>20</v>
      </c>
      <c r="C146" s="12" t="s">
        <v>22</v>
      </c>
      <c r="D146" s="12" t="s">
        <v>12</v>
      </c>
      <c r="E146" s="13">
        <v>12</v>
      </c>
      <c r="F146" s="13">
        <f>IF($B146="","",IF($D146="kg",N($E146),IF($D146="sacos",N($E146)*97,IF($D146="jabas",N($E146)*IFERROR(VLOOKUP($C146,LISTAS!$A$2:$B$12,2,0),0),""))))</f>
        <v>204</v>
      </c>
      <c r="G146" s="12"/>
      <c r="H146" s="12"/>
      <c r="I146">
        <f t="shared" si="2"/>
        <v>204</v>
      </c>
    </row>
    <row r="147" spans="1:9" ht="15" customHeight="1" x14ac:dyDescent="0.2">
      <c r="A147" s="11">
        <v>46226</v>
      </c>
      <c r="B147" s="12" t="s">
        <v>20</v>
      </c>
      <c r="C147" s="12" t="s">
        <v>13</v>
      </c>
      <c r="D147" s="12" t="s">
        <v>12</v>
      </c>
      <c r="E147" s="13">
        <v>94</v>
      </c>
      <c r="F147" s="13">
        <f>IF($B147="","",IF($D147="kg",N($E147),IF($D147="sacos",N($E147)*97,IF($D147="jabas",N($E147)*IFERROR(VLOOKUP($C147,LISTAS!$A$2:$B$12,2,0),0),""))))</f>
        <v>1598</v>
      </c>
      <c r="G147" s="12"/>
      <c r="H147" s="12"/>
      <c r="I147">
        <f t="shared" si="2"/>
        <v>1598</v>
      </c>
    </row>
    <row r="148" spans="1:9" ht="15" customHeight="1" x14ac:dyDescent="0.2">
      <c r="A148" s="11">
        <v>46226</v>
      </c>
      <c r="B148" s="12" t="s">
        <v>20</v>
      </c>
      <c r="C148" s="12" t="s">
        <v>15</v>
      </c>
      <c r="D148" s="12" t="s">
        <v>16</v>
      </c>
      <c r="E148" s="13">
        <v>6.5</v>
      </c>
      <c r="F148" s="13">
        <f>IF($B148="","",IF($D148="kg",N($E148),IF($D148="sacos",N($E148)*97,IF($D148="jabas",N($E148)*IFERROR(VLOOKUP($C148,LISTAS!$A$2:$B$12,2,0),0),""))))</f>
        <v>630.5</v>
      </c>
      <c r="G148" s="12"/>
      <c r="H148" s="12"/>
      <c r="I148">
        <f t="shared" si="2"/>
        <v>630.5</v>
      </c>
    </row>
    <row r="149" spans="1:9" ht="15" customHeight="1" x14ac:dyDescent="0.2">
      <c r="A149" s="14">
        <v>46226</v>
      </c>
      <c r="B149" s="15" t="s">
        <v>23</v>
      </c>
      <c r="C149" s="15" t="s">
        <v>11</v>
      </c>
      <c r="D149" s="15" t="s">
        <v>12</v>
      </c>
      <c r="E149" s="16">
        <v>67</v>
      </c>
      <c r="F149" s="16">
        <f>IF($B149="","",IF($D149="kg",N($E149),IF($D149="sacos",N($E149)*97,IF($D149="jabas",N($E149)*IFERROR(VLOOKUP($C149,LISTAS!$A$2:$B$12,2,0),0),""))))</f>
        <v>1005</v>
      </c>
      <c r="G149" s="15" t="s">
        <v>53</v>
      </c>
      <c r="H149" s="15"/>
      <c r="I149">
        <f t="shared" si="2"/>
        <v>1005</v>
      </c>
    </row>
    <row r="150" spans="1:9" ht="15" customHeight="1" x14ac:dyDescent="0.2">
      <c r="A150" s="14">
        <v>46226</v>
      </c>
      <c r="B150" s="15" t="s">
        <v>23</v>
      </c>
      <c r="C150" s="15" t="s">
        <v>21</v>
      </c>
      <c r="D150" s="15" t="s">
        <v>12</v>
      </c>
      <c r="E150" s="16">
        <v>11</v>
      </c>
      <c r="F150" s="16">
        <f>IF($B150="","",IF($D150="kg",N($E150),IF($D150="sacos",N($E150)*97,IF($D150="jabas",N($E150)*IFERROR(VLOOKUP($C150,LISTAS!$A$2:$B$12,2,0),0),""))))</f>
        <v>198</v>
      </c>
      <c r="G150" s="15" t="s">
        <v>53</v>
      </c>
      <c r="H150" s="15"/>
      <c r="I150">
        <f t="shared" si="2"/>
        <v>198</v>
      </c>
    </row>
    <row r="151" spans="1:9" ht="15" customHeight="1" x14ac:dyDescent="0.2">
      <c r="A151" s="14">
        <v>46226</v>
      </c>
      <c r="B151" s="15" t="s">
        <v>23</v>
      </c>
      <c r="C151" s="15" t="s">
        <v>22</v>
      </c>
      <c r="D151" s="15" t="s">
        <v>12</v>
      </c>
      <c r="E151" s="16">
        <v>12</v>
      </c>
      <c r="F151" s="16">
        <f>IF($B151="","",IF($D151="kg",N($E151),IF($D151="sacos",N($E151)*97,IF($D151="jabas",N($E151)*IFERROR(VLOOKUP($C151,LISTAS!$A$2:$B$12,2,0),0),""))))</f>
        <v>204</v>
      </c>
      <c r="G151" s="15" t="s">
        <v>53</v>
      </c>
      <c r="H151" s="15"/>
      <c r="I151">
        <f t="shared" si="2"/>
        <v>204</v>
      </c>
    </row>
    <row r="152" spans="1:9" ht="15" customHeight="1" x14ac:dyDescent="0.2">
      <c r="A152" s="14">
        <v>46226</v>
      </c>
      <c r="B152" s="15" t="s">
        <v>23</v>
      </c>
      <c r="C152" s="15" t="s">
        <v>13</v>
      </c>
      <c r="D152" s="15" t="s">
        <v>12</v>
      </c>
      <c r="E152" s="16">
        <v>118</v>
      </c>
      <c r="F152" s="16">
        <f>IF($B152="","",IF($D152="kg",N($E152),IF($D152="sacos",N($E152)*97,IF($D152="jabas",N($E152)*IFERROR(VLOOKUP($C152,LISTAS!$A$2:$B$12,2,0),0),""))))</f>
        <v>2006</v>
      </c>
      <c r="G152" s="15" t="s">
        <v>53</v>
      </c>
      <c r="H152" s="15"/>
      <c r="I152">
        <f t="shared" si="2"/>
        <v>2006</v>
      </c>
    </row>
    <row r="153" spans="1:9" ht="15" customHeight="1" x14ac:dyDescent="0.2">
      <c r="A153" s="8">
        <v>46227</v>
      </c>
      <c r="B153" s="9" t="s">
        <v>17</v>
      </c>
      <c r="C153" s="9" t="s">
        <v>18</v>
      </c>
      <c r="D153" s="9" t="s">
        <v>16</v>
      </c>
      <c r="E153" s="10">
        <v>43</v>
      </c>
      <c r="F153" s="10">
        <f>IF($B153="","",IF($D153="kg",N($E153),IF($D153="sacos",N($E153)*97,IF($D153="jabas",N($E153)*IFERROR(VLOOKUP($C153,LISTAS!$A$2:$B$12,2,0),0),""))))</f>
        <v>4171</v>
      </c>
      <c r="G153" s="9"/>
      <c r="H153" s="9" t="s">
        <v>54</v>
      </c>
      <c r="I153">
        <f t="shared" si="2"/>
        <v>4171</v>
      </c>
    </row>
    <row r="154" spans="1:9" ht="15" customHeight="1" x14ac:dyDescent="0.2">
      <c r="A154" s="11">
        <v>46227</v>
      </c>
      <c r="B154" s="12" t="s">
        <v>20</v>
      </c>
      <c r="C154" s="12" t="s">
        <v>11</v>
      </c>
      <c r="D154" s="12" t="s">
        <v>12</v>
      </c>
      <c r="E154" s="13">
        <v>48</v>
      </c>
      <c r="F154" s="13">
        <f>IF($B154="","",IF($D154="kg",N($E154),IF($D154="sacos",N($E154)*97,IF($D154="jabas",N($E154)*IFERROR(VLOOKUP($C154,LISTAS!$A$2:$B$12,2,0),0),""))))</f>
        <v>720</v>
      </c>
      <c r="G154" s="12"/>
      <c r="H154" s="12"/>
      <c r="I154">
        <f t="shared" si="2"/>
        <v>720</v>
      </c>
    </row>
    <row r="155" spans="1:9" ht="15" customHeight="1" x14ac:dyDescent="0.2">
      <c r="A155" s="11">
        <v>46227</v>
      </c>
      <c r="B155" s="12" t="s">
        <v>20</v>
      </c>
      <c r="C155" s="12" t="s">
        <v>21</v>
      </c>
      <c r="D155" s="12" t="s">
        <v>12</v>
      </c>
      <c r="E155" s="13">
        <v>3</v>
      </c>
      <c r="F155" s="13">
        <f>IF($B155="","",IF($D155="kg",N($E155),IF($D155="sacos",N($E155)*97,IF($D155="jabas",N($E155)*IFERROR(VLOOKUP($C155,LISTAS!$A$2:$B$12,2,0),0),""))))</f>
        <v>54</v>
      </c>
      <c r="G155" s="12"/>
      <c r="H155" s="12"/>
      <c r="I155">
        <f t="shared" si="2"/>
        <v>54</v>
      </c>
    </row>
    <row r="156" spans="1:9" ht="15" customHeight="1" x14ac:dyDescent="0.2">
      <c r="A156" s="11">
        <v>46227</v>
      </c>
      <c r="B156" s="12" t="s">
        <v>20</v>
      </c>
      <c r="C156" s="12" t="s">
        <v>22</v>
      </c>
      <c r="D156" s="12" t="s">
        <v>12</v>
      </c>
      <c r="E156" s="13">
        <v>5</v>
      </c>
      <c r="F156" s="13">
        <f>IF($B156="","",IF($D156="kg",N($E156),IF($D156="sacos",N($E156)*97,IF($D156="jabas",N($E156)*IFERROR(VLOOKUP($C156,LISTAS!$A$2:$B$12,2,0),0),""))))</f>
        <v>85</v>
      </c>
      <c r="G156" s="12"/>
      <c r="H156" s="12"/>
      <c r="I156">
        <f t="shared" si="2"/>
        <v>85</v>
      </c>
    </row>
    <row r="157" spans="1:9" ht="15" customHeight="1" x14ac:dyDescent="0.2">
      <c r="A157" s="11">
        <v>46227</v>
      </c>
      <c r="B157" s="12" t="s">
        <v>20</v>
      </c>
      <c r="C157" s="12" t="s">
        <v>13</v>
      </c>
      <c r="D157" s="12" t="s">
        <v>12</v>
      </c>
      <c r="E157" s="13">
        <v>95</v>
      </c>
      <c r="F157" s="13">
        <f>IF($B157="","",IF($D157="kg",N($E157),IF($D157="sacos",N($E157)*97,IF($D157="jabas",N($E157)*IFERROR(VLOOKUP($C157,LISTAS!$A$2:$B$12,2,0),0),""))))</f>
        <v>1615</v>
      </c>
      <c r="G157" s="12"/>
      <c r="H157" s="12"/>
      <c r="I157">
        <f t="shared" si="2"/>
        <v>1615</v>
      </c>
    </row>
    <row r="158" spans="1:9" ht="15" customHeight="1" x14ac:dyDescent="0.2">
      <c r="A158" s="11">
        <v>46227</v>
      </c>
      <c r="B158" s="12" t="s">
        <v>20</v>
      </c>
      <c r="C158" s="12" t="s">
        <v>15</v>
      </c>
      <c r="D158" s="12" t="s">
        <v>16</v>
      </c>
      <c r="E158" s="13">
        <v>6</v>
      </c>
      <c r="F158" s="13">
        <f>IF($B158="","",IF($D158="kg",N($E158),IF($D158="sacos",N($E158)*97,IF($D158="jabas",N($E158)*IFERROR(VLOOKUP($C158,LISTAS!$A$2:$B$12,2,0),0),""))))</f>
        <v>582</v>
      </c>
      <c r="G158" s="12"/>
      <c r="H158" s="12"/>
      <c r="I158">
        <f t="shared" si="2"/>
        <v>582</v>
      </c>
    </row>
    <row r="159" spans="1:9" ht="15" customHeight="1" x14ac:dyDescent="0.2">
      <c r="A159" s="14">
        <v>46227</v>
      </c>
      <c r="B159" s="15" t="s">
        <v>23</v>
      </c>
      <c r="C159" s="15" t="s">
        <v>11</v>
      </c>
      <c r="D159" s="15" t="s">
        <v>12</v>
      </c>
      <c r="E159" s="16">
        <v>67</v>
      </c>
      <c r="F159" s="16">
        <f>IF($B159="","",IF($D159="kg",N($E159),IF($D159="sacos",N($E159)*97,IF($D159="jabas",N($E159)*IFERROR(VLOOKUP($C159,LISTAS!$A$2:$B$12,2,0),0),""))))</f>
        <v>1005</v>
      </c>
      <c r="G159" s="15" t="s">
        <v>55</v>
      </c>
      <c r="H159" s="15"/>
      <c r="I159">
        <f t="shared" si="2"/>
        <v>1005</v>
      </c>
    </row>
    <row r="160" spans="1:9" ht="15" customHeight="1" x14ac:dyDescent="0.2">
      <c r="A160" s="14">
        <v>46227</v>
      </c>
      <c r="B160" s="15" t="s">
        <v>23</v>
      </c>
      <c r="C160" s="15" t="s">
        <v>21</v>
      </c>
      <c r="D160" s="15" t="s">
        <v>12</v>
      </c>
      <c r="E160" s="16">
        <v>11</v>
      </c>
      <c r="F160" s="16">
        <f>IF($B160="","",IF($D160="kg",N($E160),IF($D160="sacos",N($E160)*97,IF($D160="jabas",N($E160)*IFERROR(VLOOKUP($C160,LISTAS!$A$2:$B$12,2,0),0),""))))</f>
        <v>198</v>
      </c>
      <c r="G160" s="15" t="s">
        <v>55</v>
      </c>
      <c r="H160" s="15"/>
      <c r="I160">
        <f t="shared" si="2"/>
        <v>198</v>
      </c>
    </row>
    <row r="161" spans="1:9" ht="15" customHeight="1" x14ac:dyDescent="0.2">
      <c r="A161" s="14">
        <v>46227</v>
      </c>
      <c r="B161" s="15" t="s">
        <v>23</v>
      </c>
      <c r="C161" s="15" t="s">
        <v>22</v>
      </c>
      <c r="D161" s="15" t="s">
        <v>12</v>
      </c>
      <c r="E161" s="16">
        <v>12</v>
      </c>
      <c r="F161" s="16">
        <f>IF($B161="","",IF($D161="kg",N($E161),IF($D161="sacos",N($E161)*97,IF($D161="jabas",N($E161)*IFERROR(VLOOKUP($C161,LISTAS!$A$2:$B$12,2,0),0),""))))</f>
        <v>204</v>
      </c>
      <c r="G161" s="15" t="s">
        <v>55</v>
      </c>
      <c r="H161" s="15"/>
      <c r="I161">
        <f t="shared" si="2"/>
        <v>204</v>
      </c>
    </row>
    <row r="162" spans="1:9" ht="15" customHeight="1" x14ac:dyDescent="0.2">
      <c r="A162" s="14">
        <v>46227</v>
      </c>
      <c r="B162" s="15" t="s">
        <v>23</v>
      </c>
      <c r="C162" s="15" t="s">
        <v>13</v>
      </c>
      <c r="D162" s="15" t="s">
        <v>12</v>
      </c>
      <c r="E162" s="16">
        <v>118</v>
      </c>
      <c r="F162" s="16">
        <f>IF($B162="","",IF($D162="kg",N($E162),IF($D162="sacos",N($E162)*97,IF($D162="jabas",N($E162)*IFERROR(VLOOKUP($C162,LISTAS!$A$2:$B$12,2,0),0),""))))</f>
        <v>2006</v>
      </c>
      <c r="G162" s="15" t="s">
        <v>55</v>
      </c>
      <c r="H162" s="15"/>
      <c r="I162">
        <f t="shared" si="2"/>
        <v>2006</v>
      </c>
    </row>
    <row r="163" spans="1:9" ht="15" customHeight="1" x14ac:dyDescent="0.2">
      <c r="A163" s="23">
        <v>46227</v>
      </c>
      <c r="B163" s="24" t="s">
        <v>42</v>
      </c>
      <c r="C163" s="24" t="s">
        <v>11</v>
      </c>
      <c r="D163" s="24" t="s">
        <v>12</v>
      </c>
      <c r="E163" s="25">
        <v>1</v>
      </c>
      <c r="F163" s="25">
        <f>IF($B163="","",IF($D163="kg",N($E163),IF($D163="sacos",N($E163)*97,IF($D163="jabas",N($E163)*IFERROR(VLOOKUP($C163,LISTAS!$A$2:$B$12,2,0),0),""))))</f>
        <v>15</v>
      </c>
      <c r="G163" s="24"/>
      <c r="H163" s="24"/>
      <c r="I163">
        <f t="shared" si="2"/>
        <v>15</v>
      </c>
    </row>
    <row r="164" spans="1:9" ht="15" customHeight="1" x14ac:dyDescent="0.2">
      <c r="A164" s="26">
        <v>46227</v>
      </c>
      <c r="B164" s="27" t="s">
        <v>43</v>
      </c>
      <c r="C164" s="27" t="s">
        <v>11</v>
      </c>
      <c r="D164" s="27" t="s">
        <v>44</v>
      </c>
      <c r="E164" s="28">
        <v>11</v>
      </c>
      <c r="F164" s="28">
        <f>IF($B164="","",IF($D164="kg",N($E164),IF($D164="sacos",N($E164)*97,IF($D164="jabas",N($E164)*IFERROR(VLOOKUP($C164,LISTAS!$A$2:$B$12,2,0),0),""))))</f>
        <v>11</v>
      </c>
      <c r="G164" s="27"/>
      <c r="H164" s="27"/>
      <c r="I164">
        <f t="shared" si="2"/>
        <v>11</v>
      </c>
    </row>
    <row r="165" spans="1:9" ht="15" customHeight="1" x14ac:dyDescent="0.2">
      <c r="A165" s="23">
        <v>46227</v>
      </c>
      <c r="B165" s="24" t="s">
        <v>42</v>
      </c>
      <c r="C165" s="24" t="s">
        <v>13</v>
      </c>
      <c r="D165" s="24" t="s">
        <v>12</v>
      </c>
      <c r="E165" s="25">
        <v>1</v>
      </c>
      <c r="F165" s="25">
        <f>IF($B165="","",IF($D165="kg",N($E165),IF($D165="sacos",N($E165)*97,IF($D165="jabas",N($E165)*IFERROR(VLOOKUP($C165,LISTAS!$A$2:$B$12,2,0),0),""))))</f>
        <v>17</v>
      </c>
      <c r="G165" s="24"/>
      <c r="H165" s="24"/>
      <c r="I165">
        <f t="shared" si="2"/>
        <v>17</v>
      </c>
    </row>
    <row r="166" spans="1:9" ht="15" customHeight="1" x14ac:dyDescent="0.2">
      <c r="A166" s="26">
        <v>46227</v>
      </c>
      <c r="B166" s="27" t="s">
        <v>43</v>
      </c>
      <c r="C166" s="27" t="s">
        <v>13</v>
      </c>
      <c r="D166" s="27" t="s">
        <v>44</v>
      </c>
      <c r="E166" s="28">
        <v>10</v>
      </c>
      <c r="F166" s="28">
        <f>IF($B166="","",IF($D166="kg",N($E166),IF($D166="sacos",N($E166)*97,IF($D166="jabas",N($E166)*IFERROR(VLOOKUP($C166,LISTAS!$A$2:$B$12,2,0),0),""))))</f>
        <v>10</v>
      </c>
      <c r="G166" s="27"/>
      <c r="H166" s="27"/>
      <c r="I166">
        <f t="shared" si="2"/>
        <v>10</v>
      </c>
    </row>
    <row r="167" spans="1:9" ht="15" customHeight="1" x14ac:dyDescent="0.2">
      <c r="A167" s="17">
        <v>46227</v>
      </c>
      <c r="B167" s="18" t="s">
        <v>28</v>
      </c>
      <c r="C167" s="18" t="s">
        <v>15</v>
      </c>
      <c r="D167" s="18" t="s">
        <v>16</v>
      </c>
      <c r="E167" s="19">
        <v>9</v>
      </c>
      <c r="F167" s="19">
        <f>IF($B167="","",IF($D167="kg",N($E167),IF($D167="sacos",N($E167)*97,IF($D167="jabas",N($E167)*IFERROR(VLOOKUP($C167,LISTAS!$A$2:$B$12,2,0),0),""))))</f>
        <v>873</v>
      </c>
      <c r="G167" s="18" t="s">
        <v>56</v>
      </c>
      <c r="H167" s="18"/>
      <c r="I167">
        <f t="shared" si="2"/>
        <v>873</v>
      </c>
    </row>
    <row r="168" spans="1:9" ht="15" customHeight="1" x14ac:dyDescent="0.2">
      <c r="A168" s="17">
        <v>46227</v>
      </c>
      <c r="B168" s="18" t="s">
        <v>28</v>
      </c>
      <c r="C168" s="18" t="s">
        <v>15</v>
      </c>
      <c r="D168" s="18" t="s">
        <v>16</v>
      </c>
      <c r="E168" s="19">
        <v>1</v>
      </c>
      <c r="F168" s="19">
        <f>IF($B168="","",IF($D168="kg",N($E168),IF($D168="sacos",N($E168)*97,IF($D168="jabas",N($E168)*IFERROR(VLOOKUP($C168,LISTAS!$A$2:$B$12,2,0),0),""))))</f>
        <v>97</v>
      </c>
      <c r="G168" s="18" t="s">
        <v>57</v>
      </c>
      <c r="H168" s="18"/>
      <c r="I168">
        <f t="shared" si="2"/>
        <v>97</v>
      </c>
    </row>
    <row r="169" spans="1:9" ht="15" customHeight="1" x14ac:dyDescent="0.2">
      <c r="A169" s="35">
        <v>46227</v>
      </c>
      <c r="B169" s="36" t="s">
        <v>58</v>
      </c>
      <c r="C169" s="36" t="s">
        <v>59</v>
      </c>
      <c r="D169" s="36" t="s">
        <v>44</v>
      </c>
      <c r="E169" s="37">
        <v>48</v>
      </c>
      <c r="F169" s="37">
        <f>IF($B169="","",IF($D169="kg",N($E169),IF($D169="sacos",N($E169)*97,IF($D169="jabas",N($E169)*IFERROR(VLOOKUP($C169,LISTAS!$A$2:$B$12,2,0),0),""))))</f>
        <v>48</v>
      </c>
      <c r="G169" s="36"/>
      <c r="H169" s="36" t="s">
        <v>60</v>
      </c>
      <c r="I169">
        <f t="shared" si="2"/>
        <v>48</v>
      </c>
    </row>
    <row r="170" spans="1:9" ht="15" customHeight="1" x14ac:dyDescent="0.2">
      <c r="A170" s="8">
        <v>46228</v>
      </c>
      <c r="B170" s="9" t="s">
        <v>17</v>
      </c>
      <c r="C170" s="9" t="s">
        <v>18</v>
      </c>
      <c r="D170" s="9" t="s">
        <v>16</v>
      </c>
      <c r="E170" s="10">
        <v>37</v>
      </c>
      <c r="F170" s="10">
        <f>IF($B170="","",IF($D170="kg",N($E170),IF($D170="sacos",N($E170)*97,IF($D170="jabas",N($E170)*IFERROR(VLOOKUP($C170,LISTAS!$A$2:$B$12,2,0),0),""))))</f>
        <v>3589</v>
      </c>
      <c r="G170" s="9"/>
      <c r="H170" s="9" t="s">
        <v>19</v>
      </c>
      <c r="I170">
        <f t="shared" si="2"/>
        <v>3589</v>
      </c>
    </row>
    <row r="171" spans="1:9" ht="15" customHeight="1" x14ac:dyDescent="0.2">
      <c r="A171" s="14">
        <v>46228</v>
      </c>
      <c r="B171" s="15" t="s">
        <v>23</v>
      </c>
      <c r="C171" s="15" t="s">
        <v>11</v>
      </c>
      <c r="D171" s="15" t="s">
        <v>12</v>
      </c>
      <c r="E171" s="16">
        <v>67</v>
      </c>
      <c r="F171" s="16">
        <f>IF($B171="","",IF($D171="kg",N($E171),IF($D171="sacos",N($E171)*97,IF($D171="jabas",N($E171)*IFERROR(VLOOKUP($C171,LISTAS!$A$2:$B$12,2,0),0),""))))</f>
        <v>1005</v>
      </c>
      <c r="G171" s="15">
        <v>3014</v>
      </c>
      <c r="H171" s="15"/>
      <c r="I171">
        <f t="shared" si="2"/>
        <v>1005</v>
      </c>
    </row>
    <row r="172" spans="1:9" ht="15" customHeight="1" x14ac:dyDescent="0.2">
      <c r="A172" s="14">
        <v>46228</v>
      </c>
      <c r="B172" s="15" t="s">
        <v>23</v>
      </c>
      <c r="C172" s="15" t="s">
        <v>21</v>
      </c>
      <c r="D172" s="15" t="s">
        <v>12</v>
      </c>
      <c r="E172" s="16">
        <v>4</v>
      </c>
      <c r="F172" s="16">
        <f>IF($B172="","",IF($D172="kg",N($E172),IF($D172="sacos",N($E172)*97,IF($D172="jabas",N($E172)*IFERROR(VLOOKUP($C172,LISTAS!$A$2:$B$12,2,0),0),""))))</f>
        <v>72</v>
      </c>
      <c r="G172" s="15">
        <v>3014</v>
      </c>
      <c r="H172" s="15"/>
      <c r="I172">
        <f t="shared" si="2"/>
        <v>72</v>
      </c>
    </row>
    <row r="173" spans="1:9" ht="15" customHeight="1" x14ac:dyDescent="0.2">
      <c r="A173" s="14">
        <v>46228</v>
      </c>
      <c r="B173" s="15" t="s">
        <v>23</v>
      </c>
      <c r="C173" s="15" t="s">
        <v>22</v>
      </c>
      <c r="D173" s="15" t="s">
        <v>12</v>
      </c>
      <c r="E173" s="16">
        <v>5</v>
      </c>
      <c r="F173" s="16">
        <f>IF($B173="","",IF($D173="kg",N($E173),IF($D173="sacos",N($E173)*97,IF($D173="jabas",N($E173)*IFERROR(VLOOKUP($C173,LISTAS!$A$2:$B$12,2,0),0),""))))</f>
        <v>85</v>
      </c>
      <c r="G173" s="15">
        <v>3014</v>
      </c>
      <c r="H173" s="15"/>
      <c r="I173">
        <f t="shared" si="2"/>
        <v>85</v>
      </c>
    </row>
    <row r="174" spans="1:9" ht="15" customHeight="1" x14ac:dyDescent="0.2">
      <c r="A174" s="14">
        <v>46228</v>
      </c>
      <c r="B174" s="15" t="s">
        <v>23</v>
      </c>
      <c r="C174" s="15" t="s">
        <v>13</v>
      </c>
      <c r="D174" s="15" t="s">
        <v>12</v>
      </c>
      <c r="E174" s="16">
        <v>118</v>
      </c>
      <c r="F174" s="16">
        <f>IF($B174="","",IF($D174="kg",N($E174),IF($D174="sacos",N($E174)*97,IF($D174="jabas",N($E174)*IFERROR(VLOOKUP($C174,LISTAS!$A$2:$B$12,2,0),0),""))))</f>
        <v>2006</v>
      </c>
      <c r="G174" s="15">
        <v>3014</v>
      </c>
      <c r="H174" s="15"/>
      <c r="I174">
        <f t="shared" si="2"/>
        <v>2006</v>
      </c>
    </row>
    <row r="175" spans="1:9" ht="15" customHeight="1" x14ac:dyDescent="0.2">
      <c r="A175" s="11">
        <v>46228</v>
      </c>
      <c r="B175" s="12" t="s">
        <v>20</v>
      </c>
      <c r="C175" s="12" t="s">
        <v>11</v>
      </c>
      <c r="D175" s="12" t="s">
        <v>12</v>
      </c>
      <c r="E175" s="13">
        <v>96</v>
      </c>
      <c r="F175" s="13">
        <f>IF($B175="","",IF($D175="kg",N($E175),IF($D175="sacos",N($E175)*97,IF($D175="jabas",N($E175)*IFERROR(VLOOKUP($C175,LISTAS!$A$2:$B$12,2,0),0),""))))</f>
        <v>1440</v>
      </c>
      <c r="G175" s="12"/>
      <c r="H175" s="12" t="s">
        <v>61</v>
      </c>
      <c r="I175">
        <f t="shared" si="2"/>
        <v>1440</v>
      </c>
    </row>
    <row r="176" spans="1:9" ht="15" customHeight="1" x14ac:dyDescent="0.2">
      <c r="A176" s="11">
        <v>46228</v>
      </c>
      <c r="B176" s="12" t="s">
        <v>20</v>
      </c>
      <c r="C176" s="12" t="s">
        <v>21</v>
      </c>
      <c r="D176" s="12" t="s">
        <v>12</v>
      </c>
      <c r="E176" s="13">
        <v>21</v>
      </c>
      <c r="F176" s="13">
        <f>IF($B176="","",IF($D176="kg",N($E176),IF($D176="sacos",N($E176)*97,IF($D176="jabas",N($E176)*IFERROR(VLOOKUP($C176,LISTAS!$A$2:$B$12,2,0),0),""))))</f>
        <v>378</v>
      </c>
      <c r="G176" s="12"/>
      <c r="H176" s="12"/>
      <c r="I176">
        <f t="shared" si="2"/>
        <v>378</v>
      </c>
    </row>
    <row r="177" spans="1:9" ht="15" customHeight="1" x14ac:dyDescent="0.2">
      <c r="A177" s="11">
        <v>46228</v>
      </c>
      <c r="B177" s="12" t="s">
        <v>20</v>
      </c>
      <c r="C177" s="12" t="s">
        <v>22</v>
      </c>
      <c r="D177" s="12" t="s">
        <v>12</v>
      </c>
      <c r="E177" s="13">
        <v>12</v>
      </c>
      <c r="F177" s="13">
        <f>IF($B177="","",IF($D177="kg",N($E177),IF($D177="sacos",N($E177)*97,IF($D177="jabas",N($E177)*IFERROR(VLOOKUP($C177,LISTAS!$A$2:$B$12,2,0),0),""))))</f>
        <v>204</v>
      </c>
      <c r="G177" s="12"/>
      <c r="H177" s="12"/>
      <c r="I177">
        <f t="shared" si="2"/>
        <v>204</v>
      </c>
    </row>
    <row r="178" spans="1:9" ht="15" customHeight="1" x14ac:dyDescent="0.2">
      <c r="A178" s="11">
        <v>46228</v>
      </c>
      <c r="B178" s="12" t="s">
        <v>20</v>
      </c>
      <c r="C178" s="12" t="s">
        <v>13</v>
      </c>
      <c r="D178" s="12" t="s">
        <v>12</v>
      </c>
      <c r="E178" s="13">
        <v>110</v>
      </c>
      <c r="F178" s="13">
        <f>IF($B178="","",IF($D178="kg",N($E178),IF($D178="sacos",N($E178)*97,IF($D178="jabas",N($E178)*IFERROR(VLOOKUP($C178,LISTAS!$A$2:$B$12,2,0),0),""))))</f>
        <v>1870</v>
      </c>
      <c r="G178" s="12"/>
      <c r="H178" s="12"/>
      <c r="I178">
        <f t="shared" si="2"/>
        <v>1870</v>
      </c>
    </row>
    <row r="179" spans="1:9" ht="15" customHeight="1" x14ac:dyDescent="0.2">
      <c r="A179" s="11">
        <v>46228</v>
      </c>
      <c r="B179" s="12" t="s">
        <v>20</v>
      </c>
      <c r="C179" s="12" t="s">
        <v>15</v>
      </c>
      <c r="D179" s="12" t="s">
        <v>16</v>
      </c>
      <c r="E179" s="13">
        <v>9.5</v>
      </c>
      <c r="F179" s="13">
        <f>IF($B179="","",IF($D179="kg",N($E179),IF($D179="sacos",N($E179)*97,IF($D179="jabas",N($E179)*IFERROR(VLOOKUP($C179,LISTAS!$A$2:$B$12,2,0),0),""))))</f>
        <v>921.5</v>
      </c>
      <c r="G179" s="12"/>
      <c r="H179" s="12"/>
      <c r="I179">
        <f t="shared" si="2"/>
        <v>921.5</v>
      </c>
    </row>
    <row r="180" spans="1:9" ht="15" customHeight="1" x14ac:dyDescent="0.2">
      <c r="A180" s="14">
        <v>46229</v>
      </c>
      <c r="B180" s="15" t="s">
        <v>23</v>
      </c>
      <c r="C180" s="15" t="s">
        <v>11</v>
      </c>
      <c r="D180" s="15" t="s">
        <v>12</v>
      </c>
      <c r="E180" s="16">
        <v>67</v>
      </c>
      <c r="F180" s="16">
        <f>IF($B180="","",IF($D180="kg",N($E180),IF($D180="sacos",N($E180)*97,IF($D180="jabas",N($E180)*IFERROR(VLOOKUP($C180,LISTAS!$A$2:$B$12,2,0),0),""))))</f>
        <v>1005</v>
      </c>
      <c r="G180" s="15">
        <v>3018</v>
      </c>
      <c r="H180" s="15"/>
      <c r="I180">
        <f t="shared" si="2"/>
        <v>1005</v>
      </c>
    </row>
    <row r="181" spans="1:9" ht="15" customHeight="1" x14ac:dyDescent="0.2">
      <c r="A181" s="14">
        <v>46229</v>
      </c>
      <c r="B181" s="15" t="s">
        <v>23</v>
      </c>
      <c r="C181" s="15" t="s">
        <v>21</v>
      </c>
      <c r="D181" s="15" t="s">
        <v>12</v>
      </c>
      <c r="E181" s="16">
        <v>11</v>
      </c>
      <c r="F181" s="16">
        <f>IF($B181="","",IF($D181="kg",N($E181),IF($D181="sacos",N($E181)*97,IF($D181="jabas",N($E181)*IFERROR(VLOOKUP($C181,LISTAS!$A$2:$B$12,2,0),0),""))))</f>
        <v>198</v>
      </c>
      <c r="G181" s="15">
        <v>3018</v>
      </c>
      <c r="H181" s="15"/>
      <c r="I181">
        <f t="shared" si="2"/>
        <v>198</v>
      </c>
    </row>
    <row r="182" spans="1:9" ht="15" customHeight="1" x14ac:dyDescent="0.2">
      <c r="A182" s="14">
        <v>46229</v>
      </c>
      <c r="B182" s="15" t="s">
        <v>23</v>
      </c>
      <c r="C182" s="15" t="s">
        <v>22</v>
      </c>
      <c r="D182" s="15" t="s">
        <v>12</v>
      </c>
      <c r="E182" s="16">
        <v>12</v>
      </c>
      <c r="F182" s="16">
        <f>IF($B182="","",IF($D182="kg",N($E182),IF($D182="sacos",N($E182)*97,IF($D182="jabas",N($E182)*IFERROR(VLOOKUP($C182,LISTAS!$A$2:$B$12,2,0),0),""))))</f>
        <v>204</v>
      </c>
      <c r="G182" s="15">
        <v>3018</v>
      </c>
      <c r="H182" s="15"/>
      <c r="I182">
        <f t="shared" si="2"/>
        <v>204</v>
      </c>
    </row>
    <row r="183" spans="1:9" ht="15" customHeight="1" x14ac:dyDescent="0.2">
      <c r="A183" s="8">
        <v>46230</v>
      </c>
      <c r="B183" s="9" t="s">
        <v>17</v>
      </c>
      <c r="C183" s="9" t="s">
        <v>18</v>
      </c>
      <c r="D183" s="9" t="s">
        <v>16</v>
      </c>
      <c r="E183" s="10">
        <v>45</v>
      </c>
      <c r="F183" s="10">
        <v>4459</v>
      </c>
      <c r="G183" s="9"/>
      <c r="H183" s="9" t="s">
        <v>62</v>
      </c>
      <c r="I183">
        <f t="shared" si="2"/>
        <v>4459</v>
      </c>
    </row>
    <row r="184" spans="1:9" ht="15" customHeight="1" x14ac:dyDescent="0.2">
      <c r="A184" s="11">
        <v>46230</v>
      </c>
      <c r="B184" s="12" t="s">
        <v>20</v>
      </c>
      <c r="C184" s="12" t="s">
        <v>11</v>
      </c>
      <c r="D184" s="12" t="s">
        <v>12</v>
      </c>
      <c r="E184" s="13">
        <v>97</v>
      </c>
      <c r="F184" s="13">
        <f>IF($B184="","",IF($D184="kg",N($E184),IF($D184="sacos",N($E184)*97,IF($D184="jabas",N($E184)*IFERROR(VLOOKUP($C184,LISTAS!$A$2:$B$12,2,0),0),""))))</f>
        <v>1455</v>
      </c>
      <c r="G184" s="12"/>
      <c r="H184" s="12"/>
      <c r="I184">
        <f t="shared" si="2"/>
        <v>1455</v>
      </c>
    </row>
    <row r="185" spans="1:9" ht="15" customHeight="1" x14ac:dyDescent="0.2">
      <c r="A185" s="11">
        <v>46230</v>
      </c>
      <c r="B185" s="12" t="s">
        <v>20</v>
      </c>
      <c r="C185" s="12" t="s">
        <v>21</v>
      </c>
      <c r="D185" s="12" t="s">
        <v>12</v>
      </c>
      <c r="E185" s="13">
        <v>13</v>
      </c>
      <c r="F185" s="13">
        <f>IF($B185="","",IF($D185="kg",N($E185),IF($D185="sacos",N($E185)*97,IF($D185="jabas",N($E185)*IFERROR(VLOOKUP($C185,LISTAS!$A$2:$B$12,2,0),0),""))))</f>
        <v>234</v>
      </c>
      <c r="G185" s="12"/>
      <c r="H185" s="12"/>
      <c r="I185">
        <f t="shared" si="2"/>
        <v>234</v>
      </c>
    </row>
    <row r="186" spans="1:9" ht="15" customHeight="1" x14ac:dyDescent="0.2">
      <c r="A186" s="11">
        <v>46230</v>
      </c>
      <c r="B186" s="12" t="s">
        <v>20</v>
      </c>
      <c r="C186" s="12" t="s">
        <v>22</v>
      </c>
      <c r="D186" s="12" t="s">
        <v>12</v>
      </c>
      <c r="E186" s="13">
        <v>18</v>
      </c>
      <c r="F186" s="13">
        <f>IF($B186="","",IF($D186="kg",N($E186),IF($D186="sacos",N($E186)*97,IF($D186="jabas",N($E186)*IFERROR(VLOOKUP($C186,LISTAS!$A$2:$B$12,2,0),0),""))))</f>
        <v>306</v>
      </c>
      <c r="G186" s="12"/>
      <c r="H186" s="12"/>
      <c r="I186">
        <f t="shared" si="2"/>
        <v>306</v>
      </c>
    </row>
    <row r="187" spans="1:9" ht="15" customHeight="1" x14ac:dyDescent="0.2">
      <c r="A187" s="11">
        <v>46230</v>
      </c>
      <c r="B187" s="12" t="s">
        <v>20</v>
      </c>
      <c r="C187" s="12" t="s">
        <v>13</v>
      </c>
      <c r="D187" s="12" t="s">
        <v>12</v>
      </c>
      <c r="E187" s="13">
        <v>77</v>
      </c>
      <c r="F187" s="13">
        <f>IF($B187="","",IF($D187="kg",N($E187),IF($D187="sacos",N($E187)*97,IF($D187="jabas",N($E187)*IFERROR(VLOOKUP($C187,LISTAS!$A$2:$B$12,2,0),0),""))))</f>
        <v>1309</v>
      </c>
      <c r="G187" s="12"/>
      <c r="H187" s="12"/>
      <c r="I187">
        <f t="shared" si="2"/>
        <v>1309</v>
      </c>
    </row>
    <row r="188" spans="1:9" ht="15" customHeight="1" x14ac:dyDescent="0.2">
      <c r="A188" s="11">
        <v>46230</v>
      </c>
      <c r="B188" s="12" t="s">
        <v>20</v>
      </c>
      <c r="C188" s="12" t="s">
        <v>15</v>
      </c>
      <c r="D188" s="12" t="s">
        <v>16</v>
      </c>
      <c r="E188" s="13">
        <v>8.5</v>
      </c>
      <c r="F188" s="13">
        <f>IF($B188="","",IF($D188="kg",N($E188),IF($D188="sacos",N($E188)*97,IF($D188="jabas",N($E188)*IFERROR(VLOOKUP($C188,LISTAS!$A$2:$B$12,2,0),0),""))))</f>
        <v>824.5</v>
      </c>
      <c r="G188" s="12"/>
      <c r="H188" s="12"/>
      <c r="I188">
        <f t="shared" si="2"/>
        <v>824.5</v>
      </c>
    </row>
    <row r="189" spans="1:9" ht="15" customHeight="1" x14ac:dyDescent="0.2">
      <c r="A189" s="14">
        <v>46230</v>
      </c>
      <c r="B189" s="15" t="s">
        <v>23</v>
      </c>
      <c r="C189" s="15" t="s">
        <v>11</v>
      </c>
      <c r="D189" s="15" t="s">
        <v>12</v>
      </c>
      <c r="E189" s="16">
        <v>67</v>
      </c>
      <c r="F189" s="16">
        <f>IF($B189="","",IF($D189="kg",N($E189),IF($D189="sacos",N($E189)*97,IF($D189="jabas",N($E189)*IFERROR(VLOOKUP($C189,LISTAS!$A$2:$B$12,2,0),0),""))))</f>
        <v>1005</v>
      </c>
      <c r="G189" s="15">
        <v>3021</v>
      </c>
      <c r="H189" s="15"/>
      <c r="I189">
        <f t="shared" si="2"/>
        <v>1005</v>
      </c>
    </row>
    <row r="190" spans="1:9" ht="15" customHeight="1" x14ac:dyDescent="0.2">
      <c r="A190" s="14">
        <v>46230</v>
      </c>
      <c r="B190" s="15" t="s">
        <v>23</v>
      </c>
      <c r="C190" s="15" t="s">
        <v>21</v>
      </c>
      <c r="D190" s="15" t="s">
        <v>12</v>
      </c>
      <c r="E190" s="16">
        <v>11</v>
      </c>
      <c r="F190" s="16">
        <f>IF($B190="","",IF($D190="kg",N($E190),IF($D190="sacos",N($E190)*97,IF($D190="jabas",N($E190)*IFERROR(VLOOKUP($C190,LISTAS!$A$2:$B$12,2,0),0),""))))</f>
        <v>198</v>
      </c>
      <c r="G190" s="15">
        <v>3021</v>
      </c>
      <c r="H190" s="15"/>
      <c r="I190">
        <f t="shared" si="2"/>
        <v>198</v>
      </c>
    </row>
    <row r="191" spans="1:9" ht="15" customHeight="1" x14ac:dyDescent="0.2">
      <c r="A191" s="14">
        <v>46230</v>
      </c>
      <c r="B191" s="15" t="s">
        <v>23</v>
      </c>
      <c r="C191" s="15" t="s">
        <v>22</v>
      </c>
      <c r="D191" s="15" t="s">
        <v>12</v>
      </c>
      <c r="E191" s="16">
        <v>8</v>
      </c>
      <c r="F191" s="16">
        <f>IF($B191="","",IF($D191="kg",N($E191),IF($D191="sacos",N($E191)*97,IF($D191="jabas",N($E191)*IFERROR(VLOOKUP($C191,LISTAS!$A$2:$B$12,2,0),0),""))))</f>
        <v>136</v>
      </c>
      <c r="G191" s="15">
        <v>3021</v>
      </c>
      <c r="H191" s="15"/>
      <c r="I191">
        <f t="shared" si="2"/>
        <v>136</v>
      </c>
    </row>
    <row r="192" spans="1:9" ht="15" customHeight="1" x14ac:dyDescent="0.2">
      <c r="A192" s="17">
        <v>46230</v>
      </c>
      <c r="B192" s="18" t="s">
        <v>28</v>
      </c>
      <c r="C192" s="18" t="s">
        <v>15</v>
      </c>
      <c r="D192" s="18" t="s">
        <v>16</v>
      </c>
      <c r="E192" s="19">
        <v>16</v>
      </c>
      <c r="F192" s="19">
        <f>IF($B192="","",IF($D192="kg",N($E192),IF($D192="sacos",N($E192)*97,IF($D192="jabas",N($E192)*IFERROR(VLOOKUP($C192,LISTAS!$A$2:$B$12,2,0),0),""))))</f>
        <v>1552</v>
      </c>
      <c r="G192" s="18" t="s">
        <v>63</v>
      </c>
      <c r="H192" s="18"/>
      <c r="I192">
        <f t="shared" si="2"/>
        <v>1552</v>
      </c>
    </row>
    <row r="193" spans="1:9" ht="15" customHeight="1" x14ac:dyDescent="0.2">
      <c r="A193" s="17">
        <v>46230</v>
      </c>
      <c r="B193" s="18" t="s">
        <v>28</v>
      </c>
      <c r="C193" s="18" t="s">
        <v>15</v>
      </c>
      <c r="D193" s="18" t="s">
        <v>16</v>
      </c>
      <c r="E193" s="19">
        <v>7</v>
      </c>
      <c r="F193" s="19">
        <f>IF($B193="","",IF($D193="kg",N($E193),IF($D193="sacos",N($E193)*97,IF($D193="jabas",N($E193)*IFERROR(VLOOKUP($C193,LISTAS!$A$2:$B$12,2,0),0),""))))</f>
        <v>679</v>
      </c>
      <c r="G193" s="18" t="s">
        <v>64</v>
      </c>
      <c r="H193" s="18"/>
      <c r="I193">
        <f t="shared" si="2"/>
        <v>679</v>
      </c>
    </row>
    <row r="194" spans="1:9" ht="15" customHeight="1" x14ac:dyDescent="0.2">
      <c r="A194" s="17">
        <v>46230</v>
      </c>
      <c r="B194" s="18" t="s">
        <v>28</v>
      </c>
      <c r="C194" s="18" t="s">
        <v>15</v>
      </c>
      <c r="D194" s="18" t="s">
        <v>16</v>
      </c>
      <c r="E194" s="19">
        <v>2</v>
      </c>
      <c r="F194" s="19">
        <f>IF($B194="","",IF($D194="kg",N($E194),IF($D194="sacos",N($E194)*97,IF($D194="jabas",N($E194)*IFERROR(VLOOKUP($C194,LISTAS!$A$2:$B$12,2,0),0),""))))</f>
        <v>194</v>
      </c>
      <c r="G194" s="18"/>
      <c r="H194" s="38" t="s">
        <v>65</v>
      </c>
      <c r="I194">
        <f t="shared" si="2"/>
        <v>194</v>
      </c>
    </row>
    <row r="195" spans="1:9" ht="15" customHeight="1" x14ac:dyDescent="0.2">
      <c r="A195" s="23">
        <v>46230</v>
      </c>
      <c r="B195" s="24" t="s">
        <v>42</v>
      </c>
      <c r="C195" s="24" t="s">
        <v>11</v>
      </c>
      <c r="D195" s="24" t="s">
        <v>12</v>
      </c>
      <c r="E195" s="25">
        <v>1</v>
      </c>
      <c r="F195" s="25">
        <f>IF($B195="","",IF($D195="kg",N($E195),IF($D195="sacos",N($E195)*97,IF($D195="jabas",N($E195)*IFERROR(VLOOKUP($C195,LISTAS!$A$2:$B$12,2,0),0),""))))</f>
        <v>15</v>
      </c>
      <c r="G195" s="24"/>
      <c r="H195" s="24"/>
      <c r="I195">
        <f t="shared" si="2"/>
        <v>15</v>
      </c>
    </row>
    <row r="196" spans="1:9" ht="15" customHeight="1" x14ac:dyDescent="0.2">
      <c r="A196" s="26">
        <v>46230</v>
      </c>
      <c r="B196" s="27" t="s">
        <v>43</v>
      </c>
      <c r="C196" s="27" t="s">
        <v>11</v>
      </c>
      <c r="D196" s="27" t="s">
        <v>44</v>
      </c>
      <c r="E196" s="28">
        <v>7</v>
      </c>
      <c r="F196" s="28">
        <f>IF($B196="","",IF($D196="kg",N($E196),IF($D196="sacos",N($E196)*97,IF($D196="jabas",N($E196)*IFERROR(VLOOKUP($C196,LISTAS!$A$2:$B$12,2,0),0),""))))</f>
        <v>7</v>
      </c>
      <c r="G196" s="27"/>
      <c r="H196" s="27"/>
      <c r="I196">
        <f t="shared" si="2"/>
        <v>7</v>
      </c>
    </row>
    <row r="197" spans="1:9" ht="15" customHeight="1" x14ac:dyDescent="0.2">
      <c r="A197" s="8">
        <v>46231</v>
      </c>
      <c r="B197" s="9" t="s">
        <v>17</v>
      </c>
      <c r="C197" s="9" t="s">
        <v>18</v>
      </c>
      <c r="D197" s="9" t="s">
        <v>16</v>
      </c>
      <c r="E197" s="10">
        <v>55</v>
      </c>
      <c r="F197" s="10">
        <v>5451</v>
      </c>
      <c r="G197" s="9"/>
      <c r="H197" s="9"/>
      <c r="I197">
        <f t="shared" ref="I197:I233" si="3">N($F197)</f>
        <v>5451</v>
      </c>
    </row>
    <row r="198" spans="1:9" ht="15" customHeight="1" x14ac:dyDescent="0.2">
      <c r="A198" s="11">
        <v>46231</v>
      </c>
      <c r="B198" s="12" t="s">
        <v>20</v>
      </c>
      <c r="C198" s="12" t="s">
        <v>11</v>
      </c>
      <c r="D198" s="12" t="s">
        <v>12</v>
      </c>
      <c r="E198" s="13">
        <v>133</v>
      </c>
      <c r="F198" s="13">
        <f>IF($B198="","",IF($D198="kg",N($E198),IF($D198="sacos",N($E198)*97,IF($D198="jabas",N($E198)*IFERROR(VLOOKUP($C198,LISTAS!$A$2:$B$12,2,0),0),""))))</f>
        <v>1995</v>
      </c>
      <c r="G198" s="12"/>
      <c r="H198" s="12"/>
      <c r="I198">
        <f t="shared" si="3"/>
        <v>1995</v>
      </c>
    </row>
    <row r="199" spans="1:9" ht="15" customHeight="1" x14ac:dyDescent="0.2">
      <c r="A199" s="11">
        <v>46231</v>
      </c>
      <c r="B199" s="12" t="s">
        <v>20</v>
      </c>
      <c r="C199" s="12" t="s">
        <v>21</v>
      </c>
      <c r="D199" s="12" t="s">
        <v>12</v>
      </c>
      <c r="E199" s="13">
        <v>4</v>
      </c>
      <c r="F199" s="13">
        <f>IF($B199="","",IF($D199="kg",N($E199),IF($D199="sacos",N($E199)*97,IF($D199="jabas",N($E199)*IFERROR(VLOOKUP($C199,LISTAS!$A$2:$B$12,2,0),0),""))))</f>
        <v>72</v>
      </c>
      <c r="G199" s="12"/>
      <c r="H199" s="12"/>
      <c r="I199">
        <f t="shared" si="3"/>
        <v>72</v>
      </c>
    </row>
    <row r="200" spans="1:9" ht="15" customHeight="1" x14ac:dyDescent="0.2">
      <c r="A200" s="11">
        <v>46231</v>
      </c>
      <c r="B200" s="12" t="s">
        <v>20</v>
      </c>
      <c r="C200" s="12" t="s">
        <v>22</v>
      </c>
      <c r="D200" s="12" t="s">
        <v>12</v>
      </c>
      <c r="E200" s="13">
        <v>12</v>
      </c>
      <c r="F200" s="13">
        <f>IF($B200="","",IF($D200="kg",N($E200),IF($D200="sacos",N($E200)*97,IF($D200="jabas",N($E200)*IFERROR(VLOOKUP($C200,LISTAS!$A$2:$B$12,2,0),0),""))))</f>
        <v>204</v>
      </c>
      <c r="G200" s="12"/>
      <c r="H200" s="12"/>
      <c r="I200">
        <f t="shared" si="3"/>
        <v>204</v>
      </c>
    </row>
    <row r="201" spans="1:9" ht="15" customHeight="1" x14ac:dyDescent="0.2">
      <c r="A201" s="11">
        <v>46231</v>
      </c>
      <c r="B201" s="12" t="s">
        <v>20</v>
      </c>
      <c r="C201" s="12" t="s">
        <v>13</v>
      </c>
      <c r="D201" s="12" t="s">
        <v>12</v>
      </c>
      <c r="E201" s="13">
        <v>94</v>
      </c>
      <c r="F201" s="13">
        <f>IF($B201="","",IF($D201="kg",N($E201),IF($D201="sacos",N($E201)*97,IF($D201="jabas",N($E201)*IFERROR(VLOOKUP($C201,LISTAS!$A$2:$B$12,2,0),0),""))))</f>
        <v>1598</v>
      </c>
      <c r="G201" s="12"/>
      <c r="H201" s="12"/>
      <c r="I201">
        <f t="shared" si="3"/>
        <v>1598</v>
      </c>
    </row>
    <row r="202" spans="1:9" ht="15" customHeight="1" x14ac:dyDescent="0.2">
      <c r="A202" s="11">
        <v>46231</v>
      </c>
      <c r="B202" s="12" t="s">
        <v>20</v>
      </c>
      <c r="C202" s="12" t="s">
        <v>15</v>
      </c>
      <c r="D202" s="12" t="s">
        <v>16</v>
      </c>
      <c r="E202" s="13">
        <v>14.5</v>
      </c>
      <c r="F202" s="13">
        <f>IF($B202="","",IF($D202="kg",N($E202),IF($D202="sacos",N($E202)*97,IF($D202="jabas",N($E202)*IFERROR(VLOOKUP($C202,LISTAS!$A$2:$B$12,2,0),0),""))))</f>
        <v>1406.5</v>
      </c>
      <c r="G202" s="12"/>
      <c r="H202" s="12"/>
      <c r="I202">
        <f t="shared" si="3"/>
        <v>1406.5</v>
      </c>
    </row>
    <row r="203" spans="1:9" ht="15" customHeight="1" x14ac:dyDescent="0.2">
      <c r="A203" s="14">
        <v>46231</v>
      </c>
      <c r="B203" s="15" t="s">
        <v>23</v>
      </c>
      <c r="C203" s="15" t="s">
        <v>11</v>
      </c>
      <c r="D203" s="15" t="s">
        <v>12</v>
      </c>
      <c r="E203" s="16">
        <v>67</v>
      </c>
      <c r="F203" s="16">
        <f>IF($B203="","",IF($D203="kg",N($E203),IF($D203="sacos",N($E203)*97,IF($D203="jabas",N($E203)*IFERROR(VLOOKUP($C203,LISTAS!$A$2:$B$12,2,0),0),""))))</f>
        <v>1005</v>
      </c>
      <c r="G203" s="15">
        <v>3023</v>
      </c>
      <c r="H203" s="15"/>
      <c r="I203">
        <f t="shared" si="3"/>
        <v>1005</v>
      </c>
    </row>
    <row r="204" spans="1:9" ht="15" customHeight="1" x14ac:dyDescent="0.2">
      <c r="A204" s="14">
        <v>46231</v>
      </c>
      <c r="B204" s="15" t="s">
        <v>23</v>
      </c>
      <c r="C204" s="15" t="s">
        <v>21</v>
      </c>
      <c r="D204" s="15" t="s">
        <v>12</v>
      </c>
      <c r="E204" s="16">
        <v>11</v>
      </c>
      <c r="F204" s="16">
        <f>IF($B204="","",IF($D204="kg",N($E204),IF($D204="sacos",N($E204)*97,IF($D204="jabas",N($E204)*IFERROR(VLOOKUP($C204,LISTAS!$A$2:$B$12,2,0),0),""))))</f>
        <v>198</v>
      </c>
      <c r="G204" s="15">
        <v>3023</v>
      </c>
      <c r="H204" s="15"/>
      <c r="I204">
        <f t="shared" si="3"/>
        <v>198</v>
      </c>
    </row>
    <row r="205" spans="1:9" ht="15" customHeight="1" x14ac:dyDescent="0.2">
      <c r="A205" s="14">
        <v>46231</v>
      </c>
      <c r="B205" s="15" t="s">
        <v>23</v>
      </c>
      <c r="C205" s="15" t="s">
        <v>22</v>
      </c>
      <c r="D205" s="15" t="s">
        <v>12</v>
      </c>
      <c r="E205" s="16">
        <v>10</v>
      </c>
      <c r="F205" s="16">
        <f>IF($B205="","",IF($D205="kg",N($E205),IF($D205="sacos",N($E205)*97,IF($D205="jabas",N($E205)*IFERROR(VLOOKUP($C205,LISTAS!$A$2:$B$12,2,0),0),""))))</f>
        <v>170</v>
      </c>
      <c r="G205" s="15">
        <v>3023</v>
      </c>
      <c r="H205" s="15"/>
      <c r="I205">
        <f t="shared" si="3"/>
        <v>170</v>
      </c>
    </row>
    <row r="206" spans="1:9" ht="15" customHeight="1" x14ac:dyDescent="0.2">
      <c r="A206" s="14">
        <v>46231</v>
      </c>
      <c r="B206" s="15" t="s">
        <v>23</v>
      </c>
      <c r="C206" s="15" t="s">
        <v>13</v>
      </c>
      <c r="D206" s="15" t="s">
        <v>12</v>
      </c>
      <c r="E206" s="16">
        <v>118</v>
      </c>
      <c r="F206" s="16">
        <f>IF($B206="","",IF($D206="kg",N($E206),IF($D206="sacos",N($E206)*97,IF($D206="jabas",N($E206)*IFERROR(VLOOKUP($C206,LISTAS!$A$2:$B$12,2,0),0),""))))</f>
        <v>2006</v>
      </c>
      <c r="G206" s="15">
        <v>3023</v>
      </c>
      <c r="H206" s="15"/>
      <c r="I206">
        <f t="shared" si="3"/>
        <v>2006</v>
      </c>
    </row>
    <row r="207" spans="1:9" ht="15" customHeight="1" x14ac:dyDescent="0.2">
      <c r="A207" s="14">
        <v>46232</v>
      </c>
      <c r="B207" s="15" t="s">
        <v>23</v>
      </c>
      <c r="C207" s="15" t="s">
        <v>11</v>
      </c>
      <c r="D207" s="15" t="s">
        <v>12</v>
      </c>
      <c r="E207" s="16">
        <v>67</v>
      </c>
      <c r="F207" s="16">
        <f>IF($B207="","",IF($D207="kg",N($E207),IF($D207="sacos",N($E207)*97,IF($D207="jabas",N($E207)*IFERROR(VLOOKUP($C207,LISTAS!$A$2:$B$12,2,0),0),""))))</f>
        <v>1005</v>
      </c>
      <c r="G207" s="15">
        <v>3025</v>
      </c>
      <c r="H207" s="15"/>
      <c r="I207">
        <f t="shared" si="3"/>
        <v>1005</v>
      </c>
    </row>
    <row r="208" spans="1:9" ht="15" customHeight="1" x14ac:dyDescent="0.2">
      <c r="A208" s="14">
        <v>46232</v>
      </c>
      <c r="B208" s="15" t="s">
        <v>23</v>
      </c>
      <c r="C208" s="15" t="s">
        <v>21</v>
      </c>
      <c r="D208" s="15" t="s">
        <v>12</v>
      </c>
      <c r="E208" s="16">
        <v>4</v>
      </c>
      <c r="F208" s="16">
        <f>IF($B208="","",IF($D208="kg",N($E208),IF($D208="sacos",N($E208)*97,IF($D208="jabas",N($E208)*IFERROR(VLOOKUP($C208,LISTAS!$A$2:$B$12,2,0),0),""))))</f>
        <v>72</v>
      </c>
      <c r="G208" s="15">
        <v>3025</v>
      </c>
      <c r="H208" s="15"/>
      <c r="I208">
        <f t="shared" si="3"/>
        <v>72</v>
      </c>
    </row>
    <row r="209" spans="1:14" ht="15" customHeight="1" x14ac:dyDescent="0.2">
      <c r="A209" s="14">
        <v>46232</v>
      </c>
      <c r="B209" s="15" t="s">
        <v>23</v>
      </c>
      <c r="C209" s="15" t="s">
        <v>22</v>
      </c>
      <c r="D209" s="15" t="s">
        <v>12</v>
      </c>
      <c r="E209" s="16">
        <v>12</v>
      </c>
      <c r="F209" s="16">
        <f>IF($B209="","",IF($D209="kg",N($E209),IF($D209="sacos",N($E209)*97,IF($D209="jabas",N($E209)*IFERROR(VLOOKUP($C209,LISTAS!$A$2:$B$12,2,0),0),""))))</f>
        <v>204</v>
      </c>
      <c r="G209" s="15">
        <v>3025</v>
      </c>
      <c r="H209" s="15"/>
      <c r="I209">
        <f t="shared" si="3"/>
        <v>204</v>
      </c>
    </row>
    <row r="210" spans="1:14" ht="15" customHeight="1" x14ac:dyDescent="0.2">
      <c r="A210" s="14">
        <v>46232</v>
      </c>
      <c r="B210" s="15" t="s">
        <v>23</v>
      </c>
      <c r="C210" s="15" t="s">
        <v>13</v>
      </c>
      <c r="D210" s="15" t="s">
        <v>12</v>
      </c>
      <c r="E210" s="16">
        <v>89</v>
      </c>
      <c r="F210" s="16">
        <f>IF($B210="","",IF($D210="kg",N($E210),IF($D210="sacos",N($E210)*97,IF($D210="jabas",N($E210)*IFERROR(VLOOKUP($C210,LISTAS!$A$2:$B$12,2,0),0),""))))</f>
        <v>1513</v>
      </c>
      <c r="G210" s="15">
        <v>3025</v>
      </c>
      <c r="H210" s="15"/>
      <c r="I210">
        <f t="shared" si="3"/>
        <v>1513</v>
      </c>
      <c r="N210">
        <v>100</v>
      </c>
    </row>
    <row r="211" spans="1:14" ht="15" customHeight="1" x14ac:dyDescent="0.2">
      <c r="A211" s="17">
        <v>46232</v>
      </c>
      <c r="B211" s="18" t="s">
        <v>28</v>
      </c>
      <c r="C211" s="18" t="s">
        <v>15</v>
      </c>
      <c r="D211" s="18" t="s">
        <v>16</v>
      </c>
      <c r="E211" s="19">
        <v>10</v>
      </c>
      <c r="F211" s="19">
        <f>IF($B211="","",IF($D211="kg",N($E211),IF($D211="sacos",N($E211)*97,IF($D211="jabas",N($E211)*IFERROR(VLOOKUP($C211,LISTAS!$A$2:$B$12,2,0),0),""))))</f>
        <v>970</v>
      </c>
      <c r="G211" s="18" t="s">
        <v>66</v>
      </c>
      <c r="H211" s="18"/>
      <c r="I211">
        <f t="shared" si="3"/>
        <v>970</v>
      </c>
    </row>
    <row r="212" spans="1:14" ht="15" customHeight="1" x14ac:dyDescent="0.2">
      <c r="A212" s="8">
        <v>46233</v>
      </c>
      <c r="B212" s="9" t="s">
        <v>17</v>
      </c>
      <c r="C212" s="9" t="s">
        <v>18</v>
      </c>
      <c r="D212" s="9" t="s">
        <v>16</v>
      </c>
      <c r="E212" s="10">
        <v>30</v>
      </c>
      <c r="F212" s="10">
        <f>IF($B212="","",IF($D212="kg",N($E212),IF($D212="sacos",N($E212)*97,IF($D212="jabas",N($E212)*IFERROR(VLOOKUP($C212,LISTAS!$A$2:$B$12,2,0),0),""))))</f>
        <v>2910</v>
      </c>
      <c r="G212" s="9"/>
      <c r="H212" s="9" t="s">
        <v>67</v>
      </c>
      <c r="I212">
        <f t="shared" si="3"/>
        <v>2910</v>
      </c>
    </row>
    <row r="213" spans="1:14" ht="15" customHeight="1" x14ac:dyDescent="0.2">
      <c r="A213" s="11">
        <v>46233</v>
      </c>
      <c r="B213" s="12" t="s">
        <v>20</v>
      </c>
      <c r="C213" s="12" t="s">
        <v>11</v>
      </c>
      <c r="D213" s="12" t="s">
        <v>12</v>
      </c>
      <c r="E213" s="13">
        <v>46</v>
      </c>
      <c r="F213" s="13">
        <f>IF($B213="","",IF($D213="kg",N($E213),IF($D213="sacos",N($E213)*97,IF($D213="jabas",N($E213)*IFERROR(VLOOKUP($C213,LISTAS!$A$2:$B$12,2,0),0),""))))</f>
        <v>690</v>
      </c>
      <c r="G213" s="12"/>
      <c r="H213" s="12"/>
      <c r="I213">
        <f t="shared" si="3"/>
        <v>690</v>
      </c>
    </row>
    <row r="214" spans="1:14" ht="15" customHeight="1" x14ac:dyDescent="0.2">
      <c r="A214" s="11">
        <v>46233</v>
      </c>
      <c r="B214" s="12" t="s">
        <v>20</v>
      </c>
      <c r="C214" s="12" t="s">
        <v>21</v>
      </c>
      <c r="D214" s="12" t="s">
        <v>12</v>
      </c>
      <c r="E214" s="13">
        <v>11</v>
      </c>
      <c r="F214" s="13">
        <f>IF($B214="","",IF($D214="kg",N($E214),IF($D214="sacos",N($E214)*97,IF($D214="jabas",N($E214)*IFERROR(VLOOKUP($C214,LISTAS!$A$2:$B$12,2,0),0),""))))</f>
        <v>198</v>
      </c>
      <c r="G214" s="12"/>
      <c r="H214" s="12"/>
      <c r="I214">
        <f t="shared" si="3"/>
        <v>198</v>
      </c>
    </row>
    <row r="215" spans="1:14" ht="15" customHeight="1" x14ac:dyDescent="0.2">
      <c r="A215" s="11">
        <v>46233</v>
      </c>
      <c r="B215" s="12" t="s">
        <v>20</v>
      </c>
      <c r="C215" s="12" t="s">
        <v>22</v>
      </c>
      <c r="D215" s="12" t="s">
        <v>12</v>
      </c>
      <c r="E215" s="13">
        <v>5</v>
      </c>
      <c r="F215" s="13">
        <f>IF($B215="","",IF($D215="kg",N($E215),IF($D215="sacos",N($E215)*97,IF($D215="jabas",N($E215)*IFERROR(VLOOKUP($C215,LISTAS!$A$2:$B$12,2,0),0),""))))</f>
        <v>85</v>
      </c>
      <c r="G215" s="12"/>
      <c r="H215" s="12"/>
      <c r="I215">
        <f t="shared" si="3"/>
        <v>85</v>
      </c>
    </row>
    <row r="216" spans="1:14" ht="15" customHeight="1" x14ac:dyDescent="0.2">
      <c r="A216" s="11">
        <v>46233</v>
      </c>
      <c r="B216" s="12" t="s">
        <v>20</v>
      </c>
      <c r="C216" s="12" t="s">
        <v>13</v>
      </c>
      <c r="D216" s="12" t="s">
        <v>12</v>
      </c>
      <c r="E216" s="13">
        <v>90</v>
      </c>
      <c r="F216" s="13">
        <f>IF($B216="","",IF($D216="kg",N($E216),IF($D216="sacos",N($E216)*97,IF($D216="jabas",N($E216)*IFERROR(VLOOKUP($C216,LISTAS!$A$2:$B$12,2,0),0),""))))</f>
        <v>1530</v>
      </c>
      <c r="G216" s="12"/>
      <c r="H216" s="12"/>
      <c r="I216">
        <f t="shared" si="3"/>
        <v>1530</v>
      </c>
    </row>
    <row r="217" spans="1:14" ht="15" customHeight="1" x14ac:dyDescent="0.2">
      <c r="A217" s="11">
        <v>46233</v>
      </c>
      <c r="B217" s="12" t="s">
        <v>20</v>
      </c>
      <c r="C217" s="12" t="s">
        <v>15</v>
      </c>
      <c r="D217" s="12" t="s">
        <v>16</v>
      </c>
      <c r="E217" s="13">
        <v>5</v>
      </c>
      <c r="F217" s="13">
        <f>IF($B217="","",IF($D217="kg",N($E217),IF($D217="sacos",N($E217)*97,IF($D217="jabas",N($E217)*IFERROR(VLOOKUP($C217,LISTAS!$A$2:$B$12,2,0),0),""))))</f>
        <v>485</v>
      </c>
      <c r="G217" s="12"/>
      <c r="H217" s="12"/>
      <c r="I217">
        <f t="shared" si="3"/>
        <v>485</v>
      </c>
    </row>
    <row r="218" spans="1:14" ht="15" customHeight="1" x14ac:dyDescent="0.2">
      <c r="A218" s="20">
        <v>46233</v>
      </c>
      <c r="B218" s="21" t="s">
        <v>34</v>
      </c>
      <c r="C218" s="21" t="s">
        <v>13</v>
      </c>
      <c r="D218" s="21" t="s">
        <v>12</v>
      </c>
      <c r="E218" s="22">
        <v>1</v>
      </c>
      <c r="F218" s="22">
        <v>17</v>
      </c>
      <c r="G218" s="21"/>
      <c r="H218" s="21"/>
      <c r="I218">
        <f t="shared" si="3"/>
        <v>17</v>
      </c>
    </row>
    <row r="219" spans="1:14" ht="15" customHeight="1" x14ac:dyDescent="0.2">
      <c r="A219" s="14">
        <v>46233</v>
      </c>
      <c r="B219" s="15" t="s">
        <v>23</v>
      </c>
      <c r="C219" s="15" t="s">
        <v>11</v>
      </c>
      <c r="D219" s="15" t="s">
        <v>12</v>
      </c>
      <c r="E219" s="16">
        <v>67</v>
      </c>
      <c r="F219" s="16">
        <f>IF($B219="","",IF($D219="kg",N($E219),IF($D219="sacos",N($E219)*97,IF($D219="jabas",N($E219)*IFERROR(VLOOKUP($C219,LISTAS!$A$2:$B$12,2,0),0),""))))</f>
        <v>1005</v>
      </c>
      <c r="G219" s="15">
        <v>3031</v>
      </c>
      <c r="H219" s="15"/>
      <c r="I219">
        <f t="shared" si="3"/>
        <v>1005</v>
      </c>
    </row>
    <row r="220" spans="1:14" ht="15" customHeight="1" x14ac:dyDescent="0.2">
      <c r="A220" s="14">
        <v>46233</v>
      </c>
      <c r="B220" s="15" t="s">
        <v>23</v>
      </c>
      <c r="C220" s="15" t="s">
        <v>21</v>
      </c>
      <c r="D220" s="15" t="s">
        <v>12</v>
      </c>
      <c r="E220" s="16">
        <v>11</v>
      </c>
      <c r="F220" s="16">
        <f>IF($B220="","",IF($D220="kg",N($E220),IF($D220="sacos",N($E220)*97,IF($D220="jabas",N($E220)*IFERROR(VLOOKUP($C220,LISTAS!$A$2:$B$12,2,0),0),""))))</f>
        <v>198</v>
      </c>
      <c r="G220" s="15">
        <v>3031</v>
      </c>
      <c r="H220" s="15"/>
      <c r="I220">
        <f t="shared" si="3"/>
        <v>198</v>
      </c>
    </row>
    <row r="221" spans="1:14" ht="15" customHeight="1" x14ac:dyDescent="0.2">
      <c r="A221" s="14">
        <v>46233</v>
      </c>
      <c r="B221" s="15" t="s">
        <v>23</v>
      </c>
      <c r="C221" s="15" t="s">
        <v>22</v>
      </c>
      <c r="D221" s="15" t="s">
        <v>12</v>
      </c>
      <c r="E221" s="16">
        <v>5</v>
      </c>
      <c r="F221" s="16">
        <f>IF($B221="","",IF($D221="kg",N($E221),IF($D221="sacos",N($E221)*97,IF($D221="jabas",N($E221)*IFERROR(VLOOKUP($C221,LISTAS!$A$2:$B$12,2,0),0),""))))</f>
        <v>85</v>
      </c>
      <c r="G221" s="15">
        <v>3031</v>
      </c>
      <c r="H221" s="15"/>
      <c r="I221">
        <f t="shared" si="3"/>
        <v>85</v>
      </c>
    </row>
    <row r="222" spans="1:14" ht="15" customHeight="1" x14ac:dyDescent="0.2">
      <c r="A222" s="14">
        <v>46233</v>
      </c>
      <c r="B222" s="15" t="s">
        <v>23</v>
      </c>
      <c r="C222" s="15" t="s">
        <v>13</v>
      </c>
      <c r="D222" s="15" t="s">
        <v>12</v>
      </c>
      <c r="E222" s="16">
        <v>118</v>
      </c>
      <c r="F222" s="16">
        <f>IF($B222="","",IF($D222="kg",N($E222),IF($D222="sacos",N($E222)*97,IF($D222="jabas",N($E222)*IFERROR(VLOOKUP($C222,LISTAS!$A$2:$B$12,2,0),0),""))))</f>
        <v>2006</v>
      </c>
      <c r="G222" s="15">
        <v>3031</v>
      </c>
      <c r="H222" s="15"/>
      <c r="I222">
        <f t="shared" si="3"/>
        <v>2006</v>
      </c>
    </row>
    <row r="223" spans="1:14" ht="15" customHeight="1" x14ac:dyDescent="0.2">
      <c r="A223" s="8">
        <v>46234</v>
      </c>
      <c r="B223" s="9" t="s">
        <v>17</v>
      </c>
      <c r="C223" s="9" t="s">
        <v>18</v>
      </c>
      <c r="D223" s="9" t="s">
        <v>16</v>
      </c>
      <c r="E223" s="10">
        <v>70</v>
      </c>
      <c r="F223" s="10">
        <f>IF($B223="","",IF($D223="kg",N($E223),IF($D223="sacos",N($E223)*97,IF($D223="jabas",N($E223)*IFERROR(VLOOKUP($C223,LISTAS!$A$2:$B$12,2,0),0),""))))</f>
        <v>6790</v>
      </c>
      <c r="G223" s="9"/>
      <c r="H223" s="9" t="s">
        <v>68</v>
      </c>
      <c r="I223">
        <f t="shared" si="3"/>
        <v>6790</v>
      </c>
    </row>
    <row r="224" spans="1:14" ht="15" customHeight="1" x14ac:dyDescent="0.2">
      <c r="A224" s="11">
        <v>46234</v>
      </c>
      <c r="B224" s="12" t="s">
        <v>20</v>
      </c>
      <c r="C224" s="12" t="s">
        <v>11</v>
      </c>
      <c r="D224" s="12" t="s">
        <v>12</v>
      </c>
      <c r="E224" s="13">
        <v>137</v>
      </c>
      <c r="F224" s="13">
        <f>IF($B224="","",IF($D224="kg",N($E224),IF($D224="sacos",N($E224)*97,IF($D224="jabas",N($E224)*IFERROR(VLOOKUP($C224,LISTAS!$A$2:$B$12,2,0),0),""))))</f>
        <v>2055</v>
      </c>
      <c r="G224" s="12"/>
      <c r="H224" s="12"/>
      <c r="I224">
        <f t="shared" si="3"/>
        <v>2055</v>
      </c>
    </row>
    <row r="225" spans="1:15" ht="15" customHeight="1" x14ac:dyDescent="0.2">
      <c r="A225" s="11">
        <v>46234</v>
      </c>
      <c r="B225" s="12" t="s">
        <v>20</v>
      </c>
      <c r="C225" s="12" t="s">
        <v>21</v>
      </c>
      <c r="D225" s="12" t="s">
        <v>12</v>
      </c>
      <c r="E225" s="13">
        <v>11</v>
      </c>
      <c r="F225" s="13">
        <f>IF($B225="","",IF($D225="kg",N($E225),IF($D225="sacos",N($E225)*97,IF($D225="jabas",N($E225)*IFERROR(VLOOKUP($C225,LISTAS!$A$2:$B$12,2,0),0),""))))</f>
        <v>198</v>
      </c>
      <c r="G225" s="12"/>
      <c r="H225" s="12"/>
      <c r="I225">
        <f t="shared" si="3"/>
        <v>198</v>
      </c>
    </row>
    <row r="226" spans="1:15" ht="15" customHeight="1" x14ac:dyDescent="0.2">
      <c r="A226" s="11">
        <v>46234</v>
      </c>
      <c r="B226" s="12" t="s">
        <v>20</v>
      </c>
      <c r="C226" s="12" t="s">
        <v>22</v>
      </c>
      <c r="D226" s="12" t="s">
        <v>12</v>
      </c>
      <c r="E226" s="13">
        <v>12</v>
      </c>
      <c r="F226" s="13">
        <f>IF($B226="","",IF($D226="kg",N($E226),IF($D226="sacos",N($E226)*97,IF($D226="jabas",N($E226)*IFERROR(VLOOKUP($C226,LISTAS!$A$2:$B$12,2,0),0),""))))</f>
        <v>204</v>
      </c>
      <c r="G226" s="12"/>
      <c r="H226" s="12"/>
      <c r="I226">
        <f t="shared" si="3"/>
        <v>204</v>
      </c>
    </row>
    <row r="227" spans="1:15" ht="15" customHeight="1" x14ac:dyDescent="0.2">
      <c r="A227" s="11">
        <v>46234</v>
      </c>
      <c r="B227" s="12" t="s">
        <v>20</v>
      </c>
      <c r="C227" s="12" t="s">
        <v>13</v>
      </c>
      <c r="D227" s="12" t="s">
        <v>12</v>
      </c>
      <c r="E227" s="13">
        <v>182</v>
      </c>
      <c r="F227" s="13">
        <f>IF($B227="","",IF($D227="kg",N($E227),IF($D227="sacos",N($E227)*97,IF($D227="jabas",N($E227)*IFERROR(VLOOKUP($C227,LISTAS!$A$2:$B$12,2,0),0),""))))</f>
        <v>3094</v>
      </c>
      <c r="G227" s="12"/>
      <c r="H227" s="12"/>
      <c r="I227">
        <f t="shared" si="3"/>
        <v>3094</v>
      </c>
    </row>
    <row r="228" spans="1:15" ht="15" customHeight="1" x14ac:dyDescent="0.2">
      <c r="A228" s="11">
        <v>46234</v>
      </c>
      <c r="B228" s="12" t="s">
        <v>20</v>
      </c>
      <c r="C228" s="12" t="s">
        <v>15</v>
      </c>
      <c r="D228" s="12" t="s">
        <v>16</v>
      </c>
      <c r="E228" s="13">
        <v>14.5</v>
      </c>
      <c r="F228" s="13">
        <f>IF($B228="","",IF($D228="kg",N($E228),IF($D228="sacos",N($E228)*97,IF($D228="jabas",N($E228)*IFERROR(VLOOKUP($C228,LISTAS!$A$2:$B$12,2,0),0),""))))</f>
        <v>1406.5</v>
      </c>
      <c r="G228" s="12"/>
      <c r="H228" s="12"/>
      <c r="I228">
        <f t="shared" si="3"/>
        <v>1406.5</v>
      </c>
      <c r="N228">
        <v>97</v>
      </c>
      <c r="O228">
        <v>9815.82</v>
      </c>
    </row>
    <row r="229" spans="1:15" ht="15" customHeight="1" x14ac:dyDescent="0.2">
      <c r="A229" s="14">
        <v>46234</v>
      </c>
      <c r="B229" s="15" t="s">
        <v>23</v>
      </c>
      <c r="C229" s="15" t="s">
        <v>11</v>
      </c>
      <c r="D229" s="15" t="s">
        <v>12</v>
      </c>
      <c r="E229" s="16">
        <v>67</v>
      </c>
      <c r="F229" s="16">
        <f>IF($B229="","",IF($D229="kg",N($E229),IF($D229="sacos",N($E229)*97,IF($D229="jabas",N($E229)*IFERROR(VLOOKUP($C229,LISTAS!$A$2:$B$12,2,0),0),""))))</f>
        <v>1005</v>
      </c>
      <c r="G229" s="15">
        <v>3035</v>
      </c>
      <c r="H229" s="15"/>
      <c r="I229">
        <f t="shared" si="3"/>
        <v>1005</v>
      </c>
    </row>
    <row r="230" spans="1:15" ht="15" customHeight="1" x14ac:dyDescent="0.2">
      <c r="A230" s="14">
        <v>46234</v>
      </c>
      <c r="B230" s="15" t="s">
        <v>23</v>
      </c>
      <c r="C230" s="15" t="s">
        <v>21</v>
      </c>
      <c r="D230" s="15" t="s">
        <v>12</v>
      </c>
      <c r="E230" s="16">
        <v>11</v>
      </c>
      <c r="F230" s="16">
        <f>IF($B230="","",IF($D230="kg",N($E230),IF($D230="sacos",N($E230)*97,IF($D230="jabas",N($E230)*IFERROR(VLOOKUP($C230,LISTAS!$A$2:$B$12,2,0),0),""))))</f>
        <v>198</v>
      </c>
      <c r="G230" s="15">
        <v>3035</v>
      </c>
      <c r="H230" s="15"/>
      <c r="I230">
        <f t="shared" si="3"/>
        <v>198</v>
      </c>
    </row>
    <row r="231" spans="1:15" ht="15" customHeight="1" x14ac:dyDescent="0.2">
      <c r="A231" s="14">
        <v>46234</v>
      </c>
      <c r="B231" s="15" t="s">
        <v>23</v>
      </c>
      <c r="C231" s="15" t="s">
        <v>22</v>
      </c>
      <c r="D231" s="15" t="s">
        <v>12</v>
      </c>
      <c r="E231" s="16">
        <v>12</v>
      </c>
      <c r="F231" s="16">
        <f>IF($B231="","",IF($D231="kg",N($E231),IF($D231="sacos",N($E231)*97,IF($D231="jabas",N($E231)*IFERROR(VLOOKUP($C231,LISTAS!$A$2:$B$12,2,0),0),""))))</f>
        <v>204</v>
      </c>
      <c r="G231" s="15">
        <v>3035</v>
      </c>
      <c r="H231" s="15"/>
      <c r="I231">
        <f t="shared" si="3"/>
        <v>204</v>
      </c>
    </row>
    <row r="232" spans="1:15" ht="15" customHeight="1" x14ac:dyDescent="0.2">
      <c r="A232" s="14">
        <v>46234</v>
      </c>
      <c r="B232" s="15" t="s">
        <v>23</v>
      </c>
      <c r="C232" s="15" t="s">
        <v>13</v>
      </c>
      <c r="D232" s="15" t="s">
        <v>12</v>
      </c>
      <c r="E232" s="16">
        <v>118</v>
      </c>
      <c r="F232" s="16">
        <f>IF($B232="","",IF($D232="kg",N($E232),IF($D232="sacos",N($E232)*97,IF($D232="jabas",N($E232)*IFERROR(VLOOKUP($C232,LISTAS!$A$2:$B$12,2,0),0),""))))</f>
        <v>2006</v>
      </c>
      <c r="G232" s="15">
        <v>3035</v>
      </c>
      <c r="H232" s="15"/>
      <c r="I232">
        <f t="shared" si="3"/>
        <v>2006</v>
      </c>
    </row>
    <row r="233" spans="1:15" ht="15" customHeight="1" x14ac:dyDescent="0.2">
      <c r="A233" s="17">
        <v>46234</v>
      </c>
      <c r="B233" s="18" t="s">
        <v>28</v>
      </c>
      <c r="C233" s="18" t="s">
        <v>15</v>
      </c>
      <c r="D233" s="18" t="s">
        <v>16</v>
      </c>
      <c r="E233" s="19">
        <v>8</v>
      </c>
      <c r="F233" s="19">
        <f>IF($B233="","",IF($D233="kg",N($E233),IF($D233="sacos",N($E233)*97,IF($D233="jabas",N($E233)*IFERROR(VLOOKUP($C233,LISTAS!$A$2:$B$12,2,0),0),""))))</f>
        <v>776</v>
      </c>
      <c r="G233" s="18" t="s">
        <v>69</v>
      </c>
      <c r="H233" s="18"/>
      <c r="I233">
        <f t="shared" si="3"/>
        <v>776</v>
      </c>
    </row>
    <row r="234" spans="1:15" ht="15" customHeight="1" x14ac:dyDescent="0.2">
      <c r="A234" s="23">
        <v>46234</v>
      </c>
      <c r="B234" s="24" t="s">
        <v>42</v>
      </c>
      <c r="C234" s="24" t="s">
        <v>13</v>
      </c>
      <c r="D234" s="24" t="s">
        <v>12</v>
      </c>
      <c r="E234" s="25">
        <v>1</v>
      </c>
      <c r="F234" s="25">
        <f>IF($B234="","",IF($D234="kg",N($E234),IF($D234="sacos",N($E234)*97,IF($D234="jabas",N($E234)*IFERROR(VLOOKUP($C234,LISTAS!$A$2:$B$12,2,0),0),""))))</f>
        <v>17</v>
      </c>
      <c r="G234" s="18"/>
      <c r="H234" s="18" t="s">
        <v>70</v>
      </c>
    </row>
    <row r="235" spans="1:15" ht="15" customHeight="1" x14ac:dyDescent="0.2">
      <c r="A235" s="26">
        <v>46234</v>
      </c>
      <c r="B235" s="27" t="s">
        <v>43</v>
      </c>
      <c r="C235" s="27" t="s">
        <v>13</v>
      </c>
      <c r="D235" s="27" t="s">
        <v>44</v>
      </c>
      <c r="E235" s="28">
        <v>5</v>
      </c>
      <c r="F235" s="28">
        <f>IF($B235="","",IF($D235="kg",N($E235),IF($D235="sacos",N($E235)*97,IF($D235="jabas",N($E235)*IFERROR(VLOOKUP($C235,LISTAS!$A$2:$B$12,2,0),0),""))))</f>
        <v>5</v>
      </c>
      <c r="G235" s="18"/>
      <c r="H235" s="18"/>
    </row>
    <row r="236" spans="1:15" ht="15" customHeight="1" x14ac:dyDescent="0.2">
      <c r="A236" s="39">
        <v>46235</v>
      </c>
      <c r="B236" s="40" t="s">
        <v>17</v>
      </c>
      <c r="C236" s="40"/>
      <c r="D236" s="40" t="s">
        <v>16</v>
      </c>
      <c r="E236" s="41">
        <v>38</v>
      </c>
      <c r="F236" s="41">
        <v>3850</v>
      </c>
      <c r="G236" s="40"/>
      <c r="H236" s="40" t="s">
        <v>71</v>
      </c>
      <c r="I236">
        <f t="shared" ref="I236:I245" si="4">N($F236)</f>
        <v>3850</v>
      </c>
      <c r="M236" s="42"/>
    </row>
    <row r="237" spans="1:15" ht="15" customHeight="1" x14ac:dyDescent="0.2">
      <c r="A237" s="39">
        <v>46235</v>
      </c>
      <c r="B237" s="12" t="s">
        <v>20</v>
      </c>
      <c r="C237" s="12" t="s">
        <v>11</v>
      </c>
      <c r="D237" s="12" t="s">
        <v>12</v>
      </c>
      <c r="E237" s="13">
        <v>46</v>
      </c>
      <c r="F237" s="13">
        <f>IF($B237="","",IF($D237="kg",N($E237),IF($D237="sacos",N($E237)*97,IF($D237="jabas",N($E237)*IFERROR(VLOOKUP($C237,LISTAS!$A$2:$B$12,2,0),0),""))))</f>
        <v>690</v>
      </c>
      <c r="G237" s="40"/>
      <c r="H237" s="40"/>
      <c r="I237">
        <f t="shared" si="4"/>
        <v>690</v>
      </c>
      <c r="K237" s="42"/>
    </row>
    <row r="238" spans="1:15" ht="15" customHeight="1" x14ac:dyDescent="0.2">
      <c r="A238" s="39">
        <v>46235</v>
      </c>
      <c r="B238" s="12" t="s">
        <v>20</v>
      </c>
      <c r="C238" s="12" t="s">
        <v>21</v>
      </c>
      <c r="D238" s="12" t="s">
        <v>12</v>
      </c>
      <c r="E238" s="13">
        <v>14</v>
      </c>
      <c r="F238" s="13">
        <f>IF($B238="","",IF($D238="kg",N($E238),IF($D238="sacos",N($E238)*97,IF($D238="jabas",N($E238)*IFERROR(VLOOKUP($C238,LISTAS!$A$2:$B$12,2,0),0),""))))</f>
        <v>252</v>
      </c>
      <c r="G238" s="40"/>
      <c r="H238" s="40"/>
      <c r="I238">
        <f t="shared" si="4"/>
        <v>252</v>
      </c>
    </row>
    <row r="239" spans="1:15" ht="15" customHeight="1" x14ac:dyDescent="0.2">
      <c r="A239" s="39">
        <v>46235</v>
      </c>
      <c r="B239" s="12" t="s">
        <v>20</v>
      </c>
      <c r="C239" s="12" t="s">
        <v>22</v>
      </c>
      <c r="D239" s="12" t="s">
        <v>12</v>
      </c>
      <c r="E239" s="13">
        <v>10</v>
      </c>
      <c r="F239" s="13">
        <f>IF($B239="","",IF($D239="kg",N($E239),IF($D239="sacos",N($E239)*97,IF($D239="jabas",N($E239)*IFERROR(VLOOKUP($C239,LISTAS!$A$2:$B$12,2,0),0),""))))</f>
        <v>170</v>
      </c>
      <c r="G239" s="40"/>
      <c r="H239" s="40"/>
      <c r="I239">
        <f t="shared" si="4"/>
        <v>170</v>
      </c>
    </row>
    <row r="240" spans="1:15" ht="15" customHeight="1" x14ac:dyDescent="0.2">
      <c r="A240" s="39">
        <v>46235</v>
      </c>
      <c r="B240" s="12" t="s">
        <v>20</v>
      </c>
      <c r="C240" s="12" t="s">
        <v>13</v>
      </c>
      <c r="D240" s="12" t="s">
        <v>12</v>
      </c>
      <c r="E240" s="13">
        <v>108</v>
      </c>
      <c r="F240" s="13">
        <f>IF($B240="","",IF($D240="kg",N($E240),IF($D240="sacos",N($E240)*97,IF($D240="jabas",N($E240)*IFERROR(VLOOKUP($C240,LISTAS!$A$2:$B$12,2,0),0),""))))</f>
        <v>1836</v>
      </c>
      <c r="G240" s="40"/>
      <c r="H240" s="40"/>
      <c r="I240">
        <f t="shared" si="4"/>
        <v>1836</v>
      </c>
    </row>
    <row r="241" spans="1:11" ht="15" customHeight="1" x14ac:dyDescent="0.2">
      <c r="A241" s="39">
        <v>46235</v>
      </c>
      <c r="B241" s="12" t="s">
        <v>20</v>
      </c>
      <c r="C241" s="12" t="s">
        <v>15</v>
      </c>
      <c r="D241" s="12" t="s">
        <v>16</v>
      </c>
      <c r="E241" s="13">
        <v>8</v>
      </c>
      <c r="F241" s="13">
        <f>IF($B241="","",IF($D241="kg",N($E241),IF($D241="sacos",N($E241)*97,IF($D241="jabas",N($E241)*IFERROR(VLOOKUP($C241,LISTAS!$A$2:$B$12,2,0),0),""))))</f>
        <v>776</v>
      </c>
      <c r="G241" s="40"/>
      <c r="H241" s="40"/>
      <c r="I241">
        <f t="shared" si="4"/>
        <v>776</v>
      </c>
    </row>
    <row r="242" spans="1:11" ht="15" customHeight="1" x14ac:dyDescent="0.2">
      <c r="A242" s="39">
        <v>46235</v>
      </c>
      <c r="B242" s="15" t="s">
        <v>23</v>
      </c>
      <c r="C242" s="15" t="s">
        <v>11</v>
      </c>
      <c r="D242" s="15" t="s">
        <v>12</v>
      </c>
      <c r="E242" s="16">
        <v>67</v>
      </c>
      <c r="F242" s="16">
        <f>IF($B242="","",IF($D242="kg",N($E242),IF($D242="sacos",N($E242)*97,IF($D242="jabas",N($E242)*IFERROR(VLOOKUP($C242,LISTAS!$A$2:$B$12,2,0),0),""))))</f>
        <v>1005</v>
      </c>
      <c r="G242" s="40">
        <v>3042</v>
      </c>
      <c r="H242" s="40"/>
      <c r="I242">
        <f t="shared" si="4"/>
        <v>1005</v>
      </c>
    </row>
    <row r="243" spans="1:11" ht="15" customHeight="1" x14ac:dyDescent="0.2">
      <c r="A243" s="39">
        <v>46235</v>
      </c>
      <c r="B243" s="15" t="s">
        <v>23</v>
      </c>
      <c r="C243" s="15" t="s">
        <v>21</v>
      </c>
      <c r="D243" s="15" t="s">
        <v>12</v>
      </c>
      <c r="E243" s="16">
        <v>6</v>
      </c>
      <c r="F243" s="16">
        <f>IF($B243="","",IF($D243="kg",N($E243),IF($D243="sacos",N($E243)*97,IF($D243="jabas",N($E243)*IFERROR(VLOOKUP($C243,LISTAS!$A$2:$B$12,2,0),0),""))))</f>
        <v>108</v>
      </c>
      <c r="G243" s="40">
        <v>3042</v>
      </c>
      <c r="H243" s="40"/>
      <c r="I243">
        <f t="shared" si="4"/>
        <v>108</v>
      </c>
    </row>
    <row r="244" spans="1:11" ht="15" customHeight="1" x14ac:dyDescent="0.2">
      <c r="A244" s="39">
        <v>46235</v>
      </c>
      <c r="B244" s="15" t="s">
        <v>23</v>
      </c>
      <c r="C244" s="15" t="s">
        <v>22</v>
      </c>
      <c r="D244" s="15" t="s">
        <v>12</v>
      </c>
      <c r="E244" s="16">
        <v>10</v>
      </c>
      <c r="F244" s="16">
        <f>IF($B244="","",IF($D244="kg",N($E244),IF($D244="sacos",N($E244)*97,IF($D244="jabas",N($E244)*IFERROR(VLOOKUP($C244,LISTAS!$A$2:$B$12,2,0),0),""))))</f>
        <v>170</v>
      </c>
      <c r="G244" s="40">
        <v>3042</v>
      </c>
      <c r="H244" s="40"/>
      <c r="I244">
        <f t="shared" si="4"/>
        <v>170</v>
      </c>
    </row>
    <row r="245" spans="1:11" ht="15" customHeight="1" x14ac:dyDescent="0.2">
      <c r="A245" s="39">
        <v>46235</v>
      </c>
      <c r="B245" s="15" t="s">
        <v>23</v>
      </c>
      <c r="C245" s="15" t="s">
        <v>13</v>
      </c>
      <c r="D245" s="15" t="s">
        <v>12</v>
      </c>
      <c r="E245" s="16">
        <v>118</v>
      </c>
      <c r="F245" s="16">
        <f>IF($B245="","",IF($D245="kg",N($E245),IF($D245="sacos",N($E245)*97,IF($D245="jabas",N($E245)*IFERROR(VLOOKUP($C245,LISTAS!$A$2:$B$12,2,0),0),""))))</f>
        <v>2006</v>
      </c>
      <c r="G245" s="40">
        <v>3042</v>
      </c>
      <c r="H245" s="40"/>
      <c r="I245">
        <f t="shared" si="4"/>
        <v>2006</v>
      </c>
      <c r="K245" s="42"/>
    </row>
    <row r="246" spans="1:11" ht="15" customHeight="1" x14ac:dyDescent="0.2">
      <c r="A246" s="23">
        <v>46235</v>
      </c>
      <c r="B246" s="24" t="s">
        <v>42</v>
      </c>
      <c r="C246" s="24" t="s">
        <v>21</v>
      </c>
      <c r="D246" s="24" t="s">
        <v>12</v>
      </c>
      <c r="E246" s="25">
        <v>1</v>
      </c>
      <c r="F246" s="25">
        <f>IF($B246="","",IF($D246="kg",N($E246),IF($D246="sacos",N($E246)*97,IF($D246="jabas",N($E246)*IFERROR(VLOOKUP($C246,LISTAS!$A$2:$B$12,2,0),0),""))))</f>
        <v>18</v>
      </c>
      <c r="G246" s="40"/>
      <c r="H246" s="40"/>
    </row>
    <row r="247" spans="1:11" ht="15" customHeight="1" x14ac:dyDescent="0.2">
      <c r="A247" s="23">
        <v>46235</v>
      </c>
      <c r="B247" s="27" t="s">
        <v>43</v>
      </c>
      <c r="C247" s="27" t="s">
        <v>13</v>
      </c>
      <c r="D247" s="27" t="s">
        <v>44</v>
      </c>
      <c r="E247" s="28">
        <v>9</v>
      </c>
      <c r="F247" s="28">
        <f>IF($B247="","",IF($D247="kg",N($E247),IF($D247="sacos",N($E247)*97,IF($D247="jabas",N($E247)*IFERROR(VLOOKUP($C247,LISTAS!$A$2:$B$12,2,0),0),""))))</f>
        <v>9</v>
      </c>
      <c r="G247" s="40"/>
      <c r="H247" s="40"/>
    </row>
    <row r="248" spans="1:11" ht="15" customHeight="1" x14ac:dyDescent="0.2">
      <c r="A248" s="17">
        <v>46235</v>
      </c>
      <c r="B248" s="18" t="s">
        <v>28</v>
      </c>
      <c r="C248" s="18" t="s">
        <v>15</v>
      </c>
      <c r="D248" s="18" t="s">
        <v>16</v>
      </c>
      <c r="E248" s="19">
        <v>5</v>
      </c>
      <c r="F248" s="19">
        <f>IF($B248="","",IF($D248="kg",N($E248),IF($D248="sacos",N($E248)*97,IF($D248="jabas",N($E248)*IFERROR(VLOOKUP($C248,LISTAS!$A$2:$B$12,2,0),0),""))))</f>
        <v>485</v>
      </c>
      <c r="G248" s="18" t="s">
        <v>72</v>
      </c>
      <c r="H248" s="40" t="s">
        <v>73</v>
      </c>
      <c r="K248" s="42"/>
    </row>
    <row r="249" spans="1:11" ht="15" customHeight="1" x14ac:dyDescent="0.2">
      <c r="A249" s="17">
        <v>46236</v>
      </c>
      <c r="B249" s="18" t="s">
        <v>28</v>
      </c>
      <c r="C249" s="18" t="s">
        <v>15</v>
      </c>
      <c r="D249" s="18" t="s">
        <v>16</v>
      </c>
      <c r="E249" s="19">
        <v>5</v>
      </c>
      <c r="F249" s="19">
        <f>IF($B249="","",IF($D249="kg",N($E249),IF($D249="sacos",N($E249)*97,IF($D249="jabas",N($E249)*IFERROR(VLOOKUP($C249,LISTAS!$A$2:$B$12,2,0),0),""))))</f>
        <v>485</v>
      </c>
      <c r="G249" s="18" t="s">
        <v>74</v>
      </c>
      <c r="H249" s="40"/>
    </row>
    <row r="250" spans="1:11" ht="15" customHeight="1" x14ac:dyDescent="0.2">
      <c r="A250" s="39">
        <v>46236</v>
      </c>
      <c r="B250" s="40" t="s">
        <v>17</v>
      </c>
      <c r="C250" s="40"/>
      <c r="D250" s="40" t="s">
        <v>16</v>
      </c>
      <c r="E250" s="41">
        <v>59</v>
      </c>
      <c r="F250" s="41">
        <v>5965.82</v>
      </c>
      <c r="G250" s="40"/>
      <c r="H250" s="40" t="s">
        <v>75</v>
      </c>
      <c r="I250">
        <f t="shared" ref="I250:I259" si="5">N($F250)</f>
        <v>5965.82</v>
      </c>
      <c r="K250" s="42"/>
    </row>
    <row r="251" spans="1:11" ht="15" customHeight="1" x14ac:dyDescent="0.2">
      <c r="A251" s="39">
        <v>46236</v>
      </c>
      <c r="B251" s="12" t="s">
        <v>20</v>
      </c>
      <c r="C251" s="12" t="s">
        <v>11</v>
      </c>
      <c r="D251" s="12" t="s">
        <v>12</v>
      </c>
      <c r="E251" s="13">
        <v>98</v>
      </c>
      <c r="F251" s="13">
        <f>IF($B251="","",IF($D251="kg",N($E251),IF($D251="sacos",N($E251)*97,IF($D251="jabas",N($E251)*IFERROR(VLOOKUP($C251,LISTAS!$A$2:$B$12,2,0),0),""))))</f>
        <v>1470</v>
      </c>
      <c r="G251" s="40"/>
      <c r="H251" s="40"/>
      <c r="I251">
        <f t="shared" si="5"/>
        <v>1470</v>
      </c>
    </row>
    <row r="252" spans="1:11" ht="15" customHeight="1" x14ac:dyDescent="0.2">
      <c r="A252" s="39">
        <v>46236</v>
      </c>
      <c r="B252" s="12" t="s">
        <v>20</v>
      </c>
      <c r="C252" s="12" t="s">
        <v>21</v>
      </c>
      <c r="D252" s="12" t="s">
        <v>12</v>
      </c>
      <c r="E252" s="13">
        <v>14</v>
      </c>
      <c r="F252" s="13">
        <f>IF($B252="","",IF($D252="kg",N($E252),IF($D252="sacos",N($E252)*97,IF($D252="jabas",N($E252)*IFERROR(VLOOKUP($C252,LISTAS!$A$2:$B$12,2,0),0),""))))</f>
        <v>252</v>
      </c>
      <c r="G252" s="40"/>
      <c r="H252" s="40"/>
      <c r="I252">
        <f t="shared" si="5"/>
        <v>252</v>
      </c>
    </row>
    <row r="253" spans="1:11" ht="15" customHeight="1" x14ac:dyDescent="0.2">
      <c r="A253" s="39">
        <v>46236</v>
      </c>
      <c r="B253" s="12" t="s">
        <v>20</v>
      </c>
      <c r="C253" s="12" t="s">
        <v>22</v>
      </c>
      <c r="D253" s="12" t="s">
        <v>12</v>
      </c>
      <c r="E253" s="13">
        <v>23</v>
      </c>
      <c r="F253" s="13">
        <f>IF($B253="","",IF($D253="kg",N($E253),IF($D253="sacos",N($E253)*97,IF($D253="jabas",N($E253)*IFERROR(VLOOKUP($C253,LISTAS!$A$2:$B$12,2,0),0),""))))</f>
        <v>391</v>
      </c>
      <c r="G253" s="40"/>
      <c r="H253" s="40"/>
      <c r="I253">
        <f t="shared" si="5"/>
        <v>391</v>
      </c>
    </row>
    <row r="254" spans="1:11" ht="15" customHeight="1" x14ac:dyDescent="0.2">
      <c r="A254" s="39">
        <v>46236</v>
      </c>
      <c r="B254" s="12" t="s">
        <v>20</v>
      </c>
      <c r="C254" s="12" t="s">
        <v>13</v>
      </c>
      <c r="D254" s="12" t="s">
        <v>12</v>
      </c>
      <c r="E254" s="13">
        <v>152</v>
      </c>
      <c r="F254" s="13">
        <f>IF($B254="","",IF($D254="kg",N($E254),IF($D254="sacos",N($E254)*97,IF($D254="jabas",N($E254)*IFERROR(VLOOKUP($C254,LISTAS!$A$2:$B$12,2,0),0),""))))</f>
        <v>2584</v>
      </c>
      <c r="G254" s="40"/>
      <c r="H254" s="40"/>
      <c r="I254">
        <f t="shared" si="5"/>
        <v>2584</v>
      </c>
    </row>
    <row r="255" spans="1:11" ht="15" customHeight="1" x14ac:dyDescent="0.2">
      <c r="A255" s="39">
        <v>46236</v>
      </c>
      <c r="B255" s="12" t="s">
        <v>20</v>
      </c>
      <c r="C255" s="12" t="s">
        <v>15</v>
      </c>
      <c r="D255" s="12" t="s">
        <v>16</v>
      </c>
      <c r="E255" s="13">
        <v>10.5</v>
      </c>
      <c r="F255" s="13">
        <f>IF($B255="","",IF($D255="kg",N($E255),IF($D255="sacos",N($E255)*97,IF($D255="jabas",N($E255)*IFERROR(VLOOKUP($C255,LISTAS!$A$2:$B$12,2,0),0),""))))</f>
        <v>1018.5</v>
      </c>
      <c r="G255" s="40"/>
      <c r="H255" s="40"/>
      <c r="I255">
        <f t="shared" si="5"/>
        <v>1018.5</v>
      </c>
    </row>
    <row r="256" spans="1:11" ht="15" customHeight="1" x14ac:dyDescent="0.2">
      <c r="A256" s="39">
        <v>46236</v>
      </c>
      <c r="B256" s="15" t="s">
        <v>23</v>
      </c>
      <c r="C256" s="15" t="s">
        <v>11</v>
      </c>
      <c r="D256" s="15" t="s">
        <v>12</v>
      </c>
      <c r="E256" s="16">
        <v>67</v>
      </c>
      <c r="F256" s="16">
        <f>IF($B256="","",IF($D256="kg",N($E256),IF($D256="sacos",N($E256)*97,IF($D256="jabas",N($E256)*IFERROR(VLOOKUP($C256,LISTAS!$A$2:$B$12,2,0),0),""))))</f>
        <v>1005</v>
      </c>
      <c r="G256" s="40">
        <v>3040</v>
      </c>
      <c r="H256" s="40"/>
      <c r="I256">
        <f t="shared" si="5"/>
        <v>1005</v>
      </c>
    </row>
    <row r="257" spans="1:9" ht="15" customHeight="1" x14ac:dyDescent="0.2">
      <c r="A257" s="39">
        <v>46236</v>
      </c>
      <c r="B257" s="15" t="s">
        <v>23</v>
      </c>
      <c r="C257" s="15" t="s">
        <v>21</v>
      </c>
      <c r="D257" s="15" t="s">
        <v>12</v>
      </c>
      <c r="E257" s="16">
        <v>11</v>
      </c>
      <c r="F257" s="16">
        <f>IF($B257="","",IF($D257="kg",N($E257),IF($D257="sacos",N($E257)*97,IF($D257="jabas",N($E257)*IFERROR(VLOOKUP($C257,LISTAS!$A$2:$B$12,2,0),0),""))))</f>
        <v>198</v>
      </c>
      <c r="G257" s="40">
        <v>3040</v>
      </c>
      <c r="H257" s="40"/>
      <c r="I257">
        <f t="shared" si="5"/>
        <v>198</v>
      </c>
    </row>
    <row r="258" spans="1:9" ht="15" customHeight="1" x14ac:dyDescent="0.2">
      <c r="A258" s="39">
        <v>46236</v>
      </c>
      <c r="B258" s="15" t="s">
        <v>23</v>
      </c>
      <c r="C258" s="15" t="s">
        <v>22</v>
      </c>
      <c r="D258" s="15" t="s">
        <v>12</v>
      </c>
      <c r="E258" s="16">
        <v>12</v>
      </c>
      <c r="F258" s="16">
        <f>IF($B258="","",IF($D258="kg",N($E258),IF($D258="sacos",N($E258)*97,IF($D258="jabas",N($E258)*IFERROR(VLOOKUP($C258,LISTAS!$A$2:$B$12,2,0),0),""))))</f>
        <v>204</v>
      </c>
      <c r="G258" s="40">
        <v>3040</v>
      </c>
      <c r="H258" s="40"/>
      <c r="I258">
        <f t="shared" si="5"/>
        <v>204</v>
      </c>
    </row>
    <row r="259" spans="1:9" ht="15" customHeight="1" x14ac:dyDescent="0.2">
      <c r="A259" s="43">
        <v>46236</v>
      </c>
      <c r="B259" s="44" t="s">
        <v>23</v>
      </c>
      <c r="C259" s="44" t="s">
        <v>13</v>
      </c>
      <c r="D259" s="44" t="s">
        <v>12</v>
      </c>
      <c r="E259" s="45">
        <v>32</v>
      </c>
      <c r="F259" s="45">
        <f>IF($B259="","",IF($D259="kg",N($E259),IF($D259="sacos",N($E259)*97,IF($D259="jabas",N($E259)*IFERROR(VLOOKUP($C259,LISTAS!$A$2:$B$12,2,0),0),""))))</f>
        <v>544</v>
      </c>
      <c r="G259" s="40">
        <v>3040</v>
      </c>
      <c r="H259" s="46"/>
      <c r="I259">
        <f t="shared" si="5"/>
        <v>544</v>
      </c>
    </row>
    <row r="260" spans="1:9" ht="15" customHeight="1" x14ac:dyDescent="0.2">
      <c r="A260" s="43">
        <v>46236</v>
      </c>
      <c r="B260" s="44" t="s">
        <v>42</v>
      </c>
      <c r="C260" s="44" t="s">
        <v>13</v>
      </c>
      <c r="D260" s="44" t="s">
        <v>12</v>
      </c>
      <c r="E260" s="45">
        <v>1</v>
      </c>
      <c r="F260" s="45"/>
      <c r="G260" s="46"/>
      <c r="H260" s="46"/>
    </row>
    <row r="261" spans="1:9" ht="15" customHeight="1" x14ac:dyDescent="0.2">
      <c r="A261" s="43">
        <v>46236</v>
      </c>
      <c r="B261" s="44" t="s">
        <v>42</v>
      </c>
      <c r="C261" s="44" t="s">
        <v>21</v>
      </c>
      <c r="D261" s="44" t="s">
        <v>12</v>
      </c>
      <c r="E261" s="45">
        <v>1</v>
      </c>
      <c r="F261" s="45"/>
      <c r="G261" s="46"/>
      <c r="H261" s="46"/>
    </row>
    <row r="262" spans="1:9" ht="15" customHeight="1" x14ac:dyDescent="0.2">
      <c r="A262" s="17">
        <v>46236</v>
      </c>
      <c r="B262" s="18" t="s">
        <v>28</v>
      </c>
      <c r="C262" s="18" t="s">
        <v>15</v>
      </c>
      <c r="D262" s="18" t="s">
        <v>16</v>
      </c>
      <c r="E262" s="19">
        <v>12</v>
      </c>
      <c r="F262" s="19">
        <f>IF($B262="","",IF($D262="kg",N($E262),IF($D262="sacos",N($E262)*97,IF($D262="jabas",N($E262)*IFERROR(VLOOKUP($C262,LISTAS!$A$2:$B$12,2,0),0),""))))</f>
        <v>1164</v>
      </c>
      <c r="G262" s="18" t="s">
        <v>76</v>
      </c>
      <c r="H262" s="46" t="s">
        <v>77</v>
      </c>
    </row>
    <row r="263" spans="1:9" ht="15" customHeight="1" x14ac:dyDescent="0.2">
      <c r="A263" s="43">
        <v>46237</v>
      </c>
      <c r="B263" s="44" t="s">
        <v>50</v>
      </c>
      <c r="C263" s="44" t="s">
        <v>22</v>
      </c>
      <c r="D263" s="44" t="s">
        <v>12</v>
      </c>
      <c r="E263" s="45">
        <v>1</v>
      </c>
      <c r="F263" s="45">
        <v>17</v>
      </c>
      <c r="G263" s="46"/>
      <c r="H263" s="46" t="s">
        <v>78</v>
      </c>
    </row>
    <row r="264" spans="1:9" ht="15" customHeight="1" x14ac:dyDescent="0.2">
      <c r="A264" s="47">
        <v>46237</v>
      </c>
      <c r="B264" s="48" t="s">
        <v>23</v>
      </c>
      <c r="C264" s="48" t="s">
        <v>11</v>
      </c>
      <c r="D264" s="48" t="s">
        <v>12</v>
      </c>
      <c r="E264" s="49">
        <v>67</v>
      </c>
      <c r="F264" s="49">
        <f>IF($B264="","",IF($D264="kg",N($E264),IF($D264="sacos",N($E264)*97,IF($D264="jabas",N($E264)*IFERROR(VLOOKUP($C264,LISTAS!$A$2:$B$12,2,0),0),""))))</f>
        <v>1005</v>
      </c>
      <c r="G264" s="50">
        <v>3046</v>
      </c>
      <c r="H264" s="50"/>
      <c r="I264">
        <f t="shared" ref="I264:I292" si="6">N($F264)</f>
        <v>1005</v>
      </c>
    </row>
    <row r="265" spans="1:9" ht="15" customHeight="1" x14ac:dyDescent="0.2">
      <c r="A265" s="39">
        <v>46237</v>
      </c>
      <c r="B265" s="15" t="s">
        <v>23</v>
      </c>
      <c r="C265" s="15" t="s">
        <v>21</v>
      </c>
      <c r="D265" s="15" t="s">
        <v>12</v>
      </c>
      <c r="E265" s="16">
        <v>11</v>
      </c>
      <c r="F265" s="16">
        <f>IF($B265="","",IF($D265="kg",N($E265),IF($D265="sacos",N($E265)*97,IF($D265="jabas",N($E265)*IFERROR(VLOOKUP($C265,LISTAS!$A$2:$B$12,2,0),0),""))))</f>
        <v>198</v>
      </c>
      <c r="G265" s="50">
        <v>3046</v>
      </c>
      <c r="H265" s="40"/>
      <c r="I265">
        <f t="shared" si="6"/>
        <v>198</v>
      </c>
    </row>
    <row r="266" spans="1:9" ht="15" customHeight="1" x14ac:dyDescent="0.2">
      <c r="A266" s="39">
        <v>46237</v>
      </c>
      <c r="B266" s="15" t="s">
        <v>23</v>
      </c>
      <c r="C266" s="15" t="s">
        <v>22</v>
      </c>
      <c r="D266" s="15" t="s">
        <v>12</v>
      </c>
      <c r="E266" s="16">
        <v>12</v>
      </c>
      <c r="F266" s="16">
        <f>IF($B266="","",IF($D266="kg",N($E266),IF($D266="sacos",N($E266)*97,IF($D266="jabas",N($E266)*IFERROR(VLOOKUP($C266,LISTAS!$A$2:$B$12,2,0),0),""))))</f>
        <v>204</v>
      </c>
      <c r="G266" s="50">
        <v>3046</v>
      </c>
      <c r="H266" s="40"/>
      <c r="I266">
        <f t="shared" si="6"/>
        <v>204</v>
      </c>
    </row>
    <row r="267" spans="1:9" ht="15" customHeight="1" x14ac:dyDescent="0.2">
      <c r="A267" s="39">
        <v>46237</v>
      </c>
      <c r="B267" s="15" t="s">
        <v>23</v>
      </c>
      <c r="C267" s="15" t="s">
        <v>13</v>
      </c>
      <c r="D267" s="15" t="s">
        <v>12</v>
      </c>
      <c r="E267" s="16">
        <v>118</v>
      </c>
      <c r="F267" s="16">
        <f>IF($B267="","",IF($D267="kg",N($E267),IF($D267="sacos",N($E267)*97,IF($D267="jabas",N($E267)*IFERROR(VLOOKUP($C267,LISTAS!$A$2:$B$12,2,0),0),""))))</f>
        <v>2006</v>
      </c>
      <c r="G267" s="50">
        <v>3046</v>
      </c>
      <c r="H267" s="40"/>
      <c r="I267">
        <f t="shared" si="6"/>
        <v>2006</v>
      </c>
    </row>
    <row r="268" spans="1:9" ht="15" customHeight="1" x14ac:dyDescent="0.2">
      <c r="A268" s="39">
        <v>46237</v>
      </c>
      <c r="B268" s="40" t="s">
        <v>50</v>
      </c>
      <c r="C268" s="40" t="s">
        <v>11</v>
      </c>
      <c r="D268" s="40" t="s">
        <v>12</v>
      </c>
      <c r="E268" s="41">
        <v>20</v>
      </c>
      <c r="F268" s="41">
        <f>IF($B268="","",IF($D268="kg",N($E268),IF($D268="sacos",N($E268)*97,IF($D268="jabas",N($E268)*IFERROR(VLOOKUP($C268,LISTAS!$A$2:$B$12,2,0),0),""))))</f>
        <v>300</v>
      </c>
      <c r="G268" s="40"/>
      <c r="H268" s="40" t="s">
        <v>79</v>
      </c>
      <c r="I268">
        <f t="shared" si="6"/>
        <v>300</v>
      </c>
    </row>
    <row r="269" spans="1:9" ht="15" customHeight="1" x14ac:dyDescent="0.2">
      <c r="A269" s="39">
        <v>46238</v>
      </c>
      <c r="B269" s="40" t="s">
        <v>17</v>
      </c>
      <c r="C269" s="40"/>
      <c r="D269" s="40" t="s">
        <v>16</v>
      </c>
      <c r="E269" s="41">
        <v>34</v>
      </c>
      <c r="F269" s="41">
        <v>3450</v>
      </c>
      <c r="G269" s="40"/>
      <c r="H269" s="40" t="s">
        <v>80</v>
      </c>
      <c r="I269">
        <f t="shared" si="6"/>
        <v>3450</v>
      </c>
    </row>
    <row r="270" spans="1:9" ht="15" customHeight="1" x14ac:dyDescent="0.2">
      <c r="A270" s="39">
        <v>46238</v>
      </c>
      <c r="B270" s="12" t="s">
        <v>20</v>
      </c>
      <c r="C270" s="12" t="s">
        <v>11</v>
      </c>
      <c r="D270" s="12" t="s">
        <v>12</v>
      </c>
      <c r="E270" s="13">
        <v>37</v>
      </c>
      <c r="F270" s="13">
        <f>IF($B270="","",IF($D270="kg",N($E270),IF($D270="sacos",N($E270)*97,IF($D270="jabas",N($E270)*IFERROR(VLOOKUP($C270,LISTAS!$A$2:$B$12,2,0),0),""))))</f>
        <v>555</v>
      </c>
      <c r="G270" s="40"/>
      <c r="H270" s="40"/>
      <c r="I270">
        <f t="shared" si="6"/>
        <v>555</v>
      </c>
    </row>
    <row r="271" spans="1:9" ht="15" customHeight="1" x14ac:dyDescent="0.2">
      <c r="A271" s="39">
        <v>46238</v>
      </c>
      <c r="B271" s="12" t="s">
        <v>20</v>
      </c>
      <c r="C271" s="12" t="s">
        <v>21</v>
      </c>
      <c r="D271" s="12" t="s">
        <v>12</v>
      </c>
      <c r="E271" s="13">
        <v>11</v>
      </c>
      <c r="F271" s="13">
        <f>IF($B271="","",IF($D271="kg",N($E271),IF($D271="sacos",N($E271)*97,IF($D271="jabas",N($E271)*IFERROR(VLOOKUP($C271,LISTAS!$A$2:$B$12,2,0),0),""))))</f>
        <v>198</v>
      </c>
      <c r="G271" s="40"/>
      <c r="H271" s="40"/>
      <c r="I271">
        <f t="shared" si="6"/>
        <v>198</v>
      </c>
    </row>
    <row r="272" spans="1:9" ht="15" customHeight="1" x14ac:dyDescent="0.2">
      <c r="A272" s="39">
        <v>46238</v>
      </c>
      <c r="B272" s="12" t="s">
        <v>20</v>
      </c>
      <c r="C272" s="12" t="s">
        <v>22</v>
      </c>
      <c r="D272" s="12" t="s">
        <v>12</v>
      </c>
      <c r="E272" s="13">
        <v>12</v>
      </c>
      <c r="F272" s="13">
        <f>IF($B272="","",IF($D272="kg",N($E272),IF($D272="sacos",N($E272)*97,IF($D272="jabas",N($E272)*IFERROR(VLOOKUP($C272,LISTAS!$A$2:$B$12,2,0),0),""))))</f>
        <v>204</v>
      </c>
      <c r="G272" s="40"/>
      <c r="H272" s="40"/>
      <c r="I272">
        <f t="shared" si="6"/>
        <v>204</v>
      </c>
    </row>
    <row r="273" spans="1:9" ht="15" customHeight="1" x14ac:dyDescent="0.2">
      <c r="A273" s="39">
        <v>46238</v>
      </c>
      <c r="B273" s="12" t="s">
        <v>20</v>
      </c>
      <c r="C273" s="12" t="s">
        <v>13</v>
      </c>
      <c r="D273" s="12" t="s">
        <v>12</v>
      </c>
      <c r="E273" s="13">
        <v>78</v>
      </c>
      <c r="F273" s="13">
        <f>IF($B273="","",IF($D273="kg",N($E273),IF($D273="sacos",N($E273)*97,IF($D273="jabas",N($E273)*IFERROR(VLOOKUP($C273,LISTAS!$A$2:$B$12,2,0),0),""))))</f>
        <v>1326</v>
      </c>
      <c r="G273" s="40"/>
      <c r="H273" s="40"/>
      <c r="I273">
        <f t="shared" si="6"/>
        <v>1326</v>
      </c>
    </row>
    <row r="274" spans="1:9" ht="15" customHeight="1" x14ac:dyDescent="0.2">
      <c r="A274" s="39">
        <v>46238</v>
      </c>
      <c r="B274" s="12" t="s">
        <v>20</v>
      </c>
      <c r="C274" s="12" t="s">
        <v>15</v>
      </c>
      <c r="D274" s="12" t="s">
        <v>16</v>
      </c>
      <c r="E274" s="13">
        <v>12</v>
      </c>
      <c r="F274" s="13">
        <f>IF($B274="","",IF($D274="kg",N($E274),IF($D274="sacos",N($E274)*97,IF($D274="jabas",N($E274)*IFERROR(VLOOKUP($C274,LISTAS!$A$2:$B$12,2,0),0),""))))</f>
        <v>1164</v>
      </c>
      <c r="G274" s="40"/>
      <c r="H274" s="40"/>
      <c r="I274">
        <f t="shared" si="6"/>
        <v>1164</v>
      </c>
    </row>
    <row r="275" spans="1:9" ht="15" customHeight="1" x14ac:dyDescent="0.2">
      <c r="A275" s="39">
        <v>46238</v>
      </c>
      <c r="B275" s="15" t="s">
        <v>23</v>
      </c>
      <c r="C275" s="15" t="s">
        <v>11</v>
      </c>
      <c r="D275" s="15" t="s">
        <v>12</v>
      </c>
      <c r="E275" s="16">
        <v>67</v>
      </c>
      <c r="F275" s="16">
        <f>IF($B275="","",IF($D275="kg",N($E275),IF($D275="sacos",N($E275)*97,IF($D275="jabas",N($E275)*IFERROR(VLOOKUP($C275,LISTAS!$A$2:$B$12,2,0),0),""))))</f>
        <v>1005</v>
      </c>
      <c r="G275" s="40">
        <v>3051</v>
      </c>
      <c r="H275" s="40"/>
      <c r="I275">
        <f t="shared" si="6"/>
        <v>1005</v>
      </c>
    </row>
    <row r="276" spans="1:9" ht="15" customHeight="1" x14ac:dyDescent="0.2">
      <c r="A276" s="39">
        <v>46238</v>
      </c>
      <c r="B276" s="15" t="s">
        <v>23</v>
      </c>
      <c r="C276" s="15" t="s">
        <v>21</v>
      </c>
      <c r="D276" s="15" t="s">
        <v>12</v>
      </c>
      <c r="E276" s="16">
        <v>11</v>
      </c>
      <c r="F276" s="16">
        <f>IF($B276="","",IF($D276="kg",N($E276),IF($D276="sacos",N($E276)*97,IF($D276="jabas",N($E276)*IFERROR(VLOOKUP($C276,LISTAS!$A$2:$B$12,2,0),0),""))))</f>
        <v>198</v>
      </c>
      <c r="G276" s="40">
        <v>3051</v>
      </c>
      <c r="H276" s="40"/>
      <c r="I276">
        <f t="shared" si="6"/>
        <v>198</v>
      </c>
    </row>
    <row r="277" spans="1:9" ht="15" customHeight="1" x14ac:dyDescent="0.2">
      <c r="A277" s="39">
        <v>46238</v>
      </c>
      <c r="B277" s="15" t="s">
        <v>23</v>
      </c>
      <c r="C277" s="15" t="s">
        <v>22</v>
      </c>
      <c r="D277" s="15" t="s">
        <v>12</v>
      </c>
      <c r="E277" s="16">
        <v>12</v>
      </c>
      <c r="F277" s="16">
        <f>IF($B277="","",IF($D277="kg",N($E277),IF($D277="sacos",N($E277)*97,IF($D277="jabas",N($E277)*IFERROR(VLOOKUP($C277,LISTAS!$A$2:$B$12,2,0),0),""))))</f>
        <v>204</v>
      </c>
      <c r="G277" s="40">
        <v>3051</v>
      </c>
      <c r="H277" s="40"/>
      <c r="I277">
        <f t="shared" si="6"/>
        <v>204</v>
      </c>
    </row>
    <row r="278" spans="1:9" ht="15" customHeight="1" x14ac:dyDescent="0.2">
      <c r="A278" s="39">
        <v>46238</v>
      </c>
      <c r="B278" s="44" t="s">
        <v>23</v>
      </c>
      <c r="C278" s="44" t="s">
        <v>13</v>
      </c>
      <c r="D278" s="44" t="s">
        <v>12</v>
      </c>
      <c r="E278" s="45">
        <v>118</v>
      </c>
      <c r="F278" s="45">
        <f>IF($B278="","",IF($D278="kg",N($E278),IF($D278="sacos",N($E278)*97,IF($D278="jabas",N($E278)*IFERROR(VLOOKUP($C278,LISTAS!$A$2:$B$12,2,0),0),""))))</f>
        <v>2006</v>
      </c>
      <c r="G278" s="40">
        <v>3051</v>
      </c>
      <c r="H278" s="40"/>
      <c r="I278">
        <f t="shared" si="6"/>
        <v>2006</v>
      </c>
    </row>
    <row r="279" spans="1:9" ht="15" customHeight="1" x14ac:dyDescent="0.2">
      <c r="A279" s="39">
        <v>46239</v>
      </c>
      <c r="B279" s="44" t="s">
        <v>17</v>
      </c>
      <c r="C279" s="44"/>
      <c r="D279" s="44" t="s">
        <v>16</v>
      </c>
      <c r="E279" s="45">
        <f>100-48</f>
        <v>52</v>
      </c>
      <c r="F279" s="45">
        <f>IF($B279="","",IF($D279="kg",N($E279),IF($D279="sacos",N($E279)*97,IF($D279="jabas",N($E279)*IFERROR(VLOOKUP($C279,LISTAS!$A$2:$B$12,2,0),0),""))))</f>
        <v>5044</v>
      </c>
      <c r="G279" s="40"/>
      <c r="H279" s="40" t="s">
        <v>81</v>
      </c>
      <c r="I279">
        <f t="shared" si="6"/>
        <v>5044</v>
      </c>
    </row>
    <row r="280" spans="1:9" ht="15" customHeight="1" x14ac:dyDescent="0.2">
      <c r="A280" s="39">
        <v>46239</v>
      </c>
      <c r="B280" s="12" t="s">
        <v>20</v>
      </c>
      <c r="C280" s="12" t="s">
        <v>11</v>
      </c>
      <c r="D280" s="12" t="s">
        <v>12</v>
      </c>
      <c r="E280" s="13">
        <v>96</v>
      </c>
      <c r="F280" s="13">
        <f>IF($B280="","",IF($D280="kg",N($E280),IF($D280="sacos",N($E280)*97,IF($D280="jabas",N($E280)*IFERROR(VLOOKUP($C280,LISTAS!$A$2:$B$12,2,0),0),""))))</f>
        <v>1440</v>
      </c>
      <c r="G280" s="40"/>
      <c r="H280" s="40"/>
      <c r="I280">
        <f t="shared" si="6"/>
        <v>1440</v>
      </c>
    </row>
    <row r="281" spans="1:9" ht="15" customHeight="1" x14ac:dyDescent="0.2">
      <c r="A281" s="39">
        <v>46239</v>
      </c>
      <c r="B281" s="12" t="s">
        <v>20</v>
      </c>
      <c r="C281" s="12" t="s">
        <v>21</v>
      </c>
      <c r="D281" s="12" t="s">
        <v>12</v>
      </c>
      <c r="E281" s="13">
        <v>22</v>
      </c>
      <c r="F281" s="13">
        <f>IF($B281="","",IF($D281="kg",N($E281),IF($D281="sacos",N($E281)*97,IF($D281="jabas",N($E281)*IFERROR(VLOOKUP($C281,LISTAS!$A$2:$B$12,2,0),0),""))))</f>
        <v>396</v>
      </c>
      <c r="G281" s="40"/>
      <c r="H281" s="40"/>
      <c r="I281">
        <f t="shared" si="6"/>
        <v>396</v>
      </c>
    </row>
    <row r="282" spans="1:9" ht="15" customHeight="1" x14ac:dyDescent="0.2">
      <c r="A282" s="39">
        <v>46239</v>
      </c>
      <c r="B282" s="12" t="s">
        <v>20</v>
      </c>
      <c r="C282" s="12" t="s">
        <v>22</v>
      </c>
      <c r="D282" s="12" t="s">
        <v>12</v>
      </c>
      <c r="E282" s="13">
        <v>23</v>
      </c>
      <c r="F282" s="13">
        <f>IF($B282="","",IF($D282="kg",N($E282),IF($D282="sacos",N($E282)*97,IF($D282="jabas",N($E282)*IFERROR(VLOOKUP($C282,LISTAS!$A$2:$B$12,2,0),0),""))))</f>
        <v>391</v>
      </c>
      <c r="G282" s="40"/>
      <c r="H282" s="40"/>
      <c r="I282">
        <f t="shared" si="6"/>
        <v>391</v>
      </c>
    </row>
    <row r="283" spans="1:9" ht="15" customHeight="1" x14ac:dyDescent="0.2">
      <c r="A283" s="39">
        <v>46239</v>
      </c>
      <c r="B283" s="12" t="s">
        <v>20</v>
      </c>
      <c r="C283" s="12" t="s">
        <v>13</v>
      </c>
      <c r="D283" s="12" t="s">
        <v>12</v>
      </c>
      <c r="E283" s="13">
        <v>153</v>
      </c>
      <c r="F283" s="13">
        <f>IF($B283="","",IF($D283="kg",N($E283),IF($D283="sacos",N($E283)*97,IF($D283="jabas",N($E283)*IFERROR(VLOOKUP($C283,LISTAS!$A$2:$B$12,2,0),0),""))))</f>
        <v>2601</v>
      </c>
      <c r="G283" s="40"/>
      <c r="H283" s="40"/>
      <c r="I283">
        <f t="shared" si="6"/>
        <v>2601</v>
      </c>
    </row>
    <row r="284" spans="1:9" ht="15" customHeight="1" x14ac:dyDescent="0.2">
      <c r="A284" s="39">
        <v>46239</v>
      </c>
      <c r="B284" s="12" t="s">
        <v>20</v>
      </c>
      <c r="C284" s="12" t="s">
        <v>15</v>
      </c>
      <c r="D284" s="12" t="s">
        <v>16</v>
      </c>
      <c r="E284" s="13">
        <v>5.5</v>
      </c>
      <c r="F284" s="13">
        <f>IF($B284="","",IF($D284="kg",N($E284),IF($D284="sacos",N($E284)*97,IF($D284="jabas",N($E284)*IFERROR(VLOOKUP($C284,LISTAS!$A$2:$B$12,2,0),0),""))))</f>
        <v>533.5</v>
      </c>
      <c r="G284" s="40"/>
      <c r="H284" s="40"/>
      <c r="I284">
        <f t="shared" si="6"/>
        <v>533.5</v>
      </c>
    </row>
    <row r="285" spans="1:9" ht="15" customHeight="1" x14ac:dyDescent="0.2">
      <c r="A285" s="39">
        <v>46239</v>
      </c>
      <c r="B285" s="15" t="s">
        <v>23</v>
      </c>
      <c r="C285" s="15" t="s">
        <v>11</v>
      </c>
      <c r="D285" s="15" t="s">
        <v>12</v>
      </c>
      <c r="E285" s="16">
        <v>67</v>
      </c>
      <c r="F285" s="16">
        <f>IF($B285="","",IF($D285="kg",N($E285),IF($D285="sacos",N($E285)*97,IF($D285="jabas",N($E285)*IFERROR(VLOOKUP($C285,LISTAS!$A$2:$B$12,2,0),0),""))))</f>
        <v>1005</v>
      </c>
      <c r="G285" s="40">
        <v>3054</v>
      </c>
      <c r="H285" s="40"/>
      <c r="I285">
        <f t="shared" si="6"/>
        <v>1005</v>
      </c>
    </row>
    <row r="286" spans="1:9" ht="15" customHeight="1" x14ac:dyDescent="0.2">
      <c r="A286" s="39">
        <v>46239</v>
      </c>
      <c r="B286" s="15" t="s">
        <v>23</v>
      </c>
      <c r="C286" s="15" t="s">
        <v>21</v>
      </c>
      <c r="D286" s="15" t="s">
        <v>12</v>
      </c>
      <c r="E286" s="16">
        <v>11</v>
      </c>
      <c r="F286" s="16">
        <f>IF($B286="","",IF($D286="kg",N($E286),IF($D286="sacos",N($E286)*97,IF($D286="jabas",N($E286)*IFERROR(VLOOKUP($C286,LISTAS!$A$2:$B$12,2,0),0),""))))</f>
        <v>198</v>
      </c>
      <c r="G286" s="40">
        <v>3054</v>
      </c>
      <c r="H286" s="40"/>
      <c r="I286">
        <f t="shared" si="6"/>
        <v>198</v>
      </c>
    </row>
    <row r="287" spans="1:9" ht="15" customHeight="1" x14ac:dyDescent="0.2">
      <c r="A287" s="39">
        <v>46239</v>
      </c>
      <c r="B287" s="15" t="s">
        <v>23</v>
      </c>
      <c r="C287" s="15" t="s">
        <v>22</v>
      </c>
      <c r="D287" s="15" t="s">
        <v>12</v>
      </c>
      <c r="E287" s="16">
        <v>11</v>
      </c>
      <c r="F287" s="16">
        <f>IF($B287="","",IF($D287="kg",N($E287),IF($D287="sacos",N($E287)*97,IF($D287="jabas",N($E287)*IFERROR(VLOOKUP($C287,LISTAS!$A$2:$B$12,2,0),0),""))))</f>
        <v>187</v>
      </c>
      <c r="G287" s="40">
        <v>3054</v>
      </c>
      <c r="H287" s="40"/>
      <c r="I287">
        <f t="shared" si="6"/>
        <v>187</v>
      </c>
    </row>
    <row r="288" spans="1:9" ht="15" customHeight="1" x14ac:dyDescent="0.2">
      <c r="A288" s="39">
        <v>46239</v>
      </c>
      <c r="B288" s="44" t="s">
        <v>23</v>
      </c>
      <c r="C288" s="44" t="s">
        <v>13</v>
      </c>
      <c r="D288" s="44" t="s">
        <v>12</v>
      </c>
      <c r="E288" s="45">
        <v>104</v>
      </c>
      <c r="F288" s="45">
        <f>IF($B288="","",IF($D288="kg",N($E288),IF($D288="sacos",N($E288)*97,IF($D288="jabas",N($E288)*IFERROR(VLOOKUP($C288,LISTAS!$A$2:$B$12,2,0),0),""))))</f>
        <v>1768</v>
      </c>
      <c r="G288" s="40">
        <v>3054</v>
      </c>
      <c r="H288" s="40"/>
      <c r="I288">
        <f t="shared" si="6"/>
        <v>1768</v>
      </c>
    </row>
    <row r="289" spans="1:9" ht="15" customHeight="1" x14ac:dyDescent="0.2">
      <c r="A289" s="39">
        <v>46239</v>
      </c>
      <c r="B289" s="18" t="s">
        <v>28</v>
      </c>
      <c r="C289" s="18" t="s">
        <v>15</v>
      </c>
      <c r="D289" s="18" t="s">
        <v>16</v>
      </c>
      <c r="E289" s="41">
        <v>2</v>
      </c>
      <c r="F289" s="41">
        <f>IF($B289="","",IF($D289="kg",N($E289),IF($D289="sacos",N($E289)*97,IF($D289="jabas",N($E289)*IFERROR(VLOOKUP($C289,LISTAS!$A$2:$B$12,2,0),0),""))))</f>
        <v>194</v>
      </c>
      <c r="G289" s="40"/>
      <c r="H289" s="40" t="s">
        <v>82</v>
      </c>
      <c r="I289">
        <f t="shared" si="6"/>
        <v>194</v>
      </c>
    </row>
    <row r="290" spans="1:9" ht="15" customHeight="1" x14ac:dyDescent="0.2">
      <c r="A290" s="39">
        <v>46239</v>
      </c>
      <c r="B290" s="18" t="s">
        <v>28</v>
      </c>
      <c r="C290" s="18" t="s">
        <v>15</v>
      </c>
      <c r="D290" s="18" t="s">
        <v>16</v>
      </c>
      <c r="E290" s="41">
        <v>2</v>
      </c>
      <c r="F290" s="41">
        <f>IF($B290="","",IF($D290="kg",N($E290),IF($D290="sacos",N($E290)*97,IF($D290="jabas",N($E290)*IFERROR(VLOOKUP($C290,LISTAS!$A$2:$B$12,2,0),0),""))))</f>
        <v>194</v>
      </c>
      <c r="G290" s="40"/>
      <c r="H290" s="40" t="s">
        <v>83</v>
      </c>
      <c r="I290">
        <f t="shared" si="6"/>
        <v>194</v>
      </c>
    </row>
    <row r="291" spans="1:9" ht="15" customHeight="1" x14ac:dyDescent="0.2">
      <c r="A291" s="39">
        <v>46239</v>
      </c>
      <c r="B291" s="18" t="s">
        <v>28</v>
      </c>
      <c r="C291" s="18" t="s">
        <v>15</v>
      </c>
      <c r="D291" s="18" t="s">
        <v>16</v>
      </c>
      <c r="E291" s="41">
        <v>15</v>
      </c>
      <c r="F291" s="51">
        <f>IF($B291="","",IF($D291="kg",N($E291),IF($D291="sacos",N($E291)*97,IF($D291="jabas",N($E291)*IFERROR(VLOOKUP($C291,LISTAS!$A$2:$B$12,2,0),0),""))))</f>
        <v>1455</v>
      </c>
      <c r="G291" s="40" t="s">
        <v>84</v>
      </c>
      <c r="H291" s="40" t="s">
        <v>85</v>
      </c>
      <c r="I291">
        <f t="shared" si="6"/>
        <v>1455</v>
      </c>
    </row>
    <row r="292" spans="1:9" ht="15" customHeight="1" x14ac:dyDescent="0.2">
      <c r="A292" s="39">
        <v>46239</v>
      </c>
      <c r="B292" s="18" t="s">
        <v>28</v>
      </c>
      <c r="C292" s="18" t="s">
        <v>15</v>
      </c>
      <c r="D292" s="18" t="s">
        <v>16</v>
      </c>
      <c r="E292" s="41">
        <v>1</v>
      </c>
      <c r="F292" s="51">
        <f>IF($B292="","",IF($D292="kg",N($E292),IF($D292="sacos",N($E292)*97,IF($D292="jabas",N($E292)*IFERROR(VLOOKUP($C292,LISTAS!$A$2:$B$12,2,0),0),""))))</f>
        <v>97</v>
      </c>
      <c r="G292" s="40"/>
      <c r="H292" s="40" t="s">
        <v>65</v>
      </c>
      <c r="I292">
        <f t="shared" si="6"/>
        <v>97</v>
      </c>
    </row>
    <row r="293" spans="1:9" ht="15" customHeight="1" x14ac:dyDescent="0.2">
      <c r="A293" s="43">
        <v>46239</v>
      </c>
      <c r="B293" s="44" t="s">
        <v>42</v>
      </c>
      <c r="C293" s="44" t="s">
        <v>11</v>
      </c>
      <c r="D293" s="44" t="s">
        <v>12</v>
      </c>
      <c r="E293" s="45">
        <v>1</v>
      </c>
      <c r="F293" s="45"/>
      <c r="G293" s="46"/>
      <c r="H293" s="40"/>
    </row>
    <row r="294" spans="1:9" ht="15" customHeight="1" x14ac:dyDescent="0.2">
      <c r="A294" s="43">
        <v>46239</v>
      </c>
      <c r="B294" s="44" t="s">
        <v>43</v>
      </c>
      <c r="C294" s="44" t="s">
        <v>11</v>
      </c>
      <c r="D294" s="44" t="s">
        <v>44</v>
      </c>
      <c r="E294" s="45">
        <v>5</v>
      </c>
      <c r="F294" s="45">
        <v>5</v>
      </c>
      <c r="G294" s="46"/>
      <c r="H294" s="40"/>
    </row>
    <row r="295" spans="1:9" ht="15" customHeight="1" x14ac:dyDescent="0.2">
      <c r="A295" s="39">
        <v>46240</v>
      </c>
      <c r="B295" s="44" t="s">
        <v>17</v>
      </c>
      <c r="C295" s="44"/>
      <c r="D295" s="44" t="s">
        <v>16</v>
      </c>
      <c r="E295" s="45">
        <f>100-52</f>
        <v>48</v>
      </c>
      <c r="F295" s="45">
        <f>IF($B295="","",IF($D295="kg",N($E295),IF($D295="sacos",N($E295)*97,IF($D295="jabas",N($E295)*IFERROR(VLOOKUP($C295,LISTAS!$A$2:$B$12,2,0),0),""))))</f>
        <v>4656</v>
      </c>
      <c r="G295" s="40"/>
      <c r="H295" s="40" t="s">
        <v>86</v>
      </c>
      <c r="I295">
        <f t="shared" ref="I295:I324" si="7">N($F295)</f>
        <v>4656</v>
      </c>
    </row>
    <row r="296" spans="1:9" ht="15" customHeight="1" x14ac:dyDescent="0.2">
      <c r="A296" s="39">
        <v>46240</v>
      </c>
      <c r="B296" s="12" t="s">
        <v>20</v>
      </c>
      <c r="C296" s="12" t="s">
        <v>11</v>
      </c>
      <c r="D296" s="12" t="s">
        <v>12</v>
      </c>
      <c r="E296" s="13">
        <v>79</v>
      </c>
      <c r="F296" s="13">
        <f>IF($B296="","",IF($D296="kg",N($E296),IF($D296="sacos",N($E296)*97,IF($D296="jabas",N($E296)*IFERROR(VLOOKUP($C296,LISTAS!$A$2:$B$12,2,0),0),""))))</f>
        <v>1185</v>
      </c>
      <c r="G296" s="40"/>
      <c r="H296" s="40"/>
      <c r="I296">
        <f t="shared" si="7"/>
        <v>1185</v>
      </c>
    </row>
    <row r="297" spans="1:9" ht="15" customHeight="1" x14ac:dyDescent="0.2">
      <c r="A297" s="39">
        <v>46240</v>
      </c>
      <c r="B297" s="12" t="s">
        <v>20</v>
      </c>
      <c r="C297" s="12" t="s">
        <v>21</v>
      </c>
      <c r="D297" s="12" t="s">
        <v>12</v>
      </c>
      <c r="E297" s="13">
        <v>11</v>
      </c>
      <c r="F297" s="13">
        <f>IF($B297="","",IF($D297="kg",N($E297),IF($D297="sacos",N($E297)*97,IF($D297="jabas",N($E297)*IFERROR(VLOOKUP($C297,LISTAS!$A$2:$B$12,2,0),0),""))))</f>
        <v>198</v>
      </c>
      <c r="G297" s="40"/>
      <c r="H297" s="40"/>
      <c r="I297">
        <f t="shared" si="7"/>
        <v>198</v>
      </c>
    </row>
    <row r="298" spans="1:9" ht="15" customHeight="1" x14ac:dyDescent="0.2">
      <c r="A298" s="39">
        <v>46240</v>
      </c>
      <c r="B298" s="12" t="s">
        <v>20</v>
      </c>
      <c r="C298" s="12" t="s">
        <v>22</v>
      </c>
      <c r="D298" s="12" t="s">
        <v>12</v>
      </c>
      <c r="E298" s="13">
        <v>12</v>
      </c>
      <c r="F298" s="13">
        <f>IF($B298="","",IF($D298="kg",N($E298),IF($D298="sacos",N($E298)*97,IF($D298="jabas",N($E298)*IFERROR(VLOOKUP($C298,LISTAS!$A$2:$B$12,2,0),0),""))))</f>
        <v>204</v>
      </c>
      <c r="G298" s="40"/>
      <c r="H298" s="40"/>
      <c r="I298">
        <f t="shared" si="7"/>
        <v>204</v>
      </c>
    </row>
    <row r="299" spans="1:9" ht="15" customHeight="1" x14ac:dyDescent="0.2">
      <c r="A299" s="39">
        <v>46240</v>
      </c>
      <c r="B299" s="12" t="s">
        <v>20</v>
      </c>
      <c r="C299" s="12" t="s">
        <v>13</v>
      </c>
      <c r="D299" s="12" t="s">
        <v>12</v>
      </c>
      <c r="E299" s="13">
        <v>147</v>
      </c>
      <c r="F299" s="13">
        <f>IF($B299="","",IF($D299="kg",N($E299),IF($D299="sacos",N($E299)*97,IF($D299="jabas",N($E299)*IFERROR(VLOOKUP($C299,LISTAS!$A$2:$B$12,2,0),0),""))))</f>
        <v>2499</v>
      </c>
      <c r="G299" s="40"/>
      <c r="H299" s="40"/>
      <c r="I299">
        <f t="shared" si="7"/>
        <v>2499</v>
      </c>
    </row>
    <row r="300" spans="1:9" ht="15" customHeight="1" x14ac:dyDescent="0.2">
      <c r="A300" s="39">
        <v>46240</v>
      </c>
      <c r="B300" s="12" t="s">
        <v>20</v>
      </c>
      <c r="C300" s="12" t="s">
        <v>15</v>
      </c>
      <c r="D300" s="12" t="s">
        <v>16</v>
      </c>
      <c r="E300" s="13">
        <v>6.5</v>
      </c>
      <c r="F300" s="13">
        <f>IF($B300="","",IF($D300="kg",N($E300),IF($D300="sacos",N($E300)*97,IF($D300="jabas",N($E300)*IFERROR(VLOOKUP($C300,LISTAS!$A$2:$B$12,2,0),0),""))))</f>
        <v>630.5</v>
      </c>
      <c r="G300" s="40"/>
      <c r="H300" s="40"/>
      <c r="I300">
        <f t="shared" si="7"/>
        <v>630.5</v>
      </c>
    </row>
    <row r="301" spans="1:9" ht="15" customHeight="1" x14ac:dyDescent="0.2">
      <c r="A301" s="39">
        <v>46240</v>
      </c>
      <c r="B301" s="15" t="s">
        <v>23</v>
      </c>
      <c r="C301" s="15" t="s">
        <v>11</v>
      </c>
      <c r="D301" s="15" t="s">
        <v>12</v>
      </c>
      <c r="E301" s="16">
        <v>67</v>
      </c>
      <c r="F301" s="16">
        <f>IF($B301="","",IF($D301="kg",N($E301),IF($D301="sacos",N($E301)*97,IF($D301="jabas",N($E301)*IFERROR(VLOOKUP($C301,LISTAS!$A$2:$B$12,2,0),0),""))))</f>
        <v>1005</v>
      </c>
      <c r="G301" s="40">
        <v>3058</v>
      </c>
      <c r="H301" s="40"/>
      <c r="I301">
        <f t="shared" si="7"/>
        <v>1005</v>
      </c>
    </row>
    <row r="302" spans="1:9" ht="15" customHeight="1" x14ac:dyDescent="0.2">
      <c r="A302" s="39">
        <v>46240</v>
      </c>
      <c r="B302" s="15" t="s">
        <v>23</v>
      </c>
      <c r="C302" s="15" t="s">
        <v>21</v>
      </c>
      <c r="D302" s="15" t="s">
        <v>12</v>
      </c>
      <c r="E302" s="16">
        <v>11</v>
      </c>
      <c r="F302" s="16">
        <f>IF($B302="","",IF($D302="kg",N($E302),IF($D302="sacos",N($E302)*97,IF($D302="jabas",N($E302)*IFERROR(VLOOKUP($C302,LISTAS!$A$2:$B$12,2,0),0),""))))</f>
        <v>198</v>
      </c>
      <c r="G302" s="40">
        <v>3058</v>
      </c>
      <c r="H302" s="40"/>
      <c r="I302">
        <f t="shared" si="7"/>
        <v>198</v>
      </c>
    </row>
    <row r="303" spans="1:9" ht="15" customHeight="1" x14ac:dyDescent="0.2">
      <c r="A303" s="39">
        <v>46240</v>
      </c>
      <c r="B303" s="15" t="s">
        <v>23</v>
      </c>
      <c r="C303" s="15" t="s">
        <v>22</v>
      </c>
      <c r="D303" s="15" t="s">
        <v>12</v>
      </c>
      <c r="E303" s="16">
        <v>12</v>
      </c>
      <c r="F303" s="16">
        <f>IF($B303="","",IF($D303="kg",N($E303),IF($D303="sacos",N($E303)*97,IF($D303="jabas",N($E303)*IFERROR(VLOOKUP($C303,LISTAS!$A$2:$B$12,2,0),0),""))))</f>
        <v>204</v>
      </c>
      <c r="G303" s="40">
        <v>3058</v>
      </c>
      <c r="H303" s="40"/>
      <c r="I303">
        <f t="shared" si="7"/>
        <v>204</v>
      </c>
    </row>
    <row r="304" spans="1:9" ht="15" customHeight="1" x14ac:dyDescent="0.2">
      <c r="A304" s="39">
        <v>46240</v>
      </c>
      <c r="B304" s="44" t="s">
        <v>23</v>
      </c>
      <c r="C304" s="44" t="s">
        <v>13</v>
      </c>
      <c r="D304" s="44" t="s">
        <v>12</v>
      </c>
      <c r="E304" s="45">
        <v>118</v>
      </c>
      <c r="F304" s="45">
        <f>IF($B304="","",IF($D304="kg",N($E304),IF($D304="sacos",N($E304)*97,IF($D304="jabas",N($E304)*IFERROR(VLOOKUP($C304,LISTAS!$A$2:$B$12,2,0),0),""))))</f>
        <v>2006</v>
      </c>
      <c r="G304" s="40">
        <v>3058</v>
      </c>
      <c r="H304" s="40"/>
      <c r="I304">
        <f t="shared" si="7"/>
        <v>2006</v>
      </c>
    </row>
    <row r="305" spans="1:9" ht="15" customHeight="1" x14ac:dyDescent="0.2">
      <c r="A305" s="39">
        <v>46240</v>
      </c>
      <c r="B305" s="18" t="s">
        <v>28</v>
      </c>
      <c r="C305" s="18" t="s">
        <v>15</v>
      </c>
      <c r="D305" s="18" t="s">
        <v>16</v>
      </c>
      <c r="E305" s="41">
        <v>17</v>
      </c>
      <c r="F305" s="51">
        <f>IF($B305="","",IF($D305="kg",N($E305),IF($D305="sacos",N($E305)*97,IF($D305="jabas",N($E305)*IFERROR(VLOOKUP($C305,LISTAS!$A$2:$B$12,2,0),0),""))))</f>
        <v>1649</v>
      </c>
      <c r="G305" s="40" t="s">
        <v>87</v>
      </c>
      <c r="H305" s="40"/>
      <c r="I305">
        <f t="shared" si="7"/>
        <v>1649</v>
      </c>
    </row>
    <row r="306" spans="1:9" ht="15" customHeight="1" x14ac:dyDescent="0.2">
      <c r="A306" s="39">
        <v>46241</v>
      </c>
      <c r="B306" s="18" t="s">
        <v>28</v>
      </c>
      <c r="C306" s="18" t="s">
        <v>15</v>
      </c>
      <c r="D306" s="18" t="s">
        <v>16</v>
      </c>
      <c r="E306" s="41">
        <v>6</v>
      </c>
      <c r="F306" s="51">
        <f>IF($B306="","",IF($D306="kg",N($E306),IF($D306="sacos",N($E306)*97,IF($D306="jabas",N($E306)*IFERROR(VLOOKUP($C306,LISTAS!$A$2:$B$12,2,0),0),""))))</f>
        <v>582</v>
      </c>
      <c r="G306" s="40" t="s">
        <v>84</v>
      </c>
      <c r="H306" s="40" t="s">
        <v>234</v>
      </c>
      <c r="I306">
        <f t="shared" si="7"/>
        <v>582</v>
      </c>
    </row>
    <row r="307" spans="1:9" ht="15" customHeight="1" x14ac:dyDescent="0.2">
      <c r="A307" s="39">
        <v>46241</v>
      </c>
      <c r="B307" s="44" t="s">
        <v>17</v>
      </c>
      <c r="C307" s="44"/>
      <c r="D307" s="44" t="s">
        <v>16</v>
      </c>
      <c r="E307" s="45">
        <v>12</v>
      </c>
      <c r="F307" s="45">
        <f>IF($B307="","",IF($D307="kg",N($E307),IF($D307="sacos",N($E307)*97,IF($D307="jabas",N($E307)*IFERROR(VLOOKUP($C307,LISTAS!$A$2:$B$12,2,0),0),""))))</f>
        <v>1164</v>
      </c>
      <c r="G307" s="40"/>
      <c r="H307" s="52" t="s">
        <v>88</v>
      </c>
      <c r="I307">
        <f t="shared" si="7"/>
        <v>1164</v>
      </c>
    </row>
    <row r="308" spans="1:9" ht="15" customHeight="1" x14ac:dyDescent="0.2">
      <c r="A308" s="39">
        <v>46241</v>
      </c>
      <c r="B308" s="12" t="s">
        <v>20</v>
      </c>
      <c r="C308" s="12" t="s">
        <v>11</v>
      </c>
      <c r="D308" s="12" t="s">
        <v>12</v>
      </c>
      <c r="E308" s="13">
        <v>17</v>
      </c>
      <c r="F308" s="13">
        <f>IF($B308="","",IF($D308="kg",N($E308),IF($D308="sacos",N($E308)*97,IF($D308="jabas",N($E308)*IFERROR(VLOOKUP($C308,LISTAS!$A$2:$B$12,2,0),0),""))))</f>
        <v>255</v>
      </c>
      <c r="G308" s="40"/>
      <c r="H308" s="52"/>
      <c r="I308">
        <f t="shared" si="7"/>
        <v>255</v>
      </c>
    </row>
    <row r="309" spans="1:9" ht="15" customHeight="1" x14ac:dyDescent="0.2">
      <c r="A309" s="39">
        <v>46241</v>
      </c>
      <c r="B309" s="12" t="s">
        <v>20</v>
      </c>
      <c r="C309" s="12" t="s">
        <v>13</v>
      </c>
      <c r="D309" s="12" t="s">
        <v>12</v>
      </c>
      <c r="E309" s="13">
        <v>37</v>
      </c>
      <c r="F309" s="13">
        <f>IF($B309="","",IF($D309="kg",N($E309),IF($D309="sacos",N($E309)*97,IF($D309="jabas",N($E309)*IFERROR(VLOOKUP($C309,LISTAS!$A$2:$B$12,2,0),0),""))))</f>
        <v>629</v>
      </c>
      <c r="G309" s="40"/>
      <c r="H309" s="40"/>
      <c r="I309">
        <f t="shared" si="7"/>
        <v>629</v>
      </c>
    </row>
    <row r="310" spans="1:9" ht="15" customHeight="1" x14ac:dyDescent="0.2">
      <c r="A310" s="39">
        <v>46241</v>
      </c>
      <c r="B310" s="12" t="s">
        <v>20</v>
      </c>
      <c r="C310" s="12" t="s">
        <v>15</v>
      </c>
      <c r="D310" s="12" t="s">
        <v>16</v>
      </c>
      <c r="E310" s="13">
        <v>4</v>
      </c>
      <c r="F310" s="13">
        <f>IF($B310="","",IF($D310="kg",N($E310),IF($D310="sacos",N($E310)*97,IF($D310="jabas",N($E310)*IFERROR(VLOOKUP($C310,LISTAS!$A$2:$B$12,2,0),0),""))))</f>
        <v>388</v>
      </c>
      <c r="G310" s="40"/>
      <c r="H310" s="40"/>
      <c r="I310">
        <f t="shared" si="7"/>
        <v>388</v>
      </c>
    </row>
    <row r="311" spans="1:9" ht="15" customHeight="1" x14ac:dyDescent="0.2">
      <c r="A311" s="39">
        <v>46241</v>
      </c>
      <c r="B311" s="15" t="s">
        <v>23</v>
      </c>
      <c r="C311" s="15" t="s">
        <v>11</v>
      </c>
      <c r="D311" s="15" t="s">
        <v>12</v>
      </c>
      <c r="E311" s="16">
        <v>67</v>
      </c>
      <c r="F311" s="16">
        <f>IF($B311="","",IF($D311="kg",N($E311),IF($D311="sacos",N($E311)*97,IF($D311="jabas",N($E311)*IFERROR(VLOOKUP($C311,LISTAS!$A$2:$B$12,2,0),0),""))))</f>
        <v>1005</v>
      </c>
      <c r="G311" s="40">
        <v>3060</v>
      </c>
      <c r="H311" s="40"/>
      <c r="I311">
        <f t="shared" si="7"/>
        <v>1005</v>
      </c>
    </row>
    <row r="312" spans="1:9" ht="15" customHeight="1" x14ac:dyDescent="0.2">
      <c r="A312" s="39">
        <v>46241</v>
      </c>
      <c r="B312" s="15" t="s">
        <v>23</v>
      </c>
      <c r="C312" s="15" t="s">
        <v>21</v>
      </c>
      <c r="D312" s="15" t="s">
        <v>12</v>
      </c>
      <c r="E312" s="16">
        <v>11</v>
      </c>
      <c r="F312" s="16">
        <f>IF($B312="","",IF($D312="kg",N($E312),IF($D312="sacos",N($E312)*97,IF($D312="jabas",N($E312)*IFERROR(VLOOKUP($C312,LISTAS!$A$2:$B$12,2,0),0),""))))</f>
        <v>198</v>
      </c>
      <c r="G312" s="40">
        <v>3060</v>
      </c>
      <c r="H312" s="40"/>
      <c r="I312">
        <f t="shared" si="7"/>
        <v>198</v>
      </c>
    </row>
    <row r="313" spans="1:9" ht="15" customHeight="1" x14ac:dyDescent="0.2">
      <c r="A313" s="39">
        <v>46241</v>
      </c>
      <c r="B313" s="15" t="s">
        <v>23</v>
      </c>
      <c r="C313" s="15" t="s">
        <v>22</v>
      </c>
      <c r="D313" s="15" t="s">
        <v>12</v>
      </c>
      <c r="E313" s="16">
        <v>12</v>
      </c>
      <c r="F313" s="16">
        <f>IF($B313="","",IF($D313="kg",N($E313),IF($D313="sacos",N($E313)*97,IF($D313="jabas",N($E313)*IFERROR(VLOOKUP($C313,LISTAS!$A$2:$B$12,2,0),0),""))))</f>
        <v>204</v>
      </c>
      <c r="G313" s="40">
        <v>3060</v>
      </c>
      <c r="H313" s="40"/>
      <c r="I313">
        <f t="shared" si="7"/>
        <v>204</v>
      </c>
    </row>
    <row r="314" spans="1:9" ht="15" customHeight="1" x14ac:dyDescent="0.2">
      <c r="A314" s="39">
        <v>46241</v>
      </c>
      <c r="B314" s="44" t="s">
        <v>23</v>
      </c>
      <c r="C314" s="44" t="s">
        <v>13</v>
      </c>
      <c r="D314" s="44" t="s">
        <v>12</v>
      </c>
      <c r="E314" s="45">
        <v>118</v>
      </c>
      <c r="F314" s="45">
        <f>IF($B314="","",IF($D314="kg",N($E314),IF($D314="sacos",N($E314)*97,IF($D314="jabas",N($E314)*IFERROR(VLOOKUP($C314,LISTAS!$A$2:$B$12,2,0),0),""))))</f>
        <v>2006</v>
      </c>
      <c r="G314" s="40">
        <v>3060</v>
      </c>
      <c r="H314" s="40"/>
      <c r="I314">
        <f t="shared" si="7"/>
        <v>2006</v>
      </c>
    </row>
    <row r="315" spans="1:9" ht="15" customHeight="1" x14ac:dyDescent="0.2">
      <c r="A315" s="39">
        <v>46242</v>
      </c>
      <c r="B315" s="44" t="s">
        <v>17</v>
      </c>
      <c r="C315" s="44"/>
      <c r="D315" s="44" t="s">
        <v>16</v>
      </c>
      <c r="E315" s="45">
        <v>38</v>
      </c>
      <c r="F315" s="45">
        <f>IF($B315="","",IF($D315="kg",N($E315),IF($D315="sacos",N($E315)*97,IF($D315="jabas",N($E315)*IFERROR(VLOOKUP($C315,LISTAS!$A$2:$B$12,2,0),0),""))))</f>
        <v>3686</v>
      </c>
      <c r="G315" s="40"/>
      <c r="H315" s="40"/>
      <c r="I315">
        <f t="shared" si="7"/>
        <v>3686</v>
      </c>
    </row>
    <row r="316" spans="1:9" ht="15" customHeight="1" x14ac:dyDescent="0.2">
      <c r="A316" s="39">
        <v>46242</v>
      </c>
      <c r="B316" s="12" t="s">
        <v>20</v>
      </c>
      <c r="C316" s="12" t="s">
        <v>11</v>
      </c>
      <c r="D316" s="12" t="s">
        <v>12</v>
      </c>
      <c r="E316" s="13"/>
      <c r="F316" s="13">
        <f>IF($B316="","",IF($D316="kg",N($E316),IF($D316="sacos",N($E316)*97,IF($D316="jabas",N($E316)*IFERROR(VLOOKUP($C316,LISTAS!$A$2:$B$12,2,0),0),""))))</f>
        <v>0</v>
      </c>
      <c r="G316" s="40"/>
      <c r="H316" s="40"/>
      <c r="I316">
        <f t="shared" si="7"/>
        <v>0</v>
      </c>
    </row>
    <row r="317" spans="1:9" ht="15" customHeight="1" x14ac:dyDescent="0.2">
      <c r="A317" s="39">
        <v>46242</v>
      </c>
      <c r="B317" s="12" t="s">
        <v>20</v>
      </c>
      <c r="C317" s="12" t="s">
        <v>21</v>
      </c>
      <c r="D317" s="12" t="s">
        <v>12</v>
      </c>
      <c r="E317" s="13"/>
      <c r="F317" s="13">
        <f>IF($B317="","",IF($D317="kg",N($E317),IF($D317="sacos",N($E317)*97,IF($D317="jabas",N($E317)*IFERROR(VLOOKUP($C317,LISTAS!$A$2:$B$12,2,0),0),""))))</f>
        <v>0</v>
      </c>
      <c r="G317" s="40"/>
      <c r="H317" s="40"/>
      <c r="I317">
        <f t="shared" si="7"/>
        <v>0</v>
      </c>
    </row>
    <row r="318" spans="1:9" ht="15" customHeight="1" x14ac:dyDescent="0.2">
      <c r="A318" s="39">
        <v>46242</v>
      </c>
      <c r="B318" s="12" t="s">
        <v>20</v>
      </c>
      <c r="C318" s="12" t="s">
        <v>22</v>
      </c>
      <c r="D318" s="12" t="s">
        <v>12</v>
      </c>
      <c r="E318" s="13"/>
      <c r="F318" s="13">
        <f>IF($B318="","",IF($D318="kg",N($E318),IF($D318="sacos",N($E318)*97,IF($D318="jabas",N($E318)*IFERROR(VLOOKUP($C318,LISTAS!$A$2:$B$12,2,0),0),""))))</f>
        <v>0</v>
      </c>
      <c r="G318" s="40"/>
      <c r="H318" s="40"/>
      <c r="I318">
        <f t="shared" si="7"/>
        <v>0</v>
      </c>
    </row>
    <row r="319" spans="1:9" ht="15" customHeight="1" x14ac:dyDescent="0.2">
      <c r="A319" s="39">
        <v>46242</v>
      </c>
      <c r="B319" s="12" t="s">
        <v>20</v>
      </c>
      <c r="C319" s="12" t="s">
        <v>13</v>
      </c>
      <c r="D319" s="12" t="s">
        <v>12</v>
      </c>
      <c r="E319" s="13"/>
      <c r="F319" s="13">
        <f>IF($B319="","",IF($D319="kg",N($E319),IF($D319="sacos",N($E319)*97,IF($D319="jabas",N($E319)*IFERROR(VLOOKUP($C319,LISTAS!$A$2:$B$12,2,0),0),""))))</f>
        <v>0</v>
      </c>
      <c r="G319" s="40"/>
      <c r="H319" s="40"/>
      <c r="I319">
        <f t="shared" si="7"/>
        <v>0</v>
      </c>
    </row>
    <row r="320" spans="1:9" ht="15" customHeight="1" x14ac:dyDescent="0.2">
      <c r="A320" s="39">
        <v>46242</v>
      </c>
      <c r="B320" s="12" t="s">
        <v>20</v>
      </c>
      <c r="C320" s="12" t="s">
        <v>15</v>
      </c>
      <c r="D320" s="12" t="s">
        <v>16</v>
      </c>
      <c r="E320" s="13"/>
      <c r="F320" s="13">
        <f>IF($B320="","",IF($D320="kg",N($E320),IF($D320="sacos",N($E320)*97,IF($D320="jabas",N($E320)*IFERROR(VLOOKUP($C320,LISTAS!$A$2:$B$12,2,0),0),""))))</f>
        <v>0</v>
      </c>
      <c r="G320" s="40"/>
      <c r="H320" s="40"/>
      <c r="I320">
        <f t="shared" si="7"/>
        <v>0</v>
      </c>
    </row>
    <row r="321" spans="1:9" ht="15" customHeight="1" x14ac:dyDescent="0.2">
      <c r="A321" s="39">
        <v>46242</v>
      </c>
      <c r="B321" s="15" t="s">
        <v>23</v>
      </c>
      <c r="C321" s="15" t="s">
        <v>11</v>
      </c>
      <c r="D321" s="15" t="s">
        <v>12</v>
      </c>
      <c r="E321" s="16"/>
      <c r="F321" s="16">
        <f>IF($B321="","",IF($D321="kg",N($E321),IF($D321="sacos",N($E321)*97,IF($D321="jabas",N($E321)*IFERROR(VLOOKUP($C321,LISTAS!$A$2:$B$12,2,0),0),""))))</f>
        <v>0</v>
      </c>
      <c r="G321" s="40"/>
      <c r="H321" s="40"/>
      <c r="I321">
        <f t="shared" si="7"/>
        <v>0</v>
      </c>
    </row>
    <row r="322" spans="1:9" ht="15" customHeight="1" x14ac:dyDescent="0.2">
      <c r="A322" s="39">
        <v>46242</v>
      </c>
      <c r="B322" s="15" t="s">
        <v>23</v>
      </c>
      <c r="C322" s="15" t="s">
        <v>21</v>
      </c>
      <c r="D322" s="15" t="s">
        <v>12</v>
      </c>
      <c r="E322" s="16"/>
      <c r="F322" s="16">
        <f>IF($B322="","",IF($D322="kg",N($E322),IF($D322="sacos",N($E322)*97,IF($D322="jabas",N($E322)*IFERROR(VLOOKUP($C322,LISTAS!$A$2:$B$12,2,0),0),""))))</f>
        <v>0</v>
      </c>
      <c r="G322" s="40"/>
      <c r="H322" s="40"/>
      <c r="I322">
        <f t="shared" si="7"/>
        <v>0</v>
      </c>
    </row>
    <row r="323" spans="1:9" ht="15" customHeight="1" x14ac:dyDescent="0.2">
      <c r="A323" s="39">
        <v>46242</v>
      </c>
      <c r="B323" s="15" t="s">
        <v>23</v>
      </c>
      <c r="C323" s="15" t="s">
        <v>22</v>
      </c>
      <c r="D323" s="15" t="s">
        <v>12</v>
      </c>
      <c r="E323" s="16"/>
      <c r="F323" s="16">
        <f>IF($B323="","",IF($D323="kg",N($E323),IF($D323="sacos",N($E323)*97,IF($D323="jabas",N($E323)*IFERROR(VLOOKUP($C323,LISTAS!$A$2:$B$12,2,0),0),""))))</f>
        <v>0</v>
      </c>
      <c r="G323" s="40"/>
      <c r="H323" s="40"/>
      <c r="I323">
        <f t="shared" si="7"/>
        <v>0</v>
      </c>
    </row>
    <row r="324" spans="1:9" ht="15" customHeight="1" x14ac:dyDescent="0.2">
      <c r="A324" s="39">
        <v>46242</v>
      </c>
      <c r="B324" s="44" t="s">
        <v>23</v>
      </c>
      <c r="C324" s="44" t="s">
        <v>13</v>
      </c>
      <c r="D324" s="44" t="s">
        <v>12</v>
      </c>
      <c r="E324" s="45"/>
      <c r="F324" s="45">
        <f>IF($B324="","",IF($D324="kg",N($E324),IF($D324="sacos",N($E324)*97,IF($D324="jabas",N($E324)*IFERROR(VLOOKUP($C324,LISTAS!$A$2:$B$12,2,0),0),""))))</f>
        <v>0</v>
      </c>
      <c r="G324" s="40"/>
      <c r="H324" s="40"/>
      <c r="I324">
        <f t="shared" si="7"/>
        <v>0</v>
      </c>
    </row>
    <row r="325" spans="1:9" ht="15" customHeight="1" x14ac:dyDescent="0.2">
      <c r="A325" s="39"/>
      <c r="B325" s="40"/>
      <c r="C325" s="40"/>
      <c r="D325" s="40"/>
      <c r="E325" s="41"/>
      <c r="F325" s="41" t="str">
        <f>IF($B325="","",IF($D325="kg",N($E325),IF($D325="sacos",N($E325)*97,IF($D325="jabas",N($E325)*IFERROR(VLOOKUP($C325,LISTAS!$A$2:$B$12,2,0),0),""))))</f>
        <v/>
      </c>
      <c r="G325" s="40"/>
      <c r="H325" s="40"/>
      <c r="I325">
        <f t="shared" ref="I325:I356" si="8">N($F325)</f>
        <v>0</v>
      </c>
    </row>
    <row r="326" spans="1:9" ht="15" customHeight="1" x14ac:dyDescent="0.2">
      <c r="A326" s="39"/>
      <c r="B326" s="40"/>
      <c r="C326" s="40"/>
      <c r="D326" s="40"/>
      <c r="E326" s="41"/>
      <c r="F326" s="41" t="str">
        <f>IF($B326="","",IF($D326="kg",N($E326),IF($D326="sacos",N($E326)*97,IF($D326="jabas",N($E326)*IFERROR(VLOOKUP($C326,LISTAS!$A$2:$B$12,2,0),0),""))))</f>
        <v/>
      </c>
      <c r="G326" s="40"/>
      <c r="H326" s="40"/>
      <c r="I326">
        <f t="shared" si="8"/>
        <v>0</v>
      </c>
    </row>
    <row r="327" spans="1:9" ht="15" customHeight="1" x14ac:dyDescent="0.2">
      <c r="A327" s="39"/>
      <c r="B327" s="40"/>
      <c r="C327" s="40"/>
      <c r="D327" s="40"/>
      <c r="E327" s="41"/>
      <c r="F327" s="41" t="str">
        <f>IF($B327="","",IF($D327="kg",N($E327),IF($D327="sacos",N($E327)*97,IF($D327="jabas",N($E327)*IFERROR(VLOOKUP($C327,LISTAS!$A$2:$B$12,2,0),0),""))))</f>
        <v/>
      </c>
      <c r="G327" s="40"/>
      <c r="H327" s="40"/>
      <c r="I327">
        <f t="shared" si="8"/>
        <v>0</v>
      </c>
    </row>
    <row r="328" spans="1:9" ht="15" customHeight="1" x14ac:dyDescent="0.2">
      <c r="A328" s="39"/>
      <c r="B328" s="40"/>
      <c r="C328" s="40"/>
      <c r="D328" s="40"/>
      <c r="E328" s="41"/>
      <c r="F328" s="41" t="str">
        <f>IF($B328="","",IF($D328="kg",N($E328),IF($D328="sacos",N($E328)*97,IF($D328="jabas",N($E328)*IFERROR(VLOOKUP($C328,LISTAS!$A$2:$B$12,2,0),0),""))))</f>
        <v/>
      </c>
      <c r="G328" s="40"/>
      <c r="H328" s="40"/>
      <c r="I328">
        <f t="shared" si="8"/>
        <v>0</v>
      </c>
    </row>
    <row r="329" spans="1:9" ht="15" customHeight="1" x14ac:dyDescent="0.2">
      <c r="A329" s="39"/>
      <c r="B329" s="40"/>
      <c r="C329" s="40"/>
      <c r="D329" s="40"/>
      <c r="E329" s="41"/>
      <c r="F329" s="41" t="str">
        <f>IF($B329="","",IF($D329="kg",N($E329),IF($D329="sacos",N($E329)*97,IF($D329="jabas",N($E329)*IFERROR(VLOOKUP($C329,LISTAS!$A$2:$B$12,2,0),0),""))))</f>
        <v/>
      </c>
      <c r="G329" s="40"/>
      <c r="H329" s="40"/>
      <c r="I329">
        <f t="shared" si="8"/>
        <v>0</v>
      </c>
    </row>
    <row r="330" spans="1:9" ht="15" customHeight="1" x14ac:dyDescent="0.2">
      <c r="A330" s="39"/>
      <c r="B330" s="40"/>
      <c r="C330" s="40"/>
      <c r="D330" s="40"/>
      <c r="E330" s="41"/>
      <c r="F330" s="41" t="str">
        <f>IF($B330="","",IF($D330="kg",N($E330),IF($D330="sacos",N($E330)*97,IF($D330="jabas",N($E330)*IFERROR(VLOOKUP($C330,LISTAS!$A$2:$B$12,2,0),0),""))))</f>
        <v/>
      </c>
      <c r="G330" s="40"/>
      <c r="H330" s="40"/>
      <c r="I330">
        <f t="shared" si="8"/>
        <v>0</v>
      </c>
    </row>
    <row r="331" spans="1:9" ht="15" customHeight="1" x14ac:dyDescent="0.2">
      <c r="A331" s="39"/>
      <c r="B331" s="40"/>
      <c r="C331" s="40"/>
      <c r="D331" s="40"/>
      <c r="E331" s="41"/>
      <c r="F331" s="41" t="str">
        <f>IF($B331="","",IF($D331="kg",N($E331),IF($D331="sacos",N($E331)*97,IF($D331="jabas",N($E331)*IFERROR(VLOOKUP($C331,LISTAS!$A$2:$B$12,2,0),0),""))))</f>
        <v/>
      </c>
      <c r="G331" s="40"/>
      <c r="H331" s="40"/>
      <c r="I331">
        <f t="shared" si="8"/>
        <v>0</v>
      </c>
    </row>
    <row r="332" spans="1:9" ht="15" customHeight="1" x14ac:dyDescent="0.2">
      <c r="A332" s="39"/>
      <c r="B332" s="40"/>
      <c r="C332" s="40"/>
      <c r="D332" s="40"/>
      <c r="E332" s="41"/>
      <c r="F332" s="41" t="str">
        <f>IF($B332="","",IF($D332="kg",N($E332),IF($D332="sacos",N($E332)*97,IF($D332="jabas",N($E332)*IFERROR(VLOOKUP($C332,LISTAS!$A$2:$B$12,2,0),0),""))))</f>
        <v/>
      </c>
      <c r="G332" s="40"/>
      <c r="H332" s="40"/>
      <c r="I332">
        <f t="shared" si="8"/>
        <v>0</v>
      </c>
    </row>
    <row r="333" spans="1:9" ht="15" customHeight="1" x14ac:dyDescent="0.2">
      <c r="A333" s="39"/>
      <c r="B333" s="40"/>
      <c r="C333" s="40"/>
      <c r="D333" s="40"/>
      <c r="E333" s="41"/>
      <c r="F333" s="41" t="str">
        <f>IF($B333="","",IF($D333="kg",N($E333),IF($D333="sacos",N($E333)*97,IF($D333="jabas",N($E333)*IFERROR(VLOOKUP($C333,LISTAS!$A$2:$B$12,2,0),0),""))))</f>
        <v/>
      </c>
      <c r="G333" s="40"/>
      <c r="H333" s="40"/>
      <c r="I333">
        <f t="shared" si="8"/>
        <v>0</v>
      </c>
    </row>
    <row r="334" spans="1:9" ht="15" customHeight="1" x14ac:dyDescent="0.2">
      <c r="A334" s="39"/>
      <c r="B334" s="40"/>
      <c r="C334" s="40"/>
      <c r="D334" s="40"/>
      <c r="E334" s="41"/>
      <c r="F334" s="41" t="str">
        <f>IF($B334="","",IF($D334="kg",N($E334),IF($D334="sacos",N($E334)*97,IF($D334="jabas",N($E334)*IFERROR(VLOOKUP($C334,LISTAS!$A$2:$B$12,2,0),0),""))))</f>
        <v/>
      </c>
      <c r="G334" s="40"/>
      <c r="H334" s="40"/>
      <c r="I334">
        <f t="shared" si="8"/>
        <v>0</v>
      </c>
    </row>
    <row r="335" spans="1:9" ht="15" customHeight="1" x14ac:dyDescent="0.2">
      <c r="A335" s="39"/>
      <c r="B335" s="40"/>
      <c r="C335" s="40"/>
      <c r="D335" s="40"/>
      <c r="E335" s="41"/>
      <c r="F335" s="41" t="str">
        <f>IF($B335="","",IF($D335="kg",N($E335),IF($D335="sacos",N($E335)*97,IF($D335="jabas",N($E335)*IFERROR(VLOOKUP($C335,LISTAS!$A$2:$B$12,2,0),0),""))))</f>
        <v/>
      </c>
      <c r="G335" s="40"/>
      <c r="H335" s="40"/>
      <c r="I335">
        <f t="shared" si="8"/>
        <v>0</v>
      </c>
    </row>
    <row r="336" spans="1:9" ht="15" customHeight="1" x14ac:dyDescent="0.2">
      <c r="A336" s="39"/>
      <c r="B336" s="40"/>
      <c r="C336" s="40"/>
      <c r="D336" s="40"/>
      <c r="E336" s="41"/>
      <c r="F336" s="41" t="str">
        <f>IF($B336="","",IF($D336="kg",N($E336),IF($D336="sacos",N($E336)*97,IF($D336="jabas",N($E336)*IFERROR(VLOOKUP($C336,LISTAS!$A$2:$B$12,2,0),0),""))))</f>
        <v/>
      </c>
      <c r="G336" s="40"/>
      <c r="H336" s="40"/>
      <c r="I336">
        <f t="shared" si="8"/>
        <v>0</v>
      </c>
    </row>
    <row r="337" spans="1:9" ht="15" customHeight="1" x14ac:dyDescent="0.2">
      <c r="A337" s="39"/>
      <c r="B337" s="40"/>
      <c r="C337" s="40"/>
      <c r="D337" s="40"/>
      <c r="E337" s="41"/>
      <c r="F337" s="41" t="str">
        <f>IF($B337="","",IF($D337="kg",N($E337),IF($D337="sacos",N($E337)*97,IF($D337="jabas",N($E337)*IFERROR(VLOOKUP($C337,LISTAS!$A$2:$B$12,2,0),0),""))))</f>
        <v/>
      </c>
      <c r="G337" s="40"/>
      <c r="H337" s="40"/>
      <c r="I337">
        <f t="shared" si="8"/>
        <v>0</v>
      </c>
    </row>
    <row r="338" spans="1:9" ht="15" customHeight="1" x14ac:dyDescent="0.2">
      <c r="A338" s="39"/>
      <c r="B338" s="40"/>
      <c r="C338" s="40"/>
      <c r="D338" s="40"/>
      <c r="E338" s="41"/>
      <c r="F338" s="41" t="str">
        <f>IF($B338="","",IF($D338="kg",N($E338),IF($D338="sacos",N($E338)*97,IF($D338="jabas",N($E338)*IFERROR(VLOOKUP($C338,LISTAS!$A$2:$B$12,2,0),0),""))))</f>
        <v/>
      </c>
      <c r="G338" s="40"/>
      <c r="H338" s="40"/>
      <c r="I338">
        <f t="shared" si="8"/>
        <v>0</v>
      </c>
    </row>
    <row r="339" spans="1:9" ht="15" customHeight="1" x14ac:dyDescent="0.2">
      <c r="A339" s="39"/>
      <c r="B339" s="40"/>
      <c r="C339" s="40"/>
      <c r="D339" s="40"/>
      <c r="E339" s="41"/>
      <c r="F339" s="41" t="str">
        <f>IF($B339="","",IF($D339="kg",N($E339),IF($D339="sacos",N($E339)*97,IF($D339="jabas",N($E339)*IFERROR(VLOOKUP($C339,LISTAS!$A$2:$B$12,2,0),0),""))))</f>
        <v/>
      </c>
      <c r="G339" s="40"/>
      <c r="H339" s="40"/>
      <c r="I339">
        <f t="shared" si="8"/>
        <v>0</v>
      </c>
    </row>
    <row r="340" spans="1:9" ht="15" customHeight="1" x14ac:dyDescent="0.2">
      <c r="A340" s="39"/>
      <c r="B340" s="40"/>
      <c r="C340" s="40"/>
      <c r="D340" s="40"/>
      <c r="E340" s="41"/>
      <c r="F340" s="41" t="str">
        <f>IF($B340="","",IF($D340="kg",N($E340),IF($D340="sacos",N($E340)*97,IF($D340="jabas",N($E340)*IFERROR(VLOOKUP($C340,LISTAS!$A$2:$B$12,2,0),0),""))))</f>
        <v/>
      </c>
      <c r="G340" s="40"/>
      <c r="H340" s="40"/>
      <c r="I340">
        <f t="shared" si="8"/>
        <v>0</v>
      </c>
    </row>
    <row r="341" spans="1:9" ht="15" customHeight="1" x14ac:dyDescent="0.2">
      <c r="A341" s="39"/>
      <c r="B341" s="40"/>
      <c r="C341" s="40"/>
      <c r="D341" s="40"/>
      <c r="E341" s="41"/>
      <c r="F341" s="41" t="str">
        <f>IF($B341="","",IF($D341="kg",N($E341),IF($D341="sacos",N($E341)*97,IF($D341="jabas",N($E341)*IFERROR(VLOOKUP($C341,LISTAS!$A$2:$B$12,2,0),0),""))))</f>
        <v/>
      </c>
      <c r="G341" s="40"/>
      <c r="H341" s="40"/>
      <c r="I341">
        <f t="shared" si="8"/>
        <v>0</v>
      </c>
    </row>
    <row r="342" spans="1:9" ht="15" customHeight="1" x14ac:dyDescent="0.2">
      <c r="A342" s="39"/>
      <c r="B342" s="40"/>
      <c r="C342" s="40"/>
      <c r="D342" s="40"/>
      <c r="E342" s="41"/>
      <c r="F342" s="41" t="str">
        <f>IF($B342="","",IF($D342="kg",N($E342),IF($D342="sacos",N($E342)*97,IF($D342="jabas",N($E342)*IFERROR(VLOOKUP($C342,LISTAS!$A$2:$B$12,2,0),0),""))))</f>
        <v/>
      </c>
      <c r="G342" s="40"/>
      <c r="H342" s="40"/>
      <c r="I342">
        <f t="shared" si="8"/>
        <v>0</v>
      </c>
    </row>
    <row r="343" spans="1:9" ht="15" customHeight="1" x14ac:dyDescent="0.2">
      <c r="A343" s="39"/>
      <c r="B343" s="40"/>
      <c r="C343" s="40"/>
      <c r="D343" s="40"/>
      <c r="E343" s="41"/>
      <c r="F343" s="41" t="str">
        <f>IF($B343="","",IF($D343="kg",N($E343),IF($D343="sacos",N($E343)*97,IF($D343="jabas",N($E343)*IFERROR(VLOOKUP($C343,LISTAS!$A$2:$B$12,2,0),0),""))))</f>
        <v/>
      </c>
      <c r="G343" s="40"/>
      <c r="H343" s="40"/>
      <c r="I343">
        <f t="shared" si="8"/>
        <v>0</v>
      </c>
    </row>
    <row r="344" spans="1:9" ht="15" customHeight="1" x14ac:dyDescent="0.2">
      <c r="A344" s="39"/>
      <c r="B344" s="40"/>
      <c r="C344" s="40"/>
      <c r="D344" s="40"/>
      <c r="E344" s="41"/>
      <c r="F344" s="41" t="str">
        <f>IF($B344="","",IF($D344="kg",N($E344),IF($D344="sacos",N($E344)*97,IF($D344="jabas",N($E344)*IFERROR(VLOOKUP($C344,LISTAS!$A$2:$B$12,2,0),0),""))))</f>
        <v/>
      </c>
      <c r="G344" s="40"/>
      <c r="H344" s="40"/>
      <c r="I344">
        <f t="shared" si="8"/>
        <v>0</v>
      </c>
    </row>
    <row r="345" spans="1:9" ht="15" customHeight="1" x14ac:dyDescent="0.2">
      <c r="A345" s="39"/>
      <c r="B345" s="40"/>
      <c r="C345" s="40"/>
      <c r="D345" s="40"/>
      <c r="E345" s="41"/>
      <c r="F345" s="41" t="str">
        <f>IF($B345="","",IF($D345="kg",N($E345),IF($D345="sacos",N($E345)*97,IF($D345="jabas",N($E345)*IFERROR(VLOOKUP($C345,LISTAS!$A$2:$B$12,2,0),0),""))))</f>
        <v/>
      </c>
      <c r="G345" s="40"/>
      <c r="H345" s="40"/>
      <c r="I345">
        <f t="shared" si="8"/>
        <v>0</v>
      </c>
    </row>
    <row r="346" spans="1:9" ht="15" customHeight="1" x14ac:dyDescent="0.2">
      <c r="A346" s="39"/>
      <c r="B346" s="40"/>
      <c r="C346" s="40"/>
      <c r="D346" s="40"/>
      <c r="E346" s="41"/>
      <c r="F346" s="41" t="str">
        <f>IF($B346="","",IF($D346="kg",N($E346),IF($D346="sacos",N($E346)*97,IF($D346="jabas",N($E346)*IFERROR(VLOOKUP($C346,LISTAS!$A$2:$B$12,2,0),0),""))))</f>
        <v/>
      </c>
      <c r="G346" s="40"/>
      <c r="H346" s="40"/>
      <c r="I346">
        <f t="shared" si="8"/>
        <v>0</v>
      </c>
    </row>
    <row r="347" spans="1:9" ht="15" customHeight="1" x14ac:dyDescent="0.2">
      <c r="A347" s="39"/>
      <c r="B347" s="40"/>
      <c r="C347" s="40"/>
      <c r="D347" s="40"/>
      <c r="E347" s="41"/>
      <c r="F347" s="41" t="str">
        <f>IF($B347="","",IF($D347="kg",N($E347),IF($D347="sacos",N($E347)*97,IF($D347="jabas",N($E347)*IFERROR(VLOOKUP($C347,LISTAS!$A$2:$B$12,2,0),0),""))))</f>
        <v/>
      </c>
      <c r="G347" s="40"/>
      <c r="H347" s="40"/>
      <c r="I347">
        <f t="shared" si="8"/>
        <v>0</v>
      </c>
    </row>
    <row r="348" spans="1:9" ht="15" customHeight="1" x14ac:dyDescent="0.2">
      <c r="A348" s="39"/>
      <c r="B348" s="40"/>
      <c r="C348" s="40"/>
      <c r="D348" s="40"/>
      <c r="E348" s="41"/>
      <c r="F348" s="41" t="str">
        <f>IF($B348="","",IF($D348="kg",N($E348),IF($D348="sacos",N($E348)*97,IF($D348="jabas",N($E348)*IFERROR(VLOOKUP($C348,LISTAS!$A$2:$B$12,2,0),0),""))))</f>
        <v/>
      </c>
      <c r="G348" s="40"/>
      <c r="H348" s="40"/>
      <c r="I348">
        <f t="shared" si="8"/>
        <v>0</v>
      </c>
    </row>
    <row r="349" spans="1:9" ht="15" customHeight="1" x14ac:dyDescent="0.2">
      <c r="A349" s="39"/>
      <c r="B349" s="40"/>
      <c r="C349" s="40"/>
      <c r="D349" s="40"/>
      <c r="E349" s="41"/>
      <c r="F349" s="41" t="str">
        <f>IF($B349="","",IF($D349="kg",N($E349),IF($D349="sacos",N($E349)*97,IF($D349="jabas",N($E349)*IFERROR(VLOOKUP($C349,LISTAS!$A$2:$B$12,2,0),0),""))))</f>
        <v/>
      </c>
      <c r="G349" s="40"/>
      <c r="H349" s="40"/>
      <c r="I349">
        <f t="shared" si="8"/>
        <v>0</v>
      </c>
    </row>
    <row r="350" spans="1:9" ht="15" customHeight="1" x14ac:dyDescent="0.2">
      <c r="A350" s="39"/>
      <c r="B350" s="40"/>
      <c r="C350" s="40"/>
      <c r="D350" s="40"/>
      <c r="E350" s="41"/>
      <c r="F350" s="41" t="str">
        <f>IF($B350="","",IF($D350="kg",N($E350),IF($D350="sacos",N($E350)*97,IF($D350="jabas",N($E350)*IFERROR(VLOOKUP($C350,LISTAS!$A$2:$B$12,2,0),0),""))))</f>
        <v/>
      </c>
      <c r="G350" s="40"/>
      <c r="H350" s="40"/>
      <c r="I350">
        <f t="shared" si="8"/>
        <v>0</v>
      </c>
    </row>
    <row r="351" spans="1:9" ht="15" customHeight="1" x14ac:dyDescent="0.2">
      <c r="A351" s="39"/>
      <c r="B351" s="40"/>
      <c r="C351" s="40"/>
      <c r="D351" s="40"/>
      <c r="E351" s="41"/>
      <c r="F351" s="41" t="str">
        <f>IF($B351="","",IF($D351="kg",N($E351),IF($D351="sacos",N($E351)*97,IF($D351="jabas",N($E351)*IFERROR(VLOOKUP($C351,LISTAS!$A$2:$B$12,2,0),0),""))))</f>
        <v/>
      </c>
      <c r="G351" s="40"/>
      <c r="H351" s="40"/>
      <c r="I351">
        <f t="shared" si="8"/>
        <v>0</v>
      </c>
    </row>
    <row r="352" spans="1:9" ht="15" customHeight="1" x14ac:dyDescent="0.2">
      <c r="A352" s="39"/>
      <c r="B352" s="40"/>
      <c r="C352" s="40"/>
      <c r="D352" s="40"/>
      <c r="E352" s="41"/>
      <c r="F352" s="41" t="str">
        <f>IF($B352="","",IF($D352="kg",N($E352),IF($D352="sacos",N($E352)*97,IF($D352="jabas",N($E352)*IFERROR(VLOOKUP($C352,LISTAS!$A$2:$B$12,2,0),0),""))))</f>
        <v/>
      </c>
      <c r="G352" s="40"/>
      <c r="H352" s="40"/>
      <c r="I352">
        <f t="shared" si="8"/>
        <v>0</v>
      </c>
    </row>
    <row r="353" spans="1:9" ht="15" customHeight="1" x14ac:dyDescent="0.2">
      <c r="A353" s="39"/>
      <c r="B353" s="40"/>
      <c r="C353" s="40"/>
      <c r="D353" s="40"/>
      <c r="E353" s="41"/>
      <c r="F353" s="41" t="str">
        <f>IF($B353="","",IF($D353="kg",N($E353),IF($D353="sacos",N($E353)*97,IF($D353="jabas",N($E353)*IFERROR(VLOOKUP($C353,LISTAS!$A$2:$B$12,2,0),0),""))))</f>
        <v/>
      </c>
      <c r="G353" s="40"/>
      <c r="H353" s="40"/>
      <c r="I353">
        <f t="shared" si="8"/>
        <v>0</v>
      </c>
    </row>
    <row r="354" spans="1:9" ht="15" customHeight="1" x14ac:dyDescent="0.2">
      <c r="A354" s="39"/>
      <c r="B354" s="40"/>
      <c r="C354" s="40"/>
      <c r="D354" s="40"/>
      <c r="E354" s="41"/>
      <c r="F354" s="41" t="str">
        <f>IF($B354="","",IF($D354="kg",N($E354),IF($D354="sacos",N($E354)*97,IF($D354="jabas",N($E354)*IFERROR(VLOOKUP($C354,LISTAS!$A$2:$B$12,2,0),0),""))))</f>
        <v/>
      </c>
      <c r="G354" s="40"/>
      <c r="H354" s="40"/>
      <c r="I354">
        <f t="shared" si="8"/>
        <v>0</v>
      </c>
    </row>
    <row r="355" spans="1:9" ht="15" customHeight="1" x14ac:dyDescent="0.2">
      <c r="A355" s="39"/>
      <c r="B355" s="40"/>
      <c r="C355" s="40"/>
      <c r="D355" s="40"/>
      <c r="E355" s="41"/>
      <c r="F355" s="41" t="str">
        <f>IF($B355="","",IF($D355="kg",N($E355),IF($D355="sacos",N($E355)*97,IF($D355="jabas",N($E355)*IFERROR(VLOOKUP($C355,LISTAS!$A$2:$B$12,2,0),0),""))))</f>
        <v/>
      </c>
      <c r="G355" s="40"/>
      <c r="H355" s="40"/>
      <c r="I355">
        <f t="shared" si="8"/>
        <v>0</v>
      </c>
    </row>
    <row r="356" spans="1:9" ht="15" customHeight="1" x14ac:dyDescent="0.2">
      <c r="A356" s="39"/>
      <c r="B356" s="40"/>
      <c r="C356" s="40"/>
      <c r="D356" s="40"/>
      <c r="E356" s="41"/>
      <c r="F356" s="41" t="str">
        <f>IF($B356="","",IF($D356="kg",N($E356),IF($D356="sacos",N($E356)*97,IF($D356="jabas",N($E356)*IFERROR(VLOOKUP($C356,LISTAS!$A$2:$B$12,2,0),0),""))))</f>
        <v/>
      </c>
      <c r="G356" s="40"/>
      <c r="H356" s="40"/>
      <c r="I356">
        <f t="shared" si="8"/>
        <v>0</v>
      </c>
    </row>
    <row r="357" spans="1:9" ht="15" customHeight="1" x14ac:dyDescent="0.2">
      <c r="A357" s="39"/>
      <c r="B357" s="40"/>
      <c r="C357" s="40"/>
      <c r="D357" s="40"/>
      <c r="E357" s="41"/>
      <c r="F357" s="41" t="str">
        <f>IF($B357="","",IF($D357="kg",N($E357),IF($D357="sacos",N($E357)*97,IF($D357="jabas",N($E357)*IFERROR(VLOOKUP($C357,LISTAS!$A$2:$B$12,2,0),0),""))))</f>
        <v/>
      </c>
      <c r="G357" s="40"/>
      <c r="H357" s="40"/>
      <c r="I357">
        <f t="shared" ref="I357:I388" si="9">N($F357)</f>
        <v>0</v>
      </c>
    </row>
    <row r="358" spans="1:9" ht="15" customHeight="1" x14ac:dyDescent="0.2">
      <c r="A358" s="39"/>
      <c r="B358" s="40"/>
      <c r="C358" s="40"/>
      <c r="D358" s="40"/>
      <c r="E358" s="41"/>
      <c r="F358" s="41" t="str">
        <f>IF($B358="","",IF($D358="kg",N($E358),IF($D358="sacos",N($E358)*97,IF($D358="jabas",N($E358)*IFERROR(VLOOKUP($C358,LISTAS!$A$2:$B$12,2,0),0),""))))</f>
        <v/>
      </c>
      <c r="G358" s="40"/>
      <c r="H358" s="40"/>
      <c r="I358">
        <f t="shared" si="9"/>
        <v>0</v>
      </c>
    </row>
    <row r="359" spans="1:9" ht="15" customHeight="1" x14ac:dyDescent="0.2">
      <c r="A359" s="39"/>
      <c r="B359" s="40"/>
      <c r="C359" s="40"/>
      <c r="D359" s="40"/>
      <c r="E359" s="41"/>
      <c r="F359" s="41" t="str">
        <f>IF($B359="","",IF($D359="kg",N($E359),IF($D359="sacos",N($E359)*97,IF($D359="jabas",N($E359)*IFERROR(VLOOKUP($C359,LISTAS!$A$2:$B$12,2,0),0),""))))</f>
        <v/>
      </c>
      <c r="G359" s="40"/>
      <c r="H359" s="40"/>
      <c r="I359">
        <f t="shared" si="9"/>
        <v>0</v>
      </c>
    </row>
    <row r="360" spans="1:9" ht="15" customHeight="1" x14ac:dyDescent="0.2">
      <c r="A360" s="39"/>
      <c r="B360" s="40"/>
      <c r="C360" s="40"/>
      <c r="D360" s="40"/>
      <c r="E360" s="41"/>
      <c r="F360" s="41" t="str">
        <f>IF($B360="","",IF($D360="kg",N($E360),IF($D360="sacos",N($E360)*97,IF($D360="jabas",N($E360)*IFERROR(VLOOKUP($C360,LISTAS!$A$2:$B$12,2,0),0),""))))</f>
        <v/>
      </c>
      <c r="G360" s="40"/>
      <c r="H360" s="40"/>
      <c r="I360">
        <f t="shared" si="9"/>
        <v>0</v>
      </c>
    </row>
    <row r="361" spans="1:9" ht="15" customHeight="1" x14ac:dyDescent="0.2">
      <c r="A361" s="39"/>
      <c r="B361" s="40"/>
      <c r="C361" s="40"/>
      <c r="D361" s="40"/>
      <c r="E361" s="41"/>
      <c r="F361" s="41" t="str">
        <f>IF($B361="","",IF($D361="kg",N($E361),IF($D361="sacos",N($E361)*97,IF($D361="jabas",N($E361)*IFERROR(VLOOKUP($C361,LISTAS!$A$2:$B$12,2,0),0),""))))</f>
        <v/>
      </c>
      <c r="G361" s="40"/>
      <c r="H361" s="40"/>
      <c r="I361">
        <f t="shared" si="9"/>
        <v>0</v>
      </c>
    </row>
    <row r="362" spans="1:9" ht="15" customHeight="1" x14ac:dyDescent="0.2">
      <c r="A362" s="39"/>
      <c r="B362" s="40"/>
      <c r="C362" s="40"/>
      <c r="D362" s="40"/>
      <c r="E362" s="41"/>
      <c r="F362" s="41" t="str">
        <f>IF($B362="","",IF($D362="kg",N($E362),IF($D362="sacos",N($E362)*97,IF($D362="jabas",N($E362)*IFERROR(VLOOKUP($C362,LISTAS!$A$2:$B$12,2,0),0),""))))</f>
        <v/>
      </c>
      <c r="G362" s="40"/>
      <c r="H362" s="40"/>
      <c r="I362">
        <f t="shared" si="9"/>
        <v>0</v>
      </c>
    </row>
    <row r="363" spans="1:9" ht="15" customHeight="1" x14ac:dyDescent="0.2">
      <c r="A363" s="39"/>
      <c r="B363" s="40"/>
      <c r="C363" s="40"/>
      <c r="D363" s="40"/>
      <c r="E363" s="41"/>
      <c r="F363" s="41" t="str">
        <f>IF($B363="","",IF($D363="kg",N($E363),IF($D363="sacos",N($E363)*97,IF($D363="jabas",N($E363)*IFERROR(VLOOKUP($C363,LISTAS!$A$2:$B$12,2,0),0),""))))</f>
        <v/>
      </c>
      <c r="G363" s="40"/>
      <c r="H363" s="40"/>
      <c r="I363">
        <f t="shared" si="9"/>
        <v>0</v>
      </c>
    </row>
    <row r="364" spans="1:9" ht="15" customHeight="1" x14ac:dyDescent="0.2">
      <c r="A364" s="39"/>
      <c r="B364" s="40"/>
      <c r="C364" s="40"/>
      <c r="D364" s="40"/>
      <c r="E364" s="41"/>
      <c r="F364" s="41" t="str">
        <f>IF($B364="","",IF($D364="kg",N($E364),IF($D364="sacos",N($E364)*97,IF($D364="jabas",N($E364)*IFERROR(VLOOKUP($C364,LISTAS!$A$2:$B$12,2,0),0),""))))</f>
        <v/>
      </c>
      <c r="G364" s="40"/>
      <c r="H364" s="40"/>
      <c r="I364">
        <f t="shared" si="9"/>
        <v>0</v>
      </c>
    </row>
    <row r="365" spans="1:9" ht="15" customHeight="1" x14ac:dyDescent="0.2">
      <c r="A365" s="39"/>
      <c r="B365" s="40"/>
      <c r="C365" s="40"/>
      <c r="D365" s="40"/>
      <c r="E365" s="41"/>
      <c r="F365" s="41" t="str">
        <f>IF($B365="","",IF($D365="kg",N($E365),IF($D365="sacos",N($E365)*97,IF($D365="jabas",N($E365)*IFERROR(VLOOKUP($C365,LISTAS!$A$2:$B$12,2,0),0),""))))</f>
        <v/>
      </c>
      <c r="G365" s="40"/>
      <c r="H365" s="40"/>
      <c r="I365">
        <f t="shared" si="9"/>
        <v>0</v>
      </c>
    </row>
    <row r="366" spans="1:9" ht="15" customHeight="1" x14ac:dyDescent="0.2">
      <c r="A366" s="39"/>
      <c r="B366" s="40"/>
      <c r="C366" s="40"/>
      <c r="D366" s="40"/>
      <c r="E366" s="41"/>
      <c r="F366" s="41" t="str">
        <f>IF($B366="","",IF($D366="kg",N($E366),IF($D366="sacos",N($E366)*97,IF($D366="jabas",N($E366)*IFERROR(VLOOKUP($C366,LISTAS!$A$2:$B$12,2,0),0),""))))</f>
        <v/>
      </c>
      <c r="G366" s="40"/>
      <c r="H366" s="40"/>
      <c r="I366">
        <f t="shared" si="9"/>
        <v>0</v>
      </c>
    </row>
    <row r="367" spans="1:9" ht="15" customHeight="1" x14ac:dyDescent="0.2">
      <c r="A367" s="39"/>
      <c r="B367" s="40"/>
      <c r="C367" s="40"/>
      <c r="D367" s="40"/>
      <c r="E367" s="41"/>
      <c r="F367" s="41" t="str">
        <f>IF($B367="","",IF($D367="kg",N($E367),IF($D367="sacos",N($E367)*97,IF($D367="jabas",N($E367)*IFERROR(VLOOKUP($C367,LISTAS!$A$2:$B$12,2,0),0),""))))</f>
        <v/>
      </c>
      <c r="G367" s="40"/>
      <c r="H367" s="40"/>
      <c r="I367">
        <f t="shared" si="9"/>
        <v>0</v>
      </c>
    </row>
    <row r="368" spans="1:9" ht="15" customHeight="1" x14ac:dyDescent="0.2">
      <c r="A368" s="39"/>
      <c r="B368" s="40"/>
      <c r="C368" s="40"/>
      <c r="D368" s="40"/>
      <c r="E368" s="41"/>
      <c r="F368" s="41" t="str">
        <f>IF($B368="","",IF($D368="kg",N($E368),IF($D368="sacos",N($E368)*97,IF($D368="jabas",N($E368)*IFERROR(VLOOKUP($C368,LISTAS!$A$2:$B$12,2,0),0),""))))</f>
        <v/>
      </c>
      <c r="G368" s="40"/>
      <c r="H368" s="40"/>
      <c r="I368">
        <f t="shared" si="9"/>
        <v>0</v>
      </c>
    </row>
    <row r="369" spans="1:9" ht="15" customHeight="1" x14ac:dyDescent="0.2">
      <c r="A369" s="39"/>
      <c r="B369" s="40"/>
      <c r="C369" s="40"/>
      <c r="D369" s="40"/>
      <c r="E369" s="41"/>
      <c r="F369" s="41" t="str">
        <f>IF($B369="","",IF($D369="kg",N($E369),IF($D369="sacos",N($E369)*97,IF($D369="jabas",N($E369)*IFERROR(VLOOKUP($C369,LISTAS!$A$2:$B$12,2,0),0),""))))</f>
        <v/>
      </c>
      <c r="G369" s="40"/>
      <c r="H369" s="40"/>
      <c r="I369">
        <f t="shared" si="9"/>
        <v>0</v>
      </c>
    </row>
    <row r="370" spans="1:9" ht="15" customHeight="1" x14ac:dyDescent="0.2">
      <c r="A370" s="39"/>
      <c r="B370" s="40"/>
      <c r="C370" s="40"/>
      <c r="D370" s="40"/>
      <c r="E370" s="41"/>
      <c r="F370" s="41" t="str">
        <f>IF($B370="","",IF($D370="kg",N($E370),IF($D370="sacos",N($E370)*97,IF($D370="jabas",N($E370)*IFERROR(VLOOKUP($C370,LISTAS!$A$2:$B$12,2,0),0),""))))</f>
        <v/>
      </c>
      <c r="G370" s="40"/>
      <c r="H370" s="40"/>
      <c r="I370">
        <f t="shared" si="9"/>
        <v>0</v>
      </c>
    </row>
    <row r="371" spans="1:9" ht="15" customHeight="1" x14ac:dyDescent="0.2">
      <c r="A371" s="39"/>
      <c r="B371" s="40"/>
      <c r="C371" s="40"/>
      <c r="D371" s="40"/>
      <c r="E371" s="41"/>
      <c r="F371" s="41" t="str">
        <f>IF($B371="","",IF($D371="kg",N($E371),IF($D371="sacos",N($E371)*97,IF($D371="jabas",N($E371)*IFERROR(VLOOKUP($C371,LISTAS!$A$2:$B$12,2,0),0),""))))</f>
        <v/>
      </c>
      <c r="G371" s="40"/>
      <c r="H371" s="40"/>
      <c r="I371">
        <f t="shared" si="9"/>
        <v>0</v>
      </c>
    </row>
    <row r="372" spans="1:9" ht="15" customHeight="1" x14ac:dyDescent="0.2">
      <c r="A372" s="39"/>
      <c r="B372" s="40"/>
      <c r="C372" s="40"/>
      <c r="D372" s="40"/>
      <c r="E372" s="41"/>
      <c r="F372" s="41" t="str">
        <f>IF($B372="","",IF($D372="kg",N($E372),IF($D372="sacos",N($E372)*97,IF($D372="jabas",N($E372)*IFERROR(VLOOKUP($C372,LISTAS!$A$2:$B$12,2,0),0),""))))</f>
        <v/>
      </c>
      <c r="G372" s="40"/>
      <c r="H372" s="40"/>
      <c r="I372">
        <f t="shared" si="9"/>
        <v>0</v>
      </c>
    </row>
    <row r="373" spans="1:9" ht="15" customHeight="1" x14ac:dyDescent="0.2">
      <c r="A373" s="39"/>
      <c r="B373" s="40"/>
      <c r="C373" s="40"/>
      <c r="D373" s="40"/>
      <c r="E373" s="41"/>
      <c r="F373" s="41" t="str">
        <f>IF($B373="","",IF($D373="kg",N($E373),IF($D373="sacos",N($E373)*97,IF($D373="jabas",N($E373)*IFERROR(VLOOKUP($C373,LISTAS!$A$2:$B$12,2,0),0),""))))</f>
        <v/>
      </c>
      <c r="G373" s="40"/>
      <c r="H373" s="40"/>
      <c r="I373">
        <f t="shared" si="9"/>
        <v>0</v>
      </c>
    </row>
    <row r="374" spans="1:9" ht="15" customHeight="1" x14ac:dyDescent="0.2">
      <c r="A374" s="39"/>
      <c r="B374" s="40"/>
      <c r="C374" s="40"/>
      <c r="D374" s="40"/>
      <c r="E374" s="41"/>
      <c r="F374" s="41" t="str">
        <f>IF($B374="","",IF($D374="kg",N($E374),IF($D374="sacos",N($E374)*97,IF($D374="jabas",N($E374)*IFERROR(VLOOKUP($C374,LISTAS!$A$2:$B$12,2,0),0),""))))</f>
        <v/>
      </c>
      <c r="G374" s="40"/>
      <c r="H374" s="40"/>
      <c r="I374">
        <f t="shared" si="9"/>
        <v>0</v>
      </c>
    </row>
    <row r="375" spans="1:9" ht="15" customHeight="1" x14ac:dyDescent="0.2">
      <c r="A375" s="39"/>
      <c r="B375" s="40"/>
      <c r="C375" s="40"/>
      <c r="D375" s="40"/>
      <c r="E375" s="41"/>
      <c r="F375" s="41" t="str">
        <f>IF($B375="","",IF($D375="kg",N($E375),IF($D375="sacos",N($E375)*97,IF($D375="jabas",N($E375)*IFERROR(VLOOKUP($C375,LISTAS!$A$2:$B$12,2,0),0),""))))</f>
        <v/>
      </c>
      <c r="G375" s="40"/>
      <c r="H375" s="40"/>
      <c r="I375">
        <f t="shared" si="9"/>
        <v>0</v>
      </c>
    </row>
    <row r="376" spans="1:9" ht="15" customHeight="1" x14ac:dyDescent="0.2">
      <c r="A376" s="39"/>
      <c r="B376" s="40"/>
      <c r="C376" s="40"/>
      <c r="D376" s="40"/>
      <c r="E376" s="41"/>
      <c r="F376" s="41" t="str">
        <f>IF($B376="","",IF($D376="kg",N($E376),IF($D376="sacos",N($E376)*97,IF($D376="jabas",N($E376)*IFERROR(VLOOKUP($C376,LISTAS!$A$2:$B$12,2,0),0),""))))</f>
        <v/>
      </c>
      <c r="G376" s="40"/>
      <c r="H376" s="40"/>
      <c r="I376">
        <f t="shared" si="9"/>
        <v>0</v>
      </c>
    </row>
    <row r="377" spans="1:9" ht="15" customHeight="1" x14ac:dyDescent="0.2">
      <c r="A377" s="39"/>
      <c r="B377" s="40"/>
      <c r="C377" s="40"/>
      <c r="D377" s="40"/>
      <c r="E377" s="41"/>
      <c r="F377" s="41" t="str">
        <f>IF($B377="","",IF($D377="kg",N($E377),IF($D377="sacos",N($E377)*97,IF($D377="jabas",N($E377)*IFERROR(VLOOKUP($C377,LISTAS!$A$2:$B$12,2,0),0),""))))</f>
        <v/>
      </c>
      <c r="G377" s="40"/>
      <c r="H377" s="40"/>
      <c r="I377">
        <f t="shared" si="9"/>
        <v>0</v>
      </c>
    </row>
    <row r="378" spans="1:9" ht="15" customHeight="1" x14ac:dyDescent="0.2">
      <c r="A378" s="39"/>
      <c r="B378" s="40"/>
      <c r="C378" s="40"/>
      <c r="D378" s="40"/>
      <c r="E378" s="41"/>
      <c r="F378" s="41" t="str">
        <f>IF($B378="","",IF($D378="kg",N($E378),IF($D378="sacos",N($E378)*97,IF($D378="jabas",N($E378)*IFERROR(VLOOKUP($C378,LISTAS!$A$2:$B$12,2,0),0),""))))</f>
        <v/>
      </c>
      <c r="G378" s="40"/>
      <c r="H378" s="40"/>
      <c r="I378">
        <f t="shared" si="9"/>
        <v>0</v>
      </c>
    </row>
    <row r="379" spans="1:9" ht="15" customHeight="1" x14ac:dyDescent="0.2">
      <c r="A379" s="39"/>
      <c r="B379" s="40"/>
      <c r="C379" s="40"/>
      <c r="D379" s="40"/>
      <c r="E379" s="41"/>
      <c r="F379" s="41" t="str">
        <f>IF($B379="","",IF($D379="kg",N($E379),IF($D379="sacos",N($E379)*97,IF($D379="jabas",N($E379)*IFERROR(VLOOKUP($C379,LISTAS!$A$2:$B$12,2,0),0),""))))</f>
        <v/>
      </c>
      <c r="G379" s="40"/>
      <c r="H379" s="40"/>
      <c r="I379">
        <f t="shared" si="9"/>
        <v>0</v>
      </c>
    </row>
    <row r="380" spans="1:9" ht="15" customHeight="1" x14ac:dyDescent="0.2">
      <c r="A380" s="39"/>
      <c r="B380" s="40"/>
      <c r="C380" s="40"/>
      <c r="D380" s="40"/>
      <c r="E380" s="41"/>
      <c r="F380" s="41" t="str">
        <f>IF($B380="","",IF($D380="kg",N($E380),IF($D380="sacos",N($E380)*97,IF($D380="jabas",N($E380)*IFERROR(VLOOKUP($C380,LISTAS!$A$2:$B$12,2,0),0),""))))</f>
        <v/>
      </c>
      <c r="G380" s="40"/>
      <c r="H380" s="40"/>
      <c r="I380">
        <f t="shared" si="9"/>
        <v>0</v>
      </c>
    </row>
    <row r="381" spans="1:9" ht="15" customHeight="1" x14ac:dyDescent="0.2">
      <c r="A381" s="39"/>
      <c r="B381" s="40"/>
      <c r="C381" s="40"/>
      <c r="D381" s="40"/>
      <c r="E381" s="41"/>
      <c r="F381" s="41" t="str">
        <f>IF($B381="","",IF($D381="kg",N($E381),IF($D381="sacos",N($E381)*97,IF($D381="jabas",N($E381)*IFERROR(VLOOKUP($C381,LISTAS!$A$2:$B$12,2,0),0),""))))</f>
        <v/>
      </c>
      <c r="G381" s="40"/>
      <c r="H381" s="40"/>
      <c r="I381">
        <f t="shared" si="9"/>
        <v>0</v>
      </c>
    </row>
    <row r="382" spans="1:9" ht="15" customHeight="1" x14ac:dyDescent="0.2">
      <c r="A382" s="39"/>
      <c r="B382" s="40"/>
      <c r="C382" s="40"/>
      <c r="D382" s="40"/>
      <c r="E382" s="41"/>
      <c r="F382" s="41" t="str">
        <f>IF($B382="","",IF($D382="kg",N($E382),IF($D382="sacos",N($E382)*97,IF($D382="jabas",N($E382)*IFERROR(VLOOKUP($C382,LISTAS!$A$2:$B$12,2,0),0),""))))</f>
        <v/>
      </c>
      <c r="G382" s="40"/>
      <c r="H382" s="40"/>
      <c r="I382">
        <f t="shared" si="9"/>
        <v>0</v>
      </c>
    </row>
    <row r="383" spans="1:9" ht="15" customHeight="1" x14ac:dyDescent="0.2">
      <c r="A383" s="39"/>
      <c r="B383" s="40"/>
      <c r="C383" s="40"/>
      <c r="D383" s="40"/>
      <c r="E383" s="41"/>
      <c r="F383" s="41" t="str">
        <f>IF($B383="","",IF($D383="kg",N($E383),IF($D383="sacos",N($E383)*97,IF($D383="jabas",N($E383)*IFERROR(VLOOKUP($C383,LISTAS!$A$2:$B$12,2,0),0),""))))</f>
        <v/>
      </c>
      <c r="G383" s="40"/>
      <c r="H383" s="40"/>
      <c r="I383">
        <f t="shared" si="9"/>
        <v>0</v>
      </c>
    </row>
    <row r="384" spans="1:9" ht="15" customHeight="1" x14ac:dyDescent="0.2">
      <c r="A384" s="39"/>
      <c r="B384" s="40"/>
      <c r="C384" s="40"/>
      <c r="D384" s="40"/>
      <c r="E384" s="41"/>
      <c r="F384" s="41" t="str">
        <f>IF($B384="","",IF($D384="kg",N($E384),IF($D384="sacos",N($E384)*97,IF($D384="jabas",N($E384)*IFERROR(VLOOKUP($C384,LISTAS!$A$2:$B$12,2,0),0),""))))</f>
        <v/>
      </c>
      <c r="G384" s="40"/>
      <c r="H384" s="40"/>
      <c r="I384">
        <f t="shared" si="9"/>
        <v>0</v>
      </c>
    </row>
    <row r="385" spans="1:9" ht="15" customHeight="1" x14ac:dyDescent="0.2">
      <c r="A385" s="39"/>
      <c r="B385" s="40"/>
      <c r="C385" s="40"/>
      <c r="D385" s="40"/>
      <c r="E385" s="41"/>
      <c r="F385" s="41" t="str">
        <f>IF($B385="","",IF($D385="kg",N($E385),IF($D385="sacos",N($E385)*97,IF($D385="jabas",N($E385)*IFERROR(VLOOKUP($C385,LISTAS!$A$2:$B$12,2,0),0),""))))</f>
        <v/>
      </c>
      <c r="G385" s="40"/>
      <c r="H385" s="40"/>
      <c r="I385">
        <f t="shared" si="9"/>
        <v>0</v>
      </c>
    </row>
    <row r="386" spans="1:9" ht="15" customHeight="1" x14ac:dyDescent="0.2">
      <c r="A386" s="39"/>
      <c r="B386" s="40"/>
      <c r="C386" s="40"/>
      <c r="D386" s="40"/>
      <c r="E386" s="41"/>
      <c r="F386" s="41" t="str">
        <f>IF($B386="","",IF($D386="kg",N($E386),IF($D386="sacos",N($E386)*97,IF($D386="jabas",N($E386)*IFERROR(VLOOKUP($C386,LISTAS!$A$2:$B$12,2,0),0),""))))</f>
        <v/>
      </c>
      <c r="G386" s="40"/>
      <c r="H386" s="40"/>
      <c r="I386">
        <f t="shared" si="9"/>
        <v>0</v>
      </c>
    </row>
    <row r="387" spans="1:9" ht="15" customHeight="1" x14ac:dyDescent="0.2">
      <c r="A387" s="39"/>
      <c r="B387" s="40"/>
      <c r="C387" s="40"/>
      <c r="D387" s="40"/>
      <c r="E387" s="41"/>
      <c r="F387" s="41" t="str">
        <f>IF($B387="","",IF($D387="kg",N($E387),IF($D387="sacos",N($E387)*97,IF($D387="jabas",N($E387)*IFERROR(VLOOKUP($C387,LISTAS!$A$2:$B$12,2,0),0),""))))</f>
        <v/>
      </c>
      <c r="G387" s="40"/>
      <c r="H387" s="40"/>
      <c r="I387">
        <f t="shared" si="9"/>
        <v>0</v>
      </c>
    </row>
    <row r="388" spans="1:9" ht="15" customHeight="1" x14ac:dyDescent="0.2">
      <c r="A388" s="39"/>
      <c r="B388" s="40"/>
      <c r="C388" s="40"/>
      <c r="D388" s="40"/>
      <c r="E388" s="41"/>
      <c r="F388" s="41" t="str">
        <f>IF($B388="","",IF($D388="kg",N($E388),IF($D388="sacos",N($E388)*97,IF($D388="jabas",N($E388)*IFERROR(VLOOKUP($C388,LISTAS!$A$2:$B$12,2,0),0),""))))</f>
        <v/>
      </c>
      <c r="G388" s="40"/>
      <c r="H388" s="40"/>
      <c r="I388">
        <f t="shared" si="9"/>
        <v>0</v>
      </c>
    </row>
    <row r="389" spans="1:9" ht="15" customHeight="1" x14ac:dyDescent="0.2">
      <c r="A389" s="39"/>
      <c r="B389" s="40"/>
      <c r="C389" s="40"/>
      <c r="D389" s="40"/>
      <c r="E389" s="41"/>
      <c r="F389" s="41" t="str">
        <f>IF($B389="","",IF($D389="kg",N($E389),IF($D389="sacos",N($E389)*97,IF($D389="jabas",N($E389)*IFERROR(VLOOKUP($C389,LISTAS!$A$2:$B$12,2,0),0),""))))</f>
        <v/>
      </c>
      <c r="G389" s="40"/>
      <c r="H389" s="40"/>
      <c r="I389">
        <f t="shared" ref="I389:I420" si="10">N($F389)</f>
        <v>0</v>
      </c>
    </row>
    <row r="390" spans="1:9" ht="15" customHeight="1" x14ac:dyDescent="0.2">
      <c r="A390" s="39"/>
      <c r="B390" s="40"/>
      <c r="C390" s="40"/>
      <c r="D390" s="40"/>
      <c r="E390" s="41"/>
      <c r="F390" s="41" t="str">
        <f>IF($B390="","",IF($D390="kg",N($E390),IF($D390="sacos",N($E390)*97,IF($D390="jabas",N($E390)*IFERROR(VLOOKUP($C390,LISTAS!$A$2:$B$12,2,0),0),""))))</f>
        <v/>
      </c>
      <c r="G390" s="40"/>
      <c r="H390" s="40"/>
      <c r="I390">
        <f t="shared" si="10"/>
        <v>0</v>
      </c>
    </row>
    <row r="391" spans="1:9" ht="15" customHeight="1" x14ac:dyDescent="0.2">
      <c r="A391" s="39"/>
      <c r="B391" s="40"/>
      <c r="C391" s="40"/>
      <c r="D391" s="40"/>
      <c r="E391" s="41"/>
      <c r="F391" s="41" t="str">
        <f>IF($B391="","",IF($D391="kg",N($E391),IF($D391="sacos",N($E391)*97,IF($D391="jabas",N($E391)*IFERROR(VLOOKUP($C391,LISTAS!$A$2:$B$12,2,0),0),""))))</f>
        <v/>
      </c>
      <c r="G391" s="40"/>
      <c r="H391" s="40"/>
      <c r="I391">
        <f t="shared" si="10"/>
        <v>0</v>
      </c>
    </row>
    <row r="392" spans="1:9" ht="15" customHeight="1" x14ac:dyDescent="0.2">
      <c r="A392" s="39"/>
      <c r="B392" s="40"/>
      <c r="C392" s="40"/>
      <c r="D392" s="40"/>
      <c r="E392" s="41"/>
      <c r="F392" s="41" t="str">
        <f>IF($B392="","",IF($D392="kg",N($E392),IF($D392="sacos",N($E392)*97,IF($D392="jabas",N($E392)*IFERROR(VLOOKUP($C392,LISTAS!$A$2:$B$12,2,0),0),""))))</f>
        <v/>
      </c>
      <c r="G392" s="40"/>
      <c r="H392" s="40"/>
      <c r="I392">
        <f t="shared" si="10"/>
        <v>0</v>
      </c>
    </row>
    <row r="393" spans="1:9" ht="15" customHeight="1" x14ac:dyDescent="0.2">
      <c r="A393" s="39"/>
      <c r="B393" s="40"/>
      <c r="C393" s="40"/>
      <c r="D393" s="40"/>
      <c r="E393" s="41"/>
      <c r="F393" s="41" t="str">
        <f>IF($B393="","",IF($D393="kg",N($E393),IF($D393="sacos",N($E393)*97,IF($D393="jabas",N($E393)*IFERROR(VLOOKUP($C393,LISTAS!$A$2:$B$12,2,0),0),""))))</f>
        <v/>
      </c>
      <c r="G393" s="40"/>
      <c r="H393" s="40"/>
      <c r="I393">
        <f t="shared" si="10"/>
        <v>0</v>
      </c>
    </row>
    <row r="394" spans="1:9" ht="15" customHeight="1" x14ac:dyDescent="0.2">
      <c r="A394" s="39"/>
      <c r="B394" s="40"/>
      <c r="C394" s="40"/>
      <c r="D394" s="40"/>
      <c r="E394" s="41"/>
      <c r="F394" s="41" t="str">
        <f>IF($B394="","",IF($D394="kg",N($E394),IF($D394="sacos",N($E394)*97,IF($D394="jabas",N($E394)*IFERROR(VLOOKUP($C394,LISTAS!$A$2:$B$12,2,0),0),""))))</f>
        <v/>
      </c>
      <c r="G394" s="40"/>
      <c r="H394" s="40"/>
      <c r="I394">
        <f t="shared" si="10"/>
        <v>0</v>
      </c>
    </row>
    <row r="395" spans="1:9" ht="15" customHeight="1" x14ac:dyDescent="0.2">
      <c r="A395" s="39"/>
      <c r="B395" s="40"/>
      <c r="C395" s="40"/>
      <c r="D395" s="40"/>
      <c r="E395" s="41"/>
      <c r="F395" s="41" t="str">
        <f>IF($B395="","",IF($D395="kg",N($E395),IF($D395="sacos",N($E395)*97,IF($D395="jabas",N($E395)*IFERROR(VLOOKUP($C395,LISTAS!$A$2:$B$12,2,0),0),""))))</f>
        <v/>
      </c>
      <c r="G395" s="40"/>
      <c r="H395" s="40"/>
      <c r="I395">
        <f t="shared" si="10"/>
        <v>0</v>
      </c>
    </row>
    <row r="396" spans="1:9" ht="15" customHeight="1" x14ac:dyDescent="0.2">
      <c r="A396" s="39"/>
      <c r="B396" s="40"/>
      <c r="C396" s="40"/>
      <c r="D396" s="40"/>
      <c r="E396" s="41"/>
      <c r="F396" s="41" t="str">
        <f>IF($B396="","",IF($D396="kg",N($E396),IF($D396="sacos",N($E396)*97,IF($D396="jabas",N($E396)*IFERROR(VLOOKUP($C396,LISTAS!$A$2:$B$12,2,0),0),""))))</f>
        <v/>
      </c>
      <c r="G396" s="40"/>
      <c r="H396" s="40"/>
      <c r="I396">
        <f t="shared" si="10"/>
        <v>0</v>
      </c>
    </row>
    <row r="397" spans="1:9" ht="15" customHeight="1" x14ac:dyDescent="0.2">
      <c r="A397" s="39"/>
      <c r="B397" s="40"/>
      <c r="C397" s="40"/>
      <c r="D397" s="40"/>
      <c r="E397" s="41"/>
      <c r="F397" s="41" t="str">
        <f>IF($B397="","",IF($D397="kg",N($E397),IF($D397="sacos",N($E397)*97,IF($D397="jabas",N($E397)*IFERROR(VLOOKUP($C397,LISTAS!$A$2:$B$12,2,0),0),""))))</f>
        <v/>
      </c>
      <c r="G397" s="40"/>
      <c r="H397" s="40"/>
      <c r="I397">
        <f t="shared" si="10"/>
        <v>0</v>
      </c>
    </row>
    <row r="398" spans="1:9" ht="15" customHeight="1" x14ac:dyDescent="0.2">
      <c r="A398" s="39"/>
      <c r="B398" s="40"/>
      <c r="C398" s="40"/>
      <c r="D398" s="40"/>
      <c r="E398" s="41"/>
      <c r="F398" s="41" t="str">
        <f>IF($B398="","",IF($D398="kg",N($E398),IF($D398="sacos",N($E398)*97,IF($D398="jabas",N($E398)*IFERROR(VLOOKUP($C398,LISTAS!$A$2:$B$12,2,0),0),""))))</f>
        <v/>
      </c>
      <c r="G398" s="40"/>
      <c r="H398" s="40"/>
      <c r="I398">
        <f t="shared" si="10"/>
        <v>0</v>
      </c>
    </row>
    <row r="399" spans="1:9" ht="15" customHeight="1" x14ac:dyDescent="0.2">
      <c r="A399" s="39"/>
      <c r="B399" s="40"/>
      <c r="C399" s="40"/>
      <c r="D399" s="40"/>
      <c r="E399" s="41"/>
      <c r="F399" s="41" t="str">
        <f>IF($B399="","",IF($D399="kg",N($E399),IF($D399="sacos",N($E399)*97,IF($D399="jabas",N($E399)*IFERROR(VLOOKUP($C399,LISTAS!$A$2:$B$12,2,0),0),""))))</f>
        <v/>
      </c>
      <c r="G399" s="40"/>
      <c r="H399" s="40"/>
      <c r="I399">
        <f t="shared" si="10"/>
        <v>0</v>
      </c>
    </row>
    <row r="400" spans="1:9" ht="15" customHeight="1" x14ac:dyDescent="0.2">
      <c r="A400" s="39"/>
      <c r="B400" s="40"/>
      <c r="C400" s="40"/>
      <c r="D400" s="40"/>
      <c r="E400" s="41"/>
      <c r="F400" s="41" t="str">
        <f>IF($B400="","",IF($D400="kg",N($E400),IF($D400="sacos",N($E400)*97,IF($D400="jabas",N($E400)*IFERROR(VLOOKUP($C400,LISTAS!$A$2:$B$12,2,0),0),""))))</f>
        <v/>
      </c>
      <c r="G400" s="40"/>
      <c r="H400" s="40"/>
      <c r="I400">
        <f t="shared" si="10"/>
        <v>0</v>
      </c>
    </row>
    <row r="401" spans="1:9" ht="15" customHeight="1" x14ac:dyDescent="0.2">
      <c r="A401" s="39"/>
      <c r="B401" s="40"/>
      <c r="C401" s="40"/>
      <c r="D401" s="40"/>
      <c r="E401" s="41"/>
      <c r="F401" s="41" t="str">
        <f>IF($B401="","",IF($D401="kg",N($E401),IF($D401="sacos",N($E401)*97,IF($D401="jabas",N($E401)*IFERROR(VLOOKUP($C401,LISTAS!$A$2:$B$12,2,0),0),""))))</f>
        <v/>
      </c>
      <c r="G401" s="40"/>
      <c r="H401" s="40"/>
      <c r="I401">
        <f t="shared" si="10"/>
        <v>0</v>
      </c>
    </row>
    <row r="402" spans="1:9" ht="15" customHeight="1" x14ac:dyDescent="0.2">
      <c r="A402" s="39"/>
      <c r="B402" s="40"/>
      <c r="C402" s="40"/>
      <c r="D402" s="40"/>
      <c r="E402" s="41"/>
      <c r="F402" s="41" t="str">
        <f>IF($B402="","",IF($D402="kg",N($E402),IF($D402="sacos",N($E402)*97,IF($D402="jabas",N($E402)*IFERROR(VLOOKUP($C402,LISTAS!$A$2:$B$12,2,0),0),""))))</f>
        <v/>
      </c>
      <c r="G402" s="40"/>
      <c r="H402" s="40"/>
      <c r="I402">
        <f t="shared" si="10"/>
        <v>0</v>
      </c>
    </row>
    <row r="403" spans="1:9" ht="15" customHeight="1" x14ac:dyDescent="0.2">
      <c r="A403" s="39"/>
      <c r="B403" s="40"/>
      <c r="C403" s="40"/>
      <c r="D403" s="40"/>
      <c r="E403" s="41"/>
      <c r="F403" s="41" t="str">
        <f>IF($B403="","",IF($D403="kg",N($E403),IF($D403="sacos",N($E403)*97,IF($D403="jabas",N($E403)*IFERROR(VLOOKUP($C403,LISTAS!$A$2:$B$12,2,0),0),""))))</f>
        <v/>
      </c>
      <c r="G403" s="40"/>
      <c r="H403" s="40"/>
      <c r="I403">
        <f t="shared" si="10"/>
        <v>0</v>
      </c>
    </row>
    <row r="404" spans="1:9" ht="15" customHeight="1" x14ac:dyDescent="0.2">
      <c r="A404" s="39"/>
      <c r="B404" s="40"/>
      <c r="C404" s="40"/>
      <c r="D404" s="40"/>
      <c r="E404" s="41"/>
      <c r="F404" s="41" t="str">
        <f>IF($B404="","",IF($D404="kg",N($E404),IF($D404="sacos",N($E404)*97,IF($D404="jabas",N($E404)*IFERROR(VLOOKUP($C404,LISTAS!$A$2:$B$12,2,0),0),""))))</f>
        <v/>
      </c>
      <c r="G404" s="40"/>
      <c r="H404" s="40"/>
      <c r="I404">
        <f t="shared" si="10"/>
        <v>0</v>
      </c>
    </row>
    <row r="405" spans="1:9" ht="15" customHeight="1" x14ac:dyDescent="0.2">
      <c r="A405" s="39"/>
      <c r="B405" s="40"/>
      <c r="C405" s="40"/>
      <c r="D405" s="40"/>
      <c r="E405" s="41"/>
      <c r="F405" s="41" t="str">
        <f>IF($B405="","",IF($D405="kg",N($E405),IF($D405="sacos",N($E405)*97,IF($D405="jabas",N($E405)*IFERROR(VLOOKUP($C405,LISTAS!$A$2:$B$12,2,0),0),""))))</f>
        <v/>
      </c>
      <c r="G405" s="40"/>
      <c r="H405" s="40"/>
      <c r="I405">
        <f t="shared" si="10"/>
        <v>0</v>
      </c>
    </row>
    <row r="406" spans="1:9" ht="15" customHeight="1" x14ac:dyDescent="0.2">
      <c r="A406" s="39"/>
      <c r="B406" s="40"/>
      <c r="C406" s="40"/>
      <c r="D406" s="40"/>
      <c r="E406" s="41"/>
      <c r="F406" s="41" t="str">
        <f>IF($B406="","",IF($D406="kg",N($E406),IF($D406="sacos",N($E406)*97,IF($D406="jabas",N($E406)*IFERROR(VLOOKUP($C406,LISTAS!$A$2:$B$12,2,0),0),""))))</f>
        <v/>
      </c>
      <c r="G406" s="40"/>
      <c r="H406" s="40"/>
      <c r="I406">
        <f t="shared" si="10"/>
        <v>0</v>
      </c>
    </row>
    <row r="407" spans="1:9" ht="15" customHeight="1" x14ac:dyDescent="0.2">
      <c r="A407" s="39"/>
      <c r="B407" s="40"/>
      <c r="C407" s="40"/>
      <c r="D407" s="40"/>
      <c r="E407" s="41"/>
      <c r="F407" s="41" t="str">
        <f>IF($B407="","",IF($D407="kg",N($E407),IF($D407="sacos",N($E407)*97,IF($D407="jabas",N($E407)*IFERROR(VLOOKUP($C407,LISTAS!$A$2:$B$12,2,0),0),""))))</f>
        <v/>
      </c>
      <c r="G407" s="40"/>
      <c r="H407" s="40"/>
      <c r="I407">
        <f t="shared" si="10"/>
        <v>0</v>
      </c>
    </row>
    <row r="408" spans="1:9" ht="15" customHeight="1" x14ac:dyDescent="0.2">
      <c r="A408" s="39"/>
      <c r="B408" s="40"/>
      <c r="C408" s="40"/>
      <c r="D408" s="40"/>
      <c r="E408" s="41"/>
      <c r="F408" s="41" t="str">
        <f>IF($B408="","",IF($D408="kg",N($E408),IF($D408="sacos",N($E408)*97,IF($D408="jabas",N($E408)*IFERROR(VLOOKUP($C408,LISTAS!$A$2:$B$12,2,0),0),""))))</f>
        <v/>
      </c>
      <c r="G408" s="40"/>
      <c r="H408" s="40"/>
      <c r="I408">
        <f t="shared" si="10"/>
        <v>0</v>
      </c>
    </row>
    <row r="409" spans="1:9" ht="15" customHeight="1" x14ac:dyDescent="0.2">
      <c r="A409" s="39"/>
      <c r="B409" s="40"/>
      <c r="C409" s="40"/>
      <c r="D409" s="40"/>
      <c r="E409" s="41"/>
      <c r="F409" s="41" t="str">
        <f>IF($B409="","",IF($D409="kg",N($E409),IF($D409="sacos",N($E409)*97,IF($D409="jabas",N($E409)*IFERROR(VLOOKUP($C409,LISTAS!$A$2:$B$12,2,0),0),""))))</f>
        <v/>
      </c>
      <c r="G409" s="40"/>
      <c r="H409" s="40"/>
      <c r="I409">
        <f t="shared" si="10"/>
        <v>0</v>
      </c>
    </row>
    <row r="410" spans="1:9" ht="15" customHeight="1" x14ac:dyDescent="0.2">
      <c r="A410" s="39"/>
      <c r="B410" s="40"/>
      <c r="C410" s="40"/>
      <c r="D410" s="40"/>
      <c r="E410" s="41"/>
      <c r="F410" s="41" t="str">
        <f>IF($B410="","",IF($D410="kg",N($E410),IF($D410="sacos",N($E410)*97,IF($D410="jabas",N($E410)*IFERROR(VLOOKUP($C410,LISTAS!$A$2:$B$12,2,0),0),""))))</f>
        <v/>
      </c>
      <c r="G410" s="40"/>
      <c r="H410" s="40"/>
      <c r="I410">
        <f t="shared" si="10"/>
        <v>0</v>
      </c>
    </row>
    <row r="411" spans="1:9" ht="15" customHeight="1" x14ac:dyDescent="0.2">
      <c r="A411" s="39"/>
      <c r="B411" s="40"/>
      <c r="C411" s="40"/>
      <c r="D411" s="40"/>
      <c r="E411" s="41"/>
      <c r="F411" s="41" t="str">
        <f>IF($B411="","",IF($D411="kg",N($E411),IF($D411="sacos",N($E411)*97,IF($D411="jabas",N($E411)*IFERROR(VLOOKUP($C411,LISTAS!$A$2:$B$12,2,0),0),""))))</f>
        <v/>
      </c>
      <c r="G411" s="40"/>
      <c r="H411" s="40"/>
      <c r="I411">
        <f t="shared" si="10"/>
        <v>0</v>
      </c>
    </row>
    <row r="412" spans="1:9" ht="15" customHeight="1" x14ac:dyDescent="0.2">
      <c r="A412" s="39"/>
      <c r="B412" s="40"/>
      <c r="C412" s="40"/>
      <c r="D412" s="40"/>
      <c r="E412" s="41"/>
      <c r="F412" s="41" t="str">
        <f>IF($B412="","",IF($D412="kg",N($E412),IF($D412="sacos",N($E412)*97,IF($D412="jabas",N($E412)*IFERROR(VLOOKUP($C412,LISTAS!$A$2:$B$12,2,0),0),""))))</f>
        <v/>
      </c>
      <c r="G412" s="40"/>
      <c r="H412" s="40"/>
      <c r="I412">
        <f t="shared" si="10"/>
        <v>0</v>
      </c>
    </row>
    <row r="413" spans="1:9" ht="15" customHeight="1" x14ac:dyDescent="0.2">
      <c r="A413" s="39"/>
      <c r="B413" s="40"/>
      <c r="C413" s="40"/>
      <c r="D413" s="40"/>
      <c r="E413" s="41"/>
      <c r="F413" s="41" t="str">
        <f>IF($B413="","",IF($D413="kg",N($E413),IF($D413="sacos",N($E413)*97,IF($D413="jabas",N($E413)*IFERROR(VLOOKUP($C413,LISTAS!$A$2:$B$12,2,0),0),""))))</f>
        <v/>
      </c>
      <c r="G413" s="40"/>
      <c r="H413" s="40"/>
      <c r="I413">
        <f t="shared" si="10"/>
        <v>0</v>
      </c>
    </row>
    <row r="414" spans="1:9" ht="15" customHeight="1" x14ac:dyDescent="0.2">
      <c r="A414" s="39"/>
      <c r="B414" s="40"/>
      <c r="C414" s="40"/>
      <c r="D414" s="40"/>
      <c r="E414" s="41"/>
      <c r="F414" s="41" t="str">
        <f>IF($B414="","",IF($D414="kg",N($E414),IF($D414="sacos",N($E414)*97,IF($D414="jabas",N($E414)*IFERROR(VLOOKUP($C414,LISTAS!$A$2:$B$12,2,0),0),""))))</f>
        <v/>
      </c>
      <c r="G414" s="40"/>
      <c r="H414" s="40"/>
      <c r="I414">
        <f t="shared" si="10"/>
        <v>0</v>
      </c>
    </row>
    <row r="415" spans="1:9" ht="15" customHeight="1" x14ac:dyDescent="0.2">
      <c r="A415" s="39"/>
      <c r="B415" s="40"/>
      <c r="C415" s="40"/>
      <c r="D415" s="40"/>
      <c r="E415" s="41"/>
      <c r="F415" s="41" t="str">
        <f>IF($B415="","",IF($D415="kg",N($E415),IF($D415="sacos",N($E415)*97,IF($D415="jabas",N($E415)*IFERROR(VLOOKUP($C415,LISTAS!$A$2:$B$12,2,0),0),""))))</f>
        <v/>
      </c>
      <c r="G415" s="40"/>
      <c r="H415" s="40"/>
      <c r="I415">
        <f t="shared" si="10"/>
        <v>0</v>
      </c>
    </row>
    <row r="416" spans="1:9" ht="15" customHeight="1" x14ac:dyDescent="0.2">
      <c r="A416" s="39"/>
      <c r="B416" s="40"/>
      <c r="C416" s="40"/>
      <c r="D416" s="40"/>
      <c r="E416" s="41"/>
      <c r="F416" s="41" t="str">
        <f>IF($B416="","",IF($D416="kg",N($E416),IF($D416="sacos",N($E416)*97,IF($D416="jabas",N($E416)*IFERROR(VLOOKUP($C416,LISTAS!$A$2:$B$12,2,0),0),""))))</f>
        <v/>
      </c>
      <c r="G416" s="40"/>
      <c r="H416" s="40"/>
      <c r="I416">
        <f t="shared" si="10"/>
        <v>0</v>
      </c>
    </row>
    <row r="417" spans="1:9" ht="15" customHeight="1" x14ac:dyDescent="0.2">
      <c r="A417" s="39"/>
      <c r="B417" s="40"/>
      <c r="C417" s="40"/>
      <c r="D417" s="40"/>
      <c r="E417" s="41"/>
      <c r="F417" s="41" t="str">
        <f>IF($B417="","",IF($D417="kg",N($E417),IF($D417="sacos",N($E417)*97,IF($D417="jabas",N($E417)*IFERROR(VLOOKUP($C417,LISTAS!$A$2:$B$12,2,0),0),""))))</f>
        <v/>
      </c>
      <c r="G417" s="40"/>
      <c r="H417" s="40"/>
      <c r="I417">
        <f t="shared" si="10"/>
        <v>0</v>
      </c>
    </row>
    <row r="418" spans="1:9" ht="15" hidden="1" customHeight="1" x14ac:dyDescent="0.2">
      <c r="A418" s="39"/>
      <c r="B418" s="40"/>
      <c r="C418" s="40"/>
      <c r="D418" s="40"/>
      <c r="E418" s="41"/>
      <c r="F418" s="41" t="str">
        <f>IF($B418="","",IF($D418="kg",N($E418),IF($D418="sacos",N($E418)*97,IF($D418="jabas",N($E418)*IFERROR(VLOOKUP($C418,LISTAS!$A$2:$B$12,2,0),0),""))))</f>
        <v/>
      </c>
      <c r="G418" s="40"/>
      <c r="H418" s="40"/>
      <c r="I418">
        <f t="shared" si="10"/>
        <v>0</v>
      </c>
    </row>
    <row r="419" spans="1:9" ht="15" customHeight="1" x14ac:dyDescent="0.2">
      <c r="A419" s="39"/>
      <c r="B419" s="40"/>
      <c r="C419" s="40"/>
      <c r="D419" s="40"/>
      <c r="E419" s="41"/>
      <c r="F419" s="41" t="str">
        <f>IF($B419="","",IF($D419="kg",N($E419),IF($D419="sacos",N($E419)*95,IF($D419="jabas",N($E419)*IFERROR(VLOOKUP($C419,LISTAS!$A$2:$B$12,2,0),0),""))))</f>
        <v/>
      </c>
      <c r="G419" s="40"/>
      <c r="H419" s="40"/>
      <c r="I419">
        <f t="shared" si="10"/>
        <v>0</v>
      </c>
    </row>
    <row r="420" spans="1:9" ht="15" customHeight="1" x14ac:dyDescent="0.2">
      <c r="A420" s="39"/>
      <c r="B420" s="40"/>
      <c r="C420" s="40"/>
      <c r="D420" s="40"/>
      <c r="E420" s="41"/>
      <c r="F420" s="41" t="str">
        <f>IF($B420="","",IF($D420="kg",N($E420),IF($D420="sacos",N($E420)*95,IF($D420="jabas",N($E420)*IFERROR(VLOOKUP($C420,LISTAS!$A$2:$B$12,2,0),0),""))))</f>
        <v/>
      </c>
      <c r="G420" s="40"/>
      <c r="H420" s="40"/>
      <c r="I420">
        <f t="shared" si="10"/>
        <v>0</v>
      </c>
    </row>
    <row r="421" spans="1:9" ht="15" customHeight="1" x14ac:dyDescent="0.2">
      <c r="A421" s="39"/>
      <c r="B421" s="40"/>
      <c r="C421" s="40"/>
      <c r="D421" s="40"/>
      <c r="E421" s="41"/>
      <c r="F421" s="41" t="str">
        <f>IF($B421="","",IF($D421="kg",N($E421),IF($D421="sacos",N($E421)*95,IF($D421="jabas",N($E421)*IFERROR(VLOOKUP($C421,LISTAS!$A$2:$B$12,2,0),0),""))))</f>
        <v/>
      </c>
      <c r="G421" s="40"/>
      <c r="H421" s="40"/>
      <c r="I421">
        <f t="shared" ref="I421:I430" si="11">N($F421)</f>
        <v>0</v>
      </c>
    </row>
    <row r="422" spans="1:9" ht="15" customHeight="1" x14ac:dyDescent="0.2">
      <c r="A422" s="39"/>
      <c r="B422" s="40"/>
      <c r="C422" s="40"/>
      <c r="D422" s="40"/>
      <c r="E422" s="41"/>
      <c r="F422" s="41" t="str">
        <f>IF($B422="","",IF($D422="kg",N($E422),IF($D422="sacos",N($E422)*95,IF($D422="jabas",N($E422)*IFERROR(VLOOKUP($C422,LISTAS!$A$2:$B$12,2,0),0),""))))</f>
        <v/>
      </c>
      <c r="G422" s="40"/>
      <c r="H422" s="40"/>
      <c r="I422">
        <f t="shared" si="11"/>
        <v>0</v>
      </c>
    </row>
    <row r="423" spans="1:9" ht="15" customHeight="1" x14ac:dyDescent="0.2">
      <c r="A423" s="39"/>
      <c r="B423" s="40"/>
      <c r="C423" s="40"/>
      <c r="D423" s="40"/>
      <c r="E423" s="41"/>
      <c r="F423" s="41" t="str">
        <f>IF($B423="","",IF($D423="kg",N($E423),IF($D423="sacos",N($E423)*95,IF($D423="jabas",N($E423)*IFERROR(VLOOKUP($C423,LISTAS!$A$2:$B$12,2,0),0),""))))</f>
        <v/>
      </c>
      <c r="G423" s="40"/>
      <c r="H423" s="40"/>
      <c r="I423">
        <f t="shared" si="11"/>
        <v>0</v>
      </c>
    </row>
    <row r="424" spans="1:9" ht="15" customHeight="1" x14ac:dyDescent="0.2">
      <c r="A424" s="39"/>
      <c r="B424" s="40"/>
      <c r="C424" s="40"/>
      <c r="D424" s="40"/>
      <c r="E424" s="41"/>
      <c r="F424" s="41" t="str">
        <f>IF($B424="","",IF($D424="kg",N($E424),IF($D424="sacos",N($E424)*95,IF($D424="jabas",N($E424)*IFERROR(VLOOKUP($C424,LISTAS!$A$2:$B$12,2,0),0),""))))</f>
        <v/>
      </c>
      <c r="G424" s="40"/>
      <c r="H424" s="40"/>
      <c r="I424">
        <f t="shared" si="11"/>
        <v>0</v>
      </c>
    </row>
    <row r="425" spans="1:9" ht="15" customHeight="1" x14ac:dyDescent="0.2">
      <c r="A425" s="39"/>
      <c r="B425" s="40"/>
      <c r="C425" s="40"/>
      <c r="D425" s="40"/>
      <c r="E425" s="41"/>
      <c r="F425" s="41" t="str">
        <f>IF($B425="","",IF($D425="kg",N($E425),IF($D425="sacos",N($E425)*95,IF($D425="jabas",N($E425)*IFERROR(VLOOKUP($C425,LISTAS!$A$2:$B$12,2,0),0),""))))</f>
        <v/>
      </c>
      <c r="G425" s="40"/>
      <c r="H425" s="40"/>
      <c r="I425">
        <f t="shared" si="11"/>
        <v>0</v>
      </c>
    </row>
    <row r="426" spans="1:9" ht="15" customHeight="1" x14ac:dyDescent="0.2">
      <c r="A426" s="39"/>
      <c r="B426" s="40"/>
      <c r="C426" s="40"/>
      <c r="D426" s="40"/>
      <c r="E426" s="41"/>
      <c r="F426" s="41" t="str">
        <f>IF($B426="","",IF($D426="kg",N($E426),IF($D426="sacos",N($E426)*95,IF($D426="jabas",N($E426)*IFERROR(VLOOKUP($C426,LISTAS!$A$2:$B$12,2,0),0),""))))</f>
        <v/>
      </c>
      <c r="G426" s="40"/>
      <c r="H426" s="40"/>
      <c r="I426">
        <f t="shared" si="11"/>
        <v>0</v>
      </c>
    </row>
    <row r="427" spans="1:9" ht="15" customHeight="1" x14ac:dyDescent="0.2">
      <c r="A427" s="39"/>
      <c r="B427" s="40"/>
      <c r="C427" s="40"/>
      <c r="D427" s="40"/>
      <c r="E427" s="41"/>
      <c r="F427" s="41" t="str">
        <f>IF($B427="","",IF($D427="kg",N($E427),IF($D427="sacos",N($E427)*95,IF($D427="jabas",N($E427)*IFERROR(VLOOKUP($C427,LISTAS!$A$2:$B$12,2,0),0),""))))</f>
        <v/>
      </c>
      <c r="G427" s="40"/>
      <c r="H427" s="40"/>
      <c r="I427">
        <f t="shared" si="11"/>
        <v>0</v>
      </c>
    </row>
    <row r="428" spans="1:9" ht="15" customHeight="1" x14ac:dyDescent="0.2">
      <c r="A428" s="39"/>
      <c r="B428" s="40"/>
      <c r="C428" s="40"/>
      <c r="D428" s="40"/>
      <c r="E428" s="41"/>
      <c r="F428" s="41" t="str">
        <f>IF($B428="","",IF($D428="kg",N($E428),IF($D428="sacos",N($E428)*95,IF($D428="jabas",N($E428)*IFERROR(VLOOKUP($C428,LISTAS!$A$2:$B$12,2,0),0),""))))</f>
        <v/>
      </c>
      <c r="G428" s="40"/>
      <c r="H428" s="40"/>
      <c r="I428">
        <f t="shared" si="11"/>
        <v>0</v>
      </c>
    </row>
    <row r="429" spans="1:9" ht="15" customHeight="1" x14ac:dyDescent="0.2">
      <c r="A429" s="39"/>
      <c r="B429" s="40"/>
      <c r="C429" s="40"/>
      <c r="D429" s="40"/>
      <c r="E429" s="41"/>
      <c r="F429" s="41" t="str">
        <f>IF($B429="","",IF($D429="kg",N($E429),IF($D429="sacos",N($E429)*95,IF($D429="jabas",N($E429)*IFERROR(VLOOKUP($C429,LISTAS!$A$2:$B$12,2,0),0),""))))</f>
        <v/>
      </c>
      <c r="G429" s="40"/>
      <c r="H429" s="40"/>
      <c r="I429">
        <f t="shared" si="11"/>
        <v>0</v>
      </c>
    </row>
    <row r="430" spans="1:9" ht="15" customHeight="1" x14ac:dyDescent="0.2">
      <c r="A430" s="39"/>
      <c r="B430" s="40"/>
      <c r="C430" s="40"/>
      <c r="D430" s="40"/>
      <c r="E430" s="41"/>
      <c r="F430" s="41" t="str">
        <f>IF($B430="","",IF($D430="kg",N($E430),IF($D430="sacos",N($E430)*95,IF($D430="jabas",N($E430)*IFERROR(VLOOKUP($C430,LISTAS!$A$2:$B$12,2,0),0),""))))</f>
        <v/>
      </c>
      <c r="G430" s="40"/>
      <c r="H430" s="40"/>
      <c r="I430">
        <f t="shared" si="11"/>
        <v>0</v>
      </c>
    </row>
  </sheetData>
  <autoFilter ref="A4:H417" xr:uid="{00000000-0009-0000-0000-000000000000}"/>
  <mergeCells count="2">
    <mergeCell ref="A1:H1"/>
    <mergeCell ref="A2:H2"/>
  </mergeCells>
  <conditionalFormatting sqref="A5:H430">
    <cfRule type="expression" dxfId="27" priority="3">
      <formula>$B5="COMPRA"</formula>
    </cfRule>
    <cfRule type="expression" dxfId="26" priority="4">
      <formula>$B5="PROCESO"</formula>
    </cfRule>
    <cfRule type="expression" dxfId="25" priority="5">
      <formula>$B5="ENVÍO A SUPESA"</formula>
    </cfRule>
    <cfRule type="expression" dxfId="24" priority="6">
      <formula>$B5="VENTA"</formula>
    </cfRule>
    <cfRule type="expression" dxfId="23" priority="7">
      <formula>$B5="VENTA CHANCHO"</formula>
    </cfRule>
    <cfRule type="expression" dxfId="22" priority="8">
      <formula>$B5="DEVOLUCIÓN"</formula>
    </cfRule>
    <cfRule type="expression" dxfId="21" priority="9">
      <formula>$B5="REPROCESO"</formula>
    </cfRule>
    <cfRule type="expression" dxfId="20" priority="10">
      <formula>$B5="MALOGRADO"</formula>
    </cfRule>
    <cfRule type="expression" dxfId="19" priority="11">
      <formula>$B5="OTRA SALIDA"</formula>
    </cfRule>
    <cfRule type="expression" dxfId="18" priority="12">
      <formula>$B5="TRASIEGO"</formula>
    </cfRule>
    <cfRule type="expression" dxfId="17" priority="13">
      <formula>$B5="AJUSTE"</formula>
    </cfRule>
    <cfRule type="expression" dxfId="16" priority="14">
      <formula>$B5="REGALO"</formula>
    </cfRule>
    <cfRule type="expression" dxfId="15" priority="15">
      <formula>$B5="SALDO INICIAL"</formula>
    </cfRule>
  </conditionalFormatting>
  <conditionalFormatting sqref="E5:H430">
    <cfRule type="expression" dxfId="14" priority="2">
      <formula>ISNUMBER(SEARCH("FALTA",$H5))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C090"/>
  </sheetPr>
  <dimension ref="A1:N400"/>
  <sheetViews>
    <sheetView showGridLines="0" zoomScaleNormal="100" workbookViewId="0">
      <pane ySplit="4" topLeftCell="A5" activePane="bottomLeft" state="frozen"/>
      <selection pane="bottomLeft" activeCell="F30" sqref="F30"/>
    </sheetView>
  </sheetViews>
  <sheetFormatPr baseColWidth="10" defaultColWidth="8.6640625" defaultRowHeight="15" x14ac:dyDescent="0.2"/>
  <cols>
    <col min="1" max="1" width="13" customWidth="1"/>
    <col min="2" max="5" width="9" customWidth="1"/>
    <col min="6" max="6" width="10" style="53" customWidth="1"/>
    <col min="7" max="7" width="9" customWidth="1"/>
    <col min="8" max="8" width="11" customWidth="1"/>
    <col min="10" max="12" width="13" hidden="1" customWidth="1"/>
  </cols>
  <sheetData>
    <row r="1" spans="1:14" ht="21.75" customHeight="1" x14ac:dyDescent="0.2">
      <c r="A1" s="86" t="s">
        <v>89</v>
      </c>
      <c r="B1" s="86"/>
      <c r="C1" s="86"/>
      <c r="D1" s="86"/>
      <c r="E1" s="86"/>
      <c r="F1" s="86"/>
      <c r="G1" s="86"/>
      <c r="H1" s="86"/>
      <c r="I1" s="54"/>
      <c r="J1" s="54"/>
      <c r="K1" s="54"/>
      <c r="L1" s="54"/>
      <c r="M1" s="54"/>
      <c r="N1" s="54"/>
    </row>
    <row r="2" spans="1:14" ht="15" customHeight="1" x14ac:dyDescent="0.2">
      <c r="A2" s="87" t="s">
        <v>90</v>
      </c>
      <c r="B2" s="87"/>
      <c r="C2" s="87"/>
      <c r="D2" s="87"/>
      <c r="E2" s="87"/>
      <c r="F2" s="87"/>
      <c r="G2" s="87"/>
      <c r="H2" s="87"/>
      <c r="I2" s="54"/>
      <c r="J2" s="54"/>
      <c r="K2" s="54"/>
      <c r="L2" s="54"/>
      <c r="M2" s="54"/>
      <c r="N2" s="54"/>
    </row>
    <row r="3" spans="1:14" ht="15" customHeight="1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ht="30" customHeight="1" x14ac:dyDescent="0.2">
      <c r="A4" s="1" t="s">
        <v>2</v>
      </c>
      <c r="B4" s="1" t="s">
        <v>91</v>
      </c>
      <c r="C4" s="1" t="s">
        <v>92</v>
      </c>
      <c r="D4" s="1" t="s">
        <v>93</v>
      </c>
      <c r="E4" s="1" t="s">
        <v>94</v>
      </c>
      <c r="F4" s="1" t="s">
        <v>95</v>
      </c>
      <c r="G4" s="1" t="s">
        <v>96</v>
      </c>
      <c r="H4" s="1" t="s">
        <v>97</v>
      </c>
      <c r="I4" s="54"/>
      <c r="J4" s="54"/>
      <c r="K4" s="54"/>
      <c r="L4" s="54"/>
      <c r="M4" s="54"/>
      <c r="N4" s="54"/>
    </row>
    <row r="5" spans="1:14" ht="15" customHeight="1" x14ac:dyDescent="0.2">
      <c r="A5" s="55">
        <f t="shared" ref="A5:A36" si="0">IFERROR(INDEX(K$5:K$400,MATCH(ROW()-4,J$5:J$400,0)),"")</f>
        <v>46214</v>
      </c>
      <c r="B5" s="56">
        <f>IF($A5="","",SUMPRODUCT((MOVIMIENTOS!$B$5:$B$417="SALDO INICIAL")*(MOVIMIENTOS!$C$5:$C$417="A")*(MOVIMIENTOS!$D$5:$D$417="jabas")*(MOVIMIENTOS!$A$5:$A$417&lt;&gt;"")*(MOVIMIENTOS!$A$5:$A$417&lt;=$A5)*MOVIMIENTOS!$E$5:$E$417)+SUMPRODUCT((MOVIMIENTOS!$B$5:$B$417="PROCESO")*(MOVIMIENTOS!$C$5:$C$417="A")*(MOVIMIENTOS!$D$5:$D$417="jabas")*(MOVIMIENTOS!$A$5:$A$417&lt;&gt;"")*(MOVIMIENTOS!$A$5:$A$417&lt;=$A5)*MOVIMIENTOS!$E$5:$E$417)-SUMPRODUCT((MOVIMIENTOS!$B$5:$B$417="ENVÍO A SUPESA")*(MOVIMIENTOS!$C$5:$C$417="A")*(MOVIMIENTOS!$D$5:$D$417="jabas")*(MOVIMIENTOS!$A$5:$A$417&lt;&gt;"")*(MOVIMIENTOS!$A$5:$A$417&lt;=$A5)*MOVIMIENTOS!$E$5:$E$417)+SUMPRODUCT((MOVIMIENTOS!$B$5:$B$417="DEVOLUCIÓN")*(MOVIMIENTOS!$C$5:$C$417="A")*(MOVIMIENTOS!$D$5:$D$417="jabas")*(MOVIMIENTOS!$A$5:$A$417&lt;&gt;"")*(MOVIMIENTOS!$A$5:$A$417&lt;=$A5)*MOVIMIENTOS!$E$5:$E$417)-SUMPRODUCT((MOVIMIENTOS!$B$5:$B$417="TRASIEGO")*(MOVIMIENTOS!$C$5:$C$417="A")*(MOVIMIENTOS!$D$5:$D$417="jabas")*(MOVIMIENTOS!$A$5:$A$417&lt;&gt;"")*(MOVIMIENTOS!$A$5:$A$417&lt;=$A5)*MOVIMIENTOS!$E$5:$E$417)-SUMPRODUCT((MOVIMIENTOS!$B$5:$B$417="REGALO")*(MOVIMIENTOS!$C$5:$C$417="A")*(MOVIMIENTOS!$D$5:$D$417="jabas")*(MOVIMIENTOS!$A$5:$A$417&lt;&gt;"")*(MOVIMIENTOS!$A$5:$A$417&lt;=$A5)*MOVIMIENTOS!$E$5:$E$417)-SUMPRODUCT((MOVIMIENTOS!$B$5:$B$417="VENTA")*(MOVIMIENTOS!$C$5:$C$417="A")*(MOVIMIENTOS!$D$5:$D$417="jabas")*(MOVIMIENTOS!$A$5:$A$417&lt;&gt;"")*(MOVIMIENTOS!$A$5:$A$417&lt;=$A5)*MOVIMIENTOS!$E$5:$E$417)+SUMPRODUCT((MOVIMIENTOS!$B$5:$B$417="AJUSTE")*(MOVIMIENTOS!$C$5:$C$417="A")*(MOVIMIENTOS!$D$5:$D$417="jabas")*(MOVIMIENTOS!$A$5:$A$417&lt;&gt;"")*(MOVIMIENTOS!$A$5:$A$417&lt;=$A5)*MOVIMIENTOS!$E$5:$E$417))</f>
        <v>2</v>
      </c>
      <c r="C5" s="56">
        <f>IF($A5="","",SUMPRODUCT((MOVIMIENTOS!$B$5:$B$417="SALDO INICIAL")*(MOVIMIENTOS!$C$5:$C$417="P")*(MOVIMIENTOS!$D$5:$D$417="jabas")*(MOVIMIENTOS!$A$5:$A$417&lt;&gt;"")*(MOVIMIENTOS!$A$5:$A$417&lt;=$A5)*MOVIMIENTOS!$E$5:$E$417)+SUMPRODUCT((MOVIMIENTOS!$B$5:$B$417="PROCESO")*(MOVIMIENTOS!$C$5:$C$417="P")*(MOVIMIENTOS!$D$5:$D$417="jabas")*(MOVIMIENTOS!$A$5:$A$417&lt;&gt;"")*(MOVIMIENTOS!$A$5:$A$417&lt;=$A5)*MOVIMIENTOS!$E$5:$E$417)-SUMPRODUCT((MOVIMIENTOS!$B$5:$B$417="ENVÍO A SUPESA")*(MOVIMIENTOS!$C$5:$C$417="P")*(MOVIMIENTOS!$D$5:$D$417="jabas")*(MOVIMIENTOS!$A$5:$A$417&lt;&gt;"")*(MOVIMIENTOS!$A$5:$A$417&lt;=$A5)*MOVIMIENTOS!$E$5:$E$417)+SUMPRODUCT((MOVIMIENTOS!$B$5:$B$417="DEVOLUCIÓN")*(MOVIMIENTOS!$C$5:$C$417="P")*(MOVIMIENTOS!$D$5:$D$417="jabas")*(MOVIMIENTOS!$A$5:$A$417&lt;&gt;"")*(MOVIMIENTOS!$A$5:$A$417&lt;=$A5)*MOVIMIENTOS!$E$5:$E$417)-SUMPRODUCT((MOVIMIENTOS!$B$5:$B$417="TRASIEGO")*(MOVIMIENTOS!$C$5:$C$417="P")*(MOVIMIENTOS!$D$5:$D$417="jabas")*(MOVIMIENTOS!$A$5:$A$417&lt;&gt;"")*(MOVIMIENTOS!$A$5:$A$417&lt;=$A5)*MOVIMIENTOS!$E$5:$E$417)-SUMPRODUCT((MOVIMIENTOS!$B$5:$B$417="REGALO")*(MOVIMIENTOS!$C$5:$C$417="P")*(MOVIMIENTOS!$D$5:$D$417="jabas")*(MOVIMIENTOS!$A$5:$A$417&lt;&gt;"")*(MOVIMIENTOS!$A$5:$A$417&lt;=$A5)*MOVIMIENTOS!$E$5:$E$417)-SUMPRODUCT((MOVIMIENTOS!$B$5:$B$417="VENTA")*(MOVIMIENTOS!$C$5:$C$417="P")*(MOVIMIENTOS!$D$5:$D$417="jabas")*(MOVIMIENTOS!$A$5:$A$417&lt;&gt;"")*(MOVIMIENTOS!$A$5:$A$417&lt;=$A5)*MOVIMIENTOS!$E$5:$E$417)+SUMPRODUCT((MOVIMIENTOS!$B$5:$B$417="AJUSTE")*(MOVIMIENTOS!$C$5:$C$417="P")*(MOVIMIENTOS!$D$5:$D$417="jabas")*(MOVIMIENTOS!$A$5:$A$417&lt;&gt;"")*(MOVIMIENTOS!$A$5:$A$417&lt;=$A5)*MOVIMIENTOS!$E$5:$E$417))</f>
        <v>0</v>
      </c>
      <c r="D5" s="56">
        <f>IF($A5="","",SUMPRODUCT((MOVIMIENTOS!$B$5:$B$417="SALDO INICIAL")*(MOVIMIENTOS!$C$5:$C$417="C")*(MOVIMIENTOS!$D$5:$D$417="jabas")*(MOVIMIENTOS!$A$5:$A$417&lt;&gt;"")*(MOVIMIENTOS!$A$5:$A$417&lt;=$A5)*MOVIMIENTOS!$E$5:$E$417)+SUMPRODUCT((MOVIMIENTOS!$B$5:$B$417="PROCESO")*(MOVIMIENTOS!$C$5:$C$417="C")*(MOVIMIENTOS!$D$5:$D$417="jabas")*(MOVIMIENTOS!$A$5:$A$417&lt;&gt;"")*(MOVIMIENTOS!$A$5:$A$417&lt;=$A5)*MOVIMIENTOS!$E$5:$E$417)-SUMPRODUCT((MOVIMIENTOS!$B$5:$B$417="ENVÍO A SUPESA")*(MOVIMIENTOS!$C$5:$C$417="C")*(MOVIMIENTOS!$D$5:$D$417="jabas")*(MOVIMIENTOS!$A$5:$A$417&lt;&gt;"")*(MOVIMIENTOS!$A$5:$A$417&lt;=$A5)*MOVIMIENTOS!$E$5:$E$417)+SUMPRODUCT((MOVIMIENTOS!$B$5:$B$417="DEVOLUCIÓN")*(MOVIMIENTOS!$C$5:$C$417="C")*(MOVIMIENTOS!$D$5:$D$417="jabas")*(MOVIMIENTOS!$A$5:$A$417&lt;&gt;"")*(MOVIMIENTOS!$A$5:$A$417&lt;=$A5)*MOVIMIENTOS!$E$5:$E$417)-SUMPRODUCT((MOVIMIENTOS!$B$5:$B$417="TRASIEGO")*(MOVIMIENTOS!$C$5:$C$417="C")*(MOVIMIENTOS!$D$5:$D$417="jabas")*(MOVIMIENTOS!$A$5:$A$417&lt;&gt;"")*(MOVIMIENTOS!$A$5:$A$417&lt;=$A5)*MOVIMIENTOS!$E$5:$E$417)-SUMPRODUCT((MOVIMIENTOS!$B$5:$B$417="REGALO")*(MOVIMIENTOS!$C$5:$C$417="C")*(MOVIMIENTOS!$D$5:$D$417="jabas")*(MOVIMIENTOS!$A$5:$A$417&lt;&gt;"")*(MOVIMIENTOS!$A$5:$A$417&lt;=$A5)*MOVIMIENTOS!$E$5:$E$417)-SUMPRODUCT((MOVIMIENTOS!$B$5:$B$417="VENTA")*(MOVIMIENTOS!$C$5:$C$417="C")*(MOVIMIENTOS!$D$5:$D$417="jabas")*(MOVIMIENTOS!$A$5:$A$417&lt;&gt;"")*(MOVIMIENTOS!$A$5:$A$417&lt;=$A5)*MOVIMIENTOS!$E$5:$E$417)+SUMPRODUCT((MOVIMIENTOS!$B$5:$B$417="AJUSTE")*(MOVIMIENTOS!$C$5:$C$417="C")*(MOVIMIENTOS!$D$5:$D$417="jabas")*(MOVIMIENTOS!$A$5:$A$417&lt;&gt;"")*(MOVIMIENTOS!$A$5:$A$417&lt;=$A5)*MOVIMIENTOS!$E$5:$E$417))</f>
        <v>0</v>
      </c>
      <c r="E5" s="56">
        <f>IF($A5="","",SUMPRODUCT((MOVIMIENTOS!$B$5:$B$417="SALDO INICIAL")*(MOVIMIENTOS!$C$5:$C$417="M")*(MOVIMIENTOS!$D$5:$D$417="jabas")*(MOVIMIENTOS!$A$5:$A$417&lt;&gt;"")*(MOVIMIENTOS!$A$5:$A$417&lt;=$A5)*MOVIMIENTOS!$E$5:$E$417)+SUMPRODUCT((MOVIMIENTOS!$B$5:$B$417="PROCESO")*(MOVIMIENTOS!$C$5:$C$417="M")*(MOVIMIENTOS!$D$5:$D$417="jabas")*(MOVIMIENTOS!$A$5:$A$417&lt;&gt;"")*(MOVIMIENTOS!$A$5:$A$417&lt;=$A5)*MOVIMIENTOS!$E$5:$E$417)-SUMPRODUCT((MOVIMIENTOS!$B$5:$B$417="ENVÍO A SUPESA")*(MOVIMIENTOS!$C$5:$C$417="M")*(MOVIMIENTOS!$D$5:$D$417="jabas")*(MOVIMIENTOS!$A$5:$A$417&lt;&gt;"")*(MOVIMIENTOS!$A$5:$A$417&lt;=$A5)*MOVIMIENTOS!$E$5:$E$417)+SUMPRODUCT((MOVIMIENTOS!$B$5:$B$417="DEVOLUCIÓN")*(MOVIMIENTOS!$C$5:$C$417="M")*(MOVIMIENTOS!$D$5:$D$417="jabas")*(MOVIMIENTOS!$A$5:$A$417&lt;&gt;"")*(MOVIMIENTOS!$A$5:$A$417&lt;=$A5)*MOVIMIENTOS!$E$5:$E$417)-SUMPRODUCT((MOVIMIENTOS!$B$5:$B$417="TRASIEGO")*(MOVIMIENTOS!$C$5:$C$417="M")*(MOVIMIENTOS!$D$5:$D$417="jabas")*(MOVIMIENTOS!$A$5:$A$417&lt;&gt;"")*(MOVIMIENTOS!$A$5:$A$417&lt;=$A5)*MOVIMIENTOS!$E$5:$E$417)-SUMPRODUCT((MOVIMIENTOS!$B$5:$B$417="REGALO")*(MOVIMIENTOS!$C$5:$C$417="M")*(MOVIMIENTOS!$D$5:$D$417="jabas")*(MOVIMIENTOS!$A$5:$A$417&lt;&gt;"")*(MOVIMIENTOS!$A$5:$A$417&lt;=$A5)*MOVIMIENTOS!$E$5:$E$417)-SUMPRODUCT((MOVIMIENTOS!$B$5:$B$417="VENTA")*(MOVIMIENTOS!$C$5:$C$417="M")*(MOVIMIENTOS!$D$5:$D$417="jabas")*(MOVIMIENTOS!$A$5:$A$417&lt;&gt;"")*(MOVIMIENTOS!$A$5:$A$417&lt;=$A5)*MOVIMIENTOS!$E$5:$E$417)+SUMPRODUCT((MOVIMIENTOS!$B$5:$B$417="AJUSTE")*(MOVIMIENTOS!$C$5:$C$417="M")*(MOVIMIENTOS!$D$5:$D$417="jabas")*(MOVIMIENTOS!$A$5:$A$417&lt;&gt;"")*(MOVIMIENTOS!$A$5:$A$417&lt;=$A5)*MOVIMIENTOS!$E$5:$E$417))</f>
        <v>8</v>
      </c>
      <c r="F5" s="56">
        <f>IF($A5="","",SUMPRODUCT((MOVIMIENTOS!$B$5:$B$417="SALDO INICIAL")*(MOVIMIENTOS!$C$5:$C$417="Chancho")*(MOVIMIENTOS!$D$5:$D$417="sacos")*(MOVIMIENTOS!$A$5:$A$417&lt;&gt;"")*(MOVIMIENTOS!$A$5:$A$417&lt;=$A5)*MOVIMIENTOS!$E$5:$E$417)+SUMPRODUCT((MOVIMIENTOS!$B$5:$B$417="PROCESO")*(MOVIMIENTOS!$C$5:$C$417="Chancho")*(MOVIMIENTOS!$D$5:$D$417="sacos")*(MOVIMIENTOS!$A$5:$A$417&lt;&gt;"")*(MOVIMIENTOS!$A$5:$A$417&lt;=$A5)*MOVIMIENTOS!$E$5:$E$417)-SUMPRODUCT((MOVIMIENTOS!$B$5:$B$417="VENTA CHANCHO")*(MOVIMIENTOS!$C$5:$C$417="Chancho")*(MOVIMIENTOS!$D$5:$D$417="sacos")*(MOVIMIENTOS!$A$5:$A$417&lt;&gt;"")*(MOVIMIENTOS!$A$5:$A$417&lt;=$A5)*MOVIMIENTOS!$E$5:$E$417)-SUMPRODUCT((MOVIMIENTOS!$B$5:$B$417="REGALO")*(MOVIMIENTOS!$C$5:$C$417="Chancho")*(MOVIMIENTOS!$D$5:$D$417="sacos")*(MOVIMIENTOS!$A$5:$A$417&lt;&gt;"")*(MOVIMIENTOS!$A$5:$A$417&lt;=$A5)*MOVIMIENTOS!$E$5:$E$417)-SUMPRODUCT((MOVIMIENTOS!$B$5:$B$417="VENTA")*(MOVIMIENTOS!$C$5:$C$417="Chancho")*(MOVIMIENTOS!$D$5:$D$417="sacos")*(MOVIMIENTOS!$A$5:$A$417&lt;&gt;"")*(MOVIMIENTOS!$A$5:$A$417&lt;=$A5)*MOVIMIENTOS!$E$5:$E$417)+SUMPRODUCT((MOVIMIENTOS!$B$5:$B$417="AJUSTE")*(MOVIMIENTOS!$C$5:$C$417="Chancho")*(MOVIMIENTOS!$D$5:$D$417="sacos")*(MOVIMIENTOS!$A$5:$A$417&lt;&gt;"")*(MOVIMIENTOS!$A$5:$A$417&lt;=$A5)*MOVIMIENTOS!$E$5:$E$417))</f>
        <v>20</v>
      </c>
      <c r="G5" s="56">
        <f t="shared" ref="G5:G36" si="1">IF($A5="","",SUM(B5:E5))</f>
        <v>10</v>
      </c>
      <c r="H5" s="56">
        <f>IF($A5="","",SUMPRODUCT((((MOVIMIENTOS!$B$5:$B$417="SALDO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5)*MOVIMIENTOS!$I$5:$I$417))</f>
        <v>166</v>
      </c>
      <c r="I5" s="54"/>
      <c r="J5" s="54">
        <f>IF(MOVIMIENTOS!$A$5&lt;&gt;"",1,"")</f>
        <v>1</v>
      </c>
      <c r="K5" s="57">
        <f>MOVIMIENTOS!$A5</f>
        <v>46214</v>
      </c>
      <c r="L5" s="54"/>
      <c r="M5" s="54"/>
      <c r="N5" s="54"/>
    </row>
    <row r="6" spans="1:14" ht="15" customHeight="1" x14ac:dyDescent="0.2">
      <c r="A6" s="55">
        <f t="shared" si="0"/>
        <v>46215</v>
      </c>
      <c r="B6" s="56">
        <f>IF($A6="","",SUMPRODUCT((MOVIMIENTOS!$B$5:$B$417="SALDO INICIAL")*(MOVIMIENTOS!$C$5:$C$417="A")*(MOVIMIENTOS!$D$5:$D$417="jabas")*(MOVIMIENTOS!$A$5:$A$417&lt;&gt;"")*(MOVIMIENTOS!$A$5:$A$417&lt;=$A6)*MOVIMIENTOS!$E$5:$E$417)+SUMPRODUCT((MOVIMIENTOS!$B$5:$B$417="PROCESO")*(MOVIMIENTOS!$C$5:$C$417="A")*(MOVIMIENTOS!$D$5:$D$417="jabas")*(MOVIMIENTOS!$A$5:$A$417&lt;&gt;"")*(MOVIMIENTOS!$A$5:$A$417&lt;=$A6)*MOVIMIENTOS!$E$5:$E$417)-SUMPRODUCT((MOVIMIENTOS!$B$5:$B$417="ENVÍO A SUPESA")*(MOVIMIENTOS!$C$5:$C$417="A")*(MOVIMIENTOS!$D$5:$D$417="jabas")*(MOVIMIENTOS!$A$5:$A$417&lt;&gt;"")*(MOVIMIENTOS!$A$5:$A$417&lt;=$A6)*MOVIMIENTOS!$E$5:$E$417)+SUMPRODUCT((MOVIMIENTOS!$B$5:$B$417="DEVOLUCIÓN")*(MOVIMIENTOS!$C$5:$C$417="A")*(MOVIMIENTOS!$D$5:$D$417="jabas")*(MOVIMIENTOS!$A$5:$A$417&lt;&gt;"")*(MOVIMIENTOS!$A$5:$A$417&lt;=$A6)*MOVIMIENTOS!$E$5:$E$417)-SUMPRODUCT((MOVIMIENTOS!$B$5:$B$417="TRASIEGO")*(MOVIMIENTOS!$C$5:$C$417="A")*(MOVIMIENTOS!$D$5:$D$417="jabas")*(MOVIMIENTOS!$A$5:$A$417&lt;&gt;"")*(MOVIMIENTOS!$A$5:$A$417&lt;=$A6)*MOVIMIENTOS!$E$5:$E$417)-SUMPRODUCT((MOVIMIENTOS!$B$5:$B$417="REGALO")*(MOVIMIENTOS!$C$5:$C$417="A")*(MOVIMIENTOS!$D$5:$D$417="jabas")*(MOVIMIENTOS!$A$5:$A$417&lt;&gt;"")*(MOVIMIENTOS!$A$5:$A$417&lt;=$A6)*MOVIMIENTOS!$E$5:$E$417)-SUMPRODUCT((MOVIMIENTOS!$B$5:$B$417="VENTA")*(MOVIMIENTOS!$C$5:$C$417="A")*(MOVIMIENTOS!$D$5:$D$417="jabas")*(MOVIMIENTOS!$A$5:$A$417&lt;&gt;"")*(MOVIMIENTOS!$A$5:$A$417&lt;=$A6)*MOVIMIENTOS!$E$5:$E$417)+SUMPRODUCT((MOVIMIENTOS!$B$5:$B$417="AJUSTE")*(MOVIMIENTOS!$C$5:$C$417="A")*(MOVIMIENTOS!$D$5:$D$417="jabas")*(MOVIMIENTOS!$A$5:$A$417&lt;&gt;"")*(MOVIMIENTOS!$A$5:$A$417&lt;=$A6)*MOVIMIENTOS!$E$5:$E$417))</f>
        <v>-6</v>
      </c>
      <c r="C6" s="56">
        <f>IF($A6="","",SUMPRODUCT((MOVIMIENTOS!$B$5:$B$417="SALDO INICIAL")*(MOVIMIENTOS!$C$5:$C$417="P")*(MOVIMIENTOS!$D$5:$D$417="jabas")*(MOVIMIENTOS!$A$5:$A$417&lt;&gt;"")*(MOVIMIENTOS!$A$5:$A$417&lt;=$A6)*MOVIMIENTOS!$E$5:$E$417)+SUMPRODUCT((MOVIMIENTOS!$B$5:$B$417="PROCESO")*(MOVIMIENTOS!$C$5:$C$417="P")*(MOVIMIENTOS!$D$5:$D$417="jabas")*(MOVIMIENTOS!$A$5:$A$417&lt;&gt;"")*(MOVIMIENTOS!$A$5:$A$417&lt;=$A6)*MOVIMIENTOS!$E$5:$E$417)-SUMPRODUCT((MOVIMIENTOS!$B$5:$B$417="ENVÍO A SUPESA")*(MOVIMIENTOS!$C$5:$C$417="P")*(MOVIMIENTOS!$D$5:$D$417="jabas")*(MOVIMIENTOS!$A$5:$A$417&lt;&gt;"")*(MOVIMIENTOS!$A$5:$A$417&lt;=$A6)*MOVIMIENTOS!$E$5:$E$417)+SUMPRODUCT((MOVIMIENTOS!$B$5:$B$417="DEVOLUCIÓN")*(MOVIMIENTOS!$C$5:$C$417="P")*(MOVIMIENTOS!$D$5:$D$417="jabas")*(MOVIMIENTOS!$A$5:$A$417&lt;&gt;"")*(MOVIMIENTOS!$A$5:$A$417&lt;=$A6)*MOVIMIENTOS!$E$5:$E$417)-SUMPRODUCT((MOVIMIENTOS!$B$5:$B$417="TRASIEGO")*(MOVIMIENTOS!$C$5:$C$417="P")*(MOVIMIENTOS!$D$5:$D$417="jabas")*(MOVIMIENTOS!$A$5:$A$417&lt;&gt;"")*(MOVIMIENTOS!$A$5:$A$417&lt;=$A6)*MOVIMIENTOS!$E$5:$E$417)-SUMPRODUCT((MOVIMIENTOS!$B$5:$B$417="REGALO")*(MOVIMIENTOS!$C$5:$C$417="P")*(MOVIMIENTOS!$D$5:$D$417="jabas")*(MOVIMIENTOS!$A$5:$A$417&lt;&gt;"")*(MOVIMIENTOS!$A$5:$A$417&lt;=$A6)*MOVIMIENTOS!$E$5:$E$417)-SUMPRODUCT((MOVIMIENTOS!$B$5:$B$417="VENTA")*(MOVIMIENTOS!$C$5:$C$417="P")*(MOVIMIENTOS!$D$5:$D$417="jabas")*(MOVIMIENTOS!$A$5:$A$417&lt;&gt;"")*(MOVIMIENTOS!$A$5:$A$417&lt;=$A6)*MOVIMIENTOS!$E$5:$E$417)+SUMPRODUCT((MOVIMIENTOS!$B$5:$B$417="AJUSTE")*(MOVIMIENTOS!$C$5:$C$417="P")*(MOVIMIENTOS!$D$5:$D$417="jabas")*(MOVIMIENTOS!$A$5:$A$417&lt;&gt;"")*(MOVIMIENTOS!$A$5:$A$417&lt;=$A6)*MOVIMIENTOS!$E$5:$E$417))</f>
        <v>0</v>
      </c>
      <c r="D6" s="56">
        <f>IF($A6="","",SUMPRODUCT((MOVIMIENTOS!$B$5:$B$417="SALDO INICIAL")*(MOVIMIENTOS!$C$5:$C$417="C")*(MOVIMIENTOS!$D$5:$D$417="jabas")*(MOVIMIENTOS!$A$5:$A$417&lt;&gt;"")*(MOVIMIENTOS!$A$5:$A$417&lt;=$A6)*MOVIMIENTOS!$E$5:$E$417)+SUMPRODUCT((MOVIMIENTOS!$B$5:$B$417="PROCESO")*(MOVIMIENTOS!$C$5:$C$417="C")*(MOVIMIENTOS!$D$5:$D$417="jabas")*(MOVIMIENTOS!$A$5:$A$417&lt;&gt;"")*(MOVIMIENTOS!$A$5:$A$417&lt;=$A6)*MOVIMIENTOS!$E$5:$E$417)-SUMPRODUCT((MOVIMIENTOS!$B$5:$B$417="ENVÍO A SUPESA")*(MOVIMIENTOS!$C$5:$C$417="C")*(MOVIMIENTOS!$D$5:$D$417="jabas")*(MOVIMIENTOS!$A$5:$A$417&lt;&gt;"")*(MOVIMIENTOS!$A$5:$A$417&lt;=$A6)*MOVIMIENTOS!$E$5:$E$417)+SUMPRODUCT((MOVIMIENTOS!$B$5:$B$417="DEVOLUCIÓN")*(MOVIMIENTOS!$C$5:$C$417="C")*(MOVIMIENTOS!$D$5:$D$417="jabas")*(MOVIMIENTOS!$A$5:$A$417&lt;&gt;"")*(MOVIMIENTOS!$A$5:$A$417&lt;=$A6)*MOVIMIENTOS!$E$5:$E$417)-SUMPRODUCT((MOVIMIENTOS!$B$5:$B$417="TRASIEGO")*(MOVIMIENTOS!$C$5:$C$417="C")*(MOVIMIENTOS!$D$5:$D$417="jabas")*(MOVIMIENTOS!$A$5:$A$417&lt;&gt;"")*(MOVIMIENTOS!$A$5:$A$417&lt;=$A6)*MOVIMIENTOS!$E$5:$E$417)-SUMPRODUCT((MOVIMIENTOS!$B$5:$B$417="REGALO")*(MOVIMIENTOS!$C$5:$C$417="C")*(MOVIMIENTOS!$D$5:$D$417="jabas")*(MOVIMIENTOS!$A$5:$A$417&lt;&gt;"")*(MOVIMIENTOS!$A$5:$A$417&lt;=$A6)*MOVIMIENTOS!$E$5:$E$417)-SUMPRODUCT((MOVIMIENTOS!$B$5:$B$417="VENTA")*(MOVIMIENTOS!$C$5:$C$417="C")*(MOVIMIENTOS!$D$5:$D$417="jabas")*(MOVIMIENTOS!$A$5:$A$417&lt;&gt;"")*(MOVIMIENTOS!$A$5:$A$417&lt;=$A6)*MOVIMIENTOS!$E$5:$E$417)+SUMPRODUCT((MOVIMIENTOS!$B$5:$B$417="AJUSTE")*(MOVIMIENTOS!$C$5:$C$417="C")*(MOVIMIENTOS!$D$5:$D$417="jabas")*(MOVIMIENTOS!$A$5:$A$417&lt;&gt;"")*(MOVIMIENTOS!$A$5:$A$417&lt;=$A6)*MOVIMIENTOS!$E$5:$E$417))</f>
        <v>0</v>
      </c>
      <c r="E6" s="56">
        <f>IF($A6="","",SUMPRODUCT((MOVIMIENTOS!$B$5:$B$417="SALDO INICIAL")*(MOVIMIENTOS!$C$5:$C$417="M")*(MOVIMIENTOS!$D$5:$D$417="jabas")*(MOVIMIENTOS!$A$5:$A$417&lt;&gt;"")*(MOVIMIENTOS!$A$5:$A$417&lt;=$A6)*MOVIMIENTOS!$E$5:$E$417)+SUMPRODUCT((MOVIMIENTOS!$B$5:$B$417="PROCESO")*(MOVIMIENTOS!$C$5:$C$417="M")*(MOVIMIENTOS!$D$5:$D$417="jabas")*(MOVIMIENTOS!$A$5:$A$417&lt;&gt;"")*(MOVIMIENTOS!$A$5:$A$417&lt;=$A6)*MOVIMIENTOS!$E$5:$E$417)-SUMPRODUCT((MOVIMIENTOS!$B$5:$B$417="ENVÍO A SUPESA")*(MOVIMIENTOS!$C$5:$C$417="M")*(MOVIMIENTOS!$D$5:$D$417="jabas")*(MOVIMIENTOS!$A$5:$A$417&lt;&gt;"")*(MOVIMIENTOS!$A$5:$A$417&lt;=$A6)*MOVIMIENTOS!$E$5:$E$417)+SUMPRODUCT((MOVIMIENTOS!$B$5:$B$417="DEVOLUCIÓN")*(MOVIMIENTOS!$C$5:$C$417="M")*(MOVIMIENTOS!$D$5:$D$417="jabas")*(MOVIMIENTOS!$A$5:$A$417&lt;&gt;"")*(MOVIMIENTOS!$A$5:$A$417&lt;=$A6)*MOVIMIENTOS!$E$5:$E$417)-SUMPRODUCT((MOVIMIENTOS!$B$5:$B$417="TRASIEGO")*(MOVIMIENTOS!$C$5:$C$417="M")*(MOVIMIENTOS!$D$5:$D$417="jabas")*(MOVIMIENTOS!$A$5:$A$417&lt;&gt;"")*(MOVIMIENTOS!$A$5:$A$417&lt;=$A6)*MOVIMIENTOS!$E$5:$E$417)-SUMPRODUCT((MOVIMIENTOS!$B$5:$B$417="REGALO")*(MOVIMIENTOS!$C$5:$C$417="M")*(MOVIMIENTOS!$D$5:$D$417="jabas")*(MOVIMIENTOS!$A$5:$A$417&lt;&gt;"")*(MOVIMIENTOS!$A$5:$A$417&lt;=$A6)*MOVIMIENTOS!$E$5:$E$417)-SUMPRODUCT((MOVIMIENTOS!$B$5:$B$417="VENTA")*(MOVIMIENTOS!$C$5:$C$417="M")*(MOVIMIENTOS!$D$5:$D$417="jabas")*(MOVIMIENTOS!$A$5:$A$417&lt;&gt;"")*(MOVIMIENTOS!$A$5:$A$417&lt;=$A6)*MOVIMIENTOS!$E$5:$E$417)+SUMPRODUCT((MOVIMIENTOS!$B$5:$B$417="AJUSTE")*(MOVIMIENTOS!$C$5:$C$417="M")*(MOVIMIENTOS!$D$5:$D$417="jabas")*(MOVIMIENTOS!$A$5:$A$417&lt;&gt;"")*(MOVIMIENTOS!$A$5:$A$417&lt;=$A6)*MOVIMIENTOS!$E$5:$E$417))</f>
        <v>30</v>
      </c>
      <c r="F6" s="56">
        <f>IF($A6="","",SUMPRODUCT((MOVIMIENTOS!$B$5:$B$417="SALDO INICIAL")*(MOVIMIENTOS!$C$5:$C$417="Chancho")*(MOVIMIENTOS!$D$5:$D$417="sacos")*(MOVIMIENTOS!$A$5:$A$417&lt;&gt;"")*(MOVIMIENTOS!$A$5:$A$417&lt;=$A6)*MOVIMIENTOS!$E$5:$E$417)+SUMPRODUCT((MOVIMIENTOS!$B$5:$B$417="PROCESO")*(MOVIMIENTOS!$C$5:$C$417="Chancho")*(MOVIMIENTOS!$D$5:$D$417="sacos")*(MOVIMIENTOS!$A$5:$A$417&lt;&gt;"")*(MOVIMIENTOS!$A$5:$A$417&lt;=$A6)*MOVIMIENTOS!$E$5:$E$417)-SUMPRODUCT((MOVIMIENTOS!$B$5:$B$417="VENTA CHANCHO")*(MOVIMIENTOS!$C$5:$C$417="Chancho")*(MOVIMIENTOS!$D$5:$D$417="sacos")*(MOVIMIENTOS!$A$5:$A$417&lt;&gt;"")*(MOVIMIENTOS!$A$5:$A$417&lt;=$A6)*MOVIMIENTOS!$E$5:$E$417)-SUMPRODUCT((MOVIMIENTOS!$B$5:$B$417="REGALO")*(MOVIMIENTOS!$C$5:$C$417="Chancho")*(MOVIMIENTOS!$D$5:$D$417="sacos")*(MOVIMIENTOS!$A$5:$A$417&lt;&gt;"")*(MOVIMIENTOS!$A$5:$A$417&lt;=$A6)*MOVIMIENTOS!$E$5:$E$417)-SUMPRODUCT((MOVIMIENTOS!$B$5:$B$417="VENTA")*(MOVIMIENTOS!$C$5:$C$417="Chancho")*(MOVIMIENTOS!$D$5:$D$417="sacos")*(MOVIMIENTOS!$A$5:$A$417&lt;&gt;"")*(MOVIMIENTOS!$A$5:$A$417&lt;=$A6)*MOVIMIENTOS!$E$5:$E$417)+SUMPRODUCT((MOVIMIENTOS!$B$5:$B$417="AJUSTE")*(MOVIMIENTOS!$C$5:$C$417="Chancho")*(MOVIMIENTOS!$D$5:$D$417="sacos")*(MOVIMIENTOS!$A$5:$A$417&lt;&gt;"")*(MOVIMIENTOS!$A$5:$A$417&lt;=$A6)*MOVIMIENTOS!$E$5:$E$417))</f>
        <v>26</v>
      </c>
      <c r="G6" s="56">
        <f t="shared" si="1"/>
        <v>24</v>
      </c>
      <c r="H6" s="56">
        <f>IF($A6="","",SUMPRODUCT((((MOVIMIENTOS!$B$5:$B$417="SALDO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6)*MOVIMIENTOS!$I$5:$I$417))</f>
        <v>373</v>
      </c>
      <c r="I6" s="54"/>
      <c r="J6" s="54" t="str">
        <f>IF(AND(MOVIMIENTOS!$A6&lt;&gt;"",COUNTIF(MOVIMIENTOS!$A$5:$A5,MOVIMIENTOS!$A6)=0),COUNT(J$4:J5)+1,"")</f>
        <v/>
      </c>
      <c r="K6" s="57">
        <f>MOVIMIENTOS!$A6</f>
        <v>46214</v>
      </c>
      <c r="L6" s="54"/>
      <c r="M6" s="54"/>
      <c r="N6" s="54"/>
    </row>
    <row r="7" spans="1:14" ht="15" customHeight="1" x14ac:dyDescent="0.2">
      <c r="A7" s="55">
        <f t="shared" si="0"/>
        <v>46216</v>
      </c>
      <c r="B7" s="56">
        <f>IF($A7="","",SUMPRODUCT((MOVIMIENTOS!$B$5:$B$417="SALDO INICIAL")*(MOVIMIENTOS!$C$5:$C$417="A")*(MOVIMIENTOS!$D$5:$D$417="jabas")*(MOVIMIENTOS!$A$5:$A$417&lt;&gt;"")*(MOVIMIENTOS!$A$5:$A$417&lt;=$A7)*MOVIMIENTOS!$E$5:$E$417)+SUMPRODUCT((MOVIMIENTOS!$B$5:$B$417="PROCESO")*(MOVIMIENTOS!$C$5:$C$417="A")*(MOVIMIENTOS!$D$5:$D$417="jabas")*(MOVIMIENTOS!$A$5:$A$417&lt;&gt;"")*(MOVIMIENTOS!$A$5:$A$417&lt;=$A7)*MOVIMIENTOS!$E$5:$E$417)-SUMPRODUCT((MOVIMIENTOS!$B$5:$B$417="ENVÍO A SUPESA")*(MOVIMIENTOS!$C$5:$C$417="A")*(MOVIMIENTOS!$D$5:$D$417="jabas")*(MOVIMIENTOS!$A$5:$A$417&lt;&gt;"")*(MOVIMIENTOS!$A$5:$A$417&lt;=$A7)*MOVIMIENTOS!$E$5:$E$417)+SUMPRODUCT((MOVIMIENTOS!$B$5:$B$417="DEVOLUCIÓN")*(MOVIMIENTOS!$C$5:$C$417="A")*(MOVIMIENTOS!$D$5:$D$417="jabas")*(MOVIMIENTOS!$A$5:$A$417&lt;&gt;"")*(MOVIMIENTOS!$A$5:$A$417&lt;=$A7)*MOVIMIENTOS!$E$5:$E$417)-SUMPRODUCT((MOVIMIENTOS!$B$5:$B$417="TRASIEGO")*(MOVIMIENTOS!$C$5:$C$417="A")*(MOVIMIENTOS!$D$5:$D$417="jabas")*(MOVIMIENTOS!$A$5:$A$417&lt;&gt;"")*(MOVIMIENTOS!$A$5:$A$417&lt;=$A7)*MOVIMIENTOS!$E$5:$E$417)-SUMPRODUCT((MOVIMIENTOS!$B$5:$B$417="REGALO")*(MOVIMIENTOS!$C$5:$C$417="A")*(MOVIMIENTOS!$D$5:$D$417="jabas")*(MOVIMIENTOS!$A$5:$A$417&lt;&gt;"")*(MOVIMIENTOS!$A$5:$A$417&lt;=$A7)*MOVIMIENTOS!$E$5:$E$417)-SUMPRODUCT((MOVIMIENTOS!$B$5:$B$417="VENTA")*(MOVIMIENTOS!$C$5:$C$417="A")*(MOVIMIENTOS!$D$5:$D$417="jabas")*(MOVIMIENTOS!$A$5:$A$417&lt;&gt;"")*(MOVIMIENTOS!$A$5:$A$417&lt;=$A7)*MOVIMIENTOS!$E$5:$E$417)+SUMPRODUCT((MOVIMIENTOS!$B$5:$B$417="AJUSTE")*(MOVIMIENTOS!$C$5:$C$417="A")*(MOVIMIENTOS!$D$5:$D$417="jabas")*(MOVIMIENTOS!$A$5:$A$417&lt;&gt;"")*(MOVIMIENTOS!$A$5:$A$417&lt;=$A7)*MOVIMIENTOS!$E$5:$E$417))</f>
        <v>34</v>
      </c>
      <c r="C7" s="56">
        <f>IF($A7="","",SUMPRODUCT((MOVIMIENTOS!$B$5:$B$417="SALDO INICIAL")*(MOVIMIENTOS!$C$5:$C$417="P")*(MOVIMIENTOS!$D$5:$D$417="jabas")*(MOVIMIENTOS!$A$5:$A$417&lt;&gt;"")*(MOVIMIENTOS!$A$5:$A$417&lt;=$A7)*MOVIMIENTOS!$E$5:$E$417)+SUMPRODUCT((MOVIMIENTOS!$B$5:$B$417="PROCESO")*(MOVIMIENTOS!$C$5:$C$417="P")*(MOVIMIENTOS!$D$5:$D$417="jabas")*(MOVIMIENTOS!$A$5:$A$417&lt;&gt;"")*(MOVIMIENTOS!$A$5:$A$417&lt;=$A7)*MOVIMIENTOS!$E$5:$E$417)-SUMPRODUCT((MOVIMIENTOS!$B$5:$B$417="ENVÍO A SUPESA")*(MOVIMIENTOS!$C$5:$C$417="P")*(MOVIMIENTOS!$D$5:$D$417="jabas")*(MOVIMIENTOS!$A$5:$A$417&lt;&gt;"")*(MOVIMIENTOS!$A$5:$A$417&lt;=$A7)*MOVIMIENTOS!$E$5:$E$417)+SUMPRODUCT((MOVIMIENTOS!$B$5:$B$417="DEVOLUCIÓN")*(MOVIMIENTOS!$C$5:$C$417="P")*(MOVIMIENTOS!$D$5:$D$417="jabas")*(MOVIMIENTOS!$A$5:$A$417&lt;&gt;"")*(MOVIMIENTOS!$A$5:$A$417&lt;=$A7)*MOVIMIENTOS!$E$5:$E$417)-SUMPRODUCT((MOVIMIENTOS!$B$5:$B$417="TRASIEGO")*(MOVIMIENTOS!$C$5:$C$417="P")*(MOVIMIENTOS!$D$5:$D$417="jabas")*(MOVIMIENTOS!$A$5:$A$417&lt;&gt;"")*(MOVIMIENTOS!$A$5:$A$417&lt;=$A7)*MOVIMIENTOS!$E$5:$E$417)-SUMPRODUCT((MOVIMIENTOS!$B$5:$B$417="REGALO")*(MOVIMIENTOS!$C$5:$C$417="P")*(MOVIMIENTOS!$D$5:$D$417="jabas")*(MOVIMIENTOS!$A$5:$A$417&lt;&gt;"")*(MOVIMIENTOS!$A$5:$A$417&lt;=$A7)*MOVIMIENTOS!$E$5:$E$417)-SUMPRODUCT((MOVIMIENTOS!$B$5:$B$417="VENTA")*(MOVIMIENTOS!$C$5:$C$417="P")*(MOVIMIENTOS!$D$5:$D$417="jabas")*(MOVIMIENTOS!$A$5:$A$417&lt;&gt;"")*(MOVIMIENTOS!$A$5:$A$417&lt;=$A7)*MOVIMIENTOS!$E$5:$E$417)+SUMPRODUCT((MOVIMIENTOS!$B$5:$B$417="AJUSTE")*(MOVIMIENTOS!$C$5:$C$417="P")*(MOVIMIENTOS!$D$5:$D$417="jabas")*(MOVIMIENTOS!$A$5:$A$417&lt;&gt;"")*(MOVIMIENTOS!$A$5:$A$417&lt;=$A7)*MOVIMIENTOS!$E$5:$E$417))</f>
        <v>0</v>
      </c>
      <c r="D7" s="56">
        <f>IF($A7="","",SUMPRODUCT((MOVIMIENTOS!$B$5:$B$417="SALDO INICIAL")*(MOVIMIENTOS!$C$5:$C$417="C")*(MOVIMIENTOS!$D$5:$D$417="jabas")*(MOVIMIENTOS!$A$5:$A$417&lt;&gt;"")*(MOVIMIENTOS!$A$5:$A$417&lt;=$A7)*MOVIMIENTOS!$E$5:$E$417)+SUMPRODUCT((MOVIMIENTOS!$B$5:$B$417="PROCESO")*(MOVIMIENTOS!$C$5:$C$417="C")*(MOVIMIENTOS!$D$5:$D$417="jabas")*(MOVIMIENTOS!$A$5:$A$417&lt;&gt;"")*(MOVIMIENTOS!$A$5:$A$417&lt;=$A7)*MOVIMIENTOS!$E$5:$E$417)-SUMPRODUCT((MOVIMIENTOS!$B$5:$B$417="ENVÍO A SUPESA")*(MOVIMIENTOS!$C$5:$C$417="C")*(MOVIMIENTOS!$D$5:$D$417="jabas")*(MOVIMIENTOS!$A$5:$A$417&lt;&gt;"")*(MOVIMIENTOS!$A$5:$A$417&lt;=$A7)*MOVIMIENTOS!$E$5:$E$417)+SUMPRODUCT((MOVIMIENTOS!$B$5:$B$417="DEVOLUCIÓN")*(MOVIMIENTOS!$C$5:$C$417="C")*(MOVIMIENTOS!$D$5:$D$417="jabas")*(MOVIMIENTOS!$A$5:$A$417&lt;&gt;"")*(MOVIMIENTOS!$A$5:$A$417&lt;=$A7)*MOVIMIENTOS!$E$5:$E$417)-SUMPRODUCT((MOVIMIENTOS!$B$5:$B$417="TRASIEGO")*(MOVIMIENTOS!$C$5:$C$417="C")*(MOVIMIENTOS!$D$5:$D$417="jabas")*(MOVIMIENTOS!$A$5:$A$417&lt;&gt;"")*(MOVIMIENTOS!$A$5:$A$417&lt;=$A7)*MOVIMIENTOS!$E$5:$E$417)-SUMPRODUCT((MOVIMIENTOS!$B$5:$B$417="REGALO")*(MOVIMIENTOS!$C$5:$C$417="C")*(MOVIMIENTOS!$D$5:$D$417="jabas")*(MOVIMIENTOS!$A$5:$A$417&lt;&gt;"")*(MOVIMIENTOS!$A$5:$A$417&lt;=$A7)*MOVIMIENTOS!$E$5:$E$417)-SUMPRODUCT((MOVIMIENTOS!$B$5:$B$417="VENTA")*(MOVIMIENTOS!$C$5:$C$417="C")*(MOVIMIENTOS!$D$5:$D$417="jabas")*(MOVIMIENTOS!$A$5:$A$417&lt;&gt;"")*(MOVIMIENTOS!$A$5:$A$417&lt;=$A7)*MOVIMIENTOS!$E$5:$E$417)+SUMPRODUCT((MOVIMIENTOS!$B$5:$B$417="AJUSTE")*(MOVIMIENTOS!$C$5:$C$417="C")*(MOVIMIENTOS!$D$5:$D$417="jabas")*(MOVIMIENTOS!$A$5:$A$417&lt;&gt;"")*(MOVIMIENTOS!$A$5:$A$417&lt;=$A7)*MOVIMIENTOS!$E$5:$E$417))</f>
        <v>0</v>
      </c>
      <c r="E7" s="56">
        <f>IF($A7="","",SUMPRODUCT((MOVIMIENTOS!$B$5:$B$417="SALDO INICIAL")*(MOVIMIENTOS!$C$5:$C$417="M")*(MOVIMIENTOS!$D$5:$D$417="jabas")*(MOVIMIENTOS!$A$5:$A$417&lt;&gt;"")*(MOVIMIENTOS!$A$5:$A$417&lt;=$A7)*MOVIMIENTOS!$E$5:$E$417)+SUMPRODUCT((MOVIMIENTOS!$B$5:$B$417="PROCESO")*(MOVIMIENTOS!$C$5:$C$417="M")*(MOVIMIENTOS!$D$5:$D$417="jabas")*(MOVIMIENTOS!$A$5:$A$417&lt;&gt;"")*(MOVIMIENTOS!$A$5:$A$417&lt;=$A7)*MOVIMIENTOS!$E$5:$E$417)-SUMPRODUCT((MOVIMIENTOS!$B$5:$B$417="ENVÍO A SUPESA")*(MOVIMIENTOS!$C$5:$C$417="M")*(MOVIMIENTOS!$D$5:$D$417="jabas")*(MOVIMIENTOS!$A$5:$A$417&lt;&gt;"")*(MOVIMIENTOS!$A$5:$A$417&lt;=$A7)*MOVIMIENTOS!$E$5:$E$417)+SUMPRODUCT((MOVIMIENTOS!$B$5:$B$417="DEVOLUCIÓN")*(MOVIMIENTOS!$C$5:$C$417="M")*(MOVIMIENTOS!$D$5:$D$417="jabas")*(MOVIMIENTOS!$A$5:$A$417&lt;&gt;"")*(MOVIMIENTOS!$A$5:$A$417&lt;=$A7)*MOVIMIENTOS!$E$5:$E$417)-SUMPRODUCT((MOVIMIENTOS!$B$5:$B$417="TRASIEGO")*(MOVIMIENTOS!$C$5:$C$417="M")*(MOVIMIENTOS!$D$5:$D$417="jabas")*(MOVIMIENTOS!$A$5:$A$417&lt;&gt;"")*(MOVIMIENTOS!$A$5:$A$417&lt;=$A7)*MOVIMIENTOS!$E$5:$E$417)-SUMPRODUCT((MOVIMIENTOS!$B$5:$B$417="REGALO")*(MOVIMIENTOS!$C$5:$C$417="M")*(MOVIMIENTOS!$D$5:$D$417="jabas")*(MOVIMIENTOS!$A$5:$A$417&lt;&gt;"")*(MOVIMIENTOS!$A$5:$A$417&lt;=$A7)*MOVIMIENTOS!$E$5:$E$417)-SUMPRODUCT((MOVIMIENTOS!$B$5:$B$417="VENTA")*(MOVIMIENTOS!$C$5:$C$417="M")*(MOVIMIENTOS!$D$5:$D$417="jabas")*(MOVIMIENTOS!$A$5:$A$417&lt;&gt;"")*(MOVIMIENTOS!$A$5:$A$417&lt;=$A7)*MOVIMIENTOS!$E$5:$E$417)+SUMPRODUCT((MOVIMIENTOS!$B$5:$B$417="AJUSTE")*(MOVIMIENTOS!$C$5:$C$417="M")*(MOVIMIENTOS!$D$5:$D$417="jabas")*(MOVIMIENTOS!$A$5:$A$417&lt;&gt;"")*(MOVIMIENTOS!$A$5:$A$417&lt;=$A7)*MOVIMIENTOS!$E$5:$E$417))</f>
        <v>43</v>
      </c>
      <c r="F7" s="56">
        <f>IF($A7="","",SUMPRODUCT((MOVIMIENTOS!$B$5:$B$417="SALDO INICIAL")*(MOVIMIENTOS!$C$5:$C$417="Chancho")*(MOVIMIENTOS!$D$5:$D$417="sacos")*(MOVIMIENTOS!$A$5:$A$417&lt;&gt;"")*(MOVIMIENTOS!$A$5:$A$417&lt;=$A7)*MOVIMIENTOS!$E$5:$E$417)+SUMPRODUCT((MOVIMIENTOS!$B$5:$B$417="PROCESO")*(MOVIMIENTOS!$C$5:$C$417="Chancho")*(MOVIMIENTOS!$D$5:$D$417="sacos")*(MOVIMIENTOS!$A$5:$A$417&lt;&gt;"")*(MOVIMIENTOS!$A$5:$A$417&lt;=$A7)*MOVIMIENTOS!$E$5:$E$417)-SUMPRODUCT((MOVIMIENTOS!$B$5:$B$417="VENTA CHANCHO")*(MOVIMIENTOS!$C$5:$C$417="Chancho")*(MOVIMIENTOS!$D$5:$D$417="sacos")*(MOVIMIENTOS!$A$5:$A$417&lt;&gt;"")*(MOVIMIENTOS!$A$5:$A$417&lt;=$A7)*MOVIMIENTOS!$E$5:$E$417)-SUMPRODUCT((MOVIMIENTOS!$B$5:$B$417="REGALO")*(MOVIMIENTOS!$C$5:$C$417="Chancho")*(MOVIMIENTOS!$D$5:$D$417="sacos")*(MOVIMIENTOS!$A$5:$A$417&lt;&gt;"")*(MOVIMIENTOS!$A$5:$A$417&lt;=$A7)*MOVIMIENTOS!$E$5:$E$417)-SUMPRODUCT((MOVIMIENTOS!$B$5:$B$417="VENTA")*(MOVIMIENTOS!$C$5:$C$417="Chancho")*(MOVIMIENTOS!$D$5:$D$417="sacos")*(MOVIMIENTOS!$A$5:$A$417&lt;&gt;"")*(MOVIMIENTOS!$A$5:$A$417&lt;=$A7)*MOVIMIENTOS!$E$5:$E$417)+SUMPRODUCT((MOVIMIENTOS!$B$5:$B$417="AJUSTE")*(MOVIMIENTOS!$C$5:$C$417="Chancho")*(MOVIMIENTOS!$D$5:$D$417="sacos")*(MOVIMIENTOS!$A$5:$A$417&lt;&gt;"")*(MOVIMIENTOS!$A$5:$A$417&lt;=$A7)*MOVIMIENTOS!$E$5:$E$417))</f>
        <v>28</v>
      </c>
      <c r="G7" s="56">
        <f t="shared" si="1"/>
        <v>77</v>
      </c>
      <c r="H7" s="56">
        <f>IF($A7="","",SUMPRODUCT((((MOVIMIENTOS!$B$5:$B$417="SALDO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7)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7)*MOVIMIENTOS!$I$5:$I$417))</f>
        <v>1003</v>
      </c>
      <c r="I7" s="54"/>
      <c r="J7" s="54" t="str">
        <f>IF(AND(MOVIMIENTOS!$A7&lt;&gt;"",COUNTIF(MOVIMIENTOS!$A$5:$A6,MOVIMIENTOS!$A7)=0),COUNT(J$4:J6)+1,"")</f>
        <v/>
      </c>
      <c r="K7" s="57">
        <f>MOVIMIENTOS!$A7</f>
        <v>46214</v>
      </c>
      <c r="L7" s="54"/>
      <c r="M7" s="54"/>
      <c r="N7" s="54"/>
    </row>
    <row r="8" spans="1:14" ht="15" customHeight="1" x14ac:dyDescent="0.2">
      <c r="A8" s="55">
        <f t="shared" si="0"/>
        <v>46217</v>
      </c>
      <c r="B8" s="56">
        <f>IF($A8="","",SUMPRODUCT((MOVIMIENTOS!$B$5:$B$417="SALDO INICIAL")*(MOVIMIENTOS!$C$5:$C$417="A")*(MOVIMIENTOS!$D$5:$D$417="jabas")*(MOVIMIENTOS!$A$5:$A$417&lt;&gt;"")*(MOVIMIENTOS!$A$5:$A$417&lt;=$A8)*MOVIMIENTOS!$E$5:$E$417)+SUMPRODUCT((MOVIMIENTOS!$B$5:$B$417="PROCESO")*(MOVIMIENTOS!$C$5:$C$417="A")*(MOVIMIENTOS!$D$5:$D$417="jabas")*(MOVIMIENTOS!$A$5:$A$417&lt;&gt;"")*(MOVIMIENTOS!$A$5:$A$417&lt;=$A8)*MOVIMIENTOS!$E$5:$E$417)-SUMPRODUCT((MOVIMIENTOS!$B$5:$B$417="ENVÍO A SUPESA")*(MOVIMIENTOS!$C$5:$C$417="A")*(MOVIMIENTOS!$D$5:$D$417="jabas")*(MOVIMIENTOS!$A$5:$A$417&lt;&gt;"")*(MOVIMIENTOS!$A$5:$A$417&lt;=$A8)*MOVIMIENTOS!$E$5:$E$417)+SUMPRODUCT((MOVIMIENTOS!$B$5:$B$417="DEVOLUCIÓN")*(MOVIMIENTOS!$C$5:$C$417="A")*(MOVIMIENTOS!$D$5:$D$417="jabas")*(MOVIMIENTOS!$A$5:$A$417&lt;&gt;"")*(MOVIMIENTOS!$A$5:$A$417&lt;=$A8)*MOVIMIENTOS!$E$5:$E$417)-SUMPRODUCT((MOVIMIENTOS!$B$5:$B$417="TRASIEGO")*(MOVIMIENTOS!$C$5:$C$417="A")*(MOVIMIENTOS!$D$5:$D$417="jabas")*(MOVIMIENTOS!$A$5:$A$417&lt;&gt;"")*(MOVIMIENTOS!$A$5:$A$417&lt;=$A8)*MOVIMIENTOS!$E$5:$E$417)-SUMPRODUCT((MOVIMIENTOS!$B$5:$B$417="REGALO")*(MOVIMIENTOS!$C$5:$C$417="A")*(MOVIMIENTOS!$D$5:$D$417="jabas")*(MOVIMIENTOS!$A$5:$A$417&lt;&gt;"")*(MOVIMIENTOS!$A$5:$A$417&lt;=$A8)*MOVIMIENTOS!$E$5:$E$417)-SUMPRODUCT((MOVIMIENTOS!$B$5:$B$417="VENTA")*(MOVIMIENTOS!$C$5:$C$417="A")*(MOVIMIENTOS!$D$5:$D$417="jabas")*(MOVIMIENTOS!$A$5:$A$417&lt;&gt;"")*(MOVIMIENTOS!$A$5:$A$417&lt;=$A8)*MOVIMIENTOS!$E$5:$E$417)+SUMPRODUCT((MOVIMIENTOS!$B$5:$B$417="AJUSTE")*(MOVIMIENTOS!$C$5:$C$417="A")*(MOVIMIENTOS!$D$5:$D$417="jabas")*(MOVIMIENTOS!$A$5:$A$417&lt;&gt;"")*(MOVIMIENTOS!$A$5:$A$417&lt;=$A8)*MOVIMIENTOS!$E$5:$E$417))</f>
        <v>12</v>
      </c>
      <c r="C8" s="56">
        <f>IF($A8="","",SUMPRODUCT((MOVIMIENTOS!$B$5:$B$417="SALDO INICIAL")*(MOVIMIENTOS!$C$5:$C$417="P")*(MOVIMIENTOS!$D$5:$D$417="jabas")*(MOVIMIENTOS!$A$5:$A$417&lt;&gt;"")*(MOVIMIENTOS!$A$5:$A$417&lt;=$A8)*MOVIMIENTOS!$E$5:$E$417)+SUMPRODUCT((MOVIMIENTOS!$B$5:$B$417="PROCESO")*(MOVIMIENTOS!$C$5:$C$417="P")*(MOVIMIENTOS!$D$5:$D$417="jabas")*(MOVIMIENTOS!$A$5:$A$417&lt;&gt;"")*(MOVIMIENTOS!$A$5:$A$417&lt;=$A8)*MOVIMIENTOS!$E$5:$E$417)-SUMPRODUCT((MOVIMIENTOS!$B$5:$B$417="ENVÍO A SUPESA")*(MOVIMIENTOS!$C$5:$C$417="P")*(MOVIMIENTOS!$D$5:$D$417="jabas")*(MOVIMIENTOS!$A$5:$A$417&lt;&gt;"")*(MOVIMIENTOS!$A$5:$A$417&lt;=$A8)*MOVIMIENTOS!$E$5:$E$417)+SUMPRODUCT((MOVIMIENTOS!$B$5:$B$417="DEVOLUCIÓN")*(MOVIMIENTOS!$C$5:$C$417="P")*(MOVIMIENTOS!$D$5:$D$417="jabas")*(MOVIMIENTOS!$A$5:$A$417&lt;&gt;"")*(MOVIMIENTOS!$A$5:$A$417&lt;=$A8)*MOVIMIENTOS!$E$5:$E$417)-SUMPRODUCT((MOVIMIENTOS!$B$5:$B$417="TRASIEGO")*(MOVIMIENTOS!$C$5:$C$417="P")*(MOVIMIENTOS!$D$5:$D$417="jabas")*(MOVIMIENTOS!$A$5:$A$417&lt;&gt;"")*(MOVIMIENTOS!$A$5:$A$417&lt;=$A8)*MOVIMIENTOS!$E$5:$E$417)-SUMPRODUCT((MOVIMIENTOS!$B$5:$B$417="REGALO")*(MOVIMIENTOS!$C$5:$C$417="P")*(MOVIMIENTOS!$D$5:$D$417="jabas")*(MOVIMIENTOS!$A$5:$A$417&lt;&gt;"")*(MOVIMIENTOS!$A$5:$A$417&lt;=$A8)*MOVIMIENTOS!$E$5:$E$417)-SUMPRODUCT((MOVIMIENTOS!$B$5:$B$417="VENTA")*(MOVIMIENTOS!$C$5:$C$417="P")*(MOVIMIENTOS!$D$5:$D$417="jabas")*(MOVIMIENTOS!$A$5:$A$417&lt;&gt;"")*(MOVIMIENTOS!$A$5:$A$417&lt;=$A8)*MOVIMIENTOS!$E$5:$E$417)+SUMPRODUCT((MOVIMIENTOS!$B$5:$B$417="AJUSTE")*(MOVIMIENTOS!$C$5:$C$417="P")*(MOVIMIENTOS!$D$5:$D$417="jabas")*(MOVIMIENTOS!$A$5:$A$417&lt;&gt;"")*(MOVIMIENTOS!$A$5:$A$417&lt;=$A8)*MOVIMIENTOS!$E$5:$E$417))</f>
        <v>0</v>
      </c>
      <c r="D8" s="56">
        <f>IF($A8="","",SUMPRODUCT((MOVIMIENTOS!$B$5:$B$417="SALDO INICIAL")*(MOVIMIENTOS!$C$5:$C$417="C")*(MOVIMIENTOS!$D$5:$D$417="jabas")*(MOVIMIENTOS!$A$5:$A$417&lt;&gt;"")*(MOVIMIENTOS!$A$5:$A$417&lt;=$A8)*MOVIMIENTOS!$E$5:$E$417)+SUMPRODUCT((MOVIMIENTOS!$B$5:$B$417="PROCESO")*(MOVIMIENTOS!$C$5:$C$417="C")*(MOVIMIENTOS!$D$5:$D$417="jabas")*(MOVIMIENTOS!$A$5:$A$417&lt;&gt;"")*(MOVIMIENTOS!$A$5:$A$417&lt;=$A8)*MOVIMIENTOS!$E$5:$E$417)-SUMPRODUCT((MOVIMIENTOS!$B$5:$B$417="ENVÍO A SUPESA")*(MOVIMIENTOS!$C$5:$C$417="C")*(MOVIMIENTOS!$D$5:$D$417="jabas")*(MOVIMIENTOS!$A$5:$A$417&lt;&gt;"")*(MOVIMIENTOS!$A$5:$A$417&lt;=$A8)*MOVIMIENTOS!$E$5:$E$417)+SUMPRODUCT((MOVIMIENTOS!$B$5:$B$417="DEVOLUCIÓN")*(MOVIMIENTOS!$C$5:$C$417="C")*(MOVIMIENTOS!$D$5:$D$417="jabas")*(MOVIMIENTOS!$A$5:$A$417&lt;&gt;"")*(MOVIMIENTOS!$A$5:$A$417&lt;=$A8)*MOVIMIENTOS!$E$5:$E$417)-SUMPRODUCT((MOVIMIENTOS!$B$5:$B$417="TRASIEGO")*(MOVIMIENTOS!$C$5:$C$417="C")*(MOVIMIENTOS!$D$5:$D$417="jabas")*(MOVIMIENTOS!$A$5:$A$417&lt;&gt;"")*(MOVIMIENTOS!$A$5:$A$417&lt;=$A8)*MOVIMIENTOS!$E$5:$E$417)-SUMPRODUCT((MOVIMIENTOS!$B$5:$B$417="REGALO")*(MOVIMIENTOS!$C$5:$C$417="C")*(MOVIMIENTOS!$D$5:$D$417="jabas")*(MOVIMIENTOS!$A$5:$A$417&lt;&gt;"")*(MOVIMIENTOS!$A$5:$A$417&lt;=$A8)*MOVIMIENTOS!$E$5:$E$417)-SUMPRODUCT((MOVIMIENTOS!$B$5:$B$417="VENTA")*(MOVIMIENTOS!$C$5:$C$417="C")*(MOVIMIENTOS!$D$5:$D$417="jabas")*(MOVIMIENTOS!$A$5:$A$417&lt;&gt;"")*(MOVIMIENTOS!$A$5:$A$417&lt;=$A8)*MOVIMIENTOS!$E$5:$E$417)+SUMPRODUCT((MOVIMIENTOS!$B$5:$B$417="AJUSTE")*(MOVIMIENTOS!$C$5:$C$417="C")*(MOVIMIENTOS!$D$5:$D$417="jabas")*(MOVIMIENTOS!$A$5:$A$417&lt;&gt;"")*(MOVIMIENTOS!$A$5:$A$417&lt;=$A8)*MOVIMIENTOS!$E$5:$E$417))</f>
        <v>0</v>
      </c>
      <c r="E8" s="56">
        <f>IF($A8="","",SUMPRODUCT((MOVIMIENTOS!$B$5:$B$417="SALDO INICIAL")*(MOVIMIENTOS!$C$5:$C$417="M")*(MOVIMIENTOS!$D$5:$D$417="jabas")*(MOVIMIENTOS!$A$5:$A$417&lt;&gt;"")*(MOVIMIENTOS!$A$5:$A$417&lt;=$A8)*MOVIMIENTOS!$E$5:$E$417)+SUMPRODUCT((MOVIMIENTOS!$B$5:$B$417="PROCESO")*(MOVIMIENTOS!$C$5:$C$417="M")*(MOVIMIENTOS!$D$5:$D$417="jabas")*(MOVIMIENTOS!$A$5:$A$417&lt;&gt;"")*(MOVIMIENTOS!$A$5:$A$417&lt;=$A8)*MOVIMIENTOS!$E$5:$E$417)-SUMPRODUCT((MOVIMIENTOS!$B$5:$B$417="ENVÍO A SUPESA")*(MOVIMIENTOS!$C$5:$C$417="M")*(MOVIMIENTOS!$D$5:$D$417="jabas")*(MOVIMIENTOS!$A$5:$A$417&lt;&gt;"")*(MOVIMIENTOS!$A$5:$A$417&lt;=$A8)*MOVIMIENTOS!$E$5:$E$417)+SUMPRODUCT((MOVIMIENTOS!$B$5:$B$417="DEVOLUCIÓN")*(MOVIMIENTOS!$C$5:$C$417="M")*(MOVIMIENTOS!$D$5:$D$417="jabas")*(MOVIMIENTOS!$A$5:$A$417&lt;&gt;"")*(MOVIMIENTOS!$A$5:$A$417&lt;=$A8)*MOVIMIENTOS!$E$5:$E$417)-SUMPRODUCT((MOVIMIENTOS!$B$5:$B$417="TRASIEGO")*(MOVIMIENTOS!$C$5:$C$417="M")*(MOVIMIENTOS!$D$5:$D$417="jabas")*(MOVIMIENTOS!$A$5:$A$417&lt;&gt;"")*(MOVIMIENTOS!$A$5:$A$417&lt;=$A8)*MOVIMIENTOS!$E$5:$E$417)-SUMPRODUCT((MOVIMIENTOS!$B$5:$B$417="REGALO")*(MOVIMIENTOS!$C$5:$C$417="M")*(MOVIMIENTOS!$D$5:$D$417="jabas")*(MOVIMIENTOS!$A$5:$A$417&lt;&gt;"")*(MOVIMIENTOS!$A$5:$A$417&lt;=$A8)*MOVIMIENTOS!$E$5:$E$417)-SUMPRODUCT((MOVIMIENTOS!$B$5:$B$417="VENTA")*(MOVIMIENTOS!$C$5:$C$417="M")*(MOVIMIENTOS!$D$5:$D$417="jabas")*(MOVIMIENTOS!$A$5:$A$417&lt;&gt;"")*(MOVIMIENTOS!$A$5:$A$417&lt;=$A8)*MOVIMIENTOS!$E$5:$E$417)+SUMPRODUCT((MOVIMIENTOS!$B$5:$B$417="AJUSTE")*(MOVIMIENTOS!$C$5:$C$417="M")*(MOVIMIENTOS!$D$5:$D$417="jabas")*(MOVIMIENTOS!$A$5:$A$417&lt;&gt;"")*(MOVIMIENTOS!$A$5:$A$417&lt;=$A8)*MOVIMIENTOS!$E$5:$E$417))</f>
        <v>48</v>
      </c>
      <c r="F8" s="56">
        <f>IF($A8="","",SUMPRODUCT((MOVIMIENTOS!$B$5:$B$417="SALDO INICIAL")*(MOVIMIENTOS!$C$5:$C$417="Chancho")*(MOVIMIENTOS!$D$5:$D$417="sacos")*(MOVIMIENTOS!$A$5:$A$417&lt;&gt;"")*(MOVIMIENTOS!$A$5:$A$417&lt;=$A8)*MOVIMIENTOS!$E$5:$E$417)+SUMPRODUCT((MOVIMIENTOS!$B$5:$B$417="PROCESO")*(MOVIMIENTOS!$C$5:$C$417="Chancho")*(MOVIMIENTOS!$D$5:$D$417="sacos")*(MOVIMIENTOS!$A$5:$A$417&lt;&gt;"")*(MOVIMIENTOS!$A$5:$A$417&lt;=$A8)*MOVIMIENTOS!$E$5:$E$417)-SUMPRODUCT((MOVIMIENTOS!$B$5:$B$417="VENTA CHANCHO")*(MOVIMIENTOS!$C$5:$C$417="Chancho")*(MOVIMIENTOS!$D$5:$D$417="sacos")*(MOVIMIENTOS!$A$5:$A$417&lt;&gt;"")*(MOVIMIENTOS!$A$5:$A$417&lt;=$A8)*MOVIMIENTOS!$E$5:$E$417)-SUMPRODUCT((MOVIMIENTOS!$B$5:$B$417="REGALO")*(MOVIMIENTOS!$C$5:$C$417="Chancho")*(MOVIMIENTOS!$D$5:$D$417="sacos")*(MOVIMIENTOS!$A$5:$A$417&lt;&gt;"")*(MOVIMIENTOS!$A$5:$A$417&lt;=$A8)*MOVIMIENTOS!$E$5:$E$417)-SUMPRODUCT((MOVIMIENTOS!$B$5:$B$417="VENTA")*(MOVIMIENTOS!$C$5:$C$417="Chancho")*(MOVIMIENTOS!$D$5:$D$417="sacos")*(MOVIMIENTOS!$A$5:$A$417&lt;&gt;"")*(MOVIMIENTOS!$A$5:$A$417&lt;=$A8)*MOVIMIENTOS!$E$5:$E$417)+SUMPRODUCT((MOVIMIENTOS!$B$5:$B$417="AJUSTE")*(MOVIMIENTOS!$C$5:$C$417="Chancho")*(MOVIMIENTOS!$D$5:$D$417="sacos")*(MOVIMIENTOS!$A$5:$A$417&lt;&gt;"")*(MOVIMIENTOS!$A$5:$A$417&lt;=$A8)*MOVIMIENTOS!$E$5:$E$417))</f>
        <v>35</v>
      </c>
      <c r="G8" s="56">
        <f t="shared" si="1"/>
        <v>60</v>
      </c>
      <c r="H8" s="56">
        <f>IF($A8="","",SUMPRODUCT((((MOVIMIENTOS!$B$5:$B$417="SALDO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8)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8)*MOVIMIENTOS!$I$5:$I$417))</f>
        <v>825</v>
      </c>
      <c r="I8" s="54"/>
      <c r="J8" s="54" t="str">
        <f>IF(AND(MOVIMIENTOS!$A8&lt;&gt;"",COUNTIF(MOVIMIENTOS!$A$5:$A7,MOVIMIENTOS!$A8)=0),COUNT(J$4:J7)+1,"")</f>
        <v/>
      </c>
      <c r="K8" s="57">
        <f>MOVIMIENTOS!$A8</f>
        <v>46214</v>
      </c>
      <c r="L8" s="54"/>
      <c r="M8" s="54"/>
      <c r="N8" s="54"/>
    </row>
    <row r="9" spans="1:14" ht="15" customHeight="1" x14ac:dyDescent="0.2">
      <c r="A9" s="55">
        <f t="shared" si="0"/>
        <v>46218</v>
      </c>
      <c r="B9" s="56">
        <f>IF($A9="","",SUMPRODUCT((MOVIMIENTOS!$B$5:$B$417="SALDO INICIAL")*(MOVIMIENTOS!$C$5:$C$417="A")*(MOVIMIENTOS!$D$5:$D$417="jabas")*(MOVIMIENTOS!$A$5:$A$417&lt;&gt;"")*(MOVIMIENTOS!$A$5:$A$417&lt;=$A9)*MOVIMIENTOS!$E$5:$E$417)+SUMPRODUCT((MOVIMIENTOS!$B$5:$B$417="PROCESO")*(MOVIMIENTOS!$C$5:$C$417="A")*(MOVIMIENTOS!$D$5:$D$417="jabas")*(MOVIMIENTOS!$A$5:$A$417&lt;&gt;"")*(MOVIMIENTOS!$A$5:$A$417&lt;=$A9)*MOVIMIENTOS!$E$5:$E$417)-SUMPRODUCT((MOVIMIENTOS!$B$5:$B$417="ENVÍO A SUPESA")*(MOVIMIENTOS!$C$5:$C$417="A")*(MOVIMIENTOS!$D$5:$D$417="jabas")*(MOVIMIENTOS!$A$5:$A$417&lt;&gt;"")*(MOVIMIENTOS!$A$5:$A$417&lt;=$A9)*MOVIMIENTOS!$E$5:$E$417)+SUMPRODUCT((MOVIMIENTOS!$B$5:$B$417="DEVOLUCIÓN")*(MOVIMIENTOS!$C$5:$C$417="A")*(MOVIMIENTOS!$D$5:$D$417="jabas")*(MOVIMIENTOS!$A$5:$A$417&lt;&gt;"")*(MOVIMIENTOS!$A$5:$A$417&lt;=$A9)*MOVIMIENTOS!$E$5:$E$417)-SUMPRODUCT((MOVIMIENTOS!$B$5:$B$417="TRASIEGO")*(MOVIMIENTOS!$C$5:$C$417="A")*(MOVIMIENTOS!$D$5:$D$417="jabas")*(MOVIMIENTOS!$A$5:$A$417&lt;&gt;"")*(MOVIMIENTOS!$A$5:$A$417&lt;=$A9)*MOVIMIENTOS!$E$5:$E$417)-SUMPRODUCT((MOVIMIENTOS!$B$5:$B$417="REGALO")*(MOVIMIENTOS!$C$5:$C$417="A")*(MOVIMIENTOS!$D$5:$D$417="jabas")*(MOVIMIENTOS!$A$5:$A$417&lt;&gt;"")*(MOVIMIENTOS!$A$5:$A$417&lt;=$A9)*MOVIMIENTOS!$E$5:$E$417)-SUMPRODUCT((MOVIMIENTOS!$B$5:$B$417="VENTA")*(MOVIMIENTOS!$C$5:$C$417="A")*(MOVIMIENTOS!$D$5:$D$417="jabas")*(MOVIMIENTOS!$A$5:$A$417&lt;&gt;"")*(MOVIMIENTOS!$A$5:$A$417&lt;=$A9)*MOVIMIENTOS!$E$5:$E$417)+SUMPRODUCT((MOVIMIENTOS!$B$5:$B$417="AJUSTE")*(MOVIMIENTOS!$C$5:$C$417="A")*(MOVIMIENTOS!$D$5:$D$417="jabas")*(MOVIMIENTOS!$A$5:$A$417&lt;&gt;"")*(MOVIMIENTOS!$A$5:$A$417&lt;=$A9)*MOVIMIENTOS!$E$5:$E$417))</f>
        <v>24</v>
      </c>
      <c r="C9" s="56">
        <f>IF($A9="","",SUMPRODUCT((MOVIMIENTOS!$B$5:$B$417="SALDO INICIAL")*(MOVIMIENTOS!$C$5:$C$417="P")*(MOVIMIENTOS!$D$5:$D$417="jabas")*(MOVIMIENTOS!$A$5:$A$417&lt;&gt;"")*(MOVIMIENTOS!$A$5:$A$417&lt;=$A9)*MOVIMIENTOS!$E$5:$E$417)+SUMPRODUCT((MOVIMIENTOS!$B$5:$B$417="PROCESO")*(MOVIMIENTOS!$C$5:$C$417="P")*(MOVIMIENTOS!$D$5:$D$417="jabas")*(MOVIMIENTOS!$A$5:$A$417&lt;&gt;"")*(MOVIMIENTOS!$A$5:$A$417&lt;=$A9)*MOVIMIENTOS!$E$5:$E$417)-SUMPRODUCT((MOVIMIENTOS!$B$5:$B$417="ENVÍO A SUPESA")*(MOVIMIENTOS!$C$5:$C$417="P")*(MOVIMIENTOS!$D$5:$D$417="jabas")*(MOVIMIENTOS!$A$5:$A$417&lt;&gt;"")*(MOVIMIENTOS!$A$5:$A$417&lt;=$A9)*MOVIMIENTOS!$E$5:$E$417)+SUMPRODUCT((MOVIMIENTOS!$B$5:$B$417="DEVOLUCIÓN")*(MOVIMIENTOS!$C$5:$C$417="P")*(MOVIMIENTOS!$D$5:$D$417="jabas")*(MOVIMIENTOS!$A$5:$A$417&lt;&gt;"")*(MOVIMIENTOS!$A$5:$A$417&lt;=$A9)*MOVIMIENTOS!$E$5:$E$417)-SUMPRODUCT((MOVIMIENTOS!$B$5:$B$417="TRASIEGO")*(MOVIMIENTOS!$C$5:$C$417="P")*(MOVIMIENTOS!$D$5:$D$417="jabas")*(MOVIMIENTOS!$A$5:$A$417&lt;&gt;"")*(MOVIMIENTOS!$A$5:$A$417&lt;=$A9)*MOVIMIENTOS!$E$5:$E$417)-SUMPRODUCT((MOVIMIENTOS!$B$5:$B$417="REGALO")*(MOVIMIENTOS!$C$5:$C$417="P")*(MOVIMIENTOS!$D$5:$D$417="jabas")*(MOVIMIENTOS!$A$5:$A$417&lt;&gt;"")*(MOVIMIENTOS!$A$5:$A$417&lt;=$A9)*MOVIMIENTOS!$E$5:$E$417)-SUMPRODUCT((MOVIMIENTOS!$B$5:$B$417="VENTA")*(MOVIMIENTOS!$C$5:$C$417="P")*(MOVIMIENTOS!$D$5:$D$417="jabas")*(MOVIMIENTOS!$A$5:$A$417&lt;&gt;"")*(MOVIMIENTOS!$A$5:$A$417&lt;=$A9)*MOVIMIENTOS!$E$5:$E$417)+SUMPRODUCT((MOVIMIENTOS!$B$5:$B$417="AJUSTE")*(MOVIMIENTOS!$C$5:$C$417="P")*(MOVIMIENTOS!$D$5:$D$417="jabas")*(MOVIMIENTOS!$A$5:$A$417&lt;&gt;"")*(MOVIMIENTOS!$A$5:$A$417&lt;=$A9)*MOVIMIENTOS!$E$5:$E$417))</f>
        <v>11</v>
      </c>
      <c r="D9" s="56">
        <f>IF($A9="","",SUMPRODUCT((MOVIMIENTOS!$B$5:$B$417="SALDO INICIAL")*(MOVIMIENTOS!$C$5:$C$417="C")*(MOVIMIENTOS!$D$5:$D$417="jabas")*(MOVIMIENTOS!$A$5:$A$417&lt;&gt;"")*(MOVIMIENTOS!$A$5:$A$417&lt;=$A9)*MOVIMIENTOS!$E$5:$E$417)+SUMPRODUCT((MOVIMIENTOS!$B$5:$B$417="PROCESO")*(MOVIMIENTOS!$C$5:$C$417="C")*(MOVIMIENTOS!$D$5:$D$417="jabas")*(MOVIMIENTOS!$A$5:$A$417&lt;&gt;"")*(MOVIMIENTOS!$A$5:$A$417&lt;=$A9)*MOVIMIENTOS!$E$5:$E$417)-SUMPRODUCT((MOVIMIENTOS!$B$5:$B$417="ENVÍO A SUPESA")*(MOVIMIENTOS!$C$5:$C$417="C")*(MOVIMIENTOS!$D$5:$D$417="jabas")*(MOVIMIENTOS!$A$5:$A$417&lt;&gt;"")*(MOVIMIENTOS!$A$5:$A$417&lt;=$A9)*MOVIMIENTOS!$E$5:$E$417)+SUMPRODUCT((MOVIMIENTOS!$B$5:$B$417="DEVOLUCIÓN")*(MOVIMIENTOS!$C$5:$C$417="C")*(MOVIMIENTOS!$D$5:$D$417="jabas")*(MOVIMIENTOS!$A$5:$A$417&lt;&gt;"")*(MOVIMIENTOS!$A$5:$A$417&lt;=$A9)*MOVIMIENTOS!$E$5:$E$417)-SUMPRODUCT((MOVIMIENTOS!$B$5:$B$417="TRASIEGO")*(MOVIMIENTOS!$C$5:$C$417="C")*(MOVIMIENTOS!$D$5:$D$417="jabas")*(MOVIMIENTOS!$A$5:$A$417&lt;&gt;"")*(MOVIMIENTOS!$A$5:$A$417&lt;=$A9)*MOVIMIENTOS!$E$5:$E$417)-SUMPRODUCT((MOVIMIENTOS!$B$5:$B$417="REGALO")*(MOVIMIENTOS!$C$5:$C$417="C")*(MOVIMIENTOS!$D$5:$D$417="jabas")*(MOVIMIENTOS!$A$5:$A$417&lt;&gt;"")*(MOVIMIENTOS!$A$5:$A$417&lt;=$A9)*MOVIMIENTOS!$E$5:$E$417)-SUMPRODUCT((MOVIMIENTOS!$B$5:$B$417="VENTA")*(MOVIMIENTOS!$C$5:$C$417="C")*(MOVIMIENTOS!$D$5:$D$417="jabas")*(MOVIMIENTOS!$A$5:$A$417&lt;&gt;"")*(MOVIMIENTOS!$A$5:$A$417&lt;=$A9)*MOVIMIENTOS!$E$5:$E$417)+SUMPRODUCT((MOVIMIENTOS!$B$5:$B$417="AJUSTE")*(MOVIMIENTOS!$C$5:$C$417="C")*(MOVIMIENTOS!$D$5:$D$417="jabas")*(MOVIMIENTOS!$A$5:$A$417&lt;&gt;"")*(MOVIMIENTOS!$A$5:$A$417&lt;=$A9)*MOVIMIENTOS!$E$5:$E$417))</f>
        <v>12</v>
      </c>
      <c r="E9" s="56">
        <f>IF($A9="","",SUMPRODUCT((MOVIMIENTOS!$B$5:$B$417="SALDO INICIAL")*(MOVIMIENTOS!$C$5:$C$417="M")*(MOVIMIENTOS!$D$5:$D$417="jabas")*(MOVIMIENTOS!$A$5:$A$417&lt;&gt;"")*(MOVIMIENTOS!$A$5:$A$417&lt;=$A9)*MOVIMIENTOS!$E$5:$E$417)+SUMPRODUCT((MOVIMIENTOS!$B$5:$B$417="PROCESO")*(MOVIMIENTOS!$C$5:$C$417="M")*(MOVIMIENTOS!$D$5:$D$417="jabas")*(MOVIMIENTOS!$A$5:$A$417&lt;&gt;"")*(MOVIMIENTOS!$A$5:$A$417&lt;=$A9)*MOVIMIENTOS!$E$5:$E$417)-SUMPRODUCT((MOVIMIENTOS!$B$5:$B$417="ENVÍO A SUPESA")*(MOVIMIENTOS!$C$5:$C$417="M")*(MOVIMIENTOS!$D$5:$D$417="jabas")*(MOVIMIENTOS!$A$5:$A$417&lt;&gt;"")*(MOVIMIENTOS!$A$5:$A$417&lt;=$A9)*MOVIMIENTOS!$E$5:$E$417)+SUMPRODUCT((MOVIMIENTOS!$B$5:$B$417="DEVOLUCIÓN")*(MOVIMIENTOS!$C$5:$C$417="M")*(MOVIMIENTOS!$D$5:$D$417="jabas")*(MOVIMIENTOS!$A$5:$A$417&lt;&gt;"")*(MOVIMIENTOS!$A$5:$A$417&lt;=$A9)*MOVIMIENTOS!$E$5:$E$417)-SUMPRODUCT((MOVIMIENTOS!$B$5:$B$417="TRASIEGO")*(MOVIMIENTOS!$C$5:$C$417="M")*(MOVIMIENTOS!$D$5:$D$417="jabas")*(MOVIMIENTOS!$A$5:$A$417&lt;&gt;"")*(MOVIMIENTOS!$A$5:$A$417&lt;=$A9)*MOVIMIENTOS!$E$5:$E$417)-SUMPRODUCT((MOVIMIENTOS!$B$5:$B$417="REGALO")*(MOVIMIENTOS!$C$5:$C$417="M")*(MOVIMIENTOS!$D$5:$D$417="jabas")*(MOVIMIENTOS!$A$5:$A$417&lt;&gt;"")*(MOVIMIENTOS!$A$5:$A$417&lt;=$A9)*MOVIMIENTOS!$E$5:$E$417)-SUMPRODUCT((MOVIMIENTOS!$B$5:$B$417="VENTA")*(MOVIMIENTOS!$C$5:$C$417="M")*(MOVIMIENTOS!$D$5:$D$417="jabas")*(MOVIMIENTOS!$A$5:$A$417&lt;&gt;"")*(MOVIMIENTOS!$A$5:$A$417&lt;=$A9)*MOVIMIENTOS!$E$5:$E$417)+SUMPRODUCT((MOVIMIENTOS!$B$5:$B$417="AJUSTE")*(MOVIMIENTOS!$C$5:$C$417="M")*(MOVIMIENTOS!$D$5:$D$417="jabas")*(MOVIMIENTOS!$A$5:$A$417&lt;&gt;"")*(MOVIMIENTOS!$A$5:$A$417&lt;=$A9)*MOVIMIENTOS!$E$5:$E$417))</f>
        <v>36</v>
      </c>
      <c r="F9" s="56">
        <f>IF($A9="","",SUMPRODUCT((MOVIMIENTOS!$B$5:$B$417="SALDO INICIAL")*(MOVIMIENTOS!$C$5:$C$417="Chancho")*(MOVIMIENTOS!$D$5:$D$417="sacos")*(MOVIMIENTOS!$A$5:$A$417&lt;&gt;"")*(MOVIMIENTOS!$A$5:$A$417&lt;=$A9)*MOVIMIENTOS!$E$5:$E$417)+SUMPRODUCT((MOVIMIENTOS!$B$5:$B$417="PROCESO")*(MOVIMIENTOS!$C$5:$C$417="Chancho")*(MOVIMIENTOS!$D$5:$D$417="sacos")*(MOVIMIENTOS!$A$5:$A$417&lt;&gt;"")*(MOVIMIENTOS!$A$5:$A$417&lt;=$A9)*MOVIMIENTOS!$E$5:$E$417)-SUMPRODUCT((MOVIMIENTOS!$B$5:$B$417="VENTA CHANCHO")*(MOVIMIENTOS!$C$5:$C$417="Chancho")*(MOVIMIENTOS!$D$5:$D$417="sacos")*(MOVIMIENTOS!$A$5:$A$417&lt;&gt;"")*(MOVIMIENTOS!$A$5:$A$417&lt;=$A9)*MOVIMIENTOS!$E$5:$E$417)-SUMPRODUCT((MOVIMIENTOS!$B$5:$B$417="REGALO")*(MOVIMIENTOS!$C$5:$C$417="Chancho")*(MOVIMIENTOS!$D$5:$D$417="sacos")*(MOVIMIENTOS!$A$5:$A$417&lt;&gt;"")*(MOVIMIENTOS!$A$5:$A$417&lt;=$A9)*MOVIMIENTOS!$E$5:$E$417)-SUMPRODUCT((MOVIMIENTOS!$B$5:$B$417="VENTA")*(MOVIMIENTOS!$C$5:$C$417="Chancho")*(MOVIMIENTOS!$D$5:$D$417="sacos")*(MOVIMIENTOS!$A$5:$A$417&lt;&gt;"")*(MOVIMIENTOS!$A$5:$A$417&lt;=$A9)*MOVIMIENTOS!$E$5:$E$417)+SUMPRODUCT((MOVIMIENTOS!$B$5:$B$417="AJUSTE")*(MOVIMIENTOS!$C$5:$C$417="Chancho")*(MOVIMIENTOS!$D$5:$D$417="sacos")*(MOVIMIENTOS!$A$5:$A$417&lt;&gt;"")*(MOVIMIENTOS!$A$5:$A$417&lt;=$A9)*MOVIMIENTOS!$E$5:$E$417))</f>
        <v>5</v>
      </c>
      <c r="G9" s="56">
        <f t="shared" si="1"/>
        <v>83</v>
      </c>
      <c r="H9" s="56">
        <f>IF($A9="","",SUMPRODUCT((((MOVIMIENTOS!$B$5:$B$417="SALDO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9)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9)*MOVIMIENTOS!$I$5:$I$417))</f>
        <v>1249</v>
      </c>
      <c r="I9" s="54"/>
      <c r="J9" s="54">
        <f>IF(AND(MOVIMIENTOS!$A9&lt;&gt;"",COUNTIF(MOVIMIENTOS!$A$5:$A8,MOVIMIENTOS!$A9)=0),COUNT(J$4:J8)+1,"")</f>
        <v>2</v>
      </c>
      <c r="K9" s="57">
        <f>MOVIMIENTOS!$A9</f>
        <v>46215</v>
      </c>
      <c r="L9" s="54"/>
      <c r="M9" s="54"/>
      <c r="N9" s="54"/>
    </row>
    <row r="10" spans="1:14" ht="15" customHeight="1" x14ac:dyDescent="0.2">
      <c r="A10" s="55">
        <f t="shared" si="0"/>
        <v>46219</v>
      </c>
      <c r="B10" s="56">
        <f>IF($A10="","",SUMPRODUCT((MOVIMIENTOS!$B$5:$B$417="SALDO INICIAL")*(MOVIMIENTOS!$C$5:$C$417="A")*(MOVIMIENTOS!$D$5:$D$417="jabas")*(MOVIMIENTOS!$A$5:$A$417&lt;&gt;"")*(MOVIMIENTOS!$A$5:$A$417&lt;=$A10)*MOVIMIENTOS!$E$5:$E$417)+SUMPRODUCT((MOVIMIENTOS!$B$5:$B$417="PROCESO")*(MOVIMIENTOS!$C$5:$C$417="A")*(MOVIMIENTOS!$D$5:$D$417="jabas")*(MOVIMIENTOS!$A$5:$A$417&lt;&gt;"")*(MOVIMIENTOS!$A$5:$A$417&lt;=$A10)*MOVIMIENTOS!$E$5:$E$417)-SUMPRODUCT((MOVIMIENTOS!$B$5:$B$417="ENVÍO A SUPESA")*(MOVIMIENTOS!$C$5:$C$417="A")*(MOVIMIENTOS!$D$5:$D$417="jabas")*(MOVIMIENTOS!$A$5:$A$417&lt;&gt;"")*(MOVIMIENTOS!$A$5:$A$417&lt;=$A10)*MOVIMIENTOS!$E$5:$E$417)+SUMPRODUCT((MOVIMIENTOS!$B$5:$B$417="DEVOLUCIÓN")*(MOVIMIENTOS!$C$5:$C$417="A")*(MOVIMIENTOS!$D$5:$D$417="jabas")*(MOVIMIENTOS!$A$5:$A$417&lt;&gt;"")*(MOVIMIENTOS!$A$5:$A$417&lt;=$A10)*MOVIMIENTOS!$E$5:$E$417)-SUMPRODUCT((MOVIMIENTOS!$B$5:$B$417="TRASIEGO")*(MOVIMIENTOS!$C$5:$C$417="A")*(MOVIMIENTOS!$D$5:$D$417="jabas")*(MOVIMIENTOS!$A$5:$A$417&lt;&gt;"")*(MOVIMIENTOS!$A$5:$A$417&lt;=$A10)*MOVIMIENTOS!$E$5:$E$417)-SUMPRODUCT((MOVIMIENTOS!$B$5:$B$417="REGALO")*(MOVIMIENTOS!$C$5:$C$417="A")*(MOVIMIENTOS!$D$5:$D$417="jabas")*(MOVIMIENTOS!$A$5:$A$417&lt;&gt;"")*(MOVIMIENTOS!$A$5:$A$417&lt;=$A10)*MOVIMIENTOS!$E$5:$E$417)-SUMPRODUCT((MOVIMIENTOS!$B$5:$B$417="VENTA")*(MOVIMIENTOS!$C$5:$C$417="A")*(MOVIMIENTOS!$D$5:$D$417="jabas")*(MOVIMIENTOS!$A$5:$A$417&lt;&gt;"")*(MOVIMIENTOS!$A$5:$A$417&lt;=$A10)*MOVIMIENTOS!$E$5:$E$417)+SUMPRODUCT((MOVIMIENTOS!$B$5:$B$417="AJUSTE")*(MOVIMIENTOS!$C$5:$C$417="A")*(MOVIMIENTOS!$D$5:$D$417="jabas")*(MOVIMIENTOS!$A$5:$A$417&lt;&gt;"")*(MOVIMIENTOS!$A$5:$A$417&lt;=$A10)*MOVIMIENTOS!$E$5:$E$417))</f>
        <v>29</v>
      </c>
      <c r="C10" s="56">
        <f>IF($A10="","",SUMPRODUCT((MOVIMIENTOS!$B$5:$B$417="SALDO INICIAL")*(MOVIMIENTOS!$C$5:$C$417="P")*(MOVIMIENTOS!$D$5:$D$417="jabas")*(MOVIMIENTOS!$A$5:$A$417&lt;&gt;"")*(MOVIMIENTOS!$A$5:$A$417&lt;=$A10)*MOVIMIENTOS!$E$5:$E$417)+SUMPRODUCT((MOVIMIENTOS!$B$5:$B$417="PROCESO")*(MOVIMIENTOS!$C$5:$C$417="P")*(MOVIMIENTOS!$D$5:$D$417="jabas")*(MOVIMIENTOS!$A$5:$A$417&lt;&gt;"")*(MOVIMIENTOS!$A$5:$A$417&lt;=$A10)*MOVIMIENTOS!$E$5:$E$417)-SUMPRODUCT((MOVIMIENTOS!$B$5:$B$417="ENVÍO A SUPESA")*(MOVIMIENTOS!$C$5:$C$417="P")*(MOVIMIENTOS!$D$5:$D$417="jabas")*(MOVIMIENTOS!$A$5:$A$417&lt;&gt;"")*(MOVIMIENTOS!$A$5:$A$417&lt;=$A10)*MOVIMIENTOS!$E$5:$E$417)+SUMPRODUCT((MOVIMIENTOS!$B$5:$B$417="DEVOLUCIÓN")*(MOVIMIENTOS!$C$5:$C$417="P")*(MOVIMIENTOS!$D$5:$D$417="jabas")*(MOVIMIENTOS!$A$5:$A$417&lt;&gt;"")*(MOVIMIENTOS!$A$5:$A$417&lt;=$A10)*MOVIMIENTOS!$E$5:$E$417)-SUMPRODUCT((MOVIMIENTOS!$B$5:$B$417="TRASIEGO")*(MOVIMIENTOS!$C$5:$C$417="P")*(MOVIMIENTOS!$D$5:$D$417="jabas")*(MOVIMIENTOS!$A$5:$A$417&lt;&gt;"")*(MOVIMIENTOS!$A$5:$A$417&lt;=$A10)*MOVIMIENTOS!$E$5:$E$417)-SUMPRODUCT((MOVIMIENTOS!$B$5:$B$417="REGALO")*(MOVIMIENTOS!$C$5:$C$417="P")*(MOVIMIENTOS!$D$5:$D$417="jabas")*(MOVIMIENTOS!$A$5:$A$417&lt;&gt;"")*(MOVIMIENTOS!$A$5:$A$417&lt;=$A10)*MOVIMIENTOS!$E$5:$E$417)-SUMPRODUCT((MOVIMIENTOS!$B$5:$B$417="VENTA")*(MOVIMIENTOS!$C$5:$C$417="P")*(MOVIMIENTOS!$D$5:$D$417="jabas")*(MOVIMIENTOS!$A$5:$A$417&lt;&gt;"")*(MOVIMIENTOS!$A$5:$A$417&lt;=$A10)*MOVIMIENTOS!$E$5:$E$417)+SUMPRODUCT((MOVIMIENTOS!$B$5:$B$417="AJUSTE")*(MOVIMIENTOS!$C$5:$C$417="P")*(MOVIMIENTOS!$D$5:$D$417="jabas")*(MOVIMIENTOS!$A$5:$A$417&lt;&gt;"")*(MOVIMIENTOS!$A$5:$A$417&lt;=$A10)*MOVIMIENTOS!$E$5:$E$417))</f>
        <v>11</v>
      </c>
      <c r="D10" s="56">
        <f>IF($A10="","",SUMPRODUCT((MOVIMIENTOS!$B$5:$B$417="SALDO INICIAL")*(MOVIMIENTOS!$C$5:$C$417="C")*(MOVIMIENTOS!$D$5:$D$417="jabas")*(MOVIMIENTOS!$A$5:$A$417&lt;&gt;"")*(MOVIMIENTOS!$A$5:$A$417&lt;=$A10)*MOVIMIENTOS!$E$5:$E$417)+SUMPRODUCT((MOVIMIENTOS!$B$5:$B$417="PROCESO")*(MOVIMIENTOS!$C$5:$C$417="C")*(MOVIMIENTOS!$D$5:$D$417="jabas")*(MOVIMIENTOS!$A$5:$A$417&lt;&gt;"")*(MOVIMIENTOS!$A$5:$A$417&lt;=$A10)*MOVIMIENTOS!$E$5:$E$417)-SUMPRODUCT((MOVIMIENTOS!$B$5:$B$417="ENVÍO A SUPESA")*(MOVIMIENTOS!$C$5:$C$417="C")*(MOVIMIENTOS!$D$5:$D$417="jabas")*(MOVIMIENTOS!$A$5:$A$417&lt;&gt;"")*(MOVIMIENTOS!$A$5:$A$417&lt;=$A10)*MOVIMIENTOS!$E$5:$E$417)+SUMPRODUCT((MOVIMIENTOS!$B$5:$B$417="DEVOLUCIÓN")*(MOVIMIENTOS!$C$5:$C$417="C")*(MOVIMIENTOS!$D$5:$D$417="jabas")*(MOVIMIENTOS!$A$5:$A$417&lt;&gt;"")*(MOVIMIENTOS!$A$5:$A$417&lt;=$A10)*MOVIMIENTOS!$E$5:$E$417)-SUMPRODUCT((MOVIMIENTOS!$B$5:$B$417="TRASIEGO")*(MOVIMIENTOS!$C$5:$C$417="C")*(MOVIMIENTOS!$D$5:$D$417="jabas")*(MOVIMIENTOS!$A$5:$A$417&lt;&gt;"")*(MOVIMIENTOS!$A$5:$A$417&lt;=$A10)*MOVIMIENTOS!$E$5:$E$417)-SUMPRODUCT((MOVIMIENTOS!$B$5:$B$417="REGALO")*(MOVIMIENTOS!$C$5:$C$417="C")*(MOVIMIENTOS!$D$5:$D$417="jabas")*(MOVIMIENTOS!$A$5:$A$417&lt;&gt;"")*(MOVIMIENTOS!$A$5:$A$417&lt;=$A10)*MOVIMIENTOS!$E$5:$E$417)-SUMPRODUCT((MOVIMIENTOS!$B$5:$B$417="VENTA")*(MOVIMIENTOS!$C$5:$C$417="C")*(MOVIMIENTOS!$D$5:$D$417="jabas")*(MOVIMIENTOS!$A$5:$A$417&lt;&gt;"")*(MOVIMIENTOS!$A$5:$A$417&lt;=$A10)*MOVIMIENTOS!$E$5:$E$417)+SUMPRODUCT((MOVIMIENTOS!$B$5:$B$417="AJUSTE")*(MOVIMIENTOS!$C$5:$C$417="C")*(MOVIMIENTOS!$D$5:$D$417="jabas")*(MOVIMIENTOS!$A$5:$A$417&lt;&gt;"")*(MOVIMIENTOS!$A$5:$A$417&lt;=$A10)*MOVIMIENTOS!$E$5:$E$417))</f>
        <v>12</v>
      </c>
      <c r="E10" s="56">
        <f>IF($A10="","",SUMPRODUCT((MOVIMIENTOS!$B$5:$B$417="SALDO INICIAL")*(MOVIMIENTOS!$C$5:$C$417="M")*(MOVIMIENTOS!$D$5:$D$417="jabas")*(MOVIMIENTOS!$A$5:$A$417&lt;&gt;"")*(MOVIMIENTOS!$A$5:$A$417&lt;=$A10)*MOVIMIENTOS!$E$5:$E$417)+SUMPRODUCT((MOVIMIENTOS!$B$5:$B$417="PROCESO")*(MOVIMIENTOS!$C$5:$C$417="M")*(MOVIMIENTOS!$D$5:$D$417="jabas")*(MOVIMIENTOS!$A$5:$A$417&lt;&gt;"")*(MOVIMIENTOS!$A$5:$A$417&lt;=$A10)*MOVIMIENTOS!$E$5:$E$417)-SUMPRODUCT((MOVIMIENTOS!$B$5:$B$417="ENVÍO A SUPESA")*(MOVIMIENTOS!$C$5:$C$417="M")*(MOVIMIENTOS!$D$5:$D$417="jabas")*(MOVIMIENTOS!$A$5:$A$417&lt;&gt;"")*(MOVIMIENTOS!$A$5:$A$417&lt;=$A10)*MOVIMIENTOS!$E$5:$E$417)+SUMPRODUCT((MOVIMIENTOS!$B$5:$B$417="DEVOLUCIÓN")*(MOVIMIENTOS!$C$5:$C$417="M")*(MOVIMIENTOS!$D$5:$D$417="jabas")*(MOVIMIENTOS!$A$5:$A$417&lt;&gt;"")*(MOVIMIENTOS!$A$5:$A$417&lt;=$A10)*MOVIMIENTOS!$E$5:$E$417)-SUMPRODUCT((MOVIMIENTOS!$B$5:$B$417="TRASIEGO")*(MOVIMIENTOS!$C$5:$C$417="M")*(MOVIMIENTOS!$D$5:$D$417="jabas")*(MOVIMIENTOS!$A$5:$A$417&lt;&gt;"")*(MOVIMIENTOS!$A$5:$A$417&lt;=$A10)*MOVIMIENTOS!$E$5:$E$417)-SUMPRODUCT((MOVIMIENTOS!$B$5:$B$417="REGALO")*(MOVIMIENTOS!$C$5:$C$417="M")*(MOVIMIENTOS!$D$5:$D$417="jabas")*(MOVIMIENTOS!$A$5:$A$417&lt;&gt;"")*(MOVIMIENTOS!$A$5:$A$417&lt;=$A10)*MOVIMIENTOS!$E$5:$E$417)-SUMPRODUCT((MOVIMIENTOS!$B$5:$B$417="VENTA")*(MOVIMIENTOS!$C$5:$C$417="M")*(MOVIMIENTOS!$D$5:$D$417="jabas")*(MOVIMIENTOS!$A$5:$A$417&lt;&gt;"")*(MOVIMIENTOS!$A$5:$A$417&lt;=$A10)*MOVIMIENTOS!$E$5:$E$417)+SUMPRODUCT((MOVIMIENTOS!$B$5:$B$417="AJUSTE")*(MOVIMIENTOS!$C$5:$C$417="M")*(MOVIMIENTOS!$D$5:$D$417="jabas")*(MOVIMIENTOS!$A$5:$A$417&lt;&gt;"")*(MOVIMIENTOS!$A$5:$A$417&lt;=$A10)*MOVIMIENTOS!$E$5:$E$417))</f>
        <v>37</v>
      </c>
      <c r="F10" s="56">
        <f>IF($A10="","",SUMPRODUCT((MOVIMIENTOS!$B$5:$B$417="SALDO INICIAL")*(MOVIMIENTOS!$C$5:$C$417="Chancho")*(MOVIMIENTOS!$D$5:$D$417="sacos")*(MOVIMIENTOS!$A$5:$A$417&lt;&gt;"")*(MOVIMIENTOS!$A$5:$A$417&lt;=$A10)*MOVIMIENTOS!$E$5:$E$417)+SUMPRODUCT((MOVIMIENTOS!$B$5:$B$417="PROCESO")*(MOVIMIENTOS!$C$5:$C$417="Chancho")*(MOVIMIENTOS!$D$5:$D$417="sacos")*(MOVIMIENTOS!$A$5:$A$417&lt;&gt;"")*(MOVIMIENTOS!$A$5:$A$417&lt;=$A10)*MOVIMIENTOS!$E$5:$E$417)-SUMPRODUCT((MOVIMIENTOS!$B$5:$B$417="VENTA CHANCHO")*(MOVIMIENTOS!$C$5:$C$417="Chancho")*(MOVIMIENTOS!$D$5:$D$417="sacos")*(MOVIMIENTOS!$A$5:$A$417&lt;&gt;"")*(MOVIMIENTOS!$A$5:$A$417&lt;=$A10)*MOVIMIENTOS!$E$5:$E$417)-SUMPRODUCT((MOVIMIENTOS!$B$5:$B$417="REGALO")*(MOVIMIENTOS!$C$5:$C$417="Chancho")*(MOVIMIENTOS!$D$5:$D$417="sacos")*(MOVIMIENTOS!$A$5:$A$417&lt;&gt;"")*(MOVIMIENTOS!$A$5:$A$417&lt;=$A10)*MOVIMIENTOS!$E$5:$E$417)-SUMPRODUCT((MOVIMIENTOS!$B$5:$B$417="VENTA")*(MOVIMIENTOS!$C$5:$C$417="Chancho")*(MOVIMIENTOS!$D$5:$D$417="sacos")*(MOVIMIENTOS!$A$5:$A$417&lt;&gt;"")*(MOVIMIENTOS!$A$5:$A$417&lt;=$A10)*MOVIMIENTOS!$E$5:$E$417)+SUMPRODUCT((MOVIMIENTOS!$B$5:$B$417="AJUSTE")*(MOVIMIENTOS!$C$5:$C$417="Chancho")*(MOVIMIENTOS!$D$5:$D$417="sacos")*(MOVIMIENTOS!$A$5:$A$417&lt;&gt;"")*(MOVIMIENTOS!$A$5:$A$417&lt;=$A10)*MOVIMIENTOS!$E$5:$E$417))</f>
        <v>9</v>
      </c>
      <c r="G10" s="56">
        <f t="shared" si="1"/>
        <v>89</v>
      </c>
      <c r="H10" s="56">
        <f>IF($A10="","",SUMPRODUCT((((MOVIMIENTOS!$B$5:$B$417="SALDO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10)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10)*MOVIMIENTOS!$I$5:$I$417))</f>
        <v>1439</v>
      </c>
      <c r="I10" s="54"/>
      <c r="J10" s="54" t="str">
        <f>IF(AND(MOVIMIENTOS!$A10&lt;&gt;"",COUNTIF(MOVIMIENTOS!$A$5:$A9,MOVIMIENTOS!$A10)=0),COUNT(J$4:J9)+1,"")</f>
        <v/>
      </c>
      <c r="K10" s="57">
        <f>MOVIMIENTOS!$A10</f>
        <v>46215</v>
      </c>
      <c r="L10" s="54"/>
      <c r="M10" s="54"/>
      <c r="N10" s="54"/>
    </row>
    <row r="11" spans="1:14" ht="15" customHeight="1" x14ac:dyDescent="0.2">
      <c r="A11" s="55">
        <f t="shared" si="0"/>
        <v>46220</v>
      </c>
      <c r="B11" s="56">
        <f>IF($A11="","",SUMPRODUCT((MOVIMIENTOS!$B$5:$B$417="SALDO INICIAL")*(MOVIMIENTOS!$C$5:$C$417="A")*(MOVIMIENTOS!$D$5:$D$417="jabas")*(MOVIMIENTOS!$A$5:$A$417&lt;&gt;"")*(MOVIMIENTOS!$A$5:$A$417&lt;=$A11)*MOVIMIENTOS!$E$5:$E$417)+SUMPRODUCT((MOVIMIENTOS!$B$5:$B$417="PROCESO")*(MOVIMIENTOS!$C$5:$C$417="A")*(MOVIMIENTOS!$D$5:$D$417="jabas")*(MOVIMIENTOS!$A$5:$A$417&lt;&gt;"")*(MOVIMIENTOS!$A$5:$A$417&lt;=$A11)*MOVIMIENTOS!$E$5:$E$417)-SUMPRODUCT((MOVIMIENTOS!$B$5:$B$417="ENVÍO A SUPESA")*(MOVIMIENTOS!$C$5:$C$417="A")*(MOVIMIENTOS!$D$5:$D$417="jabas")*(MOVIMIENTOS!$A$5:$A$417&lt;&gt;"")*(MOVIMIENTOS!$A$5:$A$417&lt;=$A11)*MOVIMIENTOS!$E$5:$E$417)+SUMPRODUCT((MOVIMIENTOS!$B$5:$B$417="DEVOLUCIÓN")*(MOVIMIENTOS!$C$5:$C$417="A")*(MOVIMIENTOS!$D$5:$D$417="jabas")*(MOVIMIENTOS!$A$5:$A$417&lt;&gt;"")*(MOVIMIENTOS!$A$5:$A$417&lt;=$A11)*MOVIMIENTOS!$E$5:$E$417)-SUMPRODUCT((MOVIMIENTOS!$B$5:$B$417="TRASIEGO")*(MOVIMIENTOS!$C$5:$C$417="A")*(MOVIMIENTOS!$D$5:$D$417="jabas")*(MOVIMIENTOS!$A$5:$A$417&lt;&gt;"")*(MOVIMIENTOS!$A$5:$A$417&lt;=$A11)*MOVIMIENTOS!$E$5:$E$417)-SUMPRODUCT((MOVIMIENTOS!$B$5:$B$417="REGALO")*(MOVIMIENTOS!$C$5:$C$417="A")*(MOVIMIENTOS!$D$5:$D$417="jabas")*(MOVIMIENTOS!$A$5:$A$417&lt;&gt;"")*(MOVIMIENTOS!$A$5:$A$417&lt;=$A11)*MOVIMIENTOS!$E$5:$E$417)-SUMPRODUCT((MOVIMIENTOS!$B$5:$B$417="VENTA")*(MOVIMIENTOS!$C$5:$C$417="A")*(MOVIMIENTOS!$D$5:$D$417="jabas")*(MOVIMIENTOS!$A$5:$A$417&lt;&gt;"")*(MOVIMIENTOS!$A$5:$A$417&lt;=$A11)*MOVIMIENTOS!$E$5:$E$417)+SUMPRODUCT((MOVIMIENTOS!$B$5:$B$417="AJUSTE")*(MOVIMIENTOS!$C$5:$C$417="A")*(MOVIMIENTOS!$D$5:$D$417="jabas")*(MOVIMIENTOS!$A$5:$A$417&lt;&gt;"")*(MOVIMIENTOS!$A$5:$A$417&lt;=$A11)*MOVIMIENTOS!$E$5:$E$417))</f>
        <v>65</v>
      </c>
      <c r="C11" s="56">
        <f>IF($A11="","",SUMPRODUCT((MOVIMIENTOS!$B$5:$B$417="SALDO INICIAL")*(MOVIMIENTOS!$C$5:$C$417="P")*(MOVIMIENTOS!$D$5:$D$417="jabas")*(MOVIMIENTOS!$A$5:$A$417&lt;&gt;"")*(MOVIMIENTOS!$A$5:$A$417&lt;=$A11)*MOVIMIENTOS!$E$5:$E$417)+SUMPRODUCT((MOVIMIENTOS!$B$5:$B$417="PROCESO")*(MOVIMIENTOS!$C$5:$C$417="P")*(MOVIMIENTOS!$D$5:$D$417="jabas")*(MOVIMIENTOS!$A$5:$A$417&lt;&gt;"")*(MOVIMIENTOS!$A$5:$A$417&lt;=$A11)*MOVIMIENTOS!$E$5:$E$417)-SUMPRODUCT((MOVIMIENTOS!$B$5:$B$417="ENVÍO A SUPESA")*(MOVIMIENTOS!$C$5:$C$417="P")*(MOVIMIENTOS!$D$5:$D$417="jabas")*(MOVIMIENTOS!$A$5:$A$417&lt;&gt;"")*(MOVIMIENTOS!$A$5:$A$417&lt;=$A11)*MOVIMIENTOS!$E$5:$E$417)+SUMPRODUCT((MOVIMIENTOS!$B$5:$B$417="DEVOLUCIÓN")*(MOVIMIENTOS!$C$5:$C$417="P")*(MOVIMIENTOS!$D$5:$D$417="jabas")*(MOVIMIENTOS!$A$5:$A$417&lt;&gt;"")*(MOVIMIENTOS!$A$5:$A$417&lt;=$A11)*MOVIMIENTOS!$E$5:$E$417)-SUMPRODUCT((MOVIMIENTOS!$B$5:$B$417="TRASIEGO")*(MOVIMIENTOS!$C$5:$C$417="P")*(MOVIMIENTOS!$D$5:$D$417="jabas")*(MOVIMIENTOS!$A$5:$A$417&lt;&gt;"")*(MOVIMIENTOS!$A$5:$A$417&lt;=$A11)*MOVIMIENTOS!$E$5:$E$417)-SUMPRODUCT((MOVIMIENTOS!$B$5:$B$417="REGALO")*(MOVIMIENTOS!$C$5:$C$417="P")*(MOVIMIENTOS!$D$5:$D$417="jabas")*(MOVIMIENTOS!$A$5:$A$417&lt;&gt;"")*(MOVIMIENTOS!$A$5:$A$417&lt;=$A11)*MOVIMIENTOS!$E$5:$E$417)-SUMPRODUCT((MOVIMIENTOS!$B$5:$B$417="VENTA")*(MOVIMIENTOS!$C$5:$C$417="P")*(MOVIMIENTOS!$D$5:$D$417="jabas")*(MOVIMIENTOS!$A$5:$A$417&lt;&gt;"")*(MOVIMIENTOS!$A$5:$A$417&lt;=$A11)*MOVIMIENTOS!$E$5:$E$417)+SUMPRODUCT((MOVIMIENTOS!$B$5:$B$417="AJUSTE")*(MOVIMIENTOS!$C$5:$C$417="P")*(MOVIMIENTOS!$D$5:$D$417="jabas")*(MOVIMIENTOS!$A$5:$A$417&lt;&gt;"")*(MOVIMIENTOS!$A$5:$A$417&lt;=$A11)*MOVIMIENTOS!$E$5:$E$417))</f>
        <v>4</v>
      </c>
      <c r="D11" s="56">
        <f>IF($A11="","",SUMPRODUCT((MOVIMIENTOS!$B$5:$B$417="SALDO INICIAL")*(MOVIMIENTOS!$C$5:$C$417="C")*(MOVIMIENTOS!$D$5:$D$417="jabas")*(MOVIMIENTOS!$A$5:$A$417&lt;&gt;"")*(MOVIMIENTOS!$A$5:$A$417&lt;=$A11)*MOVIMIENTOS!$E$5:$E$417)+SUMPRODUCT((MOVIMIENTOS!$B$5:$B$417="PROCESO")*(MOVIMIENTOS!$C$5:$C$417="C")*(MOVIMIENTOS!$D$5:$D$417="jabas")*(MOVIMIENTOS!$A$5:$A$417&lt;&gt;"")*(MOVIMIENTOS!$A$5:$A$417&lt;=$A11)*MOVIMIENTOS!$E$5:$E$417)-SUMPRODUCT((MOVIMIENTOS!$B$5:$B$417="ENVÍO A SUPESA")*(MOVIMIENTOS!$C$5:$C$417="C")*(MOVIMIENTOS!$D$5:$D$417="jabas")*(MOVIMIENTOS!$A$5:$A$417&lt;&gt;"")*(MOVIMIENTOS!$A$5:$A$417&lt;=$A11)*MOVIMIENTOS!$E$5:$E$417)+SUMPRODUCT((MOVIMIENTOS!$B$5:$B$417="DEVOLUCIÓN")*(MOVIMIENTOS!$C$5:$C$417="C")*(MOVIMIENTOS!$D$5:$D$417="jabas")*(MOVIMIENTOS!$A$5:$A$417&lt;&gt;"")*(MOVIMIENTOS!$A$5:$A$417&lt;=$A11)*MOVIMIENTOS!$E$5:$E$417)-SUMPRODUCT((MOVIMIENTOS!$B$5:$B$417="TRASIEGO")*(MOVIMIENTOS!$C$5:$C$417="C")*(MOVIMIENTOS!$D$5:$D$417="jabas")*(MOVIMIENTOS!$A$5:$A$417&lt;&gt;"")*(MOVIMIENTOS!$A$5:$A$417&lt;=$A11)*MOVIMIENTOS!$E$5:$E$417)-SUMPRODUCT((MOVIMIENTOS!$B$5:$B$417="REGALO")*(MOVIMIENTOS!$C$5:$C$417="C")*(MOVIMIENTOS!$D$5:$D$417="jabas")*(MOVIMIENTOS!$A$5:$A$417&lt;&gt;"")*(MOVIMIENTOS!$A$5:$A$417&lt;=$A11)*MOVIMIENTOS!$E$5:$E$417)-SUMPRODUCT((MOVIMIENTOS!$B$5:$B$417="VENTA")*(MOVIMIENTOS!$C$5:$C$417="C")*(MOVIMIENTOS!$D$5:$D$417="jabas")*(MOVIMIENTOS!$A$5:$A$417&lt;&gt;"")*(MOVIMIENTOS!$A$5:$A$417&lt;=$A11)*MOVIMIENTOS!$E$5:$E$417)+SUMPRODUCT((MOVIMIENTOS!$B$5:$B$417="AJUSTE")*(MOVIMIENTOS!$C$5:$C$417="C")*(MOVIMIENTOS!$D$5:$D$417="jabas")*(MOVIMIENTOS!$A$5:$A$417&lt;&gt;"")*(MOVIMIENTOS!$A$5:$A$417&lt;=$A11)*MOVIMIENTOS!$E$5:$E$417))</f>
        <v>9</v>
      </c>
      <c r="E11" s="56">
        <f>IF($A11="","",SUMPRODUCT((MOVIMIENTOS!$B$5:$B$417="SALDO INICIAL")*(MOVIMIENTOS!$C$5:$C$417="M")*(MOVIMIENTOS!$D$5:$D$417="jabas")*(MOVIMIENTOS!$A$5:$A$417&lt;&gt;"")*(MOVIMIENTOS!$A$5:$A$417&lt;=$A11)*MOVIMIENTOS!$E$5:$E$417)+SUMPRODUCT((MOVIMIENTOS!$B$5:$B$417="PROCESO")*(MOVIMIENTOS!$C$5:$C$417="M")*(MOVIMIENTOS!$D$5:$D$417="jabas")*(MOVIMIENTOS!$A$5:$A$417&lt;&gt;"")*(MOVIMIENTOS!$A$5:$A$417&lt;=$A11)*MOVIMIENTOS!$E$5:$E$417)-SUMPRODUCT((MOVIMIENTOS!$B$5:$B$417="ENVÍO A SUPESA")*(MOVIMIENTOS!$C$5:$C$417="M")*(MOVIMIENTOS!$D$5:$D$417="jabas")*(MOVIMIENTOS!$A$5:$A$417&lt;&gt;"")*(MOVIMIENTOS!$A$5:$A$417&lt;=$A11)*MOVIMIENTOS!$E$5:$E$417)+SUMPRODUCT((MOVIMIENTOS!$B$5:$B$417="DEVOLUCIÓN")*(MOVIMIENTOS!$C$5:$C$417="M")*(MOVIMIENTOS!$D$5:$D$417="jabas")*(MOVIMIENTOS!$A$5:$A$417&lt;&gt;"")*(MOVIMIENTOS!$A$5:$A$417&lt;=$A11)*MOVIMIENTOS!$E$5:$E$417)-SUMPRODUCT((MOVIMIENTOS!$B$5:$B$417="TRASIEGO")*(MOVIMIENTOS!$C$5:$C$417="M")*(MOVIMIENTOS!$D$5:$D$417="jabas")*(MOVIMIENTOS!$A$5:$A$417&lt;&gt;"")*(MOVIMIENTOS!$A$5:$A$417&lt;=$A11)*MOVIMIENTOS!$E$5:$E$417)-SUMPRODUCT((MOVIMIENTOS!$B$5:$B$417="REGALO")*(MOVIMIENTOS!$C$5:$C$417="M")*(MOVIMIENTOS!$D$5:$D$417="jabas")*(MOVIMIENTOS!$A$5:$A$417&lt;&gt;"")*(MOVIMIENTOS!$A$5:$A$417&lt;=$A11)*MOVIMIENTOS!$E$5:$E$417)-SUMPRODUCT((MOVIMIENTOS!$B$5:$B$417="VENTA")*(MOVIMIENTOS!$C$5:$C$417="M")*(MOVIMIENTOS!$D$5:$D$417="jabas")*(MOVIMIENTOS!$A$5:$A$417&lt;&gt;"")*(MOVIMIENTOS!$A$5:$A$417&lt;=$A11)*MOVIMIENTOS!$E$5:$E$417)+SUMPRODUCT((MOVIMIENTOS!$B$5:$B$417="AJUSTE")*(MOVIMIENTOS!$C$5:$C$417="M")*(MOVIMIENTOS!$D$5:$D$417="jabas")*(MOVIMIENTOS!$A$5:$A$417&lt;&gt;"")*(MOVIMIENTOS!$A$5:$A$417&lt;=$A11)*MOVIMIENTOS!$E$5:$E$417))</f>
        <v>115</v>
      </c>
      <c r="F11" s="56">
        <f>IF($A11="","",SUMPRODUCT((MOVIMIENTOS!$B$5:$B$417="SALDO INICIAL")*(MOVIMIENTOS!$C$5:$C$417="Chancho")*(MOVIMIENTOS!$D$5:$D$417="sacos")*(MOVIMIENTOS!$A$5:$A$417&lt;&gt;"")*(MOVIMIENTOS!$A$5:$A$417&lt;=$A11)*MOVIMIENTOS!$E$5:$E$417)+SUMPRODUCT((MOVIMIENTOS!$B$5:$B$417="PROCESO")*(MOVIMIENTOS!$C$5:$C$417="Chancho")*(MOVIMIENTOS!$D$5:$D$417="sacos")*(MOVIMIENTOS!$A$5:$A$417&lt;&gt;"")*(MOVIMIENTOS!$A$5:$A$417&lt;=$A11)*MOVIMIENTOS!$E$5:$E$417)-SUMPRODUCT((MOVIMIENTOS!$B$5:$B$417="VENTA CHANCHO")*(MOVIMIENTOS!$C$5:$C$417="Chancho")*(MOVIMIENTOS!$D$5:$D$417="sacos")*(MOVIMIENTOS!$A$5:$A$417&lt;&gt;"")*(MOVIMIENTOS!$A$5:$A$417&lt;=$A11)*MOVIMIENTOS!$E$5:$E$417)-SUMPRODUCT((MOVIMIENTOS!$B$5:$B$417="REGALO")*(MOVIMIENTOS!$C$5:$C$417="Chancho")*(MOVIMIENTOS!$D$5:$D$417="sacos")*(MOVIMIENTOS!$A$5:$A$417&lt;&gt;"")*(MOVIMIENTOS!$A$5:$A$417&lt;=$A11)*MOVIMIENTOS!$E$5:$E$417)-SUMPRODUCT((MOVIMIENTOS!$B$5:$B$417="VENTA")*(MOVIMIENTOS!$C$5:$C$417="Chancho")*(MOVIMIENTOS!$D$5:$D$417="sacos")*(MOVIMIENTOS!$A$5:$A$417&lt;&gt;"")*(MOVIMIENTOS!$A$5:$A$417&lt;=$A11)*MOVIMIENTOS!$E$5:$E$417)+SUMPRODUCT((MOVIMIENTOS!$B$5:$B$417="AJUSTE")*(MOVIMIENTOS!$C$5:$C$417="Chancho")*(MOVIMIENTOS!$D$5:$D$417="sacos")*(MOVIMIENTOS!$A$5:$A$417&lt;&gt;"")*(MOVIMIENTOS!$A$5:$A$417&lt;=$A11)*MOVIMIENTOS!$E$5:$E$417))</f>
        <v>5</v>
      </c>
      <c r="G11" s="56">
        <f t="shared" si="1"/>
        <v>193</v>
      </c>
      <c r="H11" s="56">
        <f>IF($A11="","",SUMPRODUCT((((MOVIMIENTOS!$B$5:$B$417="SALDO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11)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11)*MOVIMIENTOS!$I$5:$I$417))</f>
        <v>3264</v>
      </c>
      <c r="I11" s="54"/>
      <c r="J11" s="54" t="str">
        <f>IF(AND(MOVIMIENTOS!$A11&lt;&gt;"",COUNTIF(MOVIMIENTOS!$A$5:$A10,MOVIMIENTOS!$A11)=0),COUNT(J$4:J10)+1,"")</f>
        <v/>
      </c>
      <c r="K11" s="57">
        <f>MOVIMIENTOS!$A11</f>
        <v>46215</v>
      </c>
      <c r="L11" s="54"/>
      <c r="M11" s="54"/>
      <c r="N11" s="54"/>
    </row>
    <row r="12" spans="1:14" ht="15" customHeight="1" x14ac:dyDescent="0.2">
      <c r="A12" s="55">
        <f t="shared" si="0"/>
        <v>46221</v>
      </c>
      <c r="B12" s="56">
        <f>IF($A12="","",SUMPRODUCT((MOVIMIENTOS!$B$5:$B$417="SALDO INICIAL")*(MOVIMIENTOS!$C$5:$C$417="A")*(MOVIMIENTOS!$D$5:$D$417="jabas")*(MOVIMIENTOS!$A$5:$A$417&lt;&gt;"")*(MOVIMIENTOS!$A$5:$A$417&lt;=$A12)*MOVIMIENTOS!$E$5:$E$417)+SUMPRODUCT((MOVIMIENTOS!$B$5:$B$417="PROCESO")*(MOVIMIENTOS!$C$5:$C$417="A")*(MOVIMIENTOS!$D$5:$D$417="jabas")*(MOVIMIENTOS!$A$5:$A$417&lt;&gt;"")*(MOVIMIENTOS!$A$5:$A$417&lt;=$A12)*MOVIMIENTOS!$E$5:$E$417)-SUMPRODUCT((MOVIMIENTOS!$B$5:$B$417="ENVÍO A SUPESA")*(MOVIMIENTOS!$C$5:$C$417="A")*(MOVIMIENTOS!$D$5:$D$417="jabas")*(MOVIMIENTOS!$A$5:$A$417&lt;&gt;"")*(MOVIMIENTOS!$A$5:$A$417&lt;=$A12)*MOVIMIENTOS!$E$5:$E$417)+SUMPRODUCT((MOVIMIENTOS!$B$5:$B$417="DEVOLUCIÓN")*(MOVIMIENTOS!$C$5:$C$417="A")*(MOVIMIENTOS!$D$5:$D$417="jabas")*(MOVIMIENTOS!$A$5:$A$417&lt;&gt;"")*(MOVIMIENTOS!$A$5:$A$417&lt;=$A12)*MOVIMIENTOS!$E$5:$E$417)-SUMPRODUCT((MOVIMIENTOS!$B$5:$B$417="TRASIEGO")*(MOVIMIENTOS!$C$5:$C$417="A")*(MOVIMIENTOS!$D$5:$D$417="jabas")*(MOVIMIENTOS!$A$5:$A$417&lt;&gt;"")*(MOVIMIENTOS!$A$5:$A$417&lt;=$A12)*MOVIMIENTOS!$E$5:$E$417)-SUMPRODUCT((MOVIMIENTOS!$B$5:$B$417="REGALO")*(MOVIMIENTOS!$C$5:$C$417="A")*(MOVIMIENTOS!$D$5:$D$417="jabas")*(MOVIMIENTOS!$A$5:$A$417&lt;&gt;"")*(MOVIMIENTOS!$A$5:$A$417&lt;=$A12)*MOVIMIENTOS!$E$5:$E$417)-SUMPRODUCT((MOVIMIENTOS!$B$5:$B$417="VENTA")*(MOVIMIENTOS!$C$5:$C$417="A")*(MOVIMIENTOS!$D$5:$D$417="jabas")*(MOVIMIENTOS!$A$5:$A$417&lt;&gt;"")*(MOVIMIENTOS!$A$5:$A$417&lt;=$A12)*MOVIMIENTOS!$E$5:$E$417)+SUMPRODUCT((MOVIMIENTOS!$B$5:$B$417="AJUSTE")*(MOVIMIENTOS!$C$5:$C$417="A")*(MOVIMIENTOS!$D$5:$D$417="jabas")*(MOVIMIENTOS!$A$5:$A$417&lt;&gt;"")*(MOVIMIENTOS!$A$5:$A$417&lt;=$A12)*MOVIMIENTOS!$E$5:$E$417))</f>
        <v>64</v>
      </c>
      <c r="C12" s="56">
        <f>IF($A12="","",SUMPRODUCT((MOVIMIENTOS!$B$5:$B$417="SALDO INICIAL")*(MOVIMIENTOS!$C$5:$C$417="P")*(MOVIMIENTOS!$D$5:$D$417="jabas")*(MOVIMIENTOS!$A$5:$A$417&lt;&gt;"")*(MOVIMIENTOS!$A$5:$A$417&lt;=$A12)*MOVIMIENTOS!$E$5:$E$417)+SUMPRODUCT((MOVIMIENTOS!$B$5:$B$417="PROCESO")*(MOVIMIENTOS!$C$5:$C$417="P")*(MOVIMIENTOS!$D$5:$D$417="jabas")*(MOVIMIENTOS!$A$5:$A$417&lt;&gt;"")*(MOVIMIENTOS!$A$5:$A$417&lt;=$A12)*MOVIMIENTOS!$E$5:$E$417)-SUMPRODUCT((MOVIMIENTOS!$B$5:$B$417="ENVÍO A SUPESA")*(MOVIMIENTOS!$C$5:$C$417="P")*(MOVIMIENTOS!$D$5:$D$417="jabas")*(MOVIMIENTOS!$A$5:$A$417&lt;&gt;"")*(MOVIMIENTOS!$A$5:$A$417&lt;=$A12)*MOVIMIENTOS!$E$5:$E$417)+SUMPRODUCT((MOVIMIENTOS!$B$5:$B$417="DEVOLUCIÓN")*(MOVIMIENTOS!$C$5:$C$417="P")*(MOVIMIENTOS!$D$5:$D$417="jabas")*(MOVIMIENTOS!$A$5:$A$417&lt;&gt;"")*(MOVIMIENTOS!$A$5:$A$417&lt;=$A12)*MOVIMIENTOS!$E$5:$E$417)-SUMPRODUCT((MOVIMIENTOS!$B$5:$B$417="TRASIEGO")*(MOVIMIENTOS!$C$5:$C$417="P")*(MOVIMIENTOS!$D$5:$D$417="jabas")*(MOVIMIENTOS!$A$5:$A$417&lt;&gt;"")*(MOVIMIENTOS!$A$5:$A$417&lt;=$A12)*MOVIMIENTOS!$E$5:$E$417)-SUMPRODUCT((MOVIMIENTOS!$B$5:$B$417="REGALO")*(MOVIMIENTOS!$C$5:$C$417="P")*(MOVIMIENTOS!$D$5:$D$417="jabas")*(MOVIMIENTOS!$A$5:$A$417&lt;&gt;"")*(MOVIMIENTOS!$A$5:$A$417&lt;=$A12)*MOVIMIENTOS!$E$5:$E$417)-SUMPRODUCT((MOVIMIENTOS!$B$5:$B$417="VENTA")*(MOVIMIENTOS!$C$5:$C$417="P")*(MOVIMIENTOS!$D$5:$D$417="jabas")*(MOVIMIENTOS!$A$5:$A$417&lt;&gt;"")*(MOVIMIENTOS!$A$5:$A$417&lt;=$A12)*MOVIMIENTOS!$E$5:$E$417)+SUMPRODUCT((MOVIMIENTOS!$B$5:$B$417="AJUSTE")*(MOVIMIENTOS!$C$5:$C$417="P")*(MOVIMIENTOS!$D$5:$D$417="jabas")*(MOVIMIENTOS!$A$5:$A$417&lt;&gt;"")*(MOVIMIENTOS!$A$5:$A$417&lt;=$A12)*MOVIMIENTOS!$E$5:$E$417))</f>
        <v>11</v>
      </c>
      <c r="D12" s="56">
        <f>IF($A12="","",SUMPRODUCT((MOVIMIENTOS!$B$5:$B$417="SALDO INICIAL")*(MOVIMIENTOS!$C$5:$C$417="C")*(MOVIMIENTOS!$D$5:$D$417="jabas")*(MOVIMIENTOS!$A$5:$A$417&lt;&gt;"")*(MOVIMIENTOS!$A$5:$A$417&lt;=$A12)*MOVIMIENTOS!$E$5:$E$417)+SUMPRODUCT((MOVIMIENTOS!$B$5:$B$417="PROCESO")*(MOVIMIENTOS!$C$5:$C$417="C")*(MOVIMIENTOS!$D$5:$D$417="jabas")*(MOVIMIENTOS!$A$5:$A$417&lt;&gt;"")*(MOVIMIENTOS!$A$5:$A$417&lt;=$A12)*MOVIMIENTOS!$E$5:$E$417)-SUMPRODUCT((MOVIMIENTOS!$B$5:$B$417="ENVÍO A SUPESA")*(MOVIMIENTOS!$C$5:$C$417="C")*(MOVIMIENTOS!$D$5:$D$417="jabas")*(MOVIMIENTOS!$A$5:$A$417&lt;&gt;"")*(MOVIMIENTOS!$A$5:$A$417&lt;=$A12)*MOVIMIENTOS!$E$5:$E$417)+SUMPRODUCT((MOVIMIENTOS!$B$5:$B$417="DEVOLUCIÓN")*(MOVIMIENTOS!$C$5:$C$417="C")*(MOVIMIENTOS!$D$5:$D$417="jabas")*(MOVIMIENTOS!$A$5:$A$417&lt;&gt;"")*(MOVIMIENTOS!$A$5:$A$417&lt;=$A12)*MOVIMIENTOS!$E$5:$E$417)-SUMPRODUCT((MOVIMIENTOS!$B$5:$B$417="TRASIEGO")*(MOVIMIENTOS!$C$5:$C$417="C")*(MOVIMIENTOS!$D$5:$D$417="jabas")*(MOVIMIENTOS!$A$5:$A$417&lt;&gt;"")*(MOVIMIENTOS!$A$5:$A$417&lt;=$A12)*MOVIMIENTOS!$E$5:$E$417)-SUMPRODUCT((MOVIMIENTOS!$B$5:$B$417="REGALO")*(MOVIMIENTOS!$C$5:$C$417="C")*(MOVIMIENTOS!$D$5:$D$417="jabas")*(MOVIMIENTOS!$A$5:$A$417&lt;&gt;"")*(MOVIMIENTOS!$A$5:$A$417&lt;=$A12)*MOVIMIENTOS!$E$5:$E$417)-SUMPRODUCT((MOVIMIENTOS!$B$5:$B$417="VENTA")*(MOVIMIENTOS!$C$5:$C$417="C")*(MOVIMIENTOS!$D$5:$D$417="jabas")*(MOVIMIENTOS!$A$5:$A$417&lt;&gt;"")*(MOVIMIENTOS!$A$5:$A$417&lt;=$A12)*MOVIMIENTOS!$E$5:$E$417)+SUMPRODUCT((MOVIMIENTOS!$B$5:$B$417="AJUSTE")*(MOVIMIENTOS!$C$5:$C$417="C")*(MOVIMIENTOS!$D$5:$D$417="jabas")*(MOVIMIENTOS!$A$5:$A$417&lt;&gt;"")*(MOVIMIENTOS!$A$5:$A$417&lt;=$A12)*MOVIMIENTOS!$E$5:$E$417))</f>
        <v>12</v>
      </c>
      <c r="E12" s="56">
        <f>IF($A12="","",SUMPRODUCT((MOVIMIENTOS!$B$5:$B$417="SALDO INICIAL")*(MOVIMIENTOS!$C$5:$C$417="M")*(MOVIMIENTOS!$D$5:$D$417="jabas")*(MOVIMIENTOS!$A$5:$A$417&lt;&gt;"")*(MOVIMIENTOS!$A$5:$A$417&lt;=$A12)*MOVIMIENTOS!$E$5:$E$417)+SUMPRODUCT((MOVIMIENTOS!$B$5:$B$417="PROCESO")*(MOVIMIENTOS!$C$5:$C$417="M")*(MOVIMIENTOS!$D$5:$D$417="jabas")*(MOVIMIENTOS!$A$5:$A$417&lt;&gt;"")*(MOVIMIENTOS!$A$5:$A$417&lt;=$A12)*MOVIMIENTOS!$E$5:$E$417)-SUMPRODUCT((MOVIMIENTOS!$B$5:$B$417="ENVÍO A SUPESA")*(MOVIMIENTOS!$C$5:$C$417="M")*(MOVIMIENTOS!$D$5:$D$417="jabas")*(MOVIMIENTOS!$A$5:$A$417&lt;&gt;"")*(MOVIMIENTOS!$A$5:$A$417&lt;=$A12)*MOVIMIENTOS!$E$5:$E$417)+SUMPRODUCT((MOVIMIENTOS!$B$5:$B$417="DEVOLUCIÓN")*(MOVIMIENTOS!$C$5:$C$417="M")*(MOVIMIENTOS!$D$5:$D$417="jabas")*(MOVIMIENTOS!$A$5:$A$417&lt;&gt;"")*(MOVIMIENTOS!$A$5:$A$417&lt;=$A12)*MOVIMIENTOS!$E$5:$E$417)-SUMPRODUCT((MOVIMIENTOS!$B$5:$B$417="TRASIEGO")*(MOVIMIENTOS!$C$5:$C$417="M")*(MOVIMIENTOS!$D$5:$D$417="jabas")*(MOVIMIENTOS!$A$5:$A$417&lt;&gt;"")*(MOVIMIENTOS!$A$5:$A$417&lt;=$A12)*MOVIMIENTOS!$E$5:$E$417)-SUMPRODUCT((MOVIMIENTOS!$B$5:$B$417="REGALO")*(MOVIMIENTOS!$C$5:$C$417="M")*(MOVIMIENTOS!$D$5:$D$417="jabas")*(MOVIMIENTOS!$A$5:$A$417&lt;&gt;"")*(MOVIMIENTOS!$A$5:$A$417&lt;=$A12)*MOVIMIENTOS!$E$5:$E$417)-SUMPRODUCT((MOVIMIENTOS!$B$5:$B$417="VENTA")*(MOVIMIENTOS!$C$5:$C$417="M")*(MOVIMIENTOS!$D$5:$D$417="jabas")*(MOVIMIENTOS!$A$5:$A$417&lt;&gt;"")*(MOVIMIENTOS!$A$5:$A$417&lt;=$A12)*MOVIMIENTOS!$E$5:$E$417)+SUMPRODUCT((MOVIMIENTOS!$B$5:$B$417="AJUSTE")*(MOVIMIENTOS!$C$5:$C$417="M")*(MOVIMIENTOS!$D$5:$D$417="jabas")*(MOVIMIENTOS!$A$5:$A$417&lt;&gt;"")*(MOVIMIENTOS!$A$5:$A$417&lt;=$A12)*MOVIMIENTOS!$E$5:$E$417))</f>
        <v>55</v>
      </c>
      <c r="F12" s="56">
        <f>IF($A12="","",SUMPRODUCT((MOVIMIENTOS!$B$5:$B$417="SALDO INICIAL")*(MOVIMIENTOS!$C$5:$C$417="Chancho")*(MOVIMIENTOS!$D$5:$D$417="sacos")*(MOVIMIENTOS!$A$5:$A$417&lt;&gt;"")*(MOVIMIENTOS!$A$5:$A$417&lt;=$A12)*MOVIMIENTOS!$E$5:$E$417)+SUMPRODUCT((MOVIMIENTOS!$B$5:$B$417="PROCESO")*(MOVIMIENTOS!$C$5:$C$417="Chancho")*(MOVIMIENTOS!$D$5:$D$417="sacos")*(MOVIMIENTOS!$A$5:$A$417&lt;&gt;"")*(MOVIMIENTOS!$A$5:$A$417&lt;=$A12)*MOVIMIENTOS!$E$5:$E$417)-SUMPRODUCT((MOVIMIENTOS!$B$5:$B$417="VENTA CHANCHO")*(MOVIMIENTOS!$C$5:$C$417="Chancho")*(MOVIMIENTOS!$D$5:$D$417="sacos")*(MOVIMIENTOS!$A$5:$A$417&lt;&gt;"")*(MOVIMIENTOS!$A$5:$A$417&lt;=$A12)*MOVIMIENTOS!$E$5:$E$417)-SUMPRODUCT((MOVIMIENTOS!$B$5:$B$417="REGALO")*(MOVIMIENTOS!$C$5:$C$417="Chancho")*(MOVIMIENTOS!$D$5:$D$417="sacos")*(MOVIMIENTOS!$A$5:$A$417&lt;&gt;"")*(MOVIMIENTOS!$A$5:$A$417&lt;=$A12)*MOVIMIENTOS!$E$5:$E$417)-SUMPRODUCT((MOVIMIENTOS!$B$5:$B$417="VENTA")*(MOVIMIENTOS!$C$5:$C$417="Chancho")*(MOVIMIENTOS!$D$5:$D$417="sacos")*(MOVIMIENTOS!$A$5:$A$417&lt;&gt;"")*(MOVIMIENTOS!$A$5:$A$417&lt;=$A12)*MOVIMIENTOS!$E$5:$E$417)+SUMPRODUCT((MOVIMIENTOS!$B$5:$B$417="AJUSTE")*(MOVIMIENTOS!$C$5:$C$417="Chancho")*(MOVIMIENTOS!$D$5:$D$417="sacos")*(MOVIMIENTOS!$A$5:$A$417&lt;&gt;"")*(MOVIMIENTOS!$A$5:$A$417&lt;=$A12)*MOVIMIENTOS!$E$5:$E$417))</f>
        <v>15</v>
      </c>
      <c r="G12" s="56">
        <f t="shared" si="1"/>
        <v>142</v>
      </c>
      <c r="H12" s="56">
        <f>IF($A12="","",SUMPRODUCT((((MOVIMIENTOS!$B$5:$B$417="SALDO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12)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12)*MOVIMIENTOS!$I$5:$I$417))</f>
        <v>2327</v>
      </c>
      <c r="I12" s="54"/>
      <c r="J12" s="54" t="str">
        <f>IF(AND(MOVIMIENTOS!$A12&lt;&gt;"",COUNTIF(MOVIMIENTOS!$A$5:$A11,MOVIMIENTOS!$A12)=0),COUNT(J$4:J11)+1,"")</f>
        <v/>
      </c>
      <c r="K12" s="57">
        <f>MOVIMIENTOS!$A12</f>
        <v>46215</v>
      </c>
      <c r="L12" s="54"/>
      <c r="M12" s="54"/>
      <c r="N12" s="54"/>
    </row>
    <row r="13" spans="1:14" ht="15" customHeight="1" x14ac:dyDescent="0.2">
      <c r="A13" s="55">
        <f t="shared" si="0"/>
        <v>46222</v>
      </c>
      <c r="B13" s="56">
        <f>IF($A13="","",SUMPRODUCT((MOVIMIENTOS!$B$5:$B$417="SALDO INICIAL")*(MOVIMIENTOS!$C$5:$C$417="A")*(MOVIMIENTOS!$D$5:$D$417="jabas")*(MOVIMIENTOS!$A$5:$A$417&lt;&gt;"")*(MOVIMIENTOS!$A$5:$A$417&lt;=$A13)*MOVIMIENTOS!$E$5:$E$417)+SUMPRODUCT((MOVIMIENTOS!$B$5:$B$417="PROCESO")*(MOVIMIENTOS!$C$5:$C$417="A")*(MOVIMIENTOS!$D$5:$D$417="jabas")*(MOVIMIENTOS!$A$5:$A$417&lt;&gt;"")*(MOVIMIENTOS!$A$5:$A$417&lt;=$A13)*MOVIMIENTOS!$E$5:$E$417)-SUMPRODUCT((MOVIMIENTOS!$B$5:$B$417="ENVÍO A SUPESA")*(MOVIMIENTOS!$C$5:$C$417="A")*(MOVIMIENTOS!$D$5:$D$417="jabas")*(MOVIMIENTOS!$A$5:$A$417&lt;&gt;"")*(MOVIMIENTOS!$A$5:$A$417&lt;=$A13)*MOVIMIENTOS!$E$5:$E$417)+SUMPRODUCT((MOVIMIENTOS!$B$5:$B$417="DEVOLUCIÓN")*(MOVIMIENTOS!$C$5:$C$417="A")*(MOVIMIENTOS!$D$5:$D$417="jabas")*(MOVIMIENTOS!$A$5:$A$417&lt;&gt;"")*(MOVIMIENTOS!$A$5:$A$417&lt;=$A13)*MOVIMIENTOS!$E$5:$E$417)-SUMPRODUCT((MOVIMIENTOS!$B$5:$B$417="TRASIEGO")*(MOVIMIENTOS!$C$5:$C$417="A")*(MOVIMIENTOS!$D$5:$D$417="jabas")*(MOVIMIENTOS!$A$5:$A$417&lt;&gt;"")*(MOVIMIENTOS!$A$5:$A$417&lt;=$A13)*MOVIMIENTOS!$E$5:$E$417)-SUMPRODUCT((MOVIMIENTOS!$B$5:$B$417="REGALO")*(MOVIMIENTOS!$C$5:$C$417="A")*(MOVIMIENTOS!$D$5:$D$417="jabas")*(MOVIMIENTOS!$A$5:$A$417&lt;&gt;"")*(MOVIMIENTOS!$A$5:$A$417&lt;=$A13)*MOVIMIENTOS!$E$5:$E$417)-SUMPRODUCT((MOVIMIENTOS!$B$5:$B$417="VENTA")*(MOVIMIENTOS!$C$5:$C$417="A")*(MOVIMIENTOS!$D$5:$D$417="jabas")*(MOVIMIENTOS!$A$5:$A$417&lt;&gt;"")*(MOVIMIENTOS!$A$5:$A$417&lt;=$A13)*MOVIMIENTOS!$E$5:$E$417)+SUMPRODUCT((MOVIMIENTOS!$B$5:$B$417="AJUSTE")*(MOVIMIENTOS!$C$5:$C$417="A")*(MOVIMIENTOS!$D$5:$D$417="jabas")*(MOVIMIENTOS!$A$5:$A$417&lt;&gt;"")*(MOVIMIENTOS!$A$5:$A$417&lt;=$A13)*MOVIMIENTOS!$E$5:$E$417))</f>
        <v>37</v>
      </c>
      <c r="C13" s="56">
        <f>IF($A13="","",SUMPRODUCT((MOVIMIENTOS!$B$5:$B$417="SALDO INICIAL")*(MOVIMIENTOS!$C$5:$C$417="P")*(MOVIMIENTOS!$D$5:$D$417="jabas")*(MOVIMIENTOS!$A$5:$A$417&lt;&gt;"")*(MOVIMIENTOS!$A$5:$A$417&lt;=$A13)*MOVIMIENTOS!$E$5:$E$417)+SUMPRODUCT((MOVIMIENTOS!$B$5:$B$417="PROCESO")*(MOVIMIENTOS!$C$5:$C$417="P")*(MOVIMIENTOS!$D$5:$D$417="jabas")*(MOVIMIENTOS!$A$5:$A$417&lt;&gt;"")*(MOVIMIENTOS!$A$5:$A$417&lt;=$A13)*MOVIMIENTOS!$E$5:$E$417)-SUMPRODUCT((MOVIMIENTOS!$B$5:$B$417="ENVÍO A SUPESA")*(MOVIMIENTOS!$C$5:$C$417="P")*(MOVIMIENTOS!$D$5:$D$417="jabas")*(MOVIMIENTOS!$A$5:$A$417&lt;&gt;"")*(MOVIMIENTOS!$A$5:$A$417&lt;=$A13)*MOVIMIENTOS!$E$5:$E$417)+SUMPRODUCT((MOVIMIENTOS!$B$5:$B$417="DEVOLUCIÓN")*(MOVIMIENTOS!$C$5:$C$417="P")*(MOVIMIENTOS!$D$5:$D$417="jabas")*(MOVIMIENTOS!$A$5:$A$417&lt;&gt;"")*(MOVIMIENTOS!$A$5:$A$417&lt;=$A13)*MOVIMIENTOS!$E$5:$E$417)-SUMPRODUCT((MOVIMIENTOS!$B$5:$B$417="TRASIEGO")*(MOVIMIENTOS!$C$5:$C$417="P")*(MOVIMIENTOS!$D$5:$D$417="jabas")*(MOVIMIENTOS!$A$5:$A$417&lt;&gt;"")*(MOVIMIENTOS!$A$5:$A$417&lt;=$A13)*MOVIMIENTOS!$E$5:$E$417)-SUMPRODUCT((MOVIMIENTOS!$B$5:$B$417="REGALO")*(MOVIMIENTOS!$C$5:$C$417="P")*(MOVIMIENTOS!$D$5:$D$417="jabas")*(MOVIMIENTOS!$A$5:$A$417&lt;&gt;"")*(MOVIMIENTOS!$A$5:$A$417&lt;=$A13)*MOVIMIENTOS!$E$5:$E$417)-SUMPRODUCT((MOVIMIENTOS!$B$5:$B$417="VENTA")*(MOVIMIENTOS!$C$5:$C$417="P")*(MOVIMIENTOS!$D$5:$D$417="jabas")*(MOVIMIENTOS!$A$5:$A$417&lt;&gt;"")*(MOVIMIENTOS!$A$5:$A$417&lt;=$A13)*MOVIMIENTOS!$E$5:$E$417)+SUMPRODUCT((MOVIMIENTOS!$B$5:$B$417="AJUSTE")*(MOVIMIENTOS!$C$5:$C$417="P")*(MOVIMIENTOS!$D$5:$D$417="jabas")*(MOVIMIENTOS!$A$5:$A$417&lt;&gt;"")*(MOVIMIENTOS!$A$5:$A$417&lt;=$A13)*MOVIMIENTOS!$E$5:$E$417))</f>
        <v>0</v>
      </c>
      <c r="D13" s="56">
        <f>IF($A13="","",SUMPRODUCT((MOVIMIENTOS!$B$5:$B$417="SALDO INICIAL")*(MOVIMIENTOS!$C$5:$C$417="C")*(MOVIMIENTOS!$D$5:$D$417="jabas")*(MOVIMIENTOS!$A$5:$A$417&lt;&gt;"")*(MOVIMIENTOS!$A$5:$A$417&lt;=$A13)*MOVIMIENTOS!$E$5:$E$417)+SUMPRODUCT((MOVIMIENTOS!$B$5:$B$417="PROCESO")*(MOVIMIENTOS!$C$5:$C$417="C")*(MOVIMIENTOS!$D$5:$D$417="jabas")*(MOVIMIENTOS!$A$5:$A$417&lt;&gt;"")*(MOVIMIENTOS!$A$5:$A$417&lt;=$A13)*MOVIMIENTOS!$E$5:$E$417)-SUMPRODUCT((MOVIMIENTOS!$B$5:$B$417="ENVÍO A SUPESA")*(MOVIMIENTOS!$C$5:$C$417="C")*(MOVIMIENTOS!$D$5:$D$417="jabas")*(MOVIMIENTOS!$A$5:$A$417&lt;&gt;"")*(MOVIMIENTOS!$A$5:$A$417&lt;=$A13)*MOVIMIENTOS!$E$5:$E$417)+SUMPRODUCT((MOVIMIENTOS!$B$5:$B$417="DEVOLUCIÓN")*(MOVIMIENTOS!$C$5:$C$417="C")*(MOVIMIENTOS!$D$5:$D$417="jabas")*(MOVIMIENTOS!$A$5:$A$417&lt;&gt;"")*(MOVIMIENTOS!$A$5:$A$417&lt;=$A13)*MOVIMIENTOS!$E$5:$E$417)-SUMPRODUCT((MOVIMIENTOS!$B$5:$B$417="TRASIEGO")*(MOVIMIENTOS!$C$5:$C$417="C")*(MOVIMIENTOS!$D$5:$D$417="jabas")*(MOVIMIENTOS!$A$5:$A$417&lt;&gt;"")*(MOVIMIENTOS!$A$5:$A$417&lt;=$A13)*MOVIMIENTOS!$E$5:$E$417)-SUMPRODUCT((MOVIMIENTOS!$B$5:$B$417="REGALO")*(MOVIMIENTOS!$C$5:$C$417="C")*(MOVIMIENTOS!$D$5:$D$417="jabas")*(MOVIMIENTOS!$A$5:$A$417&lt;&gt;"")*(MOVIMIENTOS!$A$5:$A$417&lt;=$A13)*MOVIMIENTOS!$E$5:$E$417)-SUMPRODUCT((MOVIMIENTOS!$B$5:$B$417="VENTA")*(MOVIMIENTOS!$C$5:$C$417="C")*(MOVIMIENTOS!$D$5:$D$417="jabas")*(MOVIMIENTOS!$A$5:$A$417&lt;&gt;"")*(MOVIMIENTOS!$A$5:$A$417&lt;=$A13)*MOVIMIENTOS!$E$5:$E$417)+SUMPRODUCT((MOVIMIENTOS!$B$5:$B$417="AJUSTE")*(MOVIMIENTOS!$C$5:$C$417="C")*(MOVIMIENTOS!$D$5:$D$417="jabas")*(MOVIMIENTOS!$A$5:$A$417&lt;&gt;"")*(MOVIMIENTOS!$A$5:$A$417&lt;=$A13)*MOVIMIENTOS!$E$5:$E$417))</f>
        <v>0</v>
      </c>
      <c r="E13" s="56">
        <f>IF($A13="","",SUMPRODUCT((MOVIMIENTOS!$B$5:$B$417="SALDO INICIAL")*(MOVIMIENTOS!$C$5:$C$417="M")*(MOVIMIENTOS!$D$5:$D$417="jabas")*(MOVIMIENTOS!$A$5:$A$417&lt;&gt;"")*(MOVIMIENTOS!$A$5:$A$417&lt;=$A13)*MOVIMIENTOS!$E$5:$E$417)+SUMPRODUCT((MOVIMIENTOS!$B$5:$B$417="PROCESO")*(MOVIMIENTOS!$C$5:$C$417="M")*(MOVIMIENTOS!$D$5:$D$417="jabas")*(MOVIMIENTOS!$A$5:$A$417&lt;&gt;"")*(MOVIMIENTOS!$A$5:$A$417&lt;=$A13)*MOVIMIENTOS!$E$5:$E$417)-SUMPRODUCT((MOVIMIENTOS!$B$5:$B$417="ENVÍO A SUPESA")*(MOVIMIENTOS!$C$5:$C$417="M")*(MOVIMIENTOS!$D$5:$D$417="jabas")*(MOVIMIENTOS!$A$5:$A$417&lt;&gt;"")*(MOVIMIENTOS!$A$5:$A$417&lt;=$A13)*MOVIMIENTOS!$E$5:$E$417)+SUMPRODUCT((MOVIMIENTOS!$B$5:$B$417="DEVOLUCIÓN")*(MOVIMIENTOS!$C$5:$C$417="M")*(MOVIMIENTOS!$D$5:$D$417="jabas")*(MOVIMIENTOS!$A$5:$A$417&lt;&gt;"")*(MOVIMIENTOS!$A$5:$A$417&lt;=$A13)*MOVIMIENTOS!$E$5:$E$417)-SUMPRODUCT((MOVIMIENTOS!$B$5:$B$417="TRASIEGO")*(MOVIMIENTOS!$C$5:$C$417="M")*(MOVIMIENTOS!$D$5:$D$417="jabas")*(MOVIMIENTOS!$A$5:$A$417&lt;&gt;"")*(MOVIMIENTOS!$A$5:$A$417&lt;=$A13)*MOVIMIENTOS!$E$5:$E$417)-SUMPRODUCT((MOVIMIENTOS!$B$5:$B$417="REGALO")*(MOVIMIENTOS!$C$5:$C$417="M")*(MOVIMIENTOS!$D$5:$D$417="jabas")*(MOVIMIENTOS!$A$5:$A$417&lt;&gt;"")*(MOVIMIENTOS!$A$5:$A$417&lt;=$A13)*MOVIMIENTOS!$E$5:$E$417)-SUMPRODUCT((MOVIMIENTOS!$B$5:$B$417="VENTA")*(MOVIMIENTOS!$C$5:$C$417="M")*(MOVIMIENTOS!$D$5:$D$417="jabas")*(MOVIMIENTOS!$A$5:$A$417&lt;&gt;"")*(MOVIMIENTOS!$A$5:$A$417&lt;=$A13)*MOVIMIENTOS!$E$5:$E$417)+SUMPRODUCT((MOVIMIENTOS!$B$5:$B$417="AJUSTE")*(MOVIMIENTOS!$C$5:$C$417="M")*(MOVIMIENTOS!$D$5:$D$417="jabas")*(MOVIMIENTOS!$A$5:$A$417&lt;&gt;"")*(MOVIMIENTOS!$A$5:$A$417&lt;=$A13)*MOVIMIENTOS!$E$5:$E$417))</f>
        <v>61</v>
      </c>
      <c r="F13" s="56">
        <f>IF($A13="","",SUMPRODUCT((MOVIMIENTOS!$B$5:$B$417="SALDO INICIAL")*(MOVIMIENTOS!$C$5:$C$417="Chancho")*(MOVIMIENTOS!$D$5:$D$417="sacos")*(MOVIMIENTOS!$A$5:$A$417&lt;&gt;"")*(MOVIMIENTOS!$A$5:$A$417&lt;=$A13)*MOVIMIENTOS!$E$5:$E$417)+SUMPRODUCT((MOVIMIENTOS!$B$5:$B$417="PROCESO")*(MOVIMIENTOS!$C$5:$C$417="Chancho")*(MOVIMIENTOS!$D$5:$D$417="sacos")*(MOVIMIENTOS!$A$5:$A$417&lt;&gt;"")*(MOVIMIENTOS!$A$5:$A$417&lt;=$A13)*MOVIMIENTOS!$E$5:$E$417)-SUMPRODUCT((MOVIMIENTOS!$B$5:$B$417="VENTA CHANCHO")*(MOVIMIENTOS!$C$5:$C$417="Chancho")*(MOVIMIENTOS!$D$5:$D$417="sacos")*(MOVIMIENTOS!$A$5:$A$417&lt;&gt;"")*(MOVIMIENTOS!$A$5:$A$417&lt;=$A13)*MOVIMIENTOS!$E$5:$E$417)-SUMPRODUCT((MOVIMIENTOS!$B$5:$B$417="REGALO")*(MOVIMIENTOS!$C$5:$C$417="Chancho")*(MOVIMIENTOS!$D$5:$D$417="sacos")*(MOVIMIENTOS!$A$5:$A$417&lt;&gt;"")*(MOVIMIENTOS!$A$5:$A$417&lt;=$A13)*MOVIMIENTOS!$E$5:$E$417)-SUMPRODUCT((MOVIMIENTOS!$B$5:$B$417="VENTA")*(MOVIMIENTOS!$C$5:$C$417="Chancho")*(MOVIMIENTOS!$D$5:$D$417="sacos")*(MOVIMIENTOS!$A$5:$A$417&lt;&gt;"")*(MOVIMIENTOS!$A$5:$A$417&lt;=$A13)*MOVIMIENTOS!$E$5:$E$417)+SUMPRODUCT((MOVIMIENTOS!$B$5:$B$417="AJUSTE")*(MOVIMIENTOS!$C$5:$C$417="Chancho")*(MOVIMIENTOS!$D$5:$D$417="sacos")*(MOVIMIENTOS!$A$5:$A$417&lt;&gt;"")*(MOVIMIENTOS!$A$5:$A$417&lt;=$A13)*MOVIMIENTOS!$E$5:$E$417))</f>
        <v>18</v>
      </c>
      <c r="G13" s="56">
        <f t="shared" si="1"/>
        <v>98</v>
      </c>
      <c r="H13" s="56">
        <f>IF($A13="","",SUMPRODUCT((((MOVIMIENTOS!$B$5:$B$417="SALDO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13)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13)*MOVIMIENTOS!$I$5:$I$417))</f>
        <v>1802</v>
      </c>
      <c r="I13" s="54"/>
      <c r="J13" s="54" t="str">
        <f>IF(AND(MOVIMIENTOS!$A13&lt;&gt;"",COUNTIF(MOVIMIENTOS!$A$5:$A12,MOVIMIENTOS!$A13)=0),COUNT(J$4:J12)+1,"")</f>
        <v/>
      </c>
      <c r="K13" s="57">
        <f>MOVIMIENTOS!$A13</f>
        <v>46215</v>
      </c>
      <c r="L13" s="54"/>
      <c r="M13" s="54"/>
      <c r="N13" s="54"/>
    </row>
    <row r="14" spans="1:14" ht="15" customHeight="1" x14ac:dyDescent="0.2">
      <c r="A14" s="55">
        <f t="shared" si="0"/>
        <v>46223</v>
      </c>
      <c r="B14" s="56">
        <f>IF($A14="","",SUMPRODUCT((MOVIMIENTOS!$B$5:$B$417="SALDO INICIAL")*(MOVIMIENTOS!$C$5:$C$417="A")*(MOVIMIENTOS!$D$5:$D$417="jabas")*(MOVIMIENTOS!$A$5:$A$417&lt;&gt;"")*(MOVIMIENTOS!$A$5:$A$417&lt;=$A14)*MOVIMIENTOS!$E$5:$E$417)+SUMPRODUCT((MOVIMIENTOS!$B$5:$B$417="PROCESO")*(MOVIMIENTOS!$C$5:$C$417="A")*(MOVIMIENTOS!$D$5:$D$417="jabas")*(MOVIMIENTOS!$A$5:$A$417&lt;&gt;"")*(MOVIMIENTOS!$A$5:$A$417&lt;=$A14)*MOVIMIENTOS!$E$5:$E$417)-SUMPRODUCT((MOVIMIENTOS!$B$5:$B$417="ENVÍO A SUPESA")*(MOVIMIENTOS!$C$5:$C$417="A")*(MOVIMIENTOS!$D$5:$D$417="jabas")*(MOVIMIENTOS!$A$5:$A$417&lt;&gt;"")*(MOVIMIENTOS!$A$5:$A$417&lt;=$A14)*MOVIMIENTOS!$E$5:$E$417)+SUMPRODUCT((MOVIMIENTOS!$B$5:$B$417="DEVOLUCIÓN")*(MOVIMIENTOS!$C$5:$C$417="A")*(MOVIMIENTOS!$D$5:$D$417="jabas")*(MOVIMIENTOS!$A$5:$A$417&lt;&gt;"")*(MOVIMIENTOS!$A$5:$A$417&lt;=$A14)*MOVIMIENTOS!$E$5:$E$417)-SUMPRODUCT((MOVIMIENTOS!$B$5:$B$417="TRASIEGO")*(MOVIMIENTOS!$C$5:$C$417="A")*(MOVIMIENTOS!$D$5:$D$417="jabas")*(MOVIMIENTOS!$A$5:$A$417&lt;&gt;"")*(MOVIMIENTOS!$A$5:$A$417&lt;=$A14)*MOVIMIENTOS!$E$5:$E$417)-SUMPRODUCT((MOVIMIENTOS!$B$5:$B$417="REGALO")*(MOVIMIENTOS!$C$5:$C$417="A")*(MOVIMIENTOS!$D$5:$D$417="jabas")*(MOVIMIENTOS!$A$5:$A$417&lt;&gt;"")*(MOVIMIENTOS!$A$5:$A$417&lt;=$A14)*MOVIMIENTOS!$E$5:$E$417)-SUMPRODUCT((MOVIMIENTOS!$B$5:$B$417="VENTA")*(MOVIMIENTOS!$C$5:$C$417="A")*(MOVIMIENTOS!$D$5:$D$417="jabas")*(MOVIMIENTOS!$A$5:$A$417&lt;&gt;"")*(MOVIMIENTOS!$A$5:$A$417&lt;=$A14)*MOVIMIENTOS!$E$5:$E$417)+SUMPRODUCT((MOVIMIENTOS!$B$5:$B$417="AJUSTE")*(MOVIMIENTOS!$C$5:$C$417="A")*(MOVIMIENTOS!$D$5:$D$417="jabas")*(MOVIMIENTOS!$A$5:$A$417&lt;&gt;"")*(MOVIMIENTOS!$A$5:$A$417&lt;=$A14)*MOVIMIENTOS!$E$5:$E$417))</f>
        <v>38</v>
      </c>
      <c r="C14" s="56">
        <f>IF($A14="","",SUMPRODUCT((MOVIMIENTOS!$B$5:$B$417="SALDO INICIAL")*(MOVIMIENTOS!$C$5:$C$417="P")*(MOVIMIENTOS!$D$5:$D$417="jabas")*(MOVIMIENTOS!$A$5:$A$417&lt;&gt;"")*(MOVIMIENTOS!$A$5:$A$417&lt;=$A14)*MOVIMIENTOS!$E$5:$E$417)+SUMPRODUCT((MOVIMIENTOS!$B$5:$B$417="PROCESO")*(MOVIMIENTOS!$C$5:$C$417="P")*(MOVIMIENTOS!$D$5:$D$417="jabas")*(MOVIMIENTOS!$A$5:$A$417&lt;&gt;"")*(MOVIMIENTOS!$A$5:$A$417&lt;=$A14)*MOVIMIENTOS!$E$5:$E$417)-SUMPRODUCT((MOVIMIENTOS!$B$5:$B$417="ENVÍO A SUPESA")*(MOVIMIENTOS!$C$5:$C$417="P")*(MOVIMIENTOS!$D$5:$D$417="jabas")*(MOVIMIENTOS!$A$5:$A$417&lt;&gt;"")*(MOVIMIENTOS!$A$5:$A$417&lt;=$A14)*MOVIMIENTOS!$E$5:$E$417)+SUMPRODUCT((MOVIMIENTOS!$B$5:$B$417="DEVOLUCIÓN")*(MOVIMIENTOS!$C$5:$C$417="P")*(MOVIMIENTOS!$D$5:$D$417="jabas")*(MOVIMIENTOS!$A$5:$A$417&lt;&gt;"")*(MOVIMIENTOS!$A$5:$A$417&lt;=$A14)*MOVIMIENTOS!$E$5:$E$417)-SUMPRODUCT((MOVIMIENTOS!$B$5:$B$417="TRASIEGO")*(MOVIMIENTOS!$C$5:$C$417="P")*(MOVIMIENTOS!$D$5:$D$417="jabas")*(MOVIMIENTOS!$A$5:$A$417&lt;&gt;"")*(MOVIMIENTOS!$A$5:$A$417&lt;=$A14)*MOVIMIENTOS!$E$5:$E$417)-SUMPRODUCT((MOVIMIENTOS!$B$5:$B$417="REGALO")*(MOVIMIENTOS!$C$5:$C$417="P")*(MOVIMIENTOS!$D$5:$D$417="jabas")*(MOVIMIENTOS!$A$5:$A$417&lt;&gt;"")*(MOVIMIENTOS!$A$5:$A$417&lt;=$A14)*MOVIMIENTOS!$E$5:$E$417)-SUMPRODUCT((MOVIMIENTOS!$B$5:$B$417="VENTA")*(MOVIMIENTOS!$C$5:$C$417="P")*(MOVIMIENTOS!$D$5:$D$417="jabas")*(MOVIMIENTOS!$A$5:$A$417&lt;&gt;"")*(MOVIMIENTOS!$A$5:$A$417&lt;=$A14)*MOVIMIENTOS!$E$5:$E$417)+SUMPRODUCT((MOVIMIENTOS!$B$5:$B$417="AJUSTE")*(MOVIMIENTOS!$C$5:$C$417="P")*(MOVIMIENTOS!$D$5:$D$417="jabas")*(MOVIMIENTOS!$A$5:$A$417&lt;&gt;"")*(MOVIMIENTOS!$A$5:$A$417&lt;=$A14)*MOVIMIENTOS!$E$5:$E$417))</f>
        <v>11</v>
      </c>
      <c r="D14" s="56">
        <f>IF($A14="","",SUMPRODUCT((MOVIMIENTOS!$B$5:$B$417="SALDO INICIAL")*(MOVIMIENTOS!$C$5:$C$417="C")*(MOVIMIENTOS!$D$5:$D$417="jabas")*(MOVIMIENTOS!$A$5:$A$417&lt;&gt;"")*(MOVIMIENTOS!$A$5:$A$417&lt;=$A14)*MOVIMIENTOS!$E$5:$E$417)+SUMPRODUCT((MOVIMIENTOS!$B$5:$B$417="PROCESO")*(MOVIMIENTOS!$C$5:$C$417="C")*(MOVIMIENTOS!$D$5:$D$417="jabas")*(MOVIMIENTOS!$A$5:$A$417&lt;&gt;"")*(MOVIMIENTOS!$A$5:$A$417&lt;=$A14)*MOVIMIENTOS!$E$5:$E$417)-SUMPRODUCT((MOVIMIENTOS!$B$5:$B$417="ENVÍO A SUPESA")*(MOVIMIENTOS!$C$5:$C$417="C")*(MOVIMIENTOS!$D$5:$D$417="jabas")*(MOVIMIENTOS!$A$5:$A$417&lt;&gt;"")*(MOVIMIENTOS!$A$5:$A$417&lt;=$A14)*MOVIMIENTOS!$E$5:$E$417)+SUMPRODUCT((MOVIMIENTOS!$B$5:$B$417="DEVOLUCIÓN")*(MOVIMIENTOS!$C$5:$C$417="C")*(MOVIMIENTOS!$D$5:$D$417="jabas")*(MOVIMIENTOS!$A$5:$A$417&lt;&gt;"")*(MOVIMIENTOS!$A$5:$A$417&lt;=$A14)*MOVIMIENTOS!$E$5:$E$417)-SUMPRODUCT((MOVIMIENTOS!$B$5:$B$417="TRASIEGO")*(MOVIMIENTOS!$C$5:$C$417="C")*(MOVIMIENTOS!$D$5:$D$417="jabas")*(MOVIMIENTOS!$A$5:$A$417&lt;&gt;"")*(MOVIMIENTOS!$A$5:$A$417&lt;=$A14)*MOVIMIENTOS!$E$5:$E$417)-SUMPRODUCT((MOVIMIENTOS!$B$5:$B$417="REGALO")*(MOVIMIENTOS!$C$5:$C$417="C")*(MOVIMIENTOS!$D$5:$D$417="jabas")*(MOVIMIENTOS!$A$5:$A$417&lt;&gt;"")*(MOVIMIENTOS!$A$5:$A$417&lt;=$A14)*MOVIMIENTOS!$E$5:$E$417)-SUMPRODUCT((MOVIMIENTOS!$B$5:$B$417="VENTA")*(MOVIMIENTOS!$C$5:$C$417="C")*(MOVIMIENTOS!$D$5:$D$417="jabas")*(MOVIMIENTOS!$A$5:$A$417&lt;&gt;"")*(MOVIMIENTOS!$A$5:$A$417&lt;=$A14)*MOVIMIENTOS!$E$5:$E$417)+SUMPRODUCT((MOVIMIENTOS!$B$5:$B$417="AJUSTE")*(MOVIMIENTOS!$C$5:$C$417="C")*(MOVIMIENTOS!$D$5:$D$417="jabas")*(MOVIMIENTOS!$A$5:$A$417&lt;&gt;"")*(MOVIMIENTOS!$A$5:$A$417&lt;=$A14)*MOVIMIENTOS!$E$5:$E$417))</f>
        <v>10</v>
      </c>
      <c r="E14" s="56">
        <f>IF($A14="","",SUMPRODUCT((MOVIMIENTOS!$B$5:$B$417="SALDO INICIAL")*(MOVIMIENTOS!$C$5:$C$417="M")*(MOVIMIENTOS!$D$5:$D$417="jabas")*(MOVIMIENTOS!$A$5:$A$417&lt;&gt;"")*(MOVIMIENTOS!$A$5:$A$417&lt;=$A14)*MOVIMIENTOS!$E$5:$E$417)+SUMPRODUCT((MOVIMIENTOS!$B$5:$B$417="PROCESO")*(MOVIMIENTOS!$C$5:$C$417="M")*(MOVIMIENTOS!$D$5:$D$417="jabas")*(MOVIMIENTOS!$A$5:$A$417&lt;&gt;"")*(MOVIMIENTOS!$A$5:$A$417&lt;=$A14)*MOVIMIENTOS!$E$5:$E$417)-SUMPRODUCT((MOVIMIENTOS!$B$5:$B$417="ENVÍO A SUPESA")*(MOVIMIENTOS!$C$5:$C$417="M")*(MOVIMIENTOS!$D$5:$D$417="jabas")*(MOVIMIENTOS!$A$5:$A$417&lt;&gt;"")*(MOVIMIENTOS!$A$5:$A$417&lt;=$A14)*MOVIMIENTOS!$E$5:$E$417)+SUMPRODUCT((MOVIMIENTOS!$B$5:$B$417="DEVOLUCIÓN")*(MOVIMIENTOS!$C$5:$C$417="M")*(MOVIMIENTOS!$D$5:$D$417="jabas")*(MOVIMIENTOS!$A$5:$A$417&lt;&gt;"")*(MOVIMIENTOS!$A$5:$A$417&lt;=$A14)*MOVIMIENTOS!$E$5:$E$417)-SUMPRODUCT((MOVIMIENTOS!$B$5:$B$417="TRASIEGO")*(MOVIMIENTOS!$C$5:$C$417="M")*(MOVIMIENTOS!$D$5:$D$417="jabas")*(MOVIMIENTOS!$A$5:$A$417&lt;&gt;"")*(MOVIMIENTOS!$A$5:$A$417&lt;=$A14)*MOVIMIENTOS!$E$5:$E$417)-SUMPRODUCT((MOVIMIENTOS!$B$5:$B$417="REGALO")*(MOVIMIENTOS!$C$5:$C$417="M")*(MOVIMIENTOS!$D$5:$D$417="jabas")*(MOVIMIENTOS!$A$5:$A$417&lt;&gt;"")*(MOVIMIENTOS!$A$5:$A$417&lt;=$A14)*MOVIMIENTOS!$E$5:$E$417)-SUMPRODUCT((MOVIMIENTOS!$B$5:$B$417="VENTA")*(MOVIMIENTOS!$C$5:$C$417="M")*(MOVIMIENTOS!$D$5:$D$417="jabas")*(MOVIMIENTOS!$A$5:$A$417&lt;&gt;"")*(MOVIMIENTOS!$A$5:$A$417&lt;=$A14)*MOVIMIENTOS!$E$5:$E$417)+SUMPRODUCT((MOVIMIENTOS!$B$5:$B$417="AJUSTE")*(MOVIMIENTOS!$C$5:$C$417="M")*(MOVIMIENTOS!$D$5:$D$417="jabas")*(MOVIMIENTOS!$A$5:$A$417&lt;&gt;"")*(MOVIMIENTOS!$A$5:$A$417&lt;=$A14)*MOVIMIENTOS!$E$5:$E$417))</f>
        <v>79</v>
      </c>
      <c r="F14" s="56">
        <f>IF($A14="","",SUMPRODUCT((MOVIMIENTOS!$B$5:$B$417="SALDO INICIAL")*(MOVIMIENTOS!$C$5:$C$417="Chancho")*(MOVIMIENTOS!$D$5:$D$417="sacos")*(MOVIMIENTOS!$A$5:$A$417&lt;&gt;"")*(MOVIMIENTOS!$A$5:$A$417&lt;=$A14)*MOVIMIENTOS!$E$5:$E$417)+SUMPRODUCT((MOVIMIENTOS!$B$5:$B$417="PROCESO")*(MOVIMIENTOS!$C$5:$C$417="Chancho")*(MOVIMIENTOS!$D$5:$D$417="sacos")*(MOVIMIENTOS!$A$5:$A$417&lt;&gt;"")*(MOVIMIENTOS!$A$5:$A$417&lt;=$A14)*MOVIMIENTOS!$E$5:$E$417)-SUMPRODUCT((MOVIMIENTOS!$B$5:$B$417="VENTA CHANCHO")*(MOVIMIENTOS!$C$5:$C$417="Chancho")*(MOVIMIENTOS!$D$5:$D$417="sacos")*(MOVIMIENTOS!$A$5:$A$417&lt;&gt;"")*(MOVIMIENTOS!$A$5:$A$417&lt;=$A14)*MOVIMIENTOS!$E$5:$E$417)-SUMPRODUCT((MOVIMIENTOS!$B$5:$B$417="REGALO")*(MOVIMIENTOS!$C$5:$C$417="Chancho")*(MOVIMIENTOS!$D$5:$D$417="sacos")*(MOVIMIENTOS!$A$5:$A$417&lt;&gt;"")*(MOVIMIENTOS!$A$5:$A$417&lt;=$A14)*MOVIMIENTOS!$E$5:$E$417)-SUMPRODUCT((MOVIMIENTOS!$B$5:$B$417="VENTA")*(MOVIMIENTOS!$C$5:$C$417="Chancho")*(MOVIMIENTOS!$D$5:$D$417="sacos")*(MOVIMIENTOS!$A$5:$A$417&lt;&gt;"")*(MOVIMIENTOS!$A$5:$A$417&lt;=$A14)*MOVIMIENTOS!$E$5:$E$417)+SUMPRODUCT((MOVIMIENTOS!$B$5:$B$417="AJUSTE")*(MOVIMIENTOS!$C$5:$C$417="Chancho")*(MOVIMIENTOS!$D$5:$D$417="sacos")*(MOVIMIENTOS!$A$5:$A$417&lt;&gt;"")*(MOVIMIENTOS!$A$5:$A$417&lt;=$A14)*MOVIMIENTOS!$E$5:$E$417))</f>
        <v>6.5</v>
      </c>
      <c r="G14" s="56">
        <f t="shared" si="1"/>
        <v>138</v>
      </c>
      <c r="H14" s="56">
        <f>IF($A14="","",SUMPRODUCT((((MOVIMIENTOS!$B$5:$B$417="SALDO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14)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14)*MOVIMIENTOS!$I$5:$I$417))</f>
        <v>2533.5</v>
      </c>
      <c r="I14" s="54"/>
      <c r="J14" s="54" t="str">
        <f>IF(AND(MOVIMIENTOS!$A14&lt;&gt;"",COUNTIF(MOVIMIENTOS!$A$5:$A13,MOVIMIENTOS!$A14)=0),COUNT(J$4:J13)+1,"")</f>
        <v/>
      </c>
      <c r="K14" s="57">
        <f>MOVIMIENTOS!$A14</f>
        <v>46215</v>
      </c>
      <c r="L14" s="54"/>
      <c r="M14" s="54"/>
      <c r="N14" s="54"/>
    </row>
    <row r="15" spans="1:14" ht="15" customHeight="1" x14ac:dyDescent="0.2">
      <c r="A15" s="55">
        <f t="shared" si="0"/>
        <v>46224</v>
      </c>
      <c r="B15" s="56">
        <f>IF($A15="","",SUMPRODUCT((MOVIMIENTOS!$B$5:$B$417="SALDO INICIAL")*(MOVIMIENTOS!$C$5:$C$417="A")*(MOVIMIENTOS!$D$5:$D$417="jabas")*(MOVIMIENTOS!$A$5:$A$417&lt;&gt;"")*(MOVIMIENTOS!$A$5:$A$417&lt;=$A15)*MOVIMIENTOS!$E$5:$E$417)+SUMPRODUCT((MOVIMIENTOS!$B$5:$B$417="PROCESO")*(MOVIMIENTOS!$C$5:$C$417="A")*(MOVIMIENTOS!$D$5:$D$417="jabas")*(MOVIMIENTOS!$A$5:$A$417&lt;&gt;"")*(MOVIMIENTOS!$A$5:$A$417&lt;=$A15)*MOVIMIENTOS!$E$5:$E$417)-SUMPRODUCT((MOVIMIENTOS!$B$5:$B$417="ENVÍO A SUPESA")*(MOVIMIENTOS!$C$5:$C$417="A")*(MOVIMIENTOS!$D$5:$D$417="jabas")*(MOVIMIENTOS!$A$5:$A$417&lt;&gt;"")*(MOVIMIENTOS!$A$5:$A$417&lt;=$A15)*MOVIMIENTOS!$E$5:$E$417)+SUMPRODUCT((MOVIMIENTOS!$B$5:$B$417="DEVOLUCIÓN")*(MOVIMIENTOS!$C$5:$C$417="A")*(MOVIMIENTOS!$D$5:$D$417="jabas")*(MOVIMIENTOS!$A$5:$A$417&lt;&gt;"")*(MOVIMIENTOS!$A$5:$A$417&lt;=$A15)*MOVIMIENTOS!$E$5:$E$417)-SUMPRODUCT((MOVIMIENTOS!$B$5:$B$417="TRASIEGO")*(MOVIMIENTOS!$C$5:$C$417="A")*(MOVIMIENTOS!$D$5:$D$417="jabas")*(MOVIMIENTOS!$A$5:$A$417&lt;&gt;"")*(MOVIMIENTOS!$A$5:$A$417&lt;=$A15)*MOVIMIENTOS!$E$5:$E$417)-SUMPRODUCT((MOVIMIENTOS!$B$5:$B$417="REGALO")*(MOVIMIENTOS!$C$5:$C$417="A")*(MOVIMIENTOS!$D$5:$D$417="jabas")*(MOVIMIENTOS!$A$5:$A$417&lt;&gt;"")*(MOVIMIENTOS!$A$5:$A$417&lt;=$A15)*MOVIMIENTOS!$E$5:$E$417)-SUMPRODUCT((MOVIMIENTOS!$B$5:$B$417="VENTA")*(MOVIMIENTOS!$C$5:$C$417="A")*(MOVIMIENTOS!$D$5:$D$417="jabas")*(MOVIMIENTOS!$A$5:$A$417&lt;&gt;"")*(MOVIMIENTOS!$A$5:$A$417&lt;=$A15)*MOVIMIENTOS!$E$5:$E$417)+SUMPRODUCT((MOVIMIENTOS!$B$5:$B$417="AJUSTE")*(MOVIMIENTOS!$C$5:$C$417="A")*(MOVIMIENTOS!$D$5:$D$417="jabas")*(MOVIMIENTOS!$A$5:$A$417&lt;&gt;"")*(MOVIMIENTOS!$A$5:$A$417&lt;=$A15)*MOVIMIENTOS!$E$5:$E$417))</f>
        <v>60</v>
      </c>
      <c r="C15" s="56">
        <f>IF($A15="","",SUMPRODUCT((MOVIMIENTOS!$B$5:$B$417="SALDO INICIAL")*(MOVIMIENTOS!$C$5:$C$417="P")*(MOVIMIENTOS!$D$5:$D$417="jabas")*(MOVIMIENTOS!$A$5:$A$417&lt;&gt;"")*(MOVIMIENTOS!$A$5:$A$417&lt;=$A15)*MOVIMIENTOS!$E$5:$E$417)+SUMPRODUCT((MOVIMIENTOS!$B$5:$B$417="PROCESO")*(MOVIMIENTOS!$C$5:$C$417="P")*(MOVIMIENTOS!$D$5:$D$417="jabas")*(MOVIMIENTOS!$A$5:$A$417&lt;&gt;"")*(MOVIMIENTOS!$A$5:$A$417&lt;=$A15)*MOVIMIENTOS!$E$5:$E$417)-SUMPRODUCT((MOVIMIENTOS!$B$5:$B$417="ENVÍO A SUPESA")*(MOVIMIENTOS!$C$5:$C$417="P")*(MOVIMIENTOS!$D$5:$D$417="jabas")*(MOVIMIENTOS!$A$5:$A$417&lt;&gt;"")*(MOVIMIENTOS!$A$5:$A$417&lt;=$A15)*MOVIMIENTOS!$E$5:$E$417)+SUMPRODUCT((MOVIMIENTOS!$B$5:$B$417="DEVOLUCIÓN")*(MOVIMIENTOS!$C$5:$C$417="P")*(MOVIMIENTOS!$D$5:$D$417="jabas")*(MOVIMIENTOS!$A$5:$A$417&lt;&gt;"")*(MOVIMIENTOS!$A$5:$A$417&lt;=$A15)*MOVIMIENTOS!$E$5:$E$417)-SUMPRODUCT((MOVIMIENTOS!$B$5:$B$417="TRASIEGO")*(MOVIMIENTOS!$C$5:$C$417="P")*(MOVIMIENTOS!$D$5:$D$417="jabas")*(MOVIMIENTOS!$A$5:$A$417&lt;&gt;"")*(MOVIMIENTOS!$A$5:$A$417&lt;=$A15)*MOVIMIENTOS!$E$5:$E$417)-SUMPRODUCT((MOVIMIENTOS!$B$5:$B$417="REGALO")*(MOVIMIENTOS!$C$5:$C$417="P")*(MOVIMIENTOS!$D$5:$D$417="jabas")*(MOVIMIENTOS!$A$5:$A$417&lt;&gt;"")*(MOVIMIENTOS!$A$5:$A$417&lt;=$A15)*MOVIMIENTOS!$E$5:$E$417)-SUMPRODUCT((MOVIMIENTOS!$B$5:$B$417="VENTA")*(MOVIMIENTOS!$C$5:$C$417="P")*(MOVIMIENTOS!$D$5:$D$417="jabas")*(MOVIMIENTOS!$A$5:$A$417&lt;&gt;"")*(MOVIMIENTOS!$A$5:$A$417&lt;=$A15)*MOVIMIENTOS!$E$5:$E$417)+SUMPRODUCT((MOVIMIENTOS!$B$5:$B$417="AJUSTE")*(MOVIMIENTOS!$C$5:$C$417="P")*(MOVIMIENTOS!$D$5:$D$417="jabas")*(MOVIMIENTOS!$A$5:$A$417&lt;&gt;"")*(MOVIMIENTOS!$A$5:$A$417&lt;=$A15)*MOVIMIENTOS!$E$5:$E$417))</f>
        <v>11</v>
      </c>
      <c r="D15" s="56">
        <f>IF($A15="","",SUMPRODUCT((MOVIMIENTOS!$B$5:$B$417="SALDO INICIAL")*(MOVIMIENTOS!$C$5:$C$417="C")*(MOVIMIENTOS!$D$5:$D$417="jabas")*(MOVIMIENTOS!$A$5:$A$417&lt;&gt;"")*(MOVIMIENTOS!$A$5:$A$417&lt;=$A15)*MOVIMIENTOS!$E$5:$E$417)+SUMPRODUCT((MOVIMIENTOS!$B$5:$B$417="PROCESO")*(MOVIMIENTOS!$C$5:$C$417="C")*(MOVIMIENTOS!$D$5:$D$417="jabas")*(MOVIMIENTOS!$A$5:$A$417&lt;&gt;"")*(MOVIMIENTOS!$A$5:$A$417&lt;=$A15)*MOVIMIENTOS!$E$5:$E$417)-SUMPRODUCT((MOVIMIENTOS!$B$5:$B$417="ENVÍO A SUPESA")*(MOVIMIENTOS!$C$5:$C$417="C")*(MOVIMIENTOS!$D$5:$D$417="jabas")*(MOVIMIENTOS!$A$5:$A$417&lt;&gt;"")*(MOVIMIENTOS!$A$5:$A$417&lt;=$A15)*MOVIMIENTOS!$E$5:$E$417)+SUMPRODUCT((MOVIMIENTOS!$B$5:$B$417="DEVOLUCIÓN")*(MOVIMIENTOS!$C$5:$C$417="C")*(MOVIMIENTOS!$D$5:$D$417="jabas")*(MOVIMIENTOS!$A$5:$A$417&lt;&gt;"")*(MOVIMIENTOS!$A$5:$A$417&lt;=$A15)*MOVIMIENTOS!$E$5:$E$417)-SUMPRODUCT((MOVIMIENTOS!$B$5:$B$417="TRASIEGO")*(MOVIMIENTOS!$C$5:$C$417="C")*(MOVIMIENTOS!$D$5:$D$417="jabas")*(MOVIMIENTOS!$A$5:$A$417&lt;&gt;"")*(MOVIMIENTOS!$A$5:$A$417&lt;=$A15)*MOVIMIENTOS!$E$5:$E$417)-SUMPRODUCT((MOVIMIENTOS!$B$5:$B$417="REGALO")*(MOVIMIENTOS!$C$5:$C$417="C")*(MOVIMIENTOS!$D$5:$D$417="jabas")*(MOVIMIENTOS!$A$5:$A$417&lt;&gt;"")*(MOVIMIENTOS!$A$5:$A$417&lt;=$A15)*MOVIMIENTOS!$E$5:$E$417)-SUMPRODUCT((MOVIMIENTOS!$B$5:$B$417="VENTA")*(MOVIMIENTOS!$C$5:$C$417="C")*(MOVIMIENTOS!$D$5:$D$417="jabas")*(MOVIMIENTOS!$A$5:$A$417&lt;&gt;"")*(MOVIMIENTOS!$A$5:$A$417&lt;=$A15)*MOVIMIENTOS!$E$5:$E$417)+SUMPRODUCT((MOVIMIENTOS!$B$5:$B$417="AJUSTE")*(MOVIMIENTOS!$C$5:$C$417="C")*(MOVIMIENTOS!$D$5:$D$417="jabas")*(MOVIMIENTOS!$A$5:$A$417&lt;&gt;"")*(MOVIMIENTOS!$A$5:$A$417&lt;=$A15)*MOVIMIENTOS!$E$5:$E$417))</f>
        <v>12</v>
      </c>
      <c r="E15" s="56">
        <f>IF($A15="","",SUMPRODUCT((MOVIMIENTOS!$B$5:$B$417="SALDO INICIAL")*(MOVIMIENTOS!$C$5:$C$417="M")*(MOVIMIENTOS!$D$5:$D$417="jabas")*(MOVIMIENTOS!$A$5:$A$417&lt;&gt;"")*(MOVIMIENTOS!$A$5:$A$417&lt;=$A15)*MOVIMIENTOS!$E$5:$E$417)+SUMPRODUCT((MOVIMIENTOS!$B$5:$B$417="PROCESO")*(MOVIMIENTOS!$C$5:$C$417="M")*(MOVIMIENTOS!$D$5:$D$417="jabas")*(MOVIMIENTOS!$A$5:$A$417&lt;&gt;"")*(MOVIMIENTOS!$A$5:$A$417&lt;=$A15)*MOVIMIENTOS!$E$5:$E$417)-SUMPRODUCT((MOVIMIENTOS!$B$5:$B$417="ENVÍO A SUPESA")*(MOVIMIENTOS!$C$5:$C$417="M")*(MOVIMIENTOS!$D$5:$D$417="jabas")*(MOVIMIENTOS!$A$5:$A$417&lt;&gt;"")*(MOVIMIENTOS!$A$5:$A$417&lt;=$A15)*MOVIMIENTOS!$E$5:$E$417)+SUMPRODUCT((MOVIMIENTOS!$B$5:$B$417="DEVOLUCIÓN")*(MOVIMIENTOS!$C$5:$C$417="M")*(MOVIMIENTOS!$D$5:$D$417="jabas")*(MOVIMIENTOS!$A$5:$A$417&lt;&gt;"")*(MOVIMIENTOS!$A$5:$A$417&lt;=$A15)*MOVIMIENTOS!$E$5:$E$417)-SUMPRODUCT((MOVIMIENTOS!$B$5:$B$417="TRASIEGO")*(MOVIMIENTOS!$C$5:$C$417="M")*(MOVIMIENTOS!$D$5:$D$417="jabas")*(MOVIMIENTOS!$A$5:$A$417&lt;&gt;"")*(MOVIMIENTOS!$A$5:$A$417&lt;=$A15)*MOVIMIENTOS!$E$5:$E$417)-SUMPRODUCT((MOVIMIENTOS!$B$5:$B$417="REGALO")*(MOVIMIENTOS!$C$5:$C$417="M")*(MOVIMIENTOS!$D$5:$D$417="jabas")*(MOVIMIENTOS!$A$5:$A$417&lt;&gt;"")*(MOVIMIENTOS!$A$5:$A$417&lt;=$A15)*MOVIMIENTOS!$E$5:$E$417)-SUMPRODUCT((MOVIMIENTOS!$B$5:$B$417="VENTA")*(MOVIMIENTOS!$C$5:$C$417="M")*(MOVIMIENTOS!$D$5:$D$417="jabas")*(MOVIMIENTOS!$A$5:$A$417&lt;&gt;"")*(MOVIMIENTOS!$A$5:$A$417&lt;=$A15)*MOVIMIENTOS!$E$5:$E$417)+SUMPRODUCT((MOVIMIENTOS!$B$5:$B$417="AJUSTE")*(MOVIMIENTOS!$C$5:$C$417="M")*(MOVIMIENTOS!$D$5:$D$417="jabas")*(MOVIMIENTOS!$A$5:$A$417&lt;&gt;"")*(MOVIMIENTOS!$A$5:$A$417&lt;=$A15)*MOVIMIENTOS!$E$5:$E$417))</f>
        <v>111</v>
      </c>
      <c r="F15" s="56">
        <f>IF($A15="","",SUMPRODUCT((MOVIMIENTOS!$B$5:$B$417="SALDO INICIAL")*(MOVIMIENTOS!$C$5:$C$417="Chancho")*(MOVIMIENTOS!$D$5:$D$417="sacos")*(MOVIMIENTOS!$A$5:$A$417&lt;&gt;"")*(MOVIMIENTOS!$A$5:$A$417&lt;=$A15)*MOVIMIENTOS!$E$5:$E$417)+SUMPRODUCT((MOVIMIENTOS!$B$5:$B$417="PROCESO")*(MOVIMIENTOS!$C$5:$C$417="Chancho")*(MOVIMIENTOS!$D$5:$D$417="sacos")*(MOVIMIENTOS!$A$5:$A$417&lt;&gt;"")*(MOVIMIENTOS!$A$5:$A$417&lt;=$A15)*MOVIMIENTOS!$E$5:$E$417)-SUMPRODUCT((MOVIMIENTOS!$B$5:$B$417="VENTA CHANCHO")*(MOVIMIENTOS!$C$5:$C$417="Chancho")*(MOVIMIENTOS!$D$5:$D$417="sacos")*(MOVIMIENTOS!$A$5:$A$417&lt;&gt;"")*(MOVIMIENTOS!$A$5:$A$417&lt;=$A15)*MOVIMIENTOS!$E$5:$E$417)-SUMPRODUCT((MOVIMIENTOS!$B$5:$B$417="REGALO")*(MOVIMIENTOS!$C$5:$C$417="Chancho")*(MOVIMIENTOS!$D$5:$D$417="sacos")*(MOVIMIENTOS!$A$5:$A$417&lt;&gt;"")*(MOVIMIENTOS!$A$5:$A$417&lt;=$A15)*MOVIMIENTOS!$E$5:$E$417)-SUMPRODUCT((MOVIMIENTOS!$B$5:$B$417="VENTA")*(MOVIMIENTOS!$C$5:$C$417="Chancho")*(MOVIMIENTOS!$D$5:$D$417="sacos")*(MOVIMIENTOS!$A$5:$A$417&lt;&gt;"")*(MOVIMIENTOS!$A$5:$A$417&lt;=$A15)*MOVIMIENTOS!$E$5:$E$417)+SUMPRODUCT((MOVIMIENTOS!$B$5:$B$417="AJUSTE")*(MOVIMIENTOS!$C$5:$C$417="Chancho")*(MOVIMIENTOS!$D$5:$D$417="sacos")*(MOVIMIENTOS!$A$5:$A$417&lt;&gt;"")*(MOVIMIENTOS!$A$5:$A$417&lt;=$A15)*MOVIMIENTOS!$E$5:$E$417))</f>
        <v>13.5</v>
      </c>
      <c r="G15" s="56">
        <f t="shared" si="1"/>
        <v>194</v>
      </c>
      <c r="H15" s="56">
        <f>IF($A15="","",SUMPRODUCT((((MOVIMIENTOS!$B$5:$B$417="SALDO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15)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15)*MOVIMIENTOS!$I$5:$I$417))</f>
        <v>745.5</v>
      </c>
      <c r="I15" s="54"/>
      <c r="J15" s="54" t="str">
        <f>IF(AND(MOVIMIENTOS!$A15&lt;&gt;"",COUNTIF(MOVIMIENTOS!$A$5:$A14,MOVIMIENTOS!$A15)=0),COUNT(J$4:J14)+1,"")</f>
        <v/>
      </c>
      <c r="K15" s="57">
        <f>MOVIMIENTOS!$A15</f>
        <v>46215</v>
      </c>
      <c r="L15" s="54"/>
      <c r="M15" s="54"/>
      <c r="N15" s="54"/>
    </row>
    <row r="16" spans="1:14" ht="15" customHeight="1" x14ac:dyDescent="0.2">
      <c r="A16" s="55">
        <f t="shared" si="0"/>
        <v>46225</v>
      </c>
      <c r="B16" s="56">
        <f>IF($A16="","",SUMPRODUCT((MOVIMIENTOS!$B$5:$B$417="SALDO INICIAL")*(MOVIMIENTOS!$C$5:$C$417="A")*(MOVIMIENTOS!$D$5:$D$417="jabas")*(MOVIMIENTOS!$A$5:$A$417&lt;&gt;"")*(MOVIMIENTOS!$A$5:$A$417&lt;=$A16)*MOVIMIENTOS!$E$5:$E$417)+SUMPRODUCT((MOVIMIENTOS!$B$5:$B$417="PROCESO")*(MOVIMIENTOS!$C$5:$C$417="A")*(MOVIMIENTOS!$D$5:$D$417="jabas")*(MOVIMIENTOS!$A$5:$A$417&lt;&gt;"")*(MOVIMIENTOS!$A$5:$A$417&lt;=$A16)*MOVIMIENTOS!$E$5:$E$417)-SUMPRODUCT((MOVIMIENTOS!$B$5:$B$417="ENVÍO A SUPESA")*(MOVIMIENTOS!$C$5:$C$417="A")*(MOVIMIENTOS!$D$5:$D$417="jabas")*(MOVIMIENTOS!$A$5:$A$417&lt;&gt;"")*(MOVIMIENTOS!$A$5:$A$417&lt;=$A16)*MOVIMIENTOS!$E$5:$E$417)+SUMPRODUCT((MOVIMIENTOS!$B$5:$B$417="DEVOLUCIÓN")*(MOVIMIENTOS!$C$5:$C$417="A")*(MOVIMIENTOS!$D$5:$D$417="jabas")*(MOVIMIENTOS!$A$5:$A$417&lt;&gt;"")*(MOVIMIENTOS!$A$5:$A$417&lt;=$A16)*MOVIMIENTOS!$E$5:$E$417)-SUMPRODUCT((MOVIMIENTOS!$B$5:$B$417="TRASIEGO")*(MOVIMIENTOS!$C$5:$C$417="A")*(MOVIMIENTOS!$D$5:$D$417="jabas")*(MOVIMIENTOS!$A$5:$A$417&lt;&gt;"")*(MOVIMIENTOS!$A$5:$A$417&lt;=$A16)*MOVIMIENTOS!$E$5:$E$417)-SUMPRODUCT((MOVIMIENTOS!$B$5:$B$417="REGALO")*(MOVIMIENTOS!$C$5:$C$417="A")*(MOVIMIENTOS!$D$5:$D$417="jabas")*(MOVIMIENTOS!$A$5:$A$417&lt;&gt;"")*(MOVIMIENTOS!$A$5:$A$417&lt;=$A16)*MOVIMIENTOS!$E$5:$E$417)-SUMPRODUCT((MOVIMIENTOS!$B$5:$B$417="VENTA")*(MOVIMIENTOS!$C$5:$C$417="A")*(MOVIMIENTOS!$D$5:$D$417="jabas")*(MOVIMIENTOS!$A$5:$A$417&lt;&gt;"")*(MOVIMIENTOS!$A$5:$A$417&lt;=$A16)*MOVIMIENTOS!$E$5:$E$417)+SUMPRODUCT((MOVIMIENTOS!$B$5:$B$417="AJUSTE")*(MOVIMIENTOS!$C$5:$C$417="A")*(MOVIMIENTOS!$D$5:$D$417="jabas")*(MOVIMIENTOS!$A$5:$A$417&lt;&gt;"")*(MOVIMIENTOS!$A$5:$A$417&lt;=$A16)*MOVIMIENTOS!$E$5:$E$417))</f>
        <v>56</v>
      </c>
      <c r="C16" s="56">
        <f>IF($A16="","",SUMPRODUCT((MOVIMIENTOS!$B$5:$B$417="SALDO INICIAL")*(MOVIMIENTOS!$C$5:$C$417="P")*(MOVIMIENTOS!$D$5:$D$417="jabas")*(MOVIMIENTOS!$A$5:$A$417&lt;&gt;"")*(MOVIMIENTOS!$A$5:$A$417&lt;=$A16)*MOVIMIENTOS!$E$5:$E$417)+SUMPRODUCT((MOVIMIENTOS!$B$5:$B$417="PROCESO")*(MOVIMIENTOS!$C$5:$C$417="P")*(MOVIMIENTOS!$D$5:$D$417="jabas")*(MOVIMIENTOS!$A$5:$A$417&lt;&gt;"")*(MOVIMIENTOS!$A$5:$A$417&lt;=$A16)*MOVIMIENTOS!$E$5:$E$417)-SUMPRODUCT((MOVIMIENTOS!$B$5:$B$417="ENVÍO A SUPESA")*(MOVIMIENTOS!$C$5:$C$417="P")*(MOVIMIENTOS!$D$5:$D$417="jabas")*(MOVIMIENTOS!$A$5:$A$417&lt;&gt;"")*(MOVIMIENTOS!$A$5:$A$417&lt;=$A16)*MOVIMIENTOS!$E$5:$E$417)+SUMPRODUCT((MOVIMIENTOS!$B$5:$B$417="DEVOLUCIÓN")*(MOVIMIENTOS!$C$5:$C$417="P")*(MOVIMIENTOS!$D$5:$D$417="jabas")*(MOVIMIENTOS!$A$5:$A$417&lt;&gt;"")*(MOVIMIENTOS!$A$5:$A$417&lt;=$A16)*MOVIMIENTOS!$E$5:$E$417)-SUMPRODUCT((MOVIMIENTOS!$B$5:$B$417="TRASIEGO")*(MOVIMIENTOS!$C$5:$C$417="P")*(MOVIMIENTOS!$D$5:$D$417="jabas")*(MOVIMIENTOS!$A$5:$A$417&lt;&gt;"")*(MOVIMIENTOS!$A$5:$A$417&lt;=$A16)*MOVIMIENTOS!$E$5:$E$417)-SUMPRODUCT((MOVIMIENTOS!$B$5:$B$417="REGALO")*(MOVIMIENTOS!$C$5:$C$417="P")*(MOVIMIENTOS!$D$5:$D$417="jabas")*(MOVIMIENTOS!$A$5:$A$417&lt;&gt;"")*(MOVIMIENTOS!$A$5:$A$417&lt;=$A16)*MOVIMIENTOS!$E$5:$E$417)-SUMPRODUCT((MOVIMIENTOS!$B$5:$B$417="VENTA")*(MOVIMIENTOS!$C$5:$C$417="P")*(MOVIMIENTOS!$D$5:$D$417="jabas")*(MOVIMIENTOS!$A$5:$A$417&lt;&gt;"")*(MOVIMIENTOS!$A$5:$A$417&lt;=$A16)*MOVIMIENTOS!$E$5:$E$417)+SUMPRODUCT((MOVIMIENTOS!$B$5:$B$417="AJUSTE")*(MOVIMIENTOS!$C$5:$C$417="P")*(MOVIMIENTOS!$D$5:$D$417="jabas")*(MOVIMIENTOS!$A$5:$A$417&lt;&gt;"")*(MOVIMIENTOS!$A$5:$A$417&lt;=$A16)*MOVIMIENTOS!$E$5:$E$417))</f>
        <v>11</v>
      </c>
      <c r="D16" s="56">
        <f>IF($A16="","",SUMPRODUCT((MOVIMIENTOS!$B$5:$B$417="SALDO INICIAL")*(MOVIMIENTOS!$C$5:$C$417="C")*(MOVIMIENTOS!$D$5:$D$417="jabas")*(MOVIMIENTOS!$A$5:$A$417&lt;&gt;"")*(MOVIMIENTOS!$A$5:$A$417&lt;=$A16)*MOVIMIENTOS!$E$5:$E$417)+SUMPRODUCT((MOVIMIENTOS!$B$5:$B$417="PROCESO")*(MOVIMIENTOS!$C$5:$C$417="C")*(MOVIMIENTOS!$D$5:$D$417="jabas")*(MOVIMIENTOS!$A$5:$A$417&lt;&gt;"")*(MOVIMIENTOS!$A$5:$A$417&lt;=$A16)*MOVIMIENTOS!$E$5:$E$417)-SUMPRODUCT((MOVIMIENTOS!$B$5:$B$417="ENVÍO A SUPESA")*(MOVIMIENTOS!$C$5:$C$417="C")*(MOVIMIENTOS!$D$5:$D$417="jabas")*(MOVIMIENTOS!$A$5:$A$417&lt;&gt;"")*(MOVIMIENTOS!$A$5:$A$417&lt;=$A16)*MOVIMIENTOS!$E$5:$E$417)+SUMPRODUCT((MOVIMIENTOS!$B$5:$B$417="DEVOLUCIÓN")*(MOVIMIENTOS!$C$5:$C$417="C")*(MOVIMIENTOS!$D$5:$D$417="jabas")*(MOVIMIENTOS!$A$5:$A$417&lt;&gt;"")*(MOVIMIENTOS!$A$5:$A$417&lt;=$A16)*MOVIMIENTOS!$E$5:$E$417)-SUMPRODUCT((MOVIMIENTOS!$B$5:$B$417="TRASIEGO")*(MOVIMIENTOS!$C$5:$C$417="C")*(MOVIMIENTOS!$D$5:$D$417="jabas")*(MOVIMIENTOS!$A$5:$A$417&lt;&gt;"")*(MOVIMIENTOS!$A$5:$A$417&lt;=$A16)*MOVIMIENTOS!$E$5:$E$417)-SUMPRODUCT((MOVIMIENTOS!$B$5:$B$417="REGALO")*(MOVIMIENTOS!$C$5:$C$417="C")*(MOVIMIENTOS!$D$5:$D$417="jabas")*(MOVIMIENTOS!$A$5:$A$417&lt;&gt;"")*(MOVIMIENTOS!$A$5:$A$417&lt;=$A16)*MOVIMIENTOS!$E$5:$E$417)-SUMPRODUCT((MOVIMIENTOS!$B$5:$B$417="VENTA")*(MOVIMIENTOS!$C$5:$C$417="C")*(MOVIMIENTOS!$D$5:$D$417="jabas")*(MOVIMIENTOS!$A$5:$A$417&lt;&gt;"")*(MOVIMIENTOS!$A$5:$A$417&lt;=$A16)*MOVIMIENTOS!$E$5:$E$417)+SUMPRODUCT((MOVIMIENTOS!$B$5:$B$417="AJUSTE")*(MOVIMIENTOS!$C$5:$C$417="C")*(MOVIMIENTOS!$D$5:$D$417="jabas")*(MOVIMIENTOS!$A$5:$A$417&lt;&gt;"")*(MOVIMIENTOS!$A$5:$A$417&lt;=$A16)*MOVIMIENTOS!$E$5:$E$417))</f>
        <v>12</v>
      </c>
      <c r="E16" s="56">
        <f>IF($A16="","",SUMPRODUCT((MOVIMIENTOS!$B$5:$B$417="SALDO INICIAL")*(MOVIMIENTOS!$C$5:$C$417="M")*(MOVIMIENTOS!$D$5:$D$417="jabas")*(MOVIMIENTOS!$A$5:$A$417&lt;&gt;"")*(MOVIMIENTOS!$A$5:$A$417&lt;=$A16)*MOVIMIENTOS!$E$5:$E$417)+SUMPRODUCT((MOVIMIENTOS!$B$5:$B$417="PROCESO")*(MOVIMIENTOS!$C$5:$C$417="M")*(MOVIMIENTOS!$D$5:$D$417="jabas")*(MOVIMIENTOS!$A$5:$A$417&lt;&gt;"")*(MOVIMIENTOS!$A$5:$A$417&lt;=$A16)*MOVIMIENTOS!$E$5:$E$417)-SUMPRODUCT((MOVIMIENTOS!$B$5:$B$417="ENVÍO A SUPESA")*(MOVIMIENTOS!$C$5:$C$417="M")*(MOVIMIENTOS!$D$5:$D$417="jabas")*(MOVIMIENTOS!$A$5:$A$417&lt;&gt;"")*(MOVIMIENTOS!$A$5:$A$417&lt;=$A16)*MOVIMIENTOS!$E$5:$E$417)+SUMPRODUCT((MOVIMIENTOS!$B$5:$B$417="DEVOLUCIÓN")*(MOVIMIENTOS!$C$5:$C$417="M")*(MOVIMIENTOS!$D$5:$D$417="jabas")*(MOVIMIENTOS!$A$5:$A$417&lt;&gt;"")*(MOVIMIENTOS!$A$5:$A$417&lt;=$A16)*MOVIMIENTOS!$E$5:$E$417)-SUMPRODUCT((MOVIMIENTOS!$B$5:$B$417="TRASIEGO")*(MOVIMIENTOS!$C$5:$C$417="M")*(MOVIMIENTOS!$D$5:$D$417="jabas")*(MOVIMIENTOS!$A$5:$A$417&lt;&gt;"")*(MOVIMIENTOS!$A$5:$A$417&lt;=$A16)*MOVIMIENTOS!$E$5:$E$417)-SUMPRODUCT((MOVIMIENTOS!$B$5:$B$417="REGALO")*(MOVIMIENTOS!$C$5:$C$417="M")*(MOVIMIENTOS!$D$5:$D$417="jabas")*(MOVIMIENTOS!$A$5:$A$417&lt;&gt;"")*(MOVIMIENTOS!$A$5:$A$417&lt;=$A16)*MOVIMIENTOS!$E$5:$E$417)-SUMPRODUCT((MOVIMIENTOS!$B$5:$B$417="VENTA")*(MOVIMIENTOS!$C$5:$C$417="M")*(MOVIMIENTOS!$D$5:$D$417="jabas")*(MOVIMIENTOS!$A$5:$A$417&lt;&gt;"")*(MOVIMIENTOS!$A$5:$A$417&lt;=$A16)*MOVIMIENTOS!$E$5:$E$417)+SUMPRODUCT((MOVIMIENTOS!$B$5:$B$417="AJUSTE")*(MOVIMIENTOS!$C$5:$C$417="M")*(MOVIMIENTOS!$D$5:$D$417="jabas")*(MOVIMIENTOS!$A$5:$A$417&lt;&gt;"")*(MOVIMIENTOS!$A$5:$A$417&lt;=$A16)*MOVIMIENTOS!$E$5:$E$417))</f>
        <v>120</v>
      </c>
      <c r="F16" s="56">
        <f>IF($A16="","",SUMPRODUCT((MOVIMIENTOS!$B$5:$B$417="SALDO INICIAL")*(MOVIMIENTOS!$C$5:$C$417="Chancho")*(MOVIMIENTOS!$D$5:$D$417="sacos")*(MOVIMIENTOS!$A$5:$A$417&lt;&gt;"")*(MOVIMIENTOS!$A$5:$A$417&lt;=$A16)*MOVIMIENTOS!$E$5:$E$417)+SUMPRODUCT((MOVIMIENTOS!$B$5:$B$417="PROCESO")*(MOVIMIENTOS!$C$5:$C$417="Chancho")*(MOVIMIENTOS!$D$5:$D$417="sacos")*(MOVIMIENTOS!$A$5:$A$417&lt;&gt;"")*(MOVIMIENTOS!$A$5:$A$417&lt;=$A16)*MOVIMIENTOS!$E$5:$E$417)-SUMPRODUCT((MOVIMIENTOS!$B$5:$B$417="VENTA CHANCHO")*(MOVIMIENTOS!$C$5:$C$417="Chancho")*(MOVIMIENTOS!$D$5:$D$417="sacos")*(MOVIMIENTOS!$A$5:$A$417&lt;&gt;"")*(MOVIMIENTOS!$A$5:$A$417&lt;=$A16)*MOVIMIENTOS!$E$5:$E$417)-SUMPRODUCT((MOVIMIENTOS!$B$5:$B$417="REGALO")*(MOVIMIENTOS!$C$5:$C$417="Chancho")*(MOVIMIENTOS!$D$5:$D$417="sacos")*(MOVIMIENTOS!$A$5:$A$417&lt;&gt;"")*(MOVIMIENTOS!$A$5:$A$417&lt;=$A16)*MOVIMIENTOS!$E$5:$E$417)-SUMPRODUCT((MOVIMIENTOS!$B$5:$B$417="VENTA")*(MOVIMIENTOS!$C$5:$C$417="Chancho")*(MOVIMIENTOS!$D$5:$D$417="sacos")*(MOVIMIENTOS!$A$5:$A$417&lt;&gt;"")*(MOVIMIENTOS!$A$5:$A$417&lt;=$A16)*MOVIMIENTOS!$E$5:$E$417)+SUMPRODUCT((MOVIMIENTOS!$B$5:$B$417="AJUSTE")*(MOVIMIENTOS!$C$5:$C$417="Chancho")*(MOVIMIENTOS!$D$5:$D$417="sacos")*(MOVIMIENTOS!$A$5:$A$417&lt;&gt;"")*(MOVIMIENTOS!$A$5:$A$417&lt;=$A16)*MOVIMIENTOS!$E$5:$E$417))</f>
        <v>11.5</v>
      </c>
      <c r="G16" s="56">
        <f t="shared" si="1"/>
        <v>199</v>
      </c>
      <c r="H16" s="56">
        <f>IF($A16="","",SUMPRODUCT((((MOVIMIENTOS!$B$5:$B$417="SALDO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16)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16)*MOVIMIENTOS!$I$5:$I$417))</f>
        <v>3577.5</v>
      </c>
      <c r="I16" s="54"/>
      <c r="J16" s="54" t="str">
        <f>IF(AND(MOVIMIENTOS!$A16&lt;&gt;"",COUNTIF(MOVIMIENTOS!$A$5:$A15,MOVIMIENTOS!$A16)=0),COUNT(J$4:J15)+1,"")</f>
        <v/>
      </c>
      <c r="K16" s="57">
        <f>MOVIMIENTOS!$A16</f>
        <v>46215</v>
      </c>
      <c r="L16" s="54"/>
      <c r="M16" s="54"/>
      <c r="N16" s="54"/>
    </row>
    <row r="17" spans="1:14" ht="15" customHeight="1" x14ac:dyDescent="0.2">
      <c r="A17" s="55">
        <f t="shared" si="0"/>
        <v>46226</v>
      </c>
      <c r="B17" s="56">
        <f>IF($A17="","",SUMPRODUCT((MOVIMIENTOS!$B$5:$B$417="SALDO INICIAL")*(MOVIMIENTOS!$C$5:$C$417="A")*(MOVIMIENTOS!$D$5:$D$417="jabas")*(MOVIMIENTOS!$A$5:$A$417&lt;&gt;"")*(MOVIMIENTOS!$A$5:$A$417&lt;=$A17)*MOVIMIENTOS!$E$5:$E$417)+SUMPRODUCT((MOVIMIENTOS!$B$5:$B$417="PROCESO")*(MOVIMIENTOS!$C$5:$C$417="A")*(MOVIMIENTOS!$D$5:$D$417="jabas")*(MOVIMIENTOS!$A$5:$A$417&lt;&gt;"")*(MOVIMIENTOS!$A$5:$A$417&lt;=$A17)*MOVIMIENTOS!$E$5:$E$417)-SUMPRODUCT((MOVIMIENTOS!$B$5:$B$417="ENVÍO A SUPESA")*(MOVIMIENTOS!$C$5:$C$417="A")*(MOVIMIENTOS!$D$5:$D$417="jabas")*(MOVIMIENTOS!$A$5:$A$417&lt;&gt;"")*(MOVIMIENTOS!$A$5:$A$417&lt;=$A17)*MOVIMIENTOS!$E$5:$E$417)+SUMPRODUCT((MOVIMIENTOS!$B$5:$B$417="DEVOLUCIÓN")*(MOVIMIENTOS!$C$5:$C$417="A")*(MOVIMIENTOS!$D$5:$D$417="jabas")*(MOVIMIENTOS!$A$5:$A$417&lt;&gt;"")*(MOVIMIENTOS!$A$5:$A$417&lt;=$A17)*MOVIMIENTOS!$E$5:$E$417)-SUMPRODUCT((MOVIMIENTOS!$B$5:$B$417="TRASIEGO")*(MOVIMIENTOS!$C$5:$C$417="A")*(MOVIMIENTOS!$D$5:$D$417="jabas")*(MOVIMIENTOS!$A$5:$A$417&lt;&gt;"")*(MOVIMIENTOS!$A$5:$A$417&lt;=$A17)*MOVIMIENTOS!$E$5:$E$417)-SUMPRODUCT((MOVIMIENTOS!$B$5:$B$417="REGALO")*(MOVIMIENTOS!$C$5:$C$417="A")*(MOVIMIENTOS!$D$5:$D$417="jabas")*(MOVIMIENTOS!$A$5:$A$417&lt;&gt;"")*(MOVIMIENTOS!$A$5:$A$417&lt;=$A17)*MOVIMIENTOS!$E$5:$E$417)-SUMPRODUCT((MOVIMIENTOS!$B$5:$B$417="VENTA")*(MOVIMIENTOS!$C$5:$C$417="A")*(MOVIMIENTOS!$D$5:$D$417="jabas")*(MOVIMIENTOS!$A$5:$A$417&lt;&gt;"")*(MOVIMIENTOS!$A$5:$A$417&lt;=$A17)*MOVIMIENTOS!$E$5:$E$417)+SUMPRODUCT((MOVIMIENTOS!$B$5:$B$417="AJUSTE")*(MOVIMIENTOS!$C$5:$C$417="A")*(MOVIMIENTOS!$D$5:$D$417="jabas")*(MOVIMIENTOS!$A$5:$A$417&lt;&gt;"")*(MOVIMIENTOS!$A$5:$A$417&lt;=$A17)*MOVIMIENTOS!$E$5:$E$417))</f>
        <v>67</v>
      </c>
      <c r="C17" s="56">
        <f>IF($A17="","",SUMPRODUCT((MOVIMIENTOS!$B$5:$B$417="SALDO INICIAL")*(MOVIMIENTOS!$C$5:$C$417="P")*(MOVIMIENTOS!$D$5:$D$417="jabas")*(MOVIMIENTOS!$A$5:$A$417&lt;&gt;"")*(MOVIMIENTOS!$A$5:$A$417&lt;=$A17)*MOVIMIENTOS!$E$5:$E$417)+SUMPRODUCT((MOVIMIENTOS!$B$5:$B$417="PROCESO")*(MOVIMIENTOS!$C$5:$C$417="P")*(MOVIMIENTOS!$D$5:$D$417="jabas")*(MOVIMIENTOS!$A$5:$A$417&lt;&gt;"")*(MOVIMIENTOS!$A$5:$A$417&lt;=$A17)*MOVIMIENTOS!$E$5:$E$417)-SUMPRODUCT((MOVIMIENTOS!$B$5:$B$417="ENVÍO A SUPESA")*(MOVIMIENTOS!$C$5:$C$417="P")*(MOVIMIENTOS!$D$5:$D$417="jabas")*(MOVIMIENTOS!$A$5:$A$417&lt;&gt;"")*(MOVIMIENTOS!$A$5:$A$417&lt;=$A17)*MOVIMIENTOS!$E$5:$E$417)+SUMPRODUCT((MOVIMIENTOS!$B$5:$B$417="DEVOLUCIÓN")*(MOVIMIENTOS!$C$5:$C$417="P")*(MOVIMIENTOS!$D$5:$D$417="jabas")*(MOVIMIENTOS!$A$5:$A$417&lt;&gt;"")*(MOVIMIENTOS!$A$5:$A$417&lt;=$A17)*MOVIMIENTOS!$E$5:$E$417)-SUMPRODUCT((MOVIMIENTOS!$B$5:$B$417="TRASIEGO")*(MOVIMIENTOS!$C$5:$C$417="P")*(MOVIMIENTOS!$D$5:$D$417="jabas")*(MOVIMIENTOS!$A$5:$A$417&lt;&gt;"")*(MOVIMIENTOS!$A$5:$A$417&lt;=$A17)*MOVIMIENTOS!$E$5:$E$417)-SUMPRODUCT((MOVIMIENTOS!$B$5:$B$417="REGALO")*(MOVIMIENTOS!$C$5:$C$417="P")*(MOVIMIENTOS!$D$5:$D$417="jabas")*(MOVIMIENTOS!$A$5:$A$417&lt;&gt;"")*(MOVIMIENTOS!$A$5:$A$417&lt;=$A17)*MOVIMIENTOS!$E$5:$E$417)-SUMPRODUCT((MOVIMIENTOS!$B$5:$B$417="VENTA")*(MOVIMIENTOS!$C$5:$C$417="P")*(MOVIMIENTOS!$D$5:$D$417="jabas")*(MOVIMIENTOS!$A$5:$A$417&lt;&gt;"")*(MOVIMIENTOS!$A$5:$A$417&lt;=$A17)*MOVIMIENTOS!$E$5:$E$417)+SUMPRODUCT((MOVIMIENTOS!$B$5:$B$417="AJUSTE")*(MOVIMIENTOS!$C$5:$C$417="P")*(MOVIMIENTOS!$D$5:$D$417="jabas")*(MOVIMIENTOS!$A$5:$A$417&lt;&gt;"")*(MOVIMIENTOS!$A$5:$A$417&lt;=$A17)*MOVIMIENTOS!$E$5:$E$417))</f>
        <v>11</v>
      </c>
      <c r="D17" s="56">
        <f>IF($A17="","",SUMPRODUCT((MOVIMIENTOS!$B$5:$B$417="SALDO INICIAL")*(MOVIMIENTOS!$C$5:$C$417="C")*(MOVIMIENTOS!$D$5:$D$417="jabas")*(MOVIMIENTOS!$A$5:$A$417&lt;&gt;"")*(MOVIMIENTOS!$A$5:$A$417&lt;=$A17)*MOVIMIENTOS!$E$5:$E$417)+SUMPRODUCT((MOVIMIENTOS!$B$5:$B$417="PROCESO")*(MOVIMIENTOS!$C$5:$C$417="C")*(MOVIMIENTOS!$D$5:$D$417="jabas")*(MOVIMIENTOS!$A$5:$A$417&lt;&gt;"")*(MOVIMIENTOS!$A$5:$A$417&lt;=$A17)*MOVIMIENTOS!$E$5:$E$417)-SUMPRODUCT((MOVIMIENTOS!$B$5:$B$417="ENVÍO A SUPESA")*(MOVIMIENTOS!$C$5:$C$417="C")*(MOVIMIENTOS!$D$5:$D$417="jabas")*(MOVIMIENTOS!$A$5:$A$417&lt;&gt;"")*(MOVIMIENTOS!$A$5:$A$417&lt;=$A17)*MOVIMIENTOS!$E$5:$E$417)+SUMPRODUCT((MOVIMIENTOS!$B$5:$B$417="DEVOLUCIÓN")*(MOVIMIENTOS!$C$5:$C$417="C")*(MOVIMIENTOS!$D$5:$D$417="jabas")*(MOVIMIENTOS!$A$5:$A$417&lt;&gt;"")*(MOVIMIENTOS!$A$5:$A$417&lt;=$A17)*MOVIMIENTOS!$E$5:$E$417)-SUMPRODUCT((MOVIMIENTOS!$B$5:$B$417="TRASIEGO")*(MOVIMIENTOS!$C$5:$C$417="C")*(MOVIMIENTOS!$D$5:$D$417="jabas")*(MOVIMIENTOS!$A$5:$A$417&lt;&gt;"")*(MOVIMIENTOS!$A$5:$A$417&lt;=$A17)*MOVIMIENTOS!$E$5:$E$417)-SUMPRODUCT((MOVIMIENTOS!$B$5:$B$417="REGALO")*(MOVIMIENTOS!$C$5:$C$417="C")*(MOVIMIENTOS!$D$5:$D$417="jabas")*(MOVIMIENTOS!$A$5:$A$417&lt;&gt;"")*(MOVIMIENTOS!$A$5:$A$417&lt;=$A17)*MOVIMIENTOS!$E$5:$E$417)-SUMPRODUCT((MOVIMIENTOS!$B$5:$B$417="VENTA")*(MOVIMIENTOS!$C$5:$C$417="C")*(MOVIMIENTOS!$D$5:$D$417="jabas")*(MOVIMIENTOS!$A$5:$A$417&lt;&gt;"")*(MOVIMIENTOS!$A$5:$A$417&lt;=$A17)*MOVIMIENTOS!$E$5:$E$417)+SUMPRODUCT((MOVIMIENTOS!$B$5:$B$417="AJUSTE")*(MOVIMIENTOS!$C$5:$C$417="C")*(MOVIMIENTOS!$D$5:$D$417="jabas")*(MOVIMIENTOS!$A$5:$A$417&lt;&gt;"")*(MOVIMIENTOS!$A$5:$A$417&lt;=$A17)*MOVIMIENTOS!$E$5:$E$417))</f>
        <v>12</v>
      </c>
      <c r="E17" s="56">
        <f>IF($A17="","",SUMPRODUCT((MOVIMIENTOS!$B$5:$B$417="SALDO INICIAL")*(MOVIMIENTOS!$C$5:$C$417="M")*(MOVIMIENTOS!$D$5:$D$417="jabas")*(MOVIMIENTOS!$A$5:$A$417&lt;&gt;"")*(MOVIMIENTOS!$A$5:$A$417&lt;=$A17)*MOVIMIENTOS!$E$5:$E$417)+SUMPRODUCT((MOVIMIENTOS!$B$5:$B$417="PROCESO")*(MOVIMIENTOS!$C$5:$C$417="M")*(MOVIMIENTOS!$D$5:$D$417="jabas")*(MOVIMIENTOS!$A$5:$A$417&lt;&gt;"")*(MOVIMIENTOS!$A$5:$A$417&lt;=$A17)*MOVIMIENTOS!$E$5:$E$417)-SUMPRODUCT((MOVIMIENTOS!$B$5:$B$417="ENVÍO A SUPESA")*(MOVIMIENTOS!$C$5:$C$417="M")*(MOVIMIENTOS!$D$5:$D$417="jabas")*(MOVIMIENTOS!$A$5:$A$417&lt;&gt;"")*(MOVIMIENTOS!$A$5:$A$417&lt;=$A17)*MOVIMIENTOS!$E$5:$E$417)+SUMPRODUCT((MOVIMIENTOS!$B$5:$B$417="DEVOLUCIÓN")*(MOVIMIENTOS!$C$5:$C$417="M")*(MOVIMIENTOS!$D$5:$D$417="jabas")*(MOVIMIENTOS!$A$5:$A$417&lt;&gt;"")*(MOVIMIENTOS!$A$5:$A$417&lt;=$A17)*MOVIMIENTOS!$E$5:$E$417)-SUMPRODUCT((MOVIMIENTOS!$B$5:$B$417="TRASIEGO")*(MOVIMIENTOS!$C$5:$C$417="M")*(MOVIMIENTOS!$D$5:$D$417="jabas")*(MOVIMIENTOS!$A$5:$A$417&lt;&gt;"")*(MOVIMIENTOS!$A$5:$A$417&lt;=$A17)*MOVIMIENTOS!$E$5:$E$417)-SUMPRODUCT((MOVIMIENTOS!$B$5:$B$417="REGALO")*(MOVIMIENTOS!$C$5:$C$417="M")*(MOVIMIENTOS!$D$5:$D$417="jabas")*(MOVIMIENTOS!$A$5:$A$417&lt;&gt;"")*(MOVIMIENTOS!$A$5:$A$417&lt;=$A17)*MOVIMIENTOS!$E$5:$E$417)-SUMPRODUCT((MOVIMIENTOS!$B$5:$B$417="VENTA")*(MOVIMIENTOS!$C$5:$C$417="M")*(MOVIMIENTOS!$D$5:$D$417="jabas")*(MOVIMIENTOS!$A$5:$A$417&lt;&gt;"")*(MOVIMIENTOS!$A$5:$A$417&lt;=$A17)*MOVIMIENTOS!$E$5:$E$417)+SUMPRODUCT((MOVIMIENTOS!$B$5:$B$417="AJUSTE")*(MOVIMIENTOS!$C$5:$C$417="M")*(MOVIMIENTOS!$D$5:$D$417="jabas")*(MOVIMIENTOS!$A$5:$A$417&lt;&gt;"")*(MOVIMIENTOS!$A$5:$A$417&lt;=$A17)*MOVIMIENTOS!$E$5:$E$417))</f>
        <v>96</v>
      </c>
      <c r="F17" s="56">
        <f>IF($A17="","",SUMPRODUCT((MOVIMIENTOS!$B$5:$B$417="SALDO INICIAL")*(MOVIMIENTOS!$C$5:$C$417="Chancho")*(MOVIMIENTOS!$D$5:$D$417="sacos")*(MOVIMIENTOS!$A$5:$A$417&lt;&gt;"")*(MOVIMIENTOS!$A$5:$A$417&lt;=$A17)*MOVIMIENTOS!$E$5:$E$417)+SUMPRODUCT((MOVIMIENTOS!$B$5:$B$417="PROCESO")*(MOVIMIENTOS!$C$5:$C$417="Chancho")*(MOVIMIENTOS!$D$5:$D$417="sacos")*(MOVIMIENTOS!$A$5:$A$417&lt;&gt;"")*(MOVIMIENTOS!$A$5:$A$417&lt;=$A17)*MOVIMIENTOS!$E$5:$E$417)-SUMPRODUCT((MOVIMIENTOS!$B$5:$B$417="VENTA CHANCHO")*(MOVIMIENTOS!$C$5:$C$417="Chancho")*(MOVIMIENTOS!$D$5:$D$417="sacos")*(MOVIMIENTOS!$A$5:$A$417&lt;&gt;"")*(MOVIMIENTOS!$A$5:$A$417&lt;=$A17)*MOVIMIENTOS!$E$5:$E$417)-SUMPRODUCT((MOVIMIENTOS!$B$5:$B$417="REGALO")*(MOVIMIENTOS!$C$5:$C$417="Chancho")*(MOVIMIENTOS!$D$5:$D$417="sacos")*(MOVIMIENTOS!$A$5:$A$417&lt;&gt;"")*(MOVIMIENTOS!$A$5:$A$417&lt;=$A17)*MOVIMIENTOS!$E$5:$E$417)-SUMPRODUCT((MOVIMIENTOS!$B$5:$B$417="VENTA")*(MOVIMIENTOS!$C$5:$C$417="Chancho")*(MOVIMIENTOS!$D$5:$D$417="sacos")*(MOVIMIENTOS!$A$5:$A$417&lt;&gt;"")*(MOVIMIENTOS!$A$5:$A$417&lt;=$A17)*MOVIMIENTOS!$E$5:$E$417)+SUMPRODUCT((MOVIMIENTOS!$B$5:$B$417="AJUSTE")*(MOVIMIENTOS!$C$5:$C$417="Chancho")*(MOVIMIENTOS!$D$5:$D$417="sacos")*(MOVIMIENTOS!$A$5:$A$417&lt;&gt;"")*(MOVIMIENTOS!$A$5:$A$417&lt;=$A17)*MOVIMIENTOS!$E$5:$E$417))</f>
        <v>18</v>
      </c>
      <c r="G17" s="56">
        <f t="shared" si="1"/>
        <v>186</v>
      </c>
      <c r="H17" s="56">
        <f>IF($A17="","",SUMPRODUCT((((MOVIMIENTOS!$B$5:$B$417="SALDO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17)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17)*MOVIMIENTOS!$I$5:$I$417))</f>
        <v>3414</v>
      </c>
      <c r="I17" s="54"/>
      <c r="J17" s="54" t="str">
        <f>IF(AND(MOVIMIENTOS!$A17&lt;&gt;"",COUNTIF(MOVIMIENTOS!$A$5:$A16,MOVIMIENTOS!$A17)=0),COUNT(J$4:J16)+1,"")</f>
        <v/>
      </c>
      <c r="K17" s="57">
        <f>MOVIMIENTOS!$A17</f>
        <v>46215</v>
      </c>
      <c r="L17" s="54"/>
      <c r="M17" s="54"/>
      <c r="N17" s="54"/>
    </row>
    <row r="18" spans="1:14" ht="15" customHeight="1" x14ac:dyDescent="0.2">
      <c r="A18" s="55">
        <f t="shared" si="0"/>
        <v>46227</v>
      </c>
      <c r="B18" s="56">
        <f>IF($A18="","",SUMPRODUCT((MOVIMIENTOS!$B$5:$B$417="SALDO INICIAL")*(MOVIMIENTOS!$C$5:$C$417="A")*(MOVIMIENTOS!$D$5:$D$417="jabas")*(MOVIMIENTOS!$A$5:$A$417&lt;&gt;"")*(MOVIMIENTOS!$A$5:$A$417&lt;=$A18)*MOVIMIENTOS!$E$5:$E$417)+SUMPRODUCT((MOVIMIENTOS!$B$5:$B$417="PROCESO")*(MOVIMIENTOS!$C$5:$C$417="A")*(MOVIMIENTOS!$D$5:$D$417="jabas")*(MOVIMIENTOS!$A$5:$A$417&lt;&gt;"")*(MOVIMIENTOS!$A$5:$A$417&lt;=$A18)*MOVIMIENTOS!$E$5:$E$417)-SUMPRODUCT((MOVIMIENTOS!$B$5:$B$417="ENVÍO A SUPESA")*(MOVIMIENTOS!$C$5:$C$417="A")*(MOVIMIENTOS!$D$5:$D$417="jabas")*(MOVIMIENTOS!$A$5:$A$417&lt;&gt;"")*(MOVIMIENTOS!$A$5:$A$417&lt;=$A18)*MOVIMIENTOS!$E$5:$E$417)+SUMPRODUCT((MOVIMIENTOS!$B$5:$B$417="DEVOLUCIÓN")*(MOVIMIENTOS!$C$5:$C$417="A")*(MOVIMIENTOS!$D$5:$D$417="jabas")*(MOVIMIENTOS!$A$5:$A$417&lt;&gt;"")*(MOVIMIENTOS!$A$5:$A$417&lt;=$A18)*MOVIMIENTOS!$E$5:$E$417)-SUMPRODUCT((MOVIMIENTOS!$B$5:$B$417="TRASIEGO")*(MOVIMIENTOS!$C$5:$C$417="A")*(MOVIMIENTOS!$D$5:$D$417="jabas")*(MOVIMIENTOS!$A$5:$A$417&lt;&gt;"")*(MOVIMIENTOS!$A$5:$A$417&lt;=$A18)*MOVIMIENTOS!$E$5:$E$417)-SUMPRODUCT((MOVIMIENTOS!$B$5:$B$417="REGALO")*(MOVIMIENTOS!$C$5:$C$417="A")*(MOVIMIENTOS!$D$5:$D$417="jabas")*(MOVIMIENTOS!$A$5:$A$417&lt;&gt;"")*(MOVIMIENTOS!$A$5:$A$417&lt;=$A18)*MOVIMIENTOS!$E$5:$E$417)-SUMPRODUCT((MOVIMIENTOS!$B$5:$B$417="VENTA")*(MOVIMIENTOS!$C$5:$C$417="A")*(MOVIMIENTOS!$D$5:$D$417="jabas")*(MOVIMIENTOS!$A$5:$A$417&lt;&gt;"")*(MOVIMIENTOS!$A$5:$A$417&lt;=$A18)*MOVIMIENTOS!$E$5:$E$417)+SUMPRODUCT((MOVIMIENTOS!$B$5:$B$417="AJUSTE")*(MOVIMIENTOS!$C$5:$C$417="A")*(MOVIMIENTOS!$D$5:$D$417="jabas")*(MOVIMIENTOS!$A$5:$A$417&lt;&gt;"")*(MOVIMIENTOS!$A$5:$A$417&lt;=$A18)*MOVIMIENTOS!$E$5:$E$417))</f>
        <v>48</v>
      </c>
      <c r="C18" s="56">
        <f>IF($A18="","",SUMPRODUCT((MOVIMIENTOS!$B$5:$B$417="SALDO INICIAL")*(MOVIMIENTOS!$C$5:$C$417="P")*(MOVIMIENTOS!$D$5:$D$417="jabas")*(MOVIMIENTOS!$A$5:$A$417&lt;&gt;"")*(MOVIMIENTOS!$A$5:$A$417&lt;=$A18)*MOVIMIENTOS!$E$5:$E$417)+SUMPRODUCT((MOVIMIENTOS!$B$5:$B$417="PROCESO")*(MOVIMIENTOS!$C$5:$C$417="P")*(MOVIMIENTOS!$D$5:$D$417="jabas")*(MOVIMIENTOS!$A$5:$A$417&lt;&gt;"")*(MOVIMIENTOS!$A$5:$A$417&lt;=$A18)*MOVIMIENTOS!$E$5:$E$417)-SUMPRODUCT((MOVIMIENTOS!$B$5:$B$417="ENVÍO A SUPESA")*(MOVIMIENTOS!$C$5:$C$417="P")*(MOVIMIENTOS!$D$5:$D$417="jabas")*(MOVIMIENTOS!$A$5:$A$417&lt;&gt;"")*(MOVIMIENTOS!$A$5:$A$417&lt;=$A18)*MOVIMIENTOS!$E$5:$E$417)+SUMPRODUCT((MOVIMIENTOS!$B$5:$B$417="DEVOLUCIÓN")*(MOVIMIENTOS!$C$5:$C$417="P")*(MOVIMIENTOS!$D$5:$D$417="jabas")*(MOVIMIENTOS!$A$5:$A$417&lt;&gt;"")*(MOVIMIENTOS!$A$5:$A$417&lt;=$A18)*MOVIMIENTOS!$E$5:$E$417)-SUMPRODUCT((MOVIMIENTOS!$B$5:$B$417="TRASIEGO")*(MOVIMIENTOS!$C$5:$C$417="P")*(MOVIMIENTOS!$D$5:$D$417="jabas")*(MOVIMIENTOS!$A$5:$A$417&lt;&gt;"")*(MOVIMIENTOS!$A$5:$A$417&lt;=$A18)*MOVIMIENTOS!$E$5:$E$417)-SUMPRODUCT((MOVIMIENTOS!$B$5:$B$417="REGALO")*(MOVIMIENTOS!$C$5:$C$417="P")*(MOVIMIENTOS!$D$5:$D$417="jabas")*(MOVIMIENTOS!$A$5:$A$417&lt;&gt;"")*(MOVIMIENTOS!$A$5:$A$417&lt;=$A18)*MOVIMIENTOS!$E$5:$E$417)-SUMPRODUCT((MOVIMIENTOS!$B$5:$B$417="VENTA")*(MOVIMIENTOS!$C$5:$C$417="P")*(MOVIMIENTOS!$D$5:$D$417="jabas")*(MOVIMIENTOS!$A$5:$A$417&lt;&gt;"")*(MOVIMIENTOS!$A$5:$A$417&lt;=$A18)*MOVIMIENTOS!$E$5:$E$417)+SUMPRODUCT((MOVIMIENTOS!$B$5:$B$417="AJUSTE")*(MOVIMIENTOS!$C$5:$C$417="P")*(MOVIMIENTOS!$D$5:$D$417="jabas")*(MOVIMIENTOS!$A$5:$A$417&lt;&gt;"")*(MOVIMIENTOS!$A$5:$A$417&lt;=$A18)*MOVIMIENTOS!$E$5:$E$417))</f>
        <v>3</v>
      </c>
      <c r="D18" s="56">
        <f>IF($A18="","",SUMPRODUCT((MOVIMIENTOS!$B$5:$B$417="SALDO INICIAL")*(MOVIMIENTOS!$C$5:$C$417="C")*(MOVIMIENTOS!$D$5:$D$417="jabas")*(MOVIMIENTOS!$A$5:$A$417&lt;&gt;"")*(MOVIMIENTOS!$A$5:$A$417&lt;=$A18)*MOVIMIENTOS!$E$5:$E$417)+SUMPRODUCT((MOVIMIENTOS!$B$5:$B$417="PROCESO")*(MOVIMIENTOS!$C$5:$C$417="C")*(MOVIMIENTOS!$D$5:$D$417="jabas")*(MOVIMIENTOS!$A$5:$A$417&lt;&gt;"")*(MOVIMIENTOS!$A$5:$A$417&lt;=$A18)*MOVIMIENTOS!$E$5:$E$417)-SUMPRODUCT((MOVIMIENTOS!$B$5:$B$417="ENVÍO A SUPESA")*(MOVIMIENTOS!$C$5:$C$417="C")*(MOVIMIENTOS!$D$5:$D$417="jabas")*(MOVIMIENTOS!$A$5:$A$417&lt;&gt;"")*(MOVIMIENTOS!$A$5:$A$417&lt;=$A18)*MOVIMIENTOS!$E$5:$E$417)+SUMPRODUCT((MOVIMIENTOS!$B$5:$B$417="DEVOLUCIÓN")*(MOVIMIENTOS!$C$5:$C$417="C")*(MOVIMIENTOS!$D$5:$D$417="jabas")*(MOVIMIENTOS!$A$5:$A$417&lt;&gt;"")*(MOVIMIENTOS!$A$5:$A$417&lt;=$A18)*MOVIMIENTOS!$E$5:$E$417)-SUMPRODUCT((MOVIMIENTOS!$B$5:$B$417="TRASIEGO")*(MOVIMIENTOS!$C$5:$C$417="C")*(MOVIMIENTOS!$D$5:$D$417="jabas")*(MOVIMIENTOS!$A$5:$A$417&lt;&gt;"")*(MOVIMIENTOS!$A$5:$A$417&lt;=$A18)*MOVIMIENTOS!$E$5:$E$417)-SUMPRODUCT((MOVIMIENTOS!$B$5:$B$417="REGALO")*(MOVIMIENTOS!$C$5:$C$417="C")*(MOVIMIENTOS!$D$5:$D$417="jabas")*(MOVIMIENTOS!$A$5:$A$417&lt;&gt;"")*(MOVIMIENTOS!$A$5:$A$417&lt;=$A18)*MOVIMIENTOS!$E$5:$E$417)-SUMPRODUCT((MOVIMIENTOS!$B$5:$B$417="VENTA")*(MOVIMIENTOS!$C$5:$C$417="C")*(MOVIMIENTOS!$D$5:$D$417="jabas")*(MOVIMIENTOS!$A$5:$A$417&lt;&gt;"")*(MOVIMIENTOS!$A$5:$A$417&lt;=$A18)*MOVIMIENTOS!$E$5:$E$417)+SUMPRODUCT((MOVIMIENTOS!$B$5:$B$417="AJUSTE")*(MOVIMIENTOS!$C$5:$C$417="C")*(MOVIMIENTOS!$D$5:$D$417="jabas")*(MOVIMIENTOS!$A$5:$A$417&lt;&gt;"")*(MOVIMIENTOS!$A$5:$A$417&lt;=$A18)*MOVIMIENTOS!$E$5:$E$417))</f>
        <v>5</v>
      </c>
      <c r="E18" s="56">
        <f>IF($A18="","",SUMPRODUCT((MOVIMIENTOS!$B$5:$B$417="SALDO INICIAL")*(MOVIMIENTOS!$C$5:$C$417="M")*(MOVIMIENTOS!$D$5:$D$417="jabas")*(MOVIMIENTOS!$A$5:$A$417&lt;&gt;"")*(MOVIMIENTOS!$A$5:$A$417&lt;=$A18)*MOVIMIENTOS!$E$5:$E$417)+SUMPRODUCT((MOVIMIENTOS!$B$5:$B$417="PROCESO")*(MOVIMIENTOS!$C$5:$C$417="M")*(MOVIMIENTOS!$D$5:$D$417="jabas")*(MOVIMIENTOS!$A$5:$A$417&lt;&gt;"")*(MOVIMIENTOS!$A$5:$A$417&lt;=$A18)*MOVIMIENTOS!$E$5:$E$417)-SUMPRODUCT((MOVIMIENTOS!$B$5:$B$417="ENVÍO A SUPESA")*(MOVIMIENTOS!$C$5:$C$417="M")*(MOVIMIENTOS!$D$5:$D$417="jabas")*(MOVIMIENTOS!$A$5:$A$417&lt;&gt;"")*(MOVIMIENTOS!$A$5:$A$417&lt;=$A18)*MOVIMIENTOS!$E$5:$E$417)+SUMPRODUCT((MOVIMIENTOS!$B$5:$B$417="DEVOLUCIÓN")*(MOVIMIENTOS!$C$5:$C$417="M")*(MOVIMIENTOS!$D$5:$D$417="jabas")*(MOVIMIENTOS!$A$5:$A$417&lt;&gt;"")*(MOVIMIENTOS!$A$5:$A$417&lt;=$A18)*MOVIMIENTOS!$E$5:$E$417)-SUMPRODUCT((MOVIMIENTOS!$B$5:$B$417="TRASIEGO")*(MOVIMIENTOS!$C$5:$C$417="M")*(MOVIMIENTOS!$D$5:$D$417="jabas")*(MOVIMIENTOS!$A$5:$A$417&lt;&gt;"")*(MOVIMIENTOS!$A$5:$A$417&lt;=$A18)*MOVIMIENTOS!$E$5:$E$417)-SUMPRODUCT((MOVIMIENTOS!$B$5:$B$417="REGALO")*(MOVIMIENTOS!$C$5:$C$417="M")*(MOVIMIENTOS!$D$5:$D$417="jabas")*(MOVIMIENTOS!$A$5:$A$417&lt;&gt;"")*(MOVIMIENTOS!$A$5:$A$417&lt;=$A18)*MOVIMIENTOS!$E$5:$E$417)-SUMPRODUCT((MOVIMIENTOS!$B$5:$B$417="VENTA")*(MOVIMIENTOS!$C$5:$C$417="M")*(MOVIMIENTOS!$D$5:$D$417="jabas")*(MOVIMIENTOS!$A$5:$A$417&lt;&gt;"")*(MOVIMIENTOS!$A$5:$A$417&lt;=$A18)*MOVIMIENTOS!$E$5:$E$417)+SUMPRODUCT((MOVIMIENTOS!$B$5:$B$417="AJUSTE")*(MOVIMIENTOS!$C$5:$C$417="M")*(MOVIMIENTOS!$D$5:$D$417="jabas")*(MOVIMIENTOS!$A$5:$A$417&lt;&gt;"")*(MOVIMIENTOS!$A$5:$A$417&lt;=$A18)*MOVIMIENTOS!$E$5:$E$417))</f>
        <v>73</v>
      </c>
      <c r="F18" s="56">
        <f>IF($A18="","",SUMPRODUCT((MOVIMIENTOS!$B$5:$B$417="SALDO INICIAL")*(MOVIMIENTOS!$C$5:$C$417="Chancho")*(MOVIMIENTOS!$D$5:$D$417="sacos")*(MOVIMIENTOS!$A$5:$A$417&lt;&gt;"")*(MOVIMIENTOS!$A$5:$A$417&lt;=$A18)*MOVIMIENTOS!$E$5:$E$417)+SUMPRODUCT((MOVIMIENTOS!$B$5:$B$417="PROCESO")*(MOVIMIENTOS!$C$5:$C$417="Chancho")*(MOVIMIENTOS!$D$5:$D$417="sacos")*(MOVIMIENTOS!$A$5:$A$417&lt;&gt;"")*(MOVIMIENTOS!$A$5:$A$417&lt;=$A18)*MOVIMIENTOS!$E$5:$E$417)-SUMPRODUCT((MOVIMIENTOS!$B$5:$B$417="VENTA CHANCHO")*(MOVIMIENTOS!$C$5:$C$417="Chancho")*(MOVIMIENTOS!$D$5:$D$417="sacos")*(MOVIMIENTOS!$A$5:$A$417&lt;&gt;"")*(MOVIMIENTOS!$A$5:$A$417&lt;=$A18)*MOVIMIENTOS!$E$5:$E$417)-SUMPRODUCT((MOVIMIENTOS!$B$5:$B$417="REGALO")*(MOVIMIENTOS!$C$5:$C$417="Chancho")*(MOVIMIENTOS!$D$5:$D$417="sacos")*(MOVIMIENTOS!$A$5:$A$417&lt;&gt;"")*(MOVIMIENTOS!$A$5:$A$417&lt;=$A18)*MOVIMIENTOS!$E$5:$E$417)-SUMPRODUCT((MOVIMIENTOS!$B$5:$B$417="VENTA")*(MOVIMIENTOS!$C$5:$C$417="Chancho")*(MOVIMIENTOS!$D$5:$D$417="sacos")*(MOVIMIENTOS!$A$5:$A$417&lt;&gt;"")*(MOVIMIENTOS!$A$5:$A$417&lt;=$A18)*MOVIMIENTOS!$E$5:$E$417)+SUMPRODUCT((MOVIMIENTOS!$B$5:$B$417="AJUSTE")*(MOVIMIENTOS!$C$5:$C$417="Chancho")*(MOVIMIENTOS!$D$5:$D$417="sacos")*(MOVIMIENTOS!$A$5:$A$417&lt;&gt;"")*(MOVIMIENTOS!$A$5:$A$417&lt;=$A18)*MOVIMIENTOS!$E$5:$E$417))</f>
        <v>14</v>
      </c>
      <c r="G18" s="56">
        <f t="shared" si="1"/>
        <v>129</v>
      </c>
      <c r="H18" s="56">
        <f>IF($A18="","",SUMPRODUCT((((MOVIMIENTOS!$B$5:$B$417="SALDO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18)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18)*MOVIMIENTOS!$I$5:$I$417))</f>
        <v>3563</v>
      </c>
      <c r="I18" s="54"/>
      <c r="J18" s="54" t="str">
        <f>IF(AND(MOVIMIENTOS!$A18&lt;&gt;"",COUNTIF(MOVIMIENTOS!$A$5:$A17,MOVIMIENTOS!$A18)=0),COUNT(J$4:J17)+1,"")</f>
        <v/>
      </c>
      <c r="K18" s="57">
        <f>MOVIMIENTOS!$A18</f>
        <v>46215</v>
      </c>
      <c r="L18" s="54"/>
      <c r="M18" s="54"/>
      <c r="N18" s="54"/>
    </row>
    <row r="19" spans="1:14" ht="15" customHeight="1" x14ac:dyDescent="0.2">
      <c r="A19" s="55">
        <f t="shared" si="0"/>
        <v>46228</v>
      </c>
      <c r="B19" s="56">
        <f>IF($A19="","",SUMPRODUCT((MOVIMIENTOS!$B$5:$B$417="SALDO INICIAL")*(MOVIMIENTOS!$C$5:$C$417="A")*(MOVIMIENTOS!$D$5:$D$417="jabas")*(MOVIMIENTOS!$A$5:$A$417&lt;&gt;"")*(MOVIMIENTOS!$A$5:$A$417&lt;=$A19)*MOVIMIENTOS!$E$5:$E$417)+SUMPRODUCT((MOVIMIENTOS!$B$5:$B$417="PROCESO")*(MOVIMIENTOS!$C$5:$C$417="A")*(MOVIMIENTOS!$D$5:$D$417="jabas")*(MOVIMIENTOS!$A$5:$A$417&lt;&gt;"")*(MOVIMIENTOS!$A$5:$A$417&lt;=$A19)*MOVIMIENTOS!$E$5:$E$417)-SUMPRODUCT((MOVIMIENTOS!$B$5:$B$417="ENVÍO A SUPESA")*(MOVIMIENTOS!$C$5:$C$417="A")*(MOVIMIENTOS!$D$5:$D$417="jabas")*(MOVIMIENTOS!$A$5:$A$417&lt;&gt;"")*(MOVIMIENTOS!$A$5:$A$417&lt;=$A19)*MOVIMIENTOS!$E$5:$E$417)+SUMPRODUCT((MOVIMIENTOS!$B$5:$B$417="DEVOLUCIÓN")*(MOVIMIENTOS!$C$5:$C$417="A")*(MOVIMIENTOS!$D$5:$D$417="jabas")*(MOVIMIENTOS!$A$5:$A$417&lt;&gt;"")*(MOVIMIENTOS!$A$5:$A$417&lt;=$A19)*MOVIMIENTOS!$E$5:$E$417)-SUMPRODUCT((MOVIMIENTOS!$B$5:$B$417="TRASIEGO")*(MOVIMIENTOS!$C$5:$C$417="A")*(MOVIMIENTOS!$D$5:$D$417="jabas")*(MOVIMIENTOS!$A$5:$A$417&lt;&gt;"")*(MOVIMIENTOS!$A$5:$A$417&lt;=$A19)*MOVIMIENTOS!$E$5:$E$417)-SUMPRODUCT((MOVIMIENTOS!$B$5:$B$417="REGALO")*(MOVIMIENTOS!$C$5:$C$417="A")*(MOVIMIENTOS!$D$5:$D$417="jabas")*(MOVIMIENTOS!$A$5:$A$417&lt;&gt;"")*(MOVIMIENTOS!$A$5:$A$417&lt;=$A19)*MOVIMIENTOS!$E$5:$E$417)-SUMPRODUCT((MOVIMIENTOS!$B$5:$B$417="VENTA")*(MOVIMIENTOS!$C$5:$C$417="A")*(MOVIMIENTOS!$D$5:$D$417="jabas")*(MOVIMIENTOS!$A$5:$A$417&lt;&gt;"")*(MOVIMIENTOS!$A$5:$A$417&lt;=$A19)*MOVIMIENTOS!$E$5:$E$417)+SUMPRODUCT((MOVIMIENTOS!$B$5:$B$417="AJUSTE")*(MOVIMIENTOS!$C$5:$C$417="A")*(MOVIMIENTOS!$D$5:$D$417="jabas")*(MOVIMIENTOS!$A$5:$A$417&lt;&gt;"")*(MOVIMIENTOS!$A$5:$A$417&lt;=$A19)*MOVIMIENTOS!$E$5:$E$417))</f>
        <v>77</v>
      </c>
      <c r="C19" s="56">
        <f>IF($A19="","",SUMPRODUCT((MOVIMIENTOS!$B$5:$B$417="SALDO INICIAL")*(MOVIMIENTOS!$C$5:$C$417="P")*(MOVIMIENTOS!$D$5:$D$417="jabas")*(MOVIMIENTOS!$A$5:$A$417&lt;&gt;"")*(MOVIMIENTOS!$A$5:$A$417&lt;=$A19)*MOVIMIENTOS!$E$5:$E$417)+SUMPRODUCT((MOVIMIENTOS!$B$5:$B$417="PROCESO")*(MOVIMIENTOS!$C$5:$C$417="P")*(MOVIMIENTOS!$D$5:$D$417="jabas")*(MOVIMIENTOS!$A$5:$A$417&lt;&gt;"")*(MOVIMIENTOS!$A$5:$A$417&lt;=$A19)*MOVIMIENTOS!$E$5:$E$417)-SUMPRODUCT((MOVIMIENTOS!$B$5:$B$417="ENVÍO A SUPESA")*(MOVIMIENTOS!$C$5:$C$417="P")*(MOVIMIENTOS!$D$5:$D$417="jabas")*(MOVIMIENTOS!$A$5:$A$417&lt;&gt;"")*(MOVIMIENTOS!$A$5:$A$417&lt;=$A19)*MOVIMIENTOS!$E$5:$E$417)+SUMPRODUCT((MOVIMIENTOS!$B$5:$B$417="DEVOLUCIÓN")*(MOVIMIENTOS!$C$5:$C$417="P")*(MOVIMIENTOS!$D$5:$D$417="jabas")*(MOVIMIENTOS!$A$5:$A$417&lt;&gt;"")*(MOVIMIENTOS!$A$5:$A$417&lt;=$A19)*MOVIMIENTOS!$E$5:$E$417)-SUMPRODUCT((MOVIMIENTOS!$B$5:$B$417="TRASIEGO")*(MOVIMIENTOS!$C$5:$C$417="P")*(MOVIMIENTOS!$D$5:$D$417="jabas")*(MOVIMIENTOS!$A$5:$A$417&lt;&gt;"")*(MOVIMIENTOS!$A$5:$A$417&lt;=$A19)*MOVIMIENTOS!$E$5:$E$417)-SUMPRODUCT((MOVIMIENTOS!$B$5:$B$417="REGALO")*(MOVIMIENTOS!$C$5:$C$417="P")*(MOVIMIENTOS!$D$5:$D$417="jabas")*(MOVIMIENTOS!$A$5:$A$417&lt;&gt;"")*(MOVIMIENTOS!$A$5:$A$417&lt;=$A19)*MOVIMIENTOS!$E$5:$E$417)-SUMPRODUCT((MOVIMIENTOS!$B$5:$B$417="VENTA")*(MOVIMIENTOS!$C$5:$C$417="P")*(MOVIMIENTOS!$D$5:$D$417="jabas")*(MOVIMIENTOS!$A$5:$A$417&lt;&gt;"")*(MOVIMIENTOS!$A$5:$A$417&lt;=$A19)*MOVIMIENTOS!$E$5:$E$417)+SUMPRODUCT((MOVIMIENTOS!$B$5:$B$417="AJUSTE")*(MOVIMIENTOS!$C$5:$C$417="P")*(MOVIMIENTOS!$D$5:$D$417="jabas")*(MOVIMIENTOS!$A$5:$A$417&lt;&gt;"")*(MOVIMIENTOS!$A$5:$A$417&lt;=$A19)*MOVIMIENTOS!$E$5:$E$417))</f>
        <v>20</v>
      </c>
      <c r="D19" s="56">
        <f>IF($A19="","",SUMPRODUCT((MOVIMIENTOS!$B$5:$B$417="SALDO INICIAL")*(MOVIMIENTOS!$C$5:$C$417="C")*(MOVIMIENTOS!$D$5:$D$417="jabas")*(MOVIMIENTOS!$A$5:$A$417&lt;&gt;"")*(MOVIMIENTOS!$A$5:$A$417&lt;=$A19)*MOVIMIENTOS!$E$5:$E$417)+SUMPRODUCT((MOVIMIENTOS!$B$5:$B$417="PROCESO")*(MOVIMIENTOS!$C$5:$C$417="C")*(MOVIMIENTOS!$D$5:$D$417="jabas")*(MOVIMIENTOS!$A$5:$A$417&lt;&gt;"")*(MOVIMIENTOS!$A$5:$A$417&lt;=$A19)*MOVIMIENTOS!$E$5:$E$417)-SUMPRODUCT((MOVIMIENTOS!$B$5:$B$417="ENVÍO A SUPESA")*(MOVIMIENTOS!$C$5:$C$417="C")*(MOVIMIENTOS!$D$5:$D$417="jabas")*(MOVIMIENTOS!$A$5:$A$417&lt;&gt;"")*(MOVIMIENTOS!$A$5:$A$417&lt;=$A19)*MOVIMIENTOS!$E$5:$E$417)+SUMPRODUCT((MOVIMIENTOS!$B$5:$B$417="DEVOLUCIÓN")*(MOVIMIENTOS!$C$5:$C$417="C")*(MOVIMIENTOS!$D$5:$D$417="jabas")*(MOVIMIENTOS!$A$5:$A$417&lt;&gt;"")*(MOVIMIENTOS!$A$5:$A$417&lt;=$A19)*MOVIMIENTOS!$E$5:$E$417)-SUMPRODUCT((MOVIMIENTOS!$B$5:$B$417="TRASIEGO")*(MOVIMIENTOS!$C$5:$C$417="C")*(MOVIMIENTOS!$D$5:$D$417="jabas")*(MOVIMIENTOS!$A$5:$A$417&lt;&gt;"")*(MOVIMIENTOS!$A$5:$A$417&lt;=$A19)*MOVIMIENTOS!$E$5:$E$417)-SUMPRODUCT((MOVIMIENTOS!$B$5:$B$417="REGALO")*(MOVIMIENTOS!$C$5:$C$417="C")*(MOVIMIENTOS!$D$5:$D$417="jabas")*(MOVIMIENTOS!$A$5:$A$417&lt;&gt;"")*(MOVIMIENTOS!$A$5:$A$417&lt;=$A19)*MOVIMIENTOS!$E$5:$E$417)-SUMPRODUCT((MOVIMIENTOS!$B$5:$B$417="VENTA")*(MOVIMIENTOS!$C$5:$C$417="C")*(MOVIMIENTOS!$D$5:$D$417="jabas")*(MOVIMIENTOS!$A$5:$A$417&lt;&gt;"")*(MOVIMIENTOS!$A$5:$A$417&lt;=$A19)*MOVIMIENTOS!$E$5:$E$417)+SUMPRODUCT((MOVIMIENTOS!$B$5:$B$417="AJUSTE")*(MOVIMIENTOS!$C$5:$C$417="C")*(MOVIMIENTOS!$D$5:$D$417="jabas")*(MOVIMIENTOS!$A$5:$A$417&lt;&gt;"")*(MOVIMIENTOS!$A$5:$A$417&lt;=$A19)*MOVIMIENTOS!$E$5:$E$417))</f>
        <v>12</v>
      </c>
      <c r="E19" s="56">
        <f>IF($A19="","",SUMPRODUCT((MOVIMIENTOS!$B$5:$B$417="SALDO INICIAL")*(MOVIMIENTOS!$C$5:$C$417="M")*(MOVIMIENTOS!$D$5:$D$417="jabas")*(MOVIMIENTOS!$A$5:$A$417&lt;&gt;"")*(MOVIMIENTOS!$A$5:$A$417&lt;=$A19)*MOVIMIENTOS!$E$5:$E$417)+SUMPRODUCT((MOVIMIENTOS!$B$5:$B$417="PROCESO")*(MOVIMIENTOS!$C$5:$C$417="M")*(MOVIMIENTOS!$D$5:$D$417="jabas")*(MOVIMIENTOS!$A$5:$A$417&lt;&gt;"")*(MOVIMIENTOS!$A$5:$A$417&lt;=$A19)*MOVIMIENTOS!$E$5:$E$417)-SUMPRODUCT((MOVIMIENTOS!$B$5:$B$417="ENVÍO A SUPESA")*(MOVIMIENTOS!$C$5:$C$417="M")*(MOVIMIENTOS!$D$5:$D$417="jabas")*(MOVIMIENTOS!$A$5:$A$417&lt;&gt;"")*(MOVIMIENTOS!$A$5:$A$417&lt;=$A19)*MOVIMIENTOS!$E$5:$E$417)+SUMPRODUCT((MOVIMIENTOS!$B$5:$B$417="DEVOLUCIÓN")*(MOVIMIENTOS!$C$5:$C$417="M")*(MOVIMIENTOS!$D$5:$D$417="jabas")*(MOVIMIENTOS!$A$5:$A$417&lt;&gt;"")*(MOVIMIENTOS!$A$5:$A$417&lt;=$A19)*MOVIMIENTOS!$E$5:$E$417)-SUMPRODUCT((MOVIMIENTOS!$B$5:$B$417="TRASIEGO")*(MOVIMIENTOS!$C$5:$C$417="M")*(MOVIMIENTOS!$D$5:$D$417="jabas")*(MOVIMIENTOS!$A$5:$A$417&lt;&gt;"")*(MOVIMIENTOS!$A$5:$A$417&lt;=$A19)*MOVIMIENTOS!$E$5:$E$417)-SUMPRODUCT((MOVIMIENTOS!$B$5:$B$417="REGALO")*(MOVIMIENTOS!$C$5:$C$417="M")*(MOVIMIENTOS!$D$5:$D$417="jabas")*(MOVIMIENTOS!$A$5:$A$417&lt;&gt;"")*(MOVIMIENTOS!$A$5:$A$417&lt;=$A19)*MOVIMIENTOS!$E$5:$E$417)-SUMPRODUCT((MOVIMIENTOS!$B$5:$B$417="VENTA")*(MOVIMIENTOS!$C$5:$C$417="M")*(MOVIMIENTOS!$D$5:$D$417="jabas")*(MOVIMIENTOS!$A$5:$A$417&lt;&gt;"")*(MOVIMIENTOS!$A$5:$A$417&lt;=$A19)*MOVIMIENTOS!$E$5:$E$417)+SUMPRODUCT((MOVIMIENTOS!$B$5:$B$417="AJUSTE")*(MOVIMIENTOS!$C$5:$C$417="M")*(MOVIMIENTOS!$D$5:$D$417="jabas")*(MOVIMIENTOS!$A$5:$A$417&lt;&gt;"")*(MOVIMIENTOS!$A$5:$A$417&lt;=$A19)*MOVIMIENTOS!$E$5:$E$417))</f>
        <v>65</v>
      </c>
      <c r="F19" s="56">
        <f>IF($A19="","",SUMPRODUCT((MOVIMIENTOS!$B$5:$B$417="SALDO INICIAL")*(MOVIMIENTOS!$C$5:$C$417="Chancho")*(MOVIMIENTOS!$D$5:$D$417="sacos")*(MOVIMIENTOS!$A$5:$A$417&lt;&gt;"")*(MOVIMIENTOS!$A$5:$A$417&lt;=$A19)*MOVIMIENTOS!$E$5:$E$417)+SUMPRODUCT((MOVIMIENTOS!$B$5:$B$417="PROCESO")*(MOVIMIENTOS!$C$5:$C$417="Chancho")*(MOVIMIENTOS!$D$5:$D$417="sacos")*(MOVIMIENTOS!$A$5:$A$417&lt;&gt;"")*(MOVIMIENTOS!$A$5:$A$417&lt;=$A19)*MOVIMIENTOS!$E$5:$E$417)-SUMPRODUCT((MOVIMIENTOS!$B$5:$B$417="VENTA CHANCHO")*(MOVIMIENTOS!$C$5:$C$417="Chancho")*(MOVIMIENTOS!$D$5:$D$417="sacos")*(MOVIMIENTOS!$A$5:$A$417&lt;&gt;"")*(MOVIMIENTOS!$A$5:$A$417&lt;=$A19)*MOVIMIENTOS!$E$5:$E$417)-SUMPRODUCT((MOVIMIENTOS!$B$5:$B$417="REGALO")*(MOVIMIENTOS!$C$5:$C$417="Chancho")*(MOVIMIENTOS!$D$5:$D$417="sacos")*(MOVIMIENTOS!$A$5:$A$417&lt;&gt;"")*(MOVIMIENTOS!$A$5:$A$417&lt;=$A19)*MOVIMIENTOS!$E$5:$E$417)-SUMPRODUCT((MOVIMIENTOS!$B$5:$B$417="VENTA")*(MOVIMIENTOS!$C$5:$C$417="Chancho")*(MOVIMIENTOS!$D$5:$D$417="sacos")*(MOVIMIENTOS!$A$5:$A$417&lt;&gt;"")*(MOVIMIENTOS!$A$5:$A$417&lt;=$A19)*MOVIMIENTOS!$E$5:$E$417)+SUMPRODUCT((MOVIMIENTOS!$B$5:$B$417="AJUSTE")*(MOVIMIENTOS!$C$5:$C$417="Chancho")*(MOVIMIENTOS!$D$5:$D$417="sacos")*(MOVIMIENTOS!$A$5:$A$417&lt;&gt;"")*(MOVIMIENTOS!$A$5:$A$417&lt;=$A19)*MOVIMIENTOS!$E$5:$E$417))</f>
        <v>23.5</v>
      </c>
      <c r="G19" s="56">
        <f t="shared" si="1"/>
        <v>174</v>
      </c>
      <c r="H19" s="56">
        <f>IF($A19="","",SUMPRODUCT((((MOVIMIENTOS!$B$5:$B$417="SALDO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19)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19)*MOVIMIENTOS!$I$5:$I$417))</f>
        <v>3062.5</v>
      </c>
      <c r="I19" s="54"/>
      <c r="J19" s="54">
        <f>IF(AND(MOVIMIENTOS!$A19&lt;&gt;"",COUNTIF(MOVIMIENTOS!$A$5:$A18,MOVIMIENTOS!$A19)=0),COUNT(J$4:J18)+1,"")</f>
        <v>3</v>
      </c>
      <c r="K19" s="57">
        <f>MOVIMIENTOS!$A19</f>
        <v>46216</v>
      </c>
      <c r="L19" s="54"/>
      <c r="M19" s="54"/>
      <c r="N19" s="54"/>
    </row>
    <row r="20" spans="1:14" ht="15" customHeight="1" x14ac:dyDescent="0.2">
      <c r="A20" s="55">
        <f t="shared" si="0"/>
        <v>46229</v>
      </c>
      <c r="B20" s="56">
        <f>IF($A20="","",SUMPRODUCT((MOVIMIENTOS!$B$5:$B$417="SALDO INICIAL")*(MOVIMIENTOS!$C$5:$C$417="A")*(MOVIMIENTOS!$D$5:$D$417="jabas")*(MOVIMIENTOS!$A$5:$A$417&lt;&gt;"")*(MOVIMIENTOS!$A$5:$A$417&lt;=$A20)*MOVIMIENTOS!$E$5:$E$417)+SUMPRODUCT((MOVIMIENTOS!$B$5:$B$417="PROCESO")*(MOVIMIENTOS!$C$5:$C$417="A")*(MOVIMIENTOS!$D$5:$D$417="jabas")*(MOVIMIENTOS!$A$5:$A$417&lt;&gt;"")*(MOVIMIENTOS!$A$5:$A$417&lt;=$A20)*MOVIMIENTOS!$E$5:$E$417)-SUMPRODUCT((MOVIMIENTOS!$B$5:$B$417="ENVÍO A SUPESA")*(MOVIMIENTOS!$C$5:$C$417="A")*(MOVIMIENTOS!$D$5:$D$417="jabas")*(MOVIMIENTOS!$A$5:$A$417&lt;&gt;"")*(MOVIMIENTOS!$A$5:$A$417&lt;=$A20)*MOVIMIENTOS!$E$5:$E$417)+SUMPRODUCT((MOVIMIENTOS!$B$5:$B$417="DEVOLUCIÓN")*(MOVIMIENTOS!$C$5:$C$417="A")*(MOVIMIENTOS!$D$5:$D$417="jabas")*(MOVIMIENTOS!$A$5:$A$417&lt;&gt;"")*(MOVIMIENTOS!$A$5:$A$417&lt;=$A20)*MOVIMIENTOS!$E$5:$E$417)-SUMPRODUCT((MOVIMIENTOS!$B$5:$B$417="TRASIEGO")*(MOVIMIENTOS!$C$5:$C$417="A")*(MOVIMIENTOS!$D$5:$D$417="jabas")*(MOVIMIENTOS!$A$5:$A$417&lt;&gt;"")*(MOVIMIENTOS!$A$5:$A$417&lt;=$A20)*MOVIMIENTOS!$E$5:$E$417)-SUMPRODUCT((MOVIMIENTOS!$B$5:$B$417="REGALO")*(MOVIMIENTOS!$C$5:$C$417="A")*(MOVIMIENTOS!$D$5:$D$417="jabas")*(MOVIMIENTOS!$A$5:$A$417&lt;&gt;"")*(MOVIMIENTOS!$A$5:$A$417&lt;=$A20)*MOVIMIENTOS!$E$5:$E$417)-SUMPRODUCT((MOVIMIENTOS!$B$5:$B$417="VENTA")*(MOVIMIENTOS!$C$5:$C$417="A")*(MOVIMIENTOS!$D$5:$D$417="jabas")*(MOVIMIENTOS!$A$5:$A$417&lt;&gt;"")*(MOVIMIENTOS!$A$5:$A$417&lt;=$A20)*MOVIMIENTOS!$E$5:$E$417)+SUMPRODUCT((MOVIMIENTOS!$B$5:$B$417="AJUSTE")*(MOVIMIENTOS!$C$5:$C$417="A")*(MOVIMIENTOS!$D$5:$D$417="jabas")*(MOVIMIENTOS!$A$5:$A$417&lt;&gt;"")*(MOVIMIENTOS!$A$5:$A$417&lt;=$A20)*MOVIMIENTOS!$E$5:$E$417))</f>
        <v>10</v>
      </c>
      <c r="C20" s="56">
        <f>IF($A20="","",SUMPRODUCT((MOVIMIENTOS!$B$5:$B$417="SALDO INICIAL")*(MOVIMIENTOS!$C$5:$C$417="P")*(MOVIMIENTOS!$D$5:$D$417="jabas")*(MOVIMIENTOS!$A$5:$A$417&lt;&gt;"")*(MOVIMIENTOS!$A$5:$A$417&lt;=$A20)*MOVIMIENTOS!$E$5:$E$417)+SUMPRODUCT((MOVIMIENTOS!$B$5:$B$417="PROCESO")*(MOVIMIENTOS!$C$5:$C$417="P")*(MOVIMIENTOS!$D$5:$D$417="jabas")*(MOVIMIENTOS!$A$5:$A$417&lt;&gt;"")*(MOVIMIENTOS!$A$5:$A$417&lt;=$A20)*MOVIMIENTOS!$E$5:$E$417)-SUMPRODUCT((MOVIMIENTOS!$B$5:$B$417="ENVÍO A SUPESA")*(MOVIMIENTOS!$C$5:$C$417="P")*(MOVIMIENTOS!$D$5:$D$417="jabas")*(MOVIMIENTOS!$A$5:$A$417&lt;&gt;"")*(MOVIMIENTOS!$A$5:$A$417&lt;=$A20)*MOVIMIENTOS!$E$5:$E$417)+SUMPRODUCT((MOVIMIENTOS!$B$5:$B$417="DEVOLUCIÓN")*(MOVIMIENTOS!$C$5:$C$417="P")*(MOVIMIENTOS!$D$5:$D$417="jabas")*(MOVIMIENTOS!$A$5:$A$417&lt;&gt;"")*(MOVIMIENTOS!$A$5:$A$417&lt;=$A20)*MOVIMIENTOS!$E$5:$E$417)-SUMPRODUCT((MOVIMIENTOS!$B$5:$B$417="TRASIEGO")*(MOVIMIENTOS!$C$5:$C$417="P")*(MOVIMIENTOS!$D$5:$D$417="jabas")*(MOVIMIENTOS!$A$5:$A$417&lt;&gt;"")*(MOVIMIENTOS!$A$5:$A$417&lt;=$A20)*MOVIMIENTOS!$E$5:$E$417)-SUMPRODUCT((MOVIMIENTOS!$B$5:$B$417="REGALO")*(MOVIMIENTOS!$C$5:$C$417="P")*(MOVIMIENTOS!$D$5:$D$417="jabas")*(MOVIMIENTOS!$A$5:$A$417&lt;&gt;"")*(MOVIMIENTOS!$A$5:$A$417&lt;=$A20)*MOVIMIENTOS!$E$5:$E$417)-SUMPRODUCT((MOVIMIENTOS!$B$5:$B$417="VENTA")*(MOVIMIENTOS!$C$5:$C$417="P")*(MOVIMIENTOS!$D$5:$D$417="jabas")*(MOVIMIENTOS!$A$5:$A$417&lt;&gt;"")*(MOVIMIENTOS!$A$5:$A$417&lt;=$A20)*MOVIMIENTOS!$E$5:$E$417)+SUMPRODUCT((MOVIMIENTOS!$B$5:$B$417="AJUSTE")*(MOVIMIENTOS!$C$5:$C$417="P")*(MOVIMIENTOS!$D$5:$D$417="jabas")*(MOVIMIENTOS!$A$5:$A$417&lt;&gt;"")*(MOVIMIENTOS!$A$5:$A$417&lt;=$A20)*MOVIMIENTOS!$E$5:$E$417))</f>
        <v>9</v>
      </c>
      <c r="D20" s="56">
        <f>IF($A20="","",SUMPRODUCT((MOVIMIENTOS!$B$5:$B$417="SALDO INICIAL")*(MOVIMIENTOS!$C$5:$C$417="C")*(MOVIMIENTOS!$D$5:$D$417="jabas")*(MOVIMIENTOS!$A$5:$A$417&lt;&gt;"")*(MOVIMIENTOS!$A$5:$A$417&lt;=$A20)*MOVIMIENTOS!$E$5:$E$417)+SUMPRODUCT((MOVIMIENTOS!$B$5:$B$417="PROCESO")*(MOVIMIENTOS!$C$5:$C$417="C")*(MOVIMIENTOS!$D$5:$D$417="jabas")*(MOVIMIENTOS!$A$5:$A$417&lt;&gt;"")*(MOVIMIENTOS!$A$5:$A$417&lt;=$A20)*MOVIMIENTOS!$E$5:$E$417)-SUMPRODUCT((MOVIMIENTOS!$B$5:$B$417="ENVÍO A SUPESA")*(MOVIMIENTOS!$C$5:$C$417="C")*(MOVIMIENTOS!$D$5:$D$417="jabas")*(MOVIMIENTOS!$A$5:$A$417&lt;&gt;"")*(MOVIMIENTOS!$A$5:$A$417&lt;=$A20)*MOVIMIENTOS!$E$5:$E$417)+SUMPRODUCT((MOVIMIENTOS!$B$5:$B$417="DEVOLUCIÓN")*(MOVIMIENTOS!$C$5:$C$417="C")*(MOVIMIENTOS!$D$5:$D$417="jabas")*(MOVIMIENTOS!$A$5:$A$417&lt;&gt;"")*(MOVIMIENTOS!$A$5:$A$417&lt;=$A20)*MOVIMIENTOS!$E$5:$E$417)-SUMPRODUCT((MOVIMIENTOS!$B$5:$B$417="TRASIEGO")*(MOVIMIENTOS!$C$5:$C$417="C")*(MOVIMIENTOS!$D$5:$D$417="jabas")*(MOVIMIENTOS!$A$5:$A$417&lt;&gt;"")*(MOVIMIENTOS!$A$5:$A$417&lt;=$A20)*MOVIMIENTOS!$E$5:$E$417)-SUMPRODUCT((MOVIMIENTOS!$B$5:$B$417="REGALO")*(MOVIMIENTOS!$C$5:$C$417="C")*(MOVIMIENTOS!$D$5:$D$417="jabas")*(MOVIMIENTOS!$A$5:$A$417&lt;&gt;"")*(MOVIMIENTOS!$A$5:$A$417&lt;=$A20)*MOVIMIENTOS!$E$5:$E$417)-SUMPRODUCT((MOVIMIENTOS!$B$5:$B$417="VENTA")*(MOVIMIENTOS!$C$5:$C$417="C")*(MOVIMIENTOS!$D$5:$D$417="jabas")*(MOVIMIENTOS!$A$5:$A$417&lt;&gt;"")*(MOVIMIENTOS!$A$5:$A$417&lt;=$A20)*MOVIMIENTOS!$E$5:$E$417)+SUMPRODUCT((MOVIMIENTOS!$B$5:$B$417="AJUSTE")*(MOVIMIENTOS!$C$5:$C$417="C")*(MOVIMIENTOS!$D$5:$D$417="jabas")*(MOVIMIENTOS!$A$5:$A$417&lt;&gt;"")*(MOVIMIENTOS!$A$5:$A$417&lt;=$A20)*MOVIMIENTOS!$E$5:$E$417))</f>
        <v>0</v>
      </c>
      <c r="E20" s="56">
        <f>IF($A20="","",SUMPRODUCT((MOVIMIENTOS!$B$5:$B$417="SALDO INICIAL")*(MOVIMIENTOS!$C$5:$C$417="M")*(MOVIMIENTOS!$D$5:$D$417="jabas")*(MOVIMIENTOS!$A$5:$A$417&lt;&gt;"")*(MOVIMIENTOS!$A$5:$A$417&lt;=$A20)*MOVIMIENTOS!$E$5:$E$417)+SUMPRODUCT((MOVIMIENTOS!$B$5:$B$417="PROCESO")*(MOVIMIENTOS!$C$5:$C$417="M")*(MOVIMIENTOS!$D$5:$D$417="jabas")*(MOVIMIENTOS!$A$5:$A$417&lt;&gt;"")*(MOVIMIENTOS!$A$5:$A$417&lt;=$A20)*MOVIMIENTOS!$E$5:$E$417)-SUMPRODUCT((MOVIMIENTOS!$B$5:$B$417="ENVÍO A SUPESA")*(MOVIMIENTOS!$C$5:$C$417="M")*(MOVIMIENTOS!$D$5:$D$417="jabas")*(MOVIMIENTOS!$A$5:$A$417&lt;&gt;"")*(MOVIMIENTOS!$A$5:$A$417&lt;=$A20)*MOVIMIENTOS!$E$5:$E$417)+SUMPRODUCT((MOVIMIENTOS!$B$5:$B$417="DEVOLUCIÓN")*(MOVIMIENTOS!$C$5:$C$417="M")*(MOVIMIENTOS!$D$5:$D$417="jabas")*(MOVIMIENTOS!$A$5:$A$417&lt;&gt;"")*(MOVIMIENTOS!$A$5:$A$417&lt;=$A20)*MOVIMIENTOS!$E$5:$E$417)-SUMPRODUCT((MOVIMIENTOS!$B$5:$B$417="TRASIEGO")*(MOVIMIENTOS!$C$5:$C$417="M")*(MOVIMIENTOS!$D$5:$D$417="jabas")*(MOVIMIENTOS!$A$5:$A$417&lt;&gt;"")*(MOVIMIENTOS!$A$5:$A$417&lt;=$A20)*MOVIMIENTOS!$E$5:$E$417)-SUMPRODUCT((MOVIMIENTOS!$B$5:$B$417="REGALO")*(MOVIMIENTOS!$C$5:$C$417="M")*(MOVIMIENTOS!$D$5:$D$417="jabas")*(MOVIMIENTOS!$A$5:$A$417&lt;&gt;"")*(MOVIMIENTOS!$A$5:$A$417&lt;=$A20)*MOVIMIENTOS!$E$5:$E$417)-SUMPRODUCT((MOVIMIENTOS!$B$5:$B$417="VENTA")*(MOVIMIENTOS!$C$5:$C$417="M")*(MOVIMIENTOS!$D$5:$D$417="jabas")*(MOVIMIENTOS!$A$5:$A$417&lt;&gt;"")*(MOVIMIENTOS!$A$5:$A$417&lt;=$A20)*MOVIMIENTOS!$E$5:$E$417)+SUMPRODUCT((MOVIMIENTOS!$B$5:$B$417="AJUSTE")*(MOVIMIENTOS!$C$5:$C$417="M")*(MOVIMIENTOS!$D$5:$D$417="jabas")*(MOVIMIENTOS!$A$5:$A$417&lt;&gt;"")*(MOVIMIENTOS!$A$5:$A$417&lt;=$A20)*MOVIMIENTOS!$E$5:$E$417))</f>
        <v>65</v>
      </c>
      <c r="F20" s="56">
        <f>IF($A20="","",SUMPRODUCT((MOVIMIENTOS!$B$5:$B$417="SALDO INICIAL")*(MOVIMIENTOS!$C$5:$C$417="Chancho")*(MOVIMIENTOS!$D$5:$D$417="sacos")*(MOVIMIENTOS!$A$5:$A$417&lt;&gt;"")*(MOVIMIENTOS!$A$5:$A$417&lt;=$A20)*MOVIMIENTOS!$E$5:$E$417)+SUMPRODUCT((MOVIMIENTOS!$B$5:$B$417="PROCESO")*(MOVIMIENTOS!$C$5:$C$417="Chancho")*(MOVIMIENTOS!$D$5:$D$417="sacos")*(MOVIMIENTOS!$A$5:$A$417&lt;&gt;"")*(MOVIMIENTOS!$A$5:$A$417&lt;=$A20)*MOVIMIENTOS!$E$5:$E$417)-SUMPRODUCT((MOVIMIENTOS!$B$5:$B$417="VENTA CHANCHO")*(MOVIMIENTOS!$C$5:$C$417="Chancho")*(MOVIMIENTOS!$D$5:$D$417="sacos")*(MOVIMIENTOS!$A$5:$A$417&lt;&gt;"")*(MOVIMIENTOS!$A$5:$A$417&lt;=$A20)*MOVIMIENTOS!$E$5:$E$417)-SUMPRODUCT((MOVIMIENTOS!$B$5:$B$417="REGALO")*(MOVIMIENTOS!$C$5:$C$417="Chancho")*(MOVIMIENTOS!$D$5:$D$417="sacos")*(MOVIMIENTOS!$A$5:$A$417&lt;&gt;"")*(MOVIMIENTOS!$A$5:$A$417&lt;=$A20)*MOVIMIENTOS!$E$5:$E$417)-SUMPRODUCT((MOVIMIENTOS!$B$5:$B$417="VENTA")*(MOVIMIENTOS!$C$5:$C$417="Chancho")*(MOVIMIENTOS!$D$5:$D$417="sacos")*(MOVIMIENTOS!$A$5:$A$417&lt;&gt;"")*(MOVIMIENTOS!$A$5:$A$417&lt;=$A20)*MOVIMIENTOS!$E$5:$E$417)+SUMPRODUCT((MOVIMIENTOS!$B$5:$B$417="AJUSTE")*(MOVIMIENTOS!$C$5:$C$417="Chancho")*(MOVIMIENTOS!$D$5:$D$417="sacos")*(MOVIMIENTOS!$A$5:$A$417&lt;&gt;"")*(MOVIMIENTOS!$A$5:$A$417&lt;=$A20)*MOVIMIENTOS!$E$5:$E$417))</f>
        <v>23.5</v>
      </c>
      <c r="G20" s="56">
        <f t="shared" si="1"/>
        <v>84</v>
      </c>
      <c r="H20" s="56">
        <f>IF($A20="","",SUMPRODUCT((((MOVIMIENTOS!$B$5:$B$417="SALDO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20)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20)*MOVIMIENTOS!$I$5:$I$417))</f>
        <v>1655.5</v>
      </c>
      <c r="I20" s="54"/>
      <c r="J20" s="54" t="str">
        <f>IF(AND(MOVIMIENTOS!$A20&lt;&gt;"",COUNTIF(MOVIMIENTOS!$A$5:$A19,MOVIMIENTOS!$A20)=0),COUNT(J$4:J19)+1,"")</f>
        <v/>
      </c>
      <c r="K20" s="57">
        <f>MOVIMIENTOS!$A20</f>
        <v>46216</v>
      </c>
      <c r="L20" s="54"/>
      <c r="M20" s="54"/>
      <c r="N20" s="54"/>
    </row>
    <row r="21" spans="1:14" ht="15" customHeight="1" x14ac:dyDescent="0.2">
      <c r="A21" s="55">
        <f t="shared" si="0"/>
        <v>46230</v>
      </c>
      <c r="B21" s="56">
        <f>IF($A21="","",SUMPRODUCT((MOVIMIENTOS!$B$5:$B$417="SALDO INICIAL")*(MOVIMIENTOS!$C$5:$C$417="A")*(MOVIMIENTOS!$D$5:$D$417="jabas")*(MOVIMIENTOS!$A$5:$A$417&lt;&gt;"")*(MOVIMIENTOS!$A$5:$A$417&lt;=$A21)*MOVIMIENTOS!$E$5:$E$417)+SUMPRODUCT((MOVIMIENTOS!$B$5:$B$417="PROCESO")*(MOVIMIENTOS!$C$5:$C$417="A")*(MOVIMIENTOS!$D$5:$D$417="jabas")*(MOVIMIENTOS!$A$5:$A$417&lt;&gt;"")*(MOVIMIENTOS!$A$5:$A$417&lt;=$A21)*MOVIMIENTOS!$E$5:$E$417)-SUMPRODUCT((MOVIMIENTOS!$B$5:$B$417="ENVÍO A SUPESA")*(MOVIMIENTOS!$C$5:$C$417="A")*(MOVIMIENTOS!$D$5:$D$417="jabas")*(MOVIMIENTOS!$A$5:$A$417&lt;&gt;"")*(MOVIMIENTOS!$A$5:$A$417&lt;=$A21)*MOVIMIENTOS!$E$5:$E$417)+SUMPRODUCT((MOVIMIENTOS!$B$5:$B$417="DEVOLUCIÓN")*(MOVIMIENTOS!$C$5:$C$417="A")*(MOVIMIENTOS!$D$5:$D$417="jabas")*(MOVIMIENTOS!$A$5:$A$417&lt;&gt;"")*(MOVIMIENTOS!$A$5:$A$417&lt;=$A21)*MOVIMIENTOS!$E$5:$E$417)-SUMPRODUCT((MOVIMIENTOS!$B$5:$B$417="TRASIEGO")*(MOVIMIENTOS!$C$5:$C$417="A")*(MOVIMIENTOS!$D$5:$D$417="jabas")*(MOVIMIENTOS!$A$5:$A$417&lt;&gt;"")*(MOVIMIENTOS!$A$5:$A$417&lt;=$A21)*MOVIMIENTOS!$E$5:$E$417)-SUMPRODUCT((MOVIMIENTOS!$B$5:$B$417="REGALO")*(MOVIMIENTOS!$C$5:$C$417="A")*(MOVIMIENTOS!$D$5:$D$417="jabas")*(MOVIMIENTOS!$A$5:$A$417&lt;&gt;"")*(MOVIMIENTOS!$A$5:$A$417&lt;=$A21)*MOVIMIENTOS!$E$5:$E$417)-SUMPRODUCT((MOVIMIENTOS!$B$5:$B$417="VENTA")*(MOVIMIENTOS!$C$5:$C$417="A")*(MOVIMIENTOS!$D$5:$D$417="jabas")*(MOVIMIENTOS!$A$5:$A$417&lt;&gt;"")*(MOVIMIENTOS!$A$5:$A$417&lt;=$A21)*MOVIMIENTOS!$E$5:$E$417)+SUMPRODUCT((MOVIMIENTOS!$B$5:$B$417="AJUSTE")*(MOVIMIENTOS!$C$5:$C$417="A")*(MOVIMIENTOS!$D$5:$D$417="jabas")*(MOVIMIENTOS!$A$5:$A$417&lt;&gt;"")*(MOVIMIENTOS!$A$5:$A$417&lt;=$A21)*MOVIMIENTOS!$E$5:$E$417))</f>
        <v>40</v>
      </c>
      <c r="C21" s="56">
        <f>IF($A21="","",SUMPRODUCT((MOVIMIENTOS!$B$5:$B$417="SALDO INICIAL")*(MOVIMIENTOS!$C$5:$C$417="P")*(MOVIMIENTOS!$D$5:$D$417="jabas")*(MOVIMIENTOS!$A$5:$A$417&lt;&gt;"")*(MOVIMIENTOS!$A$5:$A$417&lt;=$A21)*MOVIMIENTOS!$E$5:$E$417)+SUMPRODUCT((MOVIMIENTOS!$B$5:$B$417="PROCESO")*(MOVIMIENTOS!$C$5:$C$417="P")*(MOVIMIENTOS!$D$5:$D$417="jabas")*(MOVIMIENTOS!$A$5:$A$417&lt;&gt;"")*(MOVIMIENTOS!$A$5:$A$417&lt;=$A21)*MOVIMIENTOS!$E$5:$E$417)-SUMPRODUCT((MOVIMIENTOS!$B$5:$B$417="ENVÍO A SUPESA")*(MOVIMIENTOS!$C$5:$C$417="P")*(MOVIMIENTOS!$D$5:$D$417="jabas")*(MOVIMIENTOS!$A$5:$A$417&lt;&gt;"")*(MOVIMIENTOS!$A$5:$A$417&lt;=$A21)*MOVIMIENTOS!$E$5:$E$417)+SUMPRODUCT((MOVIMIENTOS!$B$5:$B$417="DEVOLUCIÓN")*(MOVIMIENTOS!$C$5:$C$417="P")*(MOVIMIENTOS!$D$5:$D$417="jabas")*(MOVIMIENTOS!$A$5:$A$417&lt;&gt;"")*(MOVIMIENTOS!$A$5:$A$417&lt;=$A21)*MOVIMIENTOS!$E$5:$E$417)-SUMPRODUCT((MOVIMIENTOS!$B$5:$B$417="TRASIEGO")*(MOVIMIENTOS!$C$5:$C$417="P")*(MOVIMIENTOS!$D$5:$D$417="jabas")*(MOVIMIENTOS!$A$5:$A$417&lt;&gt;"")*(MOVIMIENTOS!$A$5:$A$417&lt;=$A21)*MOVIMIENTOS!$E$5:$E$417)-SUMPRODUCT((MOVIMIENTOS!$B$5:$B$417="REGALO")*(MOVIMIENTOS!$C$5:$C$417="P")*(MOVIMIENTOS!$D$5:$D$417="jabas")*(MOVIMIENTOS!$A$5:$A$417&lt;&gt;"")*(MOVIMIENTOS!$A$5:$A$417&lt;=$A21)*MOVIMIENTOS!$E$5:$E$417)-SUMPRODUCT((MOVIMIENTOS!$B$5:$B$417="VENTA")*(MOVIMIENTOS!$C$5:$C$417="P")*(MOVIMIENTOS!$D$5:$D$417="jabas")*(MOVIMIENTOS!$A$5:$A$417&lt;&gt;"")*(MOVIMIENTOS!$A$5:$A$417&lt;=$A21)*MOVIMIENTOS!$E$5:$E$417)+SUMPRODUCT((MOVIMIENTOS!$B$5:$B$417="AJUSTE")*(MOVIMIENTOS!$C$5:$C$417="P")*(MOVIMIENTOS!$D$5:$D$417="jabas")*(MOVIMIENTOS!$A$5:$A$417&lt;&gt;"")*(MOVIMIENTOS!$A$5:$A$417&lt;=$A21)*MOVIMIENTOS!$E$5:$E$417))</f>
        <v>11</v>
      </c>
      <c r="D21" s="56">
        <f>IF($A21="","",SUMPRODUCT((MOVIMIENTOS!$B$5:$B$417="SALDO INICIAL")*(MOVIMIENTOS!$C$5:$C$417="C")*(MOVIMIENTOS!$D$5:$D$417="jabas")*(MOVIMIENTOS!$A$5:$A$417&lt;&gt;"")*(MOVIMIENTOS!$A$5:$A$417&lt;=$A21)*MOVIMIENTOS!$E$5:$E$417)+SUMPRODUCT((MOVIMIENTOS!$B$5:$B$417="PROCESO")*(MOVIMIENTOS!$C$5:$C$417="C")*(MOVIMIENTOS!$D$5:$D$417="jabas")*(MOVIMIENTOS!$A$5:$A$417&lt;&gt;"")*(MOVIMIENTOS!$A$5:$A$417&lt;=$A21)*MOVIMIENTOS!$E$5:$E$417)-SUMPRODUCT((MOVIMIENTOS!$B$5:$B$417="ENVÍO A SUPESA")*(MOVIMIENTOS!$C$5:$C$417="C")*(MOVIMIENTOS!$D$5:$D$417="jabas")*(MOVIMIENTOS!$A$5:$A$417&lt;&gt;"")*(MOVIMIENTOS!$A$5:$A$417&lt;=$A21)*MOVIMIENTOS!$E$5:$E$417)+SUMPRODUCT((MOVIMIENTOS!$B$5:$B$417="DEVOLUCIÓN")*(MOVIMIENTOS!$C$5:$C$417="C")*(MOVIMIENTOS!$D$5:$D$417="jabas")*(MOVIMIENTOS!$A$5:$A$417&lt;&gt;"")*(MOVIMIENTOS!$A$5:$A$417&lt;=$A21)*MOVIMIENTOS!$E$5:$E$417)-SUMPRODUCT((MOVIMIENTOS!$B$5:$B$417="TRASIEGO")*(MOVIMIENTOS!$C$5:$C$417="C")*(MOVIMIENTOS!$D$5:$D$417="jabas")*(MOVIMIENTOS!$A$5:$A$417&lt;&gt;"")*(MOVIMIENTOS!$A$5:$A$417&lt;=$A21)*MOVIMIENTOS!$E$5:$E$417)-SUMPRODUCT((MOVIMIENTOS!$B$5:$B$417="REGALO")*(MOVIMIENTOS!$C$5:$C$417="C")*(MOVIMIENTOS!$D$5:$D$417="jabas")*(MOVIMIENTOS!$A$5:$A$417&lt;&gt;"")*(MOVIMIENTOS!$A$5:$A$417&lt;=$A21)*MOVIMIENTOS!$E$5:$E$417)-SUMPRODUCT((MOVIMIENTOS!$B$5:$B$417="VENTA")*(MOVIMIENTOS!$C$5:$C$417="C")*(MOVIMIENTOS!$D$5:$D$417="jabas")*(MOVIMIENTOS!$A$5:$A$417&lt;&gt;"")*(MOVIMIENTOS!$A$5:$A$417&lt;=$A21)*MOVIMIENTOS!$E$5:$E$417)+SUMPRODUCT((MOVIMIENTOS!$B$5:$B$417="AJUSTE")*(MOVIMIENTOS!$C$5:$C$417="C")*(MOVIMIENTOS!$D$5:$D$417="jabas")*(MOVIMIENTOS!$A$5:$A$417&lt;&gt;"")*(MOVIMIENTOS!$A$5:$A$417&lt;=$A21)*MOVIMIENTOS!$E$5:$E$417))</f>
        <v>10</v>
      </c>
      <c r="E21" s="56">
        <f>IF($A21="","",SUMPRODUCT((MOVIMIENTOS!$B$5:$B$417="SALDO INICIAL")*(MOVIMIENTOS!$C$5:$C$417="M")*(MOVIMIENTOS!$D$5:$D$417="jabas")*(MOVIMIENTOS!$A$5:$A$417&lt;&gt;"")*(MOVIMIENTOS!$A$5:$A$417&lt;=$A21)*MOVIMIENTOS!$E$5:$E$417)+SUMPRODUCT((MOVIMIENTOS!$B$5:$B$417="PROCESO")*(MOVIMIENTOS!$C$5:$C$417="M")*(MOVIMIENTOS!$D$5:$D$417="jabas")*(MOVIMIENTOS!$A$5:$A$417&lt;&gt;"")*(MOVIMIENTOS!$A$5:$A$417&lt;=$A21)*MOVIMIENTOS!$E$5:$E$417)-SUMPRODUCT((MOVIMIENTOS!$B$5:$B$417="ENVÍO A SUPESA")*(MOVIMIENTOS!$C$5:$C$417="M")*(MOVIMIENTOS!$D$5:$D$417="jabas")*(MOVIMIENTOS!$A$5:$A$417&lt;&gt;"")*(MOVIMIENTOS!$A$5:$A$417&lt;=$A21)*MOVIMIENTOS!$E$5:$E$417)+SUMPRODUCT((MOVIMIENTOS!$B$5:$B$417="DEVOLUCIÓN")*(MOVIMIENTOS!$C$5:$C$417="M")*(MOVIMIENTOS!$D$5:$D$417="jabas")*(MOVIMIENTOS!$A$5:$A$417&lt;&gt;"")*(MOVIMIENTOS!$A$5:$A$417&lt;=$A21)*MOVIMIENTOS!$E$5:$E$417)-SUMPRODUCT((MOVIMIENTOS!$B$5:$B$417="TRASIEGO")*(MOVIMIENTOS!$C$5:$C$417="M")*(MOVIMIENTOS!$D$5:$D$417="jabas")*(MOVIMIENTOS!$A$5:$A$417&lt;&gt;"")*(MOVIMIENTOS!$A$5:$A$417&lt;=$A21)*MOVIMIENTOS!$E$5:$E$417)-SUMPRODUCT((MOVIMIENTOS!$B$5:$B$417="REGALO")*(MOVIMIENTOS!$C$5:$C$417="M")*(MOVIMIENTOS!$D$5:$D$417="jabas")*(MOVIMIENTOS!$A$5:$A$417&lt;&gt;"")*(MOVIMIENTOS!$A$5:$A$417&lt;=$A21)*MOVIMIENTOS!$E$5:$E$417)-SUMPRODUCT((MOVIMIENTOS!$B$5:$B$417="VENTA")*(MOVIMIENTOS!$C$5:$C$417="M")*(MOVIMIENTOS!$D$5:$D$417="jabas")*(MOVIMIENTOS!$A$5:$A$417&lt;&gt;"")*(MOVIMIENTOS!$A$5:$A$417&lt;=$A21)*MOVIMIENTOS!$E$5:$E$417)+SUMPRODUCT((MOVIMIENTOS!$B$5:$B$417="AJUSTE")*(MOVIMIENTOS!$C$5:$C$417="M")*(MOVIMIENTOS!$D$5:$D$417="jabas")*(MOVIMIENTOS!$A$5:$A$417&lt;&gt;"")*(MOVIMIENTOS!$A$5:$A$417&lt;=$A21)*MOVIMIENTOS!$E$5:$E$417))</f>
        <v>142</v>
      </c>
      <c r="F21" s="56">
        <f>IF($A21="","",SUMPRODUCT((MOVIMIENTOS!$B$5:$B$417="SALDO INICIAL")*(MOVIMIENTOS!$C$5:$C$417="Chancho")*(MOVIMIENTOS!$D$5:$D$417="sacos")*(MOVIMIENTOS!$A$5:$A$417&lt;&gt;"")*(MOVIMIENTOS!$A$5:$A$417&lt;=$A21)*MOVIMIENTOS!$E$5:$E$417)+SUMPRODUCT((MOVIMIENTOS!$B$5:$B$417="PROCESO")*(MOVIMIENTOS!$C$5:$C$417="Chancho")*(MOVIMIENTOS!$D$5:$D$417="sacos")*(MOVIMIENTOS!$A$5:$A$417&lt;&gt;"")*(MOVIMIENTOS!$A$5:$A$417&lt;=$A21)*MOVIMIENTOS!$E$5:$E$417)-SUMPRODUCT((MOVIMIENTOS!$B$5:$B$417="VENTA CHANCHO")*(MOVIMIENTOS!$C$5:$C$417="Chancho")*(MOVIMIENTOS!$D$5:$D$417="sacos")*(MOVIMIENTOS!$A$5:$A$417&lt;&gt;"")*(MOVIMIENTOS!$A$5:$A$417&lt;=$A21)*MOVIMIENTOS!$E$5:$E$417)-SUMPRODUCT((MOVIMIENTOS!$B$5:$B$417="REGALO")*(MOVIMIENTOS!$C$5:$C$417="Chancho")*(MOVIMIENTOS!$D$5:$D$417="sacos")*(MOVIMIENTOS!$A$5:$A$417&lt;&gt;"")*(MOVIMIENTOS!$A$5:$A$417&lt;=$A21)*MOVIMIENTOS!$E$5:$E$417)-SUMPRODUCT((MOVIMIENTOS!$B$5:$B$417="VENTA")*(MOVIMIENTOS!$C$5:$C$417="Chancho")*(MOVIMIENTOS!$D$5:$D$417="sacos")*(MOVIMIENTOS!$A$5:$A$417&lt;&gt;"")*(MOVIMIENTOS!$A$5:$A$417&lt;=$A21)*MOVIMIENTOS!$E$5:$E$417)+SUMPRODUCT((MOVIMIENTOS!$B$5:$B$417="AJUSTE")*(MOVIMIENTOS!$C$5:$C$417="Chancho")*(MOVIMIENTOS!$D$5:$D$417="sacos")*(MOVIMIENTOS!$A$5:$A$417&lt;&gt;"")*(MOVIMIENTOS!$A$5:$A$417&lt;=$A21)*MOVIMIENTOS!$E$5:$E$417))</f>
        <v>7</v>
      </c>
      <c r="G21" s="56">
        <f t="shared" si="1"/>
        <v>203</v>
      </c>
      <c r="H21" s="56">
        <f>IF($A21="","",SUMPRODUCT((((MOVIMIENTOS!$B$5:$B$417="SALDO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21)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21)*MOVIMIENTOS!$I$5:$I$417))</f>
        <v>3958</v>
      </c>
      <c r="I21" s="54"/>
      <c r="J21" s="54" t="str">
        <f>IF(AND(MOVIMIENTOS!$A21&lt;&gt;"",COUNTIF(MOVIMIENTOS!$A$5:$A20,MOVIMIENTOS!$A21)=0),COUNT(J$4:J20)+1,"")</f>
        <v/>
      </c>
      <c r="K21" s="57">
        <f>MOVIMIENTOS!$A21</f>
        <v>46216</v>
      </c>
      <c r="L21" s="54"/>
      <c r="M21" s="54"/>
      <c r="N21" s="54"/>
    </row>
    <row r="22" spans="1:14" ht="15" customHeight="1" x14ac:dyDescent="0.2">
      <c r="A22" s="55">
        <f t="shared" si="0"/>
        <v>46231</v>
      </c>
      <c r="B22" s="56">
        <f>IF($A22="","",SUMPRODUCT((MOVIMIENTOS!$B$5:$B$417="SALDO INICIAL")*(MOVIMIENTOS!$C$5:$C$417="A")*(MOVIMIENTOS!$D$5:$D$417="jabas")*(MOVIMIENTOS!$A$5:$A$417&lt;&gt;"")*(MOVIMIENTOS!$A$5:$A$417&lt;=$A22)*MOVIMIENTOS!$E$5:$E$417)+SUMPRODUCT((MOVIMIENTOS!$B$5:$B$417="PROCESO")*(MOVIMIENTOS!$C$5:$C$417="A")*(MOVIMIENTOS!$D$5:$D$417="jabas")*(MOVIMIENTOS!$A$5:$A$417&lt;&gt;"")*(MOVIMIENTOS!$A$5:$A$417&lt;=$A22)*MOVIMIENTOS!$E$5:$E$417)-SUMPRODUCT((MOVIMIENTOS!$B$5:$B$417="ENVÍO A SUPESA")*(MOVIMIENTOS!$C$5:$C$417="A")*(MOVIMIENTOS!$D$5:$D$417="jabas")*(MOVIMIENTOS!$A$5:$A$417&lt;&gt;"")*(MOVIMIENTOS!$A$5:$A$417&lt;=$A22)*MOVIMIENTOS!$E$5:$E$417)+SUMPRODUCT((MOVIMIENTOS!$B$5:$B$417="DEVOLUCIÓN")*(MOVIMIENTOS!$C$5:$C$417="A")*(MOVIMIENTOS!$D$5:$D$417="jabas")*(MOVIMIENTOS!$A$5:$A$417&lt;&gt;"")*(MOVIMIENTOS!$A$5:$A$417&lt;=$A22)*MOVIMIENTOS!$E$5:$E$417)-SUMPRODUCT((MOVIMIENTOS!$B$5:$B$417="TRASIEGO")*(MOVIMIENTOS!$C$5:$C$417="A")*(MOVIMIENTOS!$D$5:$D$417="jabas")*(MOVIMIENTOS!$A$5:$A$417&lt;&gt;"")*(MOVIMIENTOS!$A$5:$A$417&lt;=$A22)*MOVIMIENTOS!$E$5:$E$417)-SUMPRODUCT((MOVIMIENTOS!$B$5:$B$417="REGALO")*(MOVIMIENTOS!$C$5:$C$417="A")*(MOVIMIENTOS!$D$5:$D$417="jabas")*(MOVIMIENTOS!$A$5:$A$417&lt;&gt;"")*(MOVIMIENTOS!$A$5:$A$417&lt;=$A22)*MOVIMIENTOS!$E$5:$E$417)-SUMPRODUCT((MOVIMIENTOS!$B$5:$B$417="VENTA")*(MOVIMIENTOS!$C$5:$C$417="A")*(MOVIMIENTOS!$D$5:$D$417="jabas")*(MOVIMIENTOS!$A$5:$A$417&lt;&gt;"")*(MOVIMIENTOS!$A$5:$A$417&lt;=$A22)*MOVIMIENTOS!$E$5:$E$417)+SUMPRODUCT((MOVIMIENTOS!$B$5:$B$417="AJUSTE")*(MOVIMIENTOS!$C$5:$C$417="A")*(MOVIMIENTOS!$D$5:$D$417="jabas")*(MOVIMIENTOS!$A$5:$A$417&lt;&gt;"")*(MOVIMIENTOS!$A$5:$A$417&lt;=$A22)*MOVIMIENTOS!$E$5:$E$417))</f>
        <v>106</v>
      </c>
      <c r="C22" s="56">
        <f>IF($A22="","",SUMPRODUCT((MOVIMIENTOS!$B$5:$B$417="SALDO INICIAL")*(MOVIMIENTOS!$C$5:$C$417="P")*(MOVIMIENTOS!$D$5:$D$417="jabas")*(MOVIMIENTOS!$A$5:$A$417&lt;&gt;"")*(MOVIMIENTOS!$A$5:$A$417&lt;=$A22)*MOVIMIENTOS!$E$5:$E$417)+SUMPRODUCT((MOVIMIENTOS!$B$5:$B$417="PROCESO")*(MOVIMIENTOS!$C$5:$C$417="P")*(MOVIMIENTOS!$D$5:$D$417="jabas")*(MOVIMIENTOS!$A$5:$A$417&lt;&gt;"")*(MOVIMIENTOS!$A$5:$A$417&lt;=$A22)*MOVIMIENTOS!$E$5:$E$417)-SUMPRODUCT((MOVIMIENTOS!$B$5:$B$417="ENVÍO A SUPESA")*(MOVIMIENTOS!$C$5:$C$417="P")*(MOVIMIENTOS!$D$5:$D$417="jabas")*(MOVIMIENTOS!$A$5:$A$417&lt;&gt;"")*(MOVIMIENTOS!$A$5:$A$417&lt;=$A22)*MOVIMIENTOS!$E$5:$E$417)+SUMPRODUCT((MOVIMIENTOS!$B$5:$B$417="DEVOLUCIÓN")*(MOVIMIENTOS!$C$5:$C$417="P")*(MOVIMIENTOS!$D$5:$D$417="jabas")*(MOVIMIENTOS!$A$5:$A$417&lt;&gt;"")*(MOVIMIENTOS!$A$5:$A$417&lt;=$A22)*MOVIMIENTOS!$E$5:$E$417)-SUMPRODUCT((MOVIMIENTOS!$B$5:$B$417="TRASIEGO")*(MOVIMIENTOS!$C$5:$C$417="P")*(MOVIMIENTOS!$D$5:$D$417="jabas")*(MOVIMIENTOS!$A$5:$A$417&lt;&gt;"")*(MOVIMIENTOS!$A$5:$A$417&lt;=$A22)*MOVIMIENTOS!$E$5:$E$417)-SUMPRODUCT((MOVIMIENTOS!$B$5:$B$417="REGALO")*(MOVIMIENTOS!$C$5:$C$417="P")*(MOVIMIENTOS!$D$5:$D$417="jabas")*(MOVIMIENTOS!$A$5:$A$417&lt;&gt;"")*(MOVIMIENTOS!$A$5:$A$417&lt;=$A22)*MOVIMIENTOS!$E$5:$E$417)-SUMPRODUCT((MOVIMIENTOS!$B$5:$B$417="VENTA")*(MOVIMIENTOS!$C$5:$C$417="P")*(MOVIMIENTOS!$D$5:$D$417="jabas")*(MOVIMIENTOS!$A$5:$A$417&lt;&gt;"")*(MOVIMIENTOS!$A$5:$A$417&lt;=$A22)*MOVIMIENTOS!$E$5:$E$417)+SUMPRODUCT((MOVIMIENTOS!$B$5:$B$417="AJUSTE")*(MOVIMIENTOS!$C$5:$C$417="P")*(MOVIMIENTOS!$D$5:$D$417="jabas")*(MOVIMIENTOS!$A$5:$A$417&lt;&gt;"")*(MOVIMIENTOS!$A$5:$A$417&lt;=$A22)*MOVIMIENTOS!$E$5:$E$417))</f>
        <v>4</v>
      </c>
      <c r="D22" s="56">
        <f>IF($A22="","",SUMPRODUCT((MOVIMIENTOS!$B$5:$B$417="SALDO INICIAL")*(MOVIMIENTOS!$C$5:$C$417="C")*(MOVIMIENTOS!$D$5:$D$417="jabas")*(MOVIMIENTOS!$A$5:$A$417&lt;&gt;"")*(MOVIMIENTOS!$A$5:$A$417&lt;=$A22)*MOVIMIENTOS!$E$5:$E$417)+SUMPRODUCT((MOVIMIENTOS!$B$5:$B$417="PROCESO")*(MOVIMIENTOS!$C$5:$C$417="C")*(MOVIMIENTOS!$D$5:$D$417="jabas")*(MOVIMIENTOS!$A$5:$A$417&lt;&gt;"")*(MOVIMIENTOS!$A$5:$A$417&lt;=$A22)*MOVIMIENTOS!$E$5:$E$417)-SUMPRODUCT((MOVIMIENTOS!$B$5:$B$417="ENVÍO A SUPESA")*(MOVIMIENTOS!$C$5:$C$417="C")*(MOVIMIENTOS!$D$5:$D$417="jabas")*(MOVIMIENTOS!$A$5:$A$417&lt;&gt;"")*(MOVIMIENTOS!$A$5:$A$417&lt;=$A22)*MOVIMIENTOS!$E$5:$E$417)+SUMPRODUCT((MOVIMIENTOS!$B$5:$B$417="DEVOLUCIÓN")*(MOVIMIENTOS!$C$5:$C$417="C")*(MOVIMIENTOS!$D$5:$D$417="jabas")*(MOVIMIENTOS!$A$5:$A$417&lt;&gt;"")*(MOVIMIENTOS!$A$5:$A$417&lt;=$A22)*MOVIMIENTOS!$E$5:$E$417)-SUMPRODUCT((MOVIMIENTOS!$B$5:$B$417="TRASIEGO")*(MOVIMIENTOS!$C$5:$C$417="C")*(MOVIMIENTOS!$D$5:$D$417="jabas")*(MOVIMIENTOS!$A$5:$A$417&lt;&gt;"")*(MOVIMIENTOS!$A$5:$A$417&lt;=$A22)*MOVIMIENTOS!$E$5:$E$417)-SUMPRODUCT((MOVIMIENTOS!$B$5:$B$417="REGALO")*(MOVIMIENTOS!$C$5:$C$417="C")*(MOVIMIENTOS!$D$5:$D$417="jabas")*(MOVIMIENTOS!$A$5:$A$417&lt;&gt;"")*(MOVIMIENTOS!$A$5:$A$417&lt;=$A22)*MOVIMIENTOS!$E$5:$E$417)-SUMPRODUCT((MOVIMIENTOS!$B$5:$B$417="VENTA")*(MOVIMIENTOS!$C$5:$C$417="C")*(MOVIMIENTOS!$D$5:$D$417="jabas")*(MOVIMIENTOS!$A$5:$A$417&lt;&gt;"")*(MOVIMIENTOS!$A$5:$A$417&lt;=$A22)*MOVIMIENTOS!$E$5:$E$417)+SUMPRODUCT((MOVIMIENTOS!$B$5:$B$417="AJUSTE")*(MOVIMIENTOS!$C$5:$C$417="C")*(MOVIMIENTOS!$D$5:$D$417="jabas")*(MOVIMIENTOS!$A$5:$A$417&lt;&gt;"")*(MOVIMIENTOS!$A$5:$A$417&lt;=$A22)*MOVIMIENTOS!$E$5:$E$417))</f>
        <v>12</v>
      </c>
      <c r="E22" s="56">
        <f>IF($A22="","",SUMPRODUCT((MOVIMIENTOS!$B$5:$B$417="SALDO INICIAL")*(MOVIMIENTOS!$C$5:$C$417="M")*(MOVIMIENTOS!$D$5:$D$417="jabas")*(MOVIMIENTOS!$A$5:$A$417&lt;&gt;"")*(MOVIMIENTOS!$A$5:$A$417&lt;=$A22)*MOVIMIENTOS!$E$5:$E$417)+SUMPRODUCT((MOVIMIENTOS!$B$5:$B$417="PROCESO")*(MOVIMIENTOS!$C$5:$C$417="M")*(MOVIMIENTOS!$D$5:$D$417="jabas")*(MOVIMIENTOS!$A$5:$A$417&lt;&gt;"")*(MOVIMIENTOS!$A$5:$A$417&lt;=$A22)*MOVIMIENTOS!$E$5:$E$417)-SUMPRODUCT((MOVIMIENTOS!$B$5:$B$417="ENVÍO A SUPESA")*(MOVIMIENTOS!$C$5:$C$417="M")*(MOVIMIENTOS!$D$5:$D$417="jabas")*(MOVIMIENTOS!$A$5:$A$417&lt;&gt;"")*(MOVIMIENTOS!$A$5:$A$417&lt;=$A22)*MOVIMIENTOS!$E$5:$E$417)+SUMPRODUCT((MOVIMIENTOS!$B$5:$B$417="DEVOLUCIÓN")*(MOVIMIENTOS!$C$5:$C$417="M")*(MOVIMIENTOS!$D$5:$D$417="jabas")*(MOVIMIENTOS!$A$5:$A$417&lt;&gt;"")*(MOVIMIENTOS!$A$5:$A$417&lt;=$A22)*MOVIMIENTOS!$E$5:$E$417)-SUMPRODUCT((MOVIMIENTOS!$B$5:$B$417="TRASIEGO")*(MOVIMIENTOS!$C$5:$C$417="M")*(MOVIMIENTOS!$D$5:$D$417="jabas")*(MOVIMIENTOS!$A$5:$A$417&lt;&gt;"")*(MOVIMIENTOS!$A$5:$A$417&lt;=$A22)*MOVIMIENTOS!$E$5:$E$417)-SUMPRODUCT((MOVIMIENTOS!$B$5:$B$417="REGALO")*(MOVIMIENTOS!$C$5:$C$417="M")*(MOVIMIENTOS!$D$5:$D$417="jabas")*(MOVIMIENTOS!$A$5:$A$417&lt;&gt;"")*(MOVIMIENTOS!$A$5:$A$417&lt;=$A22)*MOVIMIENTOS!$E$5:$E$417)-SUMPRODUCT((MOVIMIENTOS!$B$5:$B$417="VENTA")*(MOVIMIENTOS!$C$5:$C$417="M")*(MOVIMIENTOS!$D$5:$D$417="jabas")*(MOVIMIENTOS!$A$5:$A$417&lt;&gt;"")*(MOVIMIENTOS!$A$5:$A$417&lt;=$A22)*MOVIMIENTOS!$E$5:$E$417)+SUMPRODUCT((MOVIMIENTOS!$B$5:$B$417="AJUSTE")*(MOVIMIENTOS!$C$5:$C$417="M")*(MOVIMIENTOS!$D$5:$D$417="jabas")*(MOVIMIENTOS!$A$5:$A$417&lt;&gt;"")*(MOVIMIENTOS!$A$5:$A$417&lt;=$A22)*MOVIMIENTOS!$E$5:$E$417))</f>
        <v>118</v>
      </c>
      <c r="F22" s="56">
        <f>IF($A22="","",SUMPRODUCT((MOVIMIENTOS!$B$5:$B$417="SALDO INICIAL")*(MOVIMIENTOS!$C$5:$C$417="Chancho")*(MOVIMIENTOS!$D$5:$D$417="sacos")*(MOVIMIENTOS!$A$5:$A$417&lt;&gt;"")*(MOVIMIENTOS!$A$5:$A$417&lt;=$A22)*MOVIMIENTOS!$E$5:$E$417)+SUMPRODUCT((MOVIMIENTOS!$B$5:$B$417="PROCESO")*(MOVIMIENTOS!$C$5:$C$417="Chancho")*(MOVIMIENTOS!$D$5:$D$417="sacos")*(MOVIMIENTOS!$A$5:$A$417&lt;&gt;"")*(MOVIMIENTOS!$A$5:$A$417&lt;=$A22)*MOVIMIENTOS!$E$5:$E$417)-SUMPRODUCT((MOVIMIENTOS!$B$5:$B$417="VENTA CHANCHO")*(MOVIMIENTOS!$C$5:$C$417="Chancho")*(MOVIMIENTOS!$D$5:$D$417="sacos")*(MOVIMIENTOS!$A$5:$A$417&lt;&gt;"")*(MOVIMIENTOS!$A$5:$A$417&lt;=$A22)*MOVIMIENTOS!$E$5:$E$417)-SUMPRODUCT((MOVIMIENTOS!$B$5:$B$417="REGALO")*(MOVIMIENTOS!$C$5:$C$417="Chancho")*(MOVIMIENTOS!$D$5:$D$417="sacos")*(MOVIMIENTOS!$A$5:$A$417&lt;&gt;"")*(MOVIMIENTOS!$A$5:$A$417&lt;=$A22)*MOVIMIENTOS!$E$5:$E$417)-SUMPRODUCT((MOVIMIENTOS!$B$5:$B$417="VENTA")*(MOVIMIENTOS!$C$5:$C$417="Chancho")*(MOVIMIENTOS!$D$5:$D$417="sacos")*(MOVIMIENTOS!$A$5:$A$417&lt;&gt;"")*(MOVIMIENTOS!$A$5:$A$417&lt;=$A22)*MOVIMIENTOS!$E$5:$E$417)+SUMPRODUCT((MOVIMIENTOS!$B$5:$B$417="AJUSTE")*(MOVIMIENTOS!$C$5:$C$417="Chancho")*(MOVIMIENTOS!$D$5:$D$417="sacos")*(MOVIMIENTOS!$A$5:$A$417&lt;&gt;"")*(MOVIMIENTOS!$A$5:$A$417&lt;=$A22)*MOVIMIENTOS!$E$5:$E$417))</f>
        <v>21.5</v>
      </c>
      <c r="G22" s="56">
        <f t="shared" si="1"/>
        <v>240</v>
      </c>
      <c r="H22" s="56">
        <f>IF($A22="","",SUMPRODUCT((((MOVIMIENTOS!$B$5:$B$417="SALDO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22)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22)*MOVIMIENTOS!$I$5:$I$417))</f>
        <v>4623.5</v>
      </c>
      <c r="I22" s="54"/>
      <c r="J22" s="54" t="str">
        <f>IF(AND(MOVIMIENTOS!$A22&lt;&gt;"",COUNTIF(MOVIMIENTOS!$A$5:$A21,MOVIMIENTOS!$A22)=0),COUNT(J$4:J21)+1,"")</f>
        <v/>
      </c>
      <c r="K22" s="57">
        <f>MOVIMIENTOS!$A22</f>
        <v>46216</v>
      </c>
      <c r="L22" s="54"/>
      <c r="M22" s="54"/>
      <c r="N22" s="54"/>
    </row>
    <row r="23" spans="1:14" ht="15" customHeight="1" x14ac:dyDescent="0.2">
      <c r="A23" s="55">
        <f t="shared" si="0"/>
        <v>46232</v>
      </c>
      <c r="B23" s="56">
        <f>IF($A23="","",SUMPRODUCT((MOVIMIENTOS!$B$5:$B$417="SALDO INICIAL")*(MOVIMIENTOS!$C$5:$C$417="A")*(MOVIMIENTOS!$D$5:$D$417="jabas")*(MOVIMIENTOS!$A$5:$A$417&lt;&gt;"")*(MOVIMIENTOS!$A$5:$A$417&lt;=$A23)*MOVIMIENTOS!$E$5:$E$417)+SUMPRODUCT((MOVIMIENTOS!$B$5:$B$417="PROCESO")*(MOVIMIENTOS!$C$5:$C$417="A")*(MOVIMIENTOS!$D$5:$D$417="jabas")*(MOVIMIENTOS!$A$5:$A$417&lt;&gt;"")*(MOVIMIENTOS!$A$5:$A$417&lt;=$A23)*MOVIMIENTOS!$E$5:$E$417)-SUMPRODUCT((MOVIMIENTOS!$B$5:$B$417="ENVÍO A SUPESA")*(MOVIMIENTOS!$C$5:$C$417="A")*(MOVIMIENTOS!$D$5:$D$417="jabas")*(MOVIMIENTOS!$A$5:$A$417&lt;&gt;"")*(MOVIMIENTOS!$A$5:$A$417&lt;=$A23)*MOVIMIENTOS!$E$5:$E$417)+SUMPRODUCT((MOVIMIENTOS!$B$5:$B$417="DEVOLUCIÓN")*(MOVIMIENTOS!$C$5:$C$417="A")*(MOVIMIENTOS!$D$5:$D$417="jabas")*(MOVIMIENTOS!$A$5:$A$417&lt;&gt;"")*(MOVIMIENTOS!$A$5:$A$417&lt;=$A23)*MOVIMIENTOS!$E$5:$E$417)-SUMPRODUCT((MOVIMIENTOS!$B$5:$B$417="TRASIEGO")*(MOVIMIENTOS!$C$5:$C$417="A")*(MOVIMIENTOS!$D$5:$D$417="jabas")*(MOVIMIENTOS!$A$5:$A$417&lt;&gt;"")*(MOVIMIENTOS!$A$5:$A$417&lt;=$A23)*MOVIMIENTOS!$E$5:$E$417)-SUMPRODUCT((MOVIMIENTOS!$B$5:$B$417="REGALO")*(MOVIMIENTOS!$C$5:$C$417="A")*(MOVIMIENTOS!$D$5:$D$417="jabas")*(MOVIMIENTOS!$A$5:$A$417&lt;&gt;"")*(MOVIMIENTOS!$A$5:$A$417&lt;=$A23)*MOVIMIENTOS!$E$5:$E$417)-SUMPRODUCT((MOVIMIENTOS!$B$5:$B$417="VENTA")*(MOVIMIENTOS!$C$5:$C$417="A")*(MOVIMIENTOS!$D$5:$D$417="jabas")*(MOVIMIENTOS!$A$5:$A$417&lt;&gt;"")*(MOVIMIENTOS!$A$5:$A$417&lt;=$A23)*MOVIMIENTOS!$E$5:$E$417)+SUMPRODUCT((MOVIMIENTOS!$B$5:$B$417="AJUSTE")*(MOVIMIENTOS!$C$5:$C$417="A")*(MOVIMIENTOS!$D$5:$D$417="jabas")*(MOVIMIENTOS!$A$5:$A$417&lt;&gt;"")*(MOVIMIENTOS!$A$5:$A$417&lt;=$A23)*MOVIMIENTOS!$E$5:$E$417))</f>
        <v>39</v>
      </c>
      <c r="C23" s="56">
        <f>IF($A23="","",SUMPRODUCT((MOVIMIENTOS!$B$5:$B$417="SALDO INICIAL")*(MOVIMIENTOS!$C$5:$C$417="P")*(MOVIMIENTOS!$D$5:$D$417="jabas")*(MOVIMIENTOS!$A$5:$A$417&lt;&gt;"")*(MOVIMIENTOS!$A$5:$A$417&lt;=$A23)*MOVIMIENTOS!$E$5:$E$417)+SUMPRODUCT((MOVIMIENTOS!$B$5:$B$417="PROCESO")*(MOVIMIENTOS!$C$5:$C$417="P")*(MOVIMIENTOS!$D$5:$D$417="jabas")*(MOVIMIENTOS!$A$5:$A$417&lt;&gt;"")*(MOVIMIENTOS!$A$5:$A$417&lt;=$A23)*MOVIMIENTOS!$E$5:$E$417)-SUMPRODUCT((MOVIMIENTOS!$B$5:$B$417="ENVÍO A SUPESA")*(MOVIMIENTOS!$C$5:$C$417="P")*(MOVIMIENTOS!$D$5:$D$417="jabas")*(MOVIMIENTOS!$A$5:$A$417&lt;&gt;"")*(MOVIMIENTOS!$A$5:$A$417&lt;=$A23)*MOVIMIENTOS!$E$5:$E$417)+SUMPRODUCT((MOVIMIENTOS!$B$5:$B$417="DEVOLUCIÓN")*(MOVIMIENTOS!$C$5:$C$417="P")*(MOVIMIENTOS!$D$5:$D$417="jabas")*(MOVIMIENTOS!$A$5:$A$417&lt;&gt;"")*(MOVIMIENTOS!$A$5:$A$417&lt;=$A23)*MOVIMIENTOS!$E$5:$E$417)-SUMPRODUCT((MOVIMIENTOS!$B$5:$B$417="TRASIEGO")*(MOVIMIENTOS!$C$5:$C$417="P")*(MOVIMIENTOS!$D$5:$D$417="jabas")*(MOVIMIENTOS!$A$5:$A$417&lt;&gt;"")*(MOVIMIENTOS!$A$5:$A$417&lt;=$A23)*MOVIMIENTOS!$E$5:$E$417)-SUMPRODUCT((MOVIMIENTOS!$B$5:$B$417="REGALO")*(MOVIMIENTOS!$C$5:$C$417="P")*(MOVIMIENTOS!$D$5:$D$417="jabas")*(MOVIMIENTOS!$A$5:$A$417&lt;&gt;"")*(MOVIMIENTOS!$A$5:$A$417&lt;=$A23)*MOVIMIENTOS!$E$5:$E$417)-SUMPRODUCT((MOVIMIENTOS!$B$5:$B$417="VENTA")*(MOVIMIENTOS!$C$5:$C$417="P")*(MOVIMIENTOS!$D$5:$D$417="jabas")*(MOVIMIENTOS!$A$5:$A$417&lt;&gt;"")*(MOVIMIENTOS!$A$5:$A$417&lt;=$A23)*MOVIMIENTOS!$E$5:$E$417)+SUMPRODUCT((MOVIMIENTOS!$B$5:$B$417="AJUSTE")*(MOVIMIENTOS!$C$5:$C$417="P")*(MOVIMIENTOS!$D$5:$D$417="jabas")*(MOVIMIENTOS!$A$5:$A$417&lt;&gt;"")*(MOVIMIENTOS!$A$5:$A$417&lt;=$A23)*MOVIMIENTOS!$E$5:$E$417))</f>
        <v>0</v>
      </c>
      <c r="D23" s="56">
        <f>IF($A23="","",SUMPRODUCT((MOVIMIENTOS!$B$5:$B$417="SALDO INICIAL")*(MOVIMIENTOS!$C$5:$C$417="C")*(MOVIMIENTOS!$D$5:$D$417="jabas")*(MOVIMIENTOS!$A$5:$A$417&lt;&gt;"")*(MOVIMIENTOS!$A$5:$A$417&lt;=$A23)*MOVIMIENTOS!$E$5:$E$417)+SUMPRODUCT((MOVIMIENTOS!$B$5:$B$417="PROCESO")*(MOVIMIENTOS!$C$5:$C$417="C")*(MOVIMIENTOS!$D$5:$D$417="jabas")*(MOVIMIENTOS!$A$5:$A$417&lt;&gt;"")*(MOVIMIENTOS!$A$5:$A$417&lt;=$A23)*MOVIMIENTOS!$E$5:$E$417)-SUMPRODUCT((MOVIMIENTOS!$B$5:$B$417="ENVÍO A SUPESA")*(MOVIMIENTOS!$C$5:$C$417="C")*(MOVIMIENTOS!$D$5:$D$417="jabas")*(MOVIMIENTOS!$A$5:$A$417&lt;&gt;"")*(MOVIMIENTOS!$A$5:$A$417&lt;=$A23)*MOVIMIENTOS!$E$5:$E$417)+SUMPRODUCT((MOVIMIENTOS!$B$5:$B$417="DEVOLUCIÓN")*(MOVIMIENTOS!$C$5:$C$417="C")*(MOVIMIENTOS!$D$5:$D$417="jabas")*(MOVIMIENTOS!$A$5:$A$417&lt;&gt;"")*(MOVIMIENTOS!$A$5:$A$417&lt;=$A23)*MOVIMIENTOS!$E$5:$E$417)-SUMPRODUCT((MOVIMIENTOS!$B$5:$B$417="TRASIEGO")*(MOVIMIENTOS!$C$5:$C$417="C")*(MOVIMIENTOS!$D$5:$D$417="jabas")*(MOVIMIENTOS!$A$5:$A$417&lt;&gt;"")*(MOVIMIENTOS!$A$5:$A$417&lt;=$A23)*MOVIMIENTOS!$E$5:$E$417)-SUMPRODUCT((MOVIMIENTOS!$B$5:$B$417="REGALO")*(MOVIMIENTOS!$C$5:$C$417="C")*(MOVIMIENTOS!$D$5:$D$417="jabas")*(MOVIMIENTOS!$A$5:$A$417&lt;&gt;"")*(MOVIMIENTOS!$A$5:$A$417&lt;=$A23)*MOVIMIENTOS!$E$5:$E$417)-SUMPRODUCT((MOVIMIENTOS!$B$5:$B$417="VENTA")*(MOVIMIENTOS!$C$5:$C$417="C")*(MOVIMIENTOS!$D$5:$D$417="jabas")*(MOVIMIENTOS!$A$5:$A$417&lt;&gt;"")*(MOVIMIENTOS!$A$5:$A$417&lt;=$A23)*MOVIMIENTOS!$E$5:$E$417)+SUMPRODUCT((MOVIMIENTOS!$B$5:$B$417="AJUSTE")*(MOVIMIENTOS!$C$5:$C$417="C")*(MOVIMIENTOS!$D$5:$D$417="jabas")*(MOVIMIENTOS!$A$5:$A$417&lt;&gt;"")*(MOVIMIENTOS!$A$5:$A$417&lt;=$A23)*MOVIMIENTOS!$E$5:$E$417))</f>
        <v>0</v>
      </c>
      <c r="E23" s="56">
        <f>IF($A23="","",SUMPRODUCT((MOVIMIENTOS!$B$5:$B$417="SALDO INICIAL")*(MOVIMIENTOS!$C$5:$C$417="M")*(MOVIMIENTOS!$D$5:$D$417="jabas")*(MOVIMIENTOS!$A$5:$A$417&lt;&gt;"")*(MOVIMIENTOS!$A$5:$A$417&lt;=$A23)*MOVIMIENTOS!$E$5:$E$417)+SUMPRODUCT((MOVIMIENTOS!$B$5:$B$417="PROCESO")*(MOVIMIENTOS!$C$5:$C$417="M")*(MOVIMIENTOS!$D$5:$D$417="jabas")*(MOVIMIENTOS!$A$5:$A$417&lt;&gt;"")*(MOVIMIENTOS!$A$5:$A$417&lt;=$A23)*MOVIMIENTOS!$E$5:$E$417)-SUMPRODUCT((MOVIMIENTOS!$B$5:$B$417="ENVÍO A SUPESA")*(MOVIMIENTOS!$C$5:$C$417="M")*(MOVIMIENTOS!$D$5:$D$417="jabas")*(MOVIMIENTOS!$A$5:$A$417&lt;&gt;"")*(MOVIMIENTOS!$A$5:$A$417&lt;=$A23)*MOVIMIENTOS!$E$5:$E$417)+SUMPRODUCT((MOVIMIENTOS!$B$5:$B$417="DEVOLUCIÓN")*(MOVIMIENTOS!$C$5:$C$417="M")*(MOVIMIENTOS!$D$5:$D$417="jabas")*(MOVIMIENTOS!$A$5:$A$417&lt;&gt;"")*(MOVIMIENTOS!$A$5:$A$417&lt;=$A23)*MOVIMIENTOS!$E$5:$E$417)-SUMPRODUCT((MOVIMIENTOS!$B$5:$B$417="TRASIEGO")*(MOVIMIENTOS!$C$5:$C$417="M")*(MOVIMIENTOS!$D$5:$D$417="jabas")*(MOVIMIENTOS!$A$5:$A$417&lt;&gt;"")*(MOVIMIENTOS!$A$5:$A$417&lt;=$A23)*MOVIMIENTOS!$E$5:$E$417)-SUMPRODUCT((MOVIMIENTOS!$B$5:$B$417="REGALO")*(MOVIMIENTOS!$C$5:$C$417="M")*(MOVIMIENTOS!$D$5:$D$417="jabas")*(MOVIMIENTOS!$A$5:$A$417&lt;&gt;"")*(MOVIMIENTOS!$A$5:$A$417&lt;=$A23)*MOVIMIENTOS!$E$5:$E$417)-SUMPRODUCT((MOVIMIENTOS!$B$5:$B$417="VENTA")*(MOVIMIENTOS!$C$5:$C$417="M")*(MOVIMIENTOS!$D$5:$D$417="jabas")*(MOVIMIENTOS!$A$5:$A$417&lt;&gt;"")*(MOVIMIENTOS!$A$5:$A$417&lt;=$A23)*MOVIMIENTOS!$E$5:$E$417)+SUMPRODUCT((MOVIMIENTOS!$B$5:$B$417="AJUSTE")*(MOVIMIENTOS!$C$5:$C$417="M")*(MOVIMIENTOS!$D$5:$D$417="jabas")*(MOVIMIENTOS!$A$5:$A$417&lt;&gt;"")*(MOVIMIENTOS!$A$5:$A$417&lt;=$A23)*MOVIMIENTOS!$E$5:$E$417))</f>
        <v>29</v>
      </c>
      <c r="F23" s="56">
        <f>IF($A23="","",SUMPRODUCT((MOVIMIENTOS!$B$5:$B$417="SALDO INICIAL")*(MOVIMIENTOS!$C$5:$C$417="Chancho")*(MOVIMIENTOS!$D$5:$D$417="sacos")*(MOVIMIENTOS!$A$5:$A$417&lt;&gt;"")*(MOVIMIENTOS!$A$5:$A$417&lt;=$A23)*MOVIMIENTOS!$E$5:$E$417)+SUMPRODUCT((MOVIMIENTOS!$B$5:$B$417="PROCESO")*(MOVIMIENTOS!$C$5:$C$417="Chancho")*(MOVIMIENTOS!$D$5:$D$417="sacos")*(MOVIMIENTOS!$A$5:$A$417&lt;&gt;"")*(MOVIMIENTOS!$A$5:$A$417&lt;=$A23)*MOVIMIENTOS!$E$5:$E$417)-SUMPRODUCT((MOVIMIENTOS!$B$5:$B$417="VENTA CHANCHO")*(MOVIMIENTOS!$C$5:$C$417="Chancho")*(MOVIMIENTOS!$D$5:$D$417="sacos")*(MOVIMIENTOS!$A$5:$A$417&lt;&gt;"")*(MOVIMIENTOS!$A$5:$A$417&lt;=$A23)*MOVIMIENTOS!$E$5:$E$417)-SUMPRODUCT((MOVIMIENTOS!$B$5:$B$417="REGALO")*(MOVIMIENTOS!$C$5:$C$417="Chancho")*(MOVIMIENTOS!$D$5:$D$417="sacos")*(MOVIMIENTOS!$A$5:$A$417&lt;&gt;"")*(MOVIMIENTOS!$A$5:$A$417&lt;=$A23)*MOVIMIENTOS!$E$5:$E$417)-SUMPRODUCT((MOVIMIENTOS!$B$5:$B$417="VENTA")*(MOVIMIENTOS!$C$5:$C$417="Chancho")*(MOVIMIENTOS!$D$5:$D$417="sacos")*(MOVIMIENTOS!$A$5:$A$417&lt;&gt;"")*(MOVIMIENTOS!$A$5:$A$417&lt;=$A23)*MOVIMIENTOS!$E$5:$E$417)+SUMPRODUCT((MOVIMIENTOS!$B$5:$B$417="AJUSTE")*(MOVIMIENTOS!$C$5:$C$417="Chancho")*(MOVIMIENTOS!$D$5:$D$417="sacos")*(MOVIMIENTOS!$A$5:$A$417&lt;&gt;"")*(MOVIMIENTOS!$A$5:$A$417&lt;=$A23)*MOVIMIENTOS!$E$5:$E$417))</f>
        <v>11.5</v>
      </c>
      <c r="G23" s="56">
        <f t="shared" si="1"/>
        <v>68</v>
      </c>
      <c r="H23" s="56">
        <f>IF($A23="","",SUMPRODUCT((((MOVIMIENTOS!$B$5:$B$417="SALDO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23)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23)*MOVIMIENTOS!$I$5:$I$417))</f>
        <v>1829.5</v>
      </c>
      <c r="I23" s="54"/>
      <c r="J23" s="54" t="str">
        <f>IF(AND(MOVIMIENTOS!$A23&lt;&gt;"",COUNTIF(MOVIMIENTOS!$A$5:$A22,MOVIMIENTOS!$A23)=0),COUNT(J$4:J22)+1,"")</f>
        <v/>
      </c>
      <c r="K23" s="57">
        <f>MOVIMIENTOS!$A23</f>
        <v>46216</v>
      </c>
      <c r="L23" s="54"/>
      <c r="M23" s="54"/>
      <c r="N23" s="54"/>
    </row>
    <row r="24" spans="1:14" ht="15" customHeight="1" x14ac:dyDescent="0.2">
      <c r="A24" s="55">
        <f t="shared" si="0"/>
        <v>46233</v>
      </c>
      <c r="B24" s="56">
        <f>IF($A24="","",SUMPRODUCT((MOVIMIENTOS!$B$5:$B$417="SALDO INICIAL")*(MOVIMIENTOS!$C$5:$C$417="A")*(MOVIMIENTOS!$D$5:$D$417="jabas")*(MOVIMIENTOS!$A$5:$A$417&lt;&gt;"")*(MOVIMIENTOS!$A$5:$A$417&lt;=$A24)*MOVIMIENTOS!$E$5:$E$417)+SUMPRODUCT((MOVIMIENTOS!$B$5:$B$417="PROCESO")*(MOVIMIENTOS!$C$5:$C$417="A")*(MOVIMIENTOS!$D$5:$D$417="jabas")*(MOVIMIENTOS!$A$5:$A$417&lt;&gt;"")*(MOVIMIENTOS!$A$5:$A$417&lt;=$A24)*MOVIMIENTOS!$E$5:$E$417)-SUMPRODUCT((MOVIMIENTOS!$B$5:$B$417="ENVÍO A SUPESA")*(MOVIMIENTOS!$C$5:$C$417="A")*(MOVIMIENTOS!$D$5:$D$417="jabas")*(MOVIMIENTOS!$A$5:$A$417&lt;&gt;"")*(MOVIMIENTOS!$A$5:$A$417&lt;=$A24)*MOVIMIENTOS!$E$5:$E$417)+SUMPRODUCT((MOVIMIENTOS!$B$5:$B$417="DEVOLUCIÓN")*(MOVIMIENTOS!$C$5:$C$417="A")*(MOVIMIENTOS!$D$5:$D$417="jabas")*(MOVIMIENTOS!$A$5:$A$417&lt;&gt;"")*(MOVIMIENTOS!$A$5:$A$417&lt;=$A24)*MOVIMIENTOS!$E$5:$E$417)-SUMPRODUCT((MOVIMIENTOS!$B$5:$B$417="TRASIEGO")*(MOVIMIENTOS!$C$5:$C$417="A")*(MOVIMIENTOS!$D$5:$D$417="jabas")*(MOVIMIENTOS!$A$5:$A$417&lt;&gt;"")*(MOVIMIENTOS!$A$5:$A$417&lt;=$A24)*MOVIMIENTOS!$E$5:$E$417)-SUMPRODUCT((MOVIMIENTOS!$B$5:$B$417="REGALO")*(MOVIMIENTOS!$C$5:$C$417="A")*(MOVIMIENTOS!$D$5:$D$417="jabas")*(MOVIMIENTOS!$A$5:$A$417&lt;&gt;"")*(MOVIMIENTOS!$A$5:$A$417&lt;=$A24)*MOVIMIENTOS!$E$5:$E$417)-SUMPRODUCT((MOVIMIENTOS!$B$5:$B$417="VENTA")*(MOVIMIENTOS!$C$5:$C$417="A")*(MOVIMIENTOS!$D$5:$D$417="jabas")*(MOVIMIENTOS!$A$5:$A$417&lt;&gt;"")*(MOVIMIENTOS!$A$5:$A$417&lt;=$A24)*MOVIMIENTOS!$E$5:$E$417)+SUMPRODUCT((MOVIMIENTOS!$B$5:$B$417="AJUSTE")*(MOVIMIENTOS!$C$5:$C$417="A")*(MOVIMIENTOS!$D$5:$D$417="jabas")*(MOVIMIENTOS!$A$5:$A$417&lt;&gt;"")*(MOVIMIENTOS!$A$5:$A$417&lt;=$A24)*MOVIMIENTOS!$E$5:$E$417))</f>
        <v>18</v>
      </c>
      <c r="C24" s="56">
        <f>IF($A24="","",SUMPRODUCT((MOVIMIENTOS!$B$5:$B$417="SALDO INICIAL")*(MOVIMIENTOS!$C$5:$C$417="P")*(MOVIMIENTOS!$D$5:$D$417="jabas")*(MOVIMIENTOS!$A$5:$A$417&lt;&gt;"")*(MOVIMIENTOS!$A$5:$A$417&lt;=$A24)*MOVIMIENTOS!$E$5:$E$417)+SUMPRODUCT((MOVIMIENTOS!$B$5:$B$417="PROCESO")*(MOVIMIENTOS!$C$5:$C$417="P")*(MOVIMIENTOS!$D$5:$D$417="jabas")*(MOVIMIENTOS!$A$5:$A$417&lt;&gt;"")*(MOVIMIENTOS!$A$5:$A$417&lt;=$A24)*MOVIMIENTOS!$E$5:$E$417)-SUMPRODUCT((MOVIMIENTOS!$B$5:$B$417="ENVÍO A SUPESA")*(MOVIMIENTOS!$C$5:$C$417="P")*(MOVIMIENTOS!$D$5:$D$417="jabas")*(MOVIMIENTOS!$A$5:$A$417&lt;&gt;"")*(MOVIMIENTOS!$A$5:$A$417&lt;=$A24)*MOVIMIENTOS!$E$5:$E$417)+SUMPRODUCT((MOVIMIENTOS!$B$5:$B$417="DEVOLUCIÓN")*(MOVIMIENTOS!$C$5:$C$417="P")*(MOVIMIENTOS!$D$5:$D$417="jabas")*(MOVIMIENTOS!$A$5:$A$417&lt;&gt;"")*(MOVIMIENTOS!$A$5:$A$417&lt;=$A24)*MOVIMIENTOS!$E$5:$E$417)-SUMPRODUCT((MOVIMIENTOS!$B$5:$B$417="TRASIEGO")*(MOVIMIENTOS!$C$5:$C$417="P")*(MOVIMIENTOS!$D$5:$D$417="jabas")*(MOVIMIENTOS!$A$5:$A$417&lt;&gt;"")*(MOVIMIENTOS!$A$5:$A$417&lt;=$A24)*MOVIMIENTOS!$E$5:$E$417)-SUMPRODUCT((MOVIMIENTOS!$B$5:$B$417="REGALO")*(MOVIMIENTOS!$C$5:$C$417="P")*(MOVIMIENTOS!$D$5:$D$417="jabas")*(MOVIMIENTOS!$A$5:$A$417&lt;&gt;"")*(MOVIMIENTOS!$A$5:$A$417&lt;=$A24)*MOVIMIENTOS!$E$5:$E$417)-SUMPRODUCT((MOVIMIENTOS!$B$5:$B$417="VENTA")*(MOVIMIENTOS!$C$5:$C$417="P")*(MOVIMIENTOS!$D$5:$D$417="jabas")*(MOVIMIENTOS!$A$5:$A$417&lt;&gt;"")*(MOVIMIENTOS!$A$5:$A$417&lt;=$A24)*MOVIMIENTOS!$E$5:$E$417)+SUMPRODUCT((MOVIMIENTOS!$B$5:$B$417="AJUSTE")*(MOVIMIENTOS!$C$5:$C$417="P")*(MOVIMIENTOS!$D$5:$D$417="jabas")*(MOVIMIENTOS!$A$5:$A$417&lt;&gt;"")*(MOVIMIENTOS!$A$5:$A$417&lt;=$A24)*MOVIMIENTOS!$E$5:$E$417))</f>
        <v>0</v>
      </c>
      <c r="D24" s="56">
        <f>IF($A24="","",SUMPRODUCT((MOVIMIENTOS!$B$5:$B$417="SALDO INICIAL")*(MOVIMIENTOS!$C$5:$C$417="C")*(MOVIMIENTOS!$D$5:$D$417="jabas")*(MOVIMIENTOS!$A$5:$A$417&lt;&gt;"")*(MOVIMIENTOS!$A$5:$A$417&lt;=$A24)*MOVIMIENTOS!$E$5:$E$417)+SUMPRODUCT((MOVIMIENTOS!$B$5:$B$417="PROCESO")*(MOVIMIENTOS!$C$5:$C$417="C")*(MOVIMIENTOS!$D$5:$D$417="jabas")*(MOVIMIENTOS!$A$5:$A$417&lt;&gt;"")*(MOVIMIENTOS!$A$5:$A$417&lt;=$A24)*MOVIMIENTOS!$E$5:$E$417)-SUMPRODUCT((MOVIMIENTOS!$B$5:$B$417="ENVÍO A SUPESA")*(MOVIMIENTOS!$C$5:$C$417="C")*(MOVIMIENTOS!$D$5:$D$417="jabas")*(MOVIMIENTOS!$A$5:$A$417&lt;&gt;"")*(MOVIMIENTOS!$A$5:$A$417&lt;=$A24)*MOVIMIENTOS!$E$5:$E$417)+SUMPRODUCT((MOVIMIENTOS!$B$5:$B$417="DEVOLUCIÓN")*(MOVIMIENTOS!$C$5:$C$417="C")*(MOVIMIENTOS!$D$5:$D$417="jabas")*(MOVIMIENTOS!$A$5:$A$417&lt;&gt;"")*(MOVIMIENTOS!$A$5:$A$417&lt;=$A24)*MOVIMIENTOS!$E$5:$E$417)-SUMPRODUCT((MOVIMIENTOS!$B$5:$B$417="TRASIEGO")*(MOVIMIENTOS!$C$5:$C$417="C")*(MOVIMIENTOS!$D$5:$D$417="jabas")*(MOVIMIENTOS!$A$5:$A$417&lt;&gt;"")*(MOVIMIENTOS!$A$5:$A$417&lt;=$A24)*MOVIMIENTOS!$E$5:$E$417)-SUMPRODUCT((MOVIMIENTOS!$B$5:$B$417="REGALO")*(MOVIMIENTOS!$C$5:$C$417="C")*(MOVIMIENTOS!$D$5:$D$417="jabas")*(MOVIMIENTOS!$A$5:$A$417&lt;&gt;"")*(MOVIMIENTOS!$A$5:$A$417&lt;=$A24)*MOVIMIENTOS!$E$5:$E$417)-SUMPRODUCT((MOVIMIENTOS!$B$5:$B$417="VENTA")*(MOVIMIENTOS!$C$5:$C$417="C")*(MOVIMIENTOS!$D$5:$D$417="jabas")*(MOVIMIENTOS!$A$5:$A$417&lt;&gt;"")*(MOVIMIENTOS!$A$5:$A$417&lt;=$A24)*MOVIMIENTOS!$E$5:$E$417)+SUMPRODUCT((MOVIMIENTOS!$B$5:$B$417="AJUSTE")*(MOVIMIENTOS!$C$5:$C$417="C")*(MOVIMIENTOS!$D$5:$D$417="jabas")*(MOVIMIENTOS!$A$5:$A$417&lt;&gt;"")*(MOVIMIENTOS!$A$5:$A$417&lt;=$A24)*MOVIMIENTOS!$E$5:$E$417))</f>
        <v>0</v>
      </c>
      <c r="E24" s="56">
        <f>IF($A24="","",SUMPRODUCT((MOVIMIENTOS!$B$5:$B$417="SALDO INICIAL")*(MOVIMIENTOS!$C$5:$C$417="M")*(MOVIMIENTOS!$D$5:$D$417="jabas")*(MOVIMIENTOS!$A$5:$A$417&lt;&gt;"")*(MOVIMIENTOS!$A$5:$A$417&lt;=$A24)*MOVIMIENTOS!$E$5:$E$417)+SUMPRODUCT((MOVIMIENTOS!$B$5:$B$417="PROCESO")*(MOVIMIENTOS!$C$5:$C$417="M")*(MOVIMIENTOS!$D$5:$D$417="jabas")*(MOVIMIENTOS!$A$5:$A$417&lt;&gt;"")*(MOVIMIENTOS!$A$5:$A$417&lt;=$A24)*MOVIMIENTOS!$E$5:$E$417)-SUMPRODUCT((MOVIMIENTOS!$B$5:$B$417="ENVÍO A SUPESA")*(MOVIMIENTOS!$C$5:$C$417="M")*(MOVIMIENTOS!$D$5:$D$417="jabas")*(MOVIMIENTOS!$A$5:$A$417&lt;&gt;"")*(MOVIMIENTOS!$A$5:$A$417&lt;=$A24)*MOVIMIENTOS!$E$5:$E$417)+SUMPRODUCT((MOVIMIENTOS!$B$5:$B$417="DEVOLUCIÓN")*(MOVIMIENTOS!$C$5:$C$417="M")*(MOVIMIENTOS!$D$5:$D$417="jabas")*(MOVIMIENTOS!$A$5:$A$417&lt;&gt;"")*(MOVIMIENTOS!$A$5:$A$417&lt;=$A24)*MOVIMIENTOS!$E$5:$E$417)-SUMPRODUCT((MOVIMIENTOS!$B$5:$B$417="TRASIEGO")*(MOVIMIENTOS!$C$5:$C$417="M")*(MOVIMIENTOS!$D$5:$D$417="jabas")*(MOVIMIENTOS!$A$5:$A$417&lt;&gt;"")*(MOVIMIENTOS!$A$5:$A$417&lt;=$A24)*MOVIMIENTOS!$E$5:$E$417)-SUMPRODUCT((MOVIMIENTOS!$B$5:$B$417="REGALO")*(MOVIMIENTOS!$C$5:$C$417="M")*(MOVIMIENTOS!$D$5:$D$417="jabas")*(MOVIMIENTOS!$A$5:$A$417&lt;&gt;"")*(MOVIMIENTOS!$A$5:$A$417&lt;=$A24)*MOVIMIENTOS!$E$5:$E$417)-SUMPRODUCT((MOVIMIENTOS!$B$5:$B$417="VENTA")*(MOVIMIENTOS!$C$5:$C$417="M")*(MOVIMIENTOS!$D$5:$D$417="jabas")*(MOVIMIENTOS!$A$5:$A$417&lt;&gt;"")*(MOVIMIENTOS!$A$5:$A$417&lt;=$A24)*MOVIMIENTOS!$E$5:$E$417)+SUMPRODUCT((MOVIMIENTOS!$B$5:$B$417="AJUSTE")*(MOVIMIENTOS!$C$5:$C$417="M")*(MOVIMIENTOS!$D$5:$D$417="jabas")*(MOVIMIENTOS!$A$5:$A$417&lt;&gt;"")*(MOVIMIENTOS!$A$5:$A$417&lt;=$A24)*MOVIMIENTOS!$E$5:$E$417))</f>
        <v>0</v>
      </c>
      <c r="F24" s="56">
        <f>IF($A24="","",SUMPRODUCT((MOVIMIENTOS!$B$5:$B$417="SALDO INICIAL")*(MOVIMIENTOS!$C$5:$C$417="Chancho")*(MOVIMIENTOS!$D$5:$D$417="sacos")*(MOVIMIENTOS!$A$5:$A$417&lt;&gt;"")*(MOVIMIENTOS!$A$5:$A$417&lt;=$A24)*MOVIMIENTOS!$E$5:$E$417)+SUMPRODUCT((MOVIMIENTOS!$B$5:$B$417="PROCESO")*(MOVIMIENTOS!$C$5:$C$417="Chancho")*(MOVIMIENTOS!$D$5:$D$417="sacos")*(MOVIMIENTOS!$A$5:$A$417&lt;&gt;"")*(MOVIMIENTOS!$A$5:$A$417&lt;=$A24)*MOVIMIENTOS!$E$5:$E$417)-SUMPRODUCT((MOVIMIENTOS!$B$5:$B$417="VENTA CHANCHO")*(MOVIMIENTOS!$C$5:$C$417="Chancho")*(MOVIMIENTOS!$D$5:$D$417="sacos")*(MOVIMIENTOS!$A$5:$A$417&lt;&gt;"")*(MOVIMIENTOS!$A$5:$A$417&lt;=$A24)*MOVIMIENTOS!$E$5:$E$417)-SUMPRODUCT((MOVIMIENTOS!$B$5:$B$417="REGALO")*(MOVIMIENTOS!$C$5:$C$417="Chancho")*(MOVIMIENTOS!$D$5:$D$417="sacos")*(MOVIMIENTOS!$A$5:$A$417&lt;&gt;"")*(MOVIMIENTOS!$A$5:$A$417&lt;=$A24)*MOVIMIENTOS!$E$5:$E$417)-SUMPRODUCT((MOVIMIENTOS!$B$5:$B$417="VENTA")*(MOVIMIENTOS!$C$5:$C$417="Chancho")*(MOVIMIENTOS!$D$5:$D$417="sacos")*(MOVIMIENTOS!$A$5:$A$417&lt;&gt;"")*(MOVIMIENTOS!$A$5:$A$417&lt;=$A24)*MOVIMIENTOS!$E$5:$E$417)+SUMPRODUCT((MOVIMIENTOS!$B$5:$B$417="AJUSTE")*(MOVIMIENTOS!$C$5:$C$417="Chancho")*(MOVIMIENTOS!$D$5:$D$417="sacos")*(MOVIMIENTOS!$A$5:$A$417&lt;&gt;"")*(MOVIMIENTOS!$A$5:$A$417&lt;=$A24)*MOVIMIENTOS!$E$5:$E$417))</f>
        <v>16.5</v>
      </c>
      <c r="G24" s="56">
        <f t="shared" si="1"/>
        <v>18</v>
      </c>
      <c r="H24" s="56">
        <f>IF($A24="","",SUMPRODUCT((((MOVIMIENTOS!$B$5:$B$417="SALDO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24)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24)*MOVIMIENTOS!$I$5:$I$417))</f>
        <v>960.5</v>
      </c>
      <c r="I24" s="54"/>
      <c r="J24" s="54" t="str">
        <f>IF(AND(MOVIMIENTOS!$A24&lt;&gt;"",COUNTIF(MOVIMIENTOS!$A$5:$A23,MOVIMIENTOS!$A24)=0),COUNT(J$4:J23)+1,"")</f>
        <v/>
      </c>
      <c r="K24" s="57">
        <f>MOVIMIENTOS!$A24</f>
        <v>46216</v>
      </c>
      <c r="L24" s="54"/>
      <c r="M24" s="54"/>
      <c r="N24" s="54"/>
    </row>
    <row r="25" spans="1:14" ht="15" customHeight="1" x14ac:dyDescent="0.2">
      <c r="A25" s="55">
        <f t="shared" si="0"/>
        <v>46234</v>
      </c>
      <c r="B25" s="56">
        <f>IF($A25="","",SUMPRODUCT((MOVIMIENTOS!$B$5:$B$417="SALDO INICIAL")*(MOVIMIENTOS!$C$5:$C$417="A")*(MOVIMIENTOS!$D$5:$D$417="jabas")*(MOVIMIENTOS!$A$5:$A$417&lt;&gt;"")*(MOVIMIENTOS!$A$5:$A$417&lt;=$A25)*MOVIMIENTOS!$E$5:$E$417)+SUMPRODUCT((MOVIMIENTOS!$B$5:$B$417="PROCESO")*(MOVIMIENTOS!$C$5:$C$417="A")*(MOVIMIENTOS!$D$5:$D$417="jabas")*(MOVIMIENTOS!$A$5:$A$417&lt;&gt;"")*(MOVIMIENTOS!$A$5:$A$417&lt;=$A25)*MOVIMIENTOS!$E$5:$E$417)-SUMPRODUCT((MOVIMIENTOS!$B$5:$B$417="ENVÍO A SUPESA")*(MOVIMIENTOS!$C$5:$C$417="A")*(MOVIMIENTOS!$D$5:$D$417="jabas")*(MOVIMIENTOS!$A$5:$A$417&lt;&gt;"")*(MOVIMIENTOS!$A$5:$A$417&lt;=$A25)*MOVIMIENTOS!$E$5:$E$417)+SUMPRODUCT((MOVIMIENTOS!$B$5:$B$417="DEVOLUCIÓN")*(MOVIMIENTOS!$C$5:$C$417="A")*(MOVIMIENTOS!$D$5:$D$417="jabas")*(MOVIMIENTOS!$A$5:$A$417&lt;&gt;"")*(MOVIMIENTOS!$A$5:$A$417&lt;=$A25)*MOVIMIENTOS!$E$5:$E$417)-SUMPRODUCT((MOVIMIENTOS!$B$5:$B$417="TRASIEGO")*(MOVIMIENTOS!$C$5:$C$417="A")*(MOVIMIENTOS!$D$5:$D$417="jabas")*(MOVIMIENTOS!$A$5:$A$417&lt;&gt;"")*(MOVIMIENTOS!$A$5:$A$417&lt;=$A25)*MOVIMIENTOS!$E$5:$E$417)-SUMPRODUCT((MOVIMIENTOS!$B$5:$B$417="REGALO")*(MOVIMIENTOS!$C$5:$C$417="A")*(MOVIMIENTOS!$D$5:$D$417="jabas")*(MOVIMIENTOS!$A$5:$A$417&lt;&gt;"")*(MOVIMIENTOS!$A$5:$A$417&lt;=$A25)*MOVIMIENTOS!$E$5:$E$417)-SUMPRODUCT((MOVIMIENTOS!$B$5:$B$417="VENTA")*(MOVIMIENTOS!$C$5:$C$417="A")*(MOVIMIENTOS!$D$5:$D$417="jabas")*(MOVIMIENTOS!$A$5:$A$417&lt;&gt;"")*(MOVIMIENTOS!$A$5:$A$417&lt;=$A25)*MOVIMIENTOS!$E$5:$E$417)+SUMPRODUCT((MOVIMIENTOS!$B$5:$B$417="AJUSTE")*(MOVIMIENTOS!$C$5:$C$417="A")*(MOVIMIENTOS!$D$5:$D$417="jabas")*(MOVIMIENTOS!$A$5:$A$417&lt;&gt;"")*(MOVIMIENTOS!$A$5:$A$417&lt;=$A25)*MOVIMIENTOS!$E$5:$E$417))</f>
        <v>88</v>
      </c>
      <c r="C25" s="56">
        <f>IF($A25="","",SUMPRODUCT((MOVIMIENTOS!$B$5:$B$417="SALDO INICIAL")*(MOVIMIENTOS!$C$5:$C$417="P")*(MOVIMIENTOS!$D$5:$D$417="jabas")*(MOVIMIENTOS!$A$5:$A$417&lt;&gt;"")*(MOVIMIENTOS!$A$5:$A$417&lt;=$A25)*MOVIMIENTOS!$E$5:$E$417)+SUMPRODUCT((MOVIMIENTOS!$B$5:$B$417="PROCESO")*(MOVIMIENTOS!$C$5:$C$417="P")*(MOVIMIENTOS!$D$5:$D$417="jabas")*(MOVIMIENTOS!$A$5:$A$417&lt;&gt;"")*(MOVIMIENTOS!$A$5:$A$417&lt;=$A25)*MOVIMIENTOS!$E$5:$E$417)-SUMPRODUCT((MOVIMIENTOS!$B$5:$B$417="ENVÍO A SUPESA")*(MOVIMIENTOS!$C$5:$C$417="P")*(MOVIMIENTOS!$D$5:$D$417="jabas")*(MOVIMIENTOS!$A$5:$A$417&lt;&gt;"")*(MOVIMIENTOS!$A$5:$A$417&lt;=$A25)*MOVIMIENTOS!$E$5:$E$417)+SUMPRODUCT((MOVIMIENTOS!$B$5:$B$417="DEVOLUCIÓN")*(MOVIMIENTOS!$C$5:$C$417="P")*(MOVIMIENTOS!$D$5:$D$417="jabas")*(MOVIMIENTOS!$A$5:$A$417&lt;&gt;"")*(MOVIMIENTOS!$A$5:$A$417&lt;=$A25)*MOVIMIENTOS!$E$5:$E$417)-SUMPRODUCT((MOVIMIENTOS!$B$5:$B$417="TRASIEGO")*(MOVIMIENTOS!$C$5:$C$417="P")*(MOVIMIENTOS!$D$5:$D$417="jabas")*(MOVIMIENTOS!$A$5:$A$417&lt;&gt;"")*(MOVIMIENTOS!$A$5:$A$417&lt;=$A25)*MOVIMIENTOS!$E$5:$E$417)-SUMPRODUCT((MOVIMIENTOS!$B$5:$B$417="REGALO")*(MOVIMIENTOS!$C$5:$C$417="P")*(MOVIMIENTOS!$D$5:$D$417="jabas")*(MOVIMIENTOS!$A$5:$A$417&lt;&gt;"")*(MOVIMIENTOS!$A$5:$A$417&lt;=$A25)*MOVIMIENTOS!$E$5:$E$417)-SUMPRODUCT((MOVIMIENTOS!$B$5:$B$417="VENTA")*(MOVIMIENTOS!$C$5:$C$417="P")*(MOVIMIENTOS!$D$5:$D$417="jabas")*(MOVIMIENTOS!$A$5:$A$417&lt;&gt;"")*(MOVIMIENTOS!$A$5:$A$417&lt;=$A25)*MOVIMIENTOS!$E$5:$E$417)+SUMPRODUCT((MOVIMIENTOS!$B$5:$B$417="AJUSTE")*(MOVIMIENTOS!$C$5:$C$417="P")*(MOVIMIENTOS!$D$5:$D$417="jabas")*(MOVIMIENTOS!$A$5:$A$417&lt;&gt;"")*(MOVIMIENTOS!$A$5:$A$417&lt;=$A25)*MOVIMIENTOS!$E$5:$E$417))</f>
        <v>0</v>
      </c>
      <c r="D25" s="56">
        <f>IF($A25="","",SUMPRODUCT((MOVIMIENTOS!$B$5:$B$417="SALDO INICIAL")*(MOVIMIENTOS!$C$5:$C$417="C")*(MOVIMIENTOS!$D$5:$D$417="jabas")*(MOVIMIENTOS!$A$5:$A$417&lt;&gt;"")*(MOVIMIENTOS!$A$5:$A$417&lt;=$A25)*MOVIMIENTOS!$E$5:$E$417)+SUMPRODUCT((MOVIMIENTOS!$B$5:$B$417="PROCESO")*(MOVIMIENTOS!$C$5:$C$417="C")*(MOVIMIENTOS!$D$5:$D$417="jabas")*(MOVIMIENTOS!$A$5:$A$417&lt;&gt;"")*(MOVIMIENTOS!$A$5:$A$417&lt;=$A25)*MOVIMIENTOS!$E$5:$E$417)-SUMPRODUCT((MOVIMIENTOS!$B$5:$B$417="ENVÍO A SUPESA")*(MOVIMIENTOS!$C$5:$C$417="C")*(MOVIMIENTOS!$D$5:$D$417="jabas")*(MOVIMIENTOS!$A$5:$A$417&lt;&gt;"")*(MOVIMIENTOS!$A$5:$A$417&lt;=$A25)*MOVIMIENTOS!$E$5:$E$417)+SUMPRODUCT((MOVIMIENTOS!$B$5:$B$417="DEVOLUCIÓN")*(MOVIMIENTOS!$C$5:$C$417="C")*(MOVIMIENTOS!$D$5:$D$417="jabas")*(MOVIMIENTOS!$A$5:$A$417&lt;&gt;"")*(MOVIMIENTOS!$A$5:$A$417&lt;=$A25)*MOVIMIENTOS!$E$5:$E$417)-SUMPRODUCT((MOVIMIENTOS!$B$5:$B$417="TRASIEGO")*(MOVIMIENTOS!$C$5:$C$417="C")*(MOVIMIENTOS!$D$5:$D$417="jabas")*(MOVIMIENTOS!$A$5:$A$417&lt;&gt;"")*(MOVIMIENTOS!$A$5:$A$417&lt;=$A25)*MOVIMIENTOS!$E$5:$E$417)-SUMPRODUCT((MOVIMIENTOS!$B$5:$B$417="REGALO")*(MOVIMIENTOS!$C$5:$C$417="C")*(MOVIMIENTOS!$D$5:$D$417="jabas")*(MOVIMIENTOS!$A$5:$A$417&lt;&gt;"")*(MOVIMIENTOS!$A$5:$A$417&lt;=$A25)*MOVIMIENTOS!$E$5:$E$417)-SUMPRODUCT((MOVIMIENTOS!$B$5:$B$417="VENTA")*(MOVIMIENTOS!$C$5:$C$417="C")*(MOVIMIENTOS!$D$5:$D$417="jabas")*(MOVIMIENTOS!$A$5:$A$417&lt;&gt;"")*(MOVIMIENTOS!$A$5:$A$417&lt;=$A25)*MOVIMIENTOS!$E$5:$E$417)+SUMPRODUCT((MOVIMIENTOS!$B$5:$B$417="AJUSTE")*(MOVIMIENTOS!$C$5:$C$417="C")*(MOVIMIENTOS!$D$5:$D$417="jabas")*(MOVIMIENTOS!$A$5:$A$417&lt;&gt;"")*(MOVIMIENTOS!$A$5:$A$417&lt;=$A25)*MOVIMIENTOS!$E$5:$E$417))</f>
        <v>0</v>
      </c>
      <c r="E25" s="56">
        <f>IF($A25="","",SUMPRODUCT((MOVIMIENTOS!$B$5:$B$417="SALDO INICIAL")*(MOVIMIENTOS!$C$5:$C$417="M")*(MOVIMIENTOS!$D$5:$D$417="jabas")*(MOVIMIENTOS!$A$5:$A$417&lt;&gt;"")*(MOVIMIENTOS!$A$5:$A$417&lt;=$A25)*MOVIMIENTOS!$E$5:$E$417)+SUMPRODUCT((MOVIMIENTOS!$B$5:$B$417="PROCESO")*(MOVIMIENTOS!$C$5:$C$417="M")*(MOVIMIENTOS!$D$5:$D$417="jabas")*(MOVIMIENTOS!$A$5:$A$417&lt;&gt;"")*(MOVIMIENTOS!$A$5:$A$417&lt;=$A25)*MOVIMIENTOS!$E$5:$E$417)-SUMPRODUCT((MOVIMIENTOS!$B$5:$B$417="ENVÍO A SUPESA")*(MOVIMIENTOS!$C$5:$C$417="M")*(MOVIMIENTOS!$D$5:$D$417="jabas")*(MOVIMIENTOS!$A$5:$A$417&lt;&gt;"")*(MOVIMIENTOS!$A$5:$A$417&lt;=$A25)*MOVIMIENTOS!$E$5:$E$417)+SUMPRODUCT((MOVIMIENTOS!$B$5:$B$417="DEVOLUCIÓN")*(MOVIMIENTOS!$C$5:$C$417="M")*(MOVIMIENTOS!$D$5:$D$417="jabas")*(MOVIMIENTOS!$A$5:$A$417&lt;&gt;"")*(MOVIMIENTOS!$A$5:$A$417&lt;=$A25)*MOVIMIENTOS!$E$5:$E$417)-SUMPRODUCT((MOVIMIENTOS!$B$5:$B$417="TRASIEGO")*(MOVIMIENTOS!$C$5:$C$417="M")*(MOVIMIENTOS!$D$5:$D$417="jabas")*(MOVIMIENTOS!$A$5:$A$417&lt;&gt;"")*(MOVIMIENTOS!$A$5:$A$417&lt;=$A25)*MOVIMIENTOS!$E$5:$E$417)-SUMPRODUCT((MOVIMIENTOS!$B$5:$B$417="REGALO")*(MOVIMIENTOS!$C$5:$C$417="M")*(MOVIMIENTOS!$D$5:$D$417="jabas")*(MOVIMIENTOS!$A$5:$A$417&lt;&gt;"")*(MOVIMIENTOS!$A$5:$A$417&lt;=$A25)*MOVIMIENTOS!$E$5:$E$417)-SUMPRODUCT((MOVIMIENTOS!$B$5:$B$417="VENTA")*(MOVIMIENTOS!$C$5:$C$417="M")*(MOVIMIENTOS!$D$5:$D$417="jabas")*(MOVIMIENTOS!$A$5:$A$417&lt;&gt;"")*(MOVIMIENTOS!$A$5:$A$417&lt;=$A25)*MOVIMIENTOS!$E$5:$E$417)+SUMPRODUCT((MOVIMIENTOS!$B$5:$B$417="AJUSTE")*(MOVIMIENTOS!$C$5:$C$417="M")*(MOVIMIENTOS!$D$5:$D$417="jabas")*(MOVIMIENTOS!$A$5:$A$417&lt;&gt;"")*(MOVIMIENTOS!$A$5:$A$417&lt;=$A25)*MOVIMIENTOS!$E$5:$E$417))</f>
        <v>64</v>
      </c>
      <c r="F25" s="56">
        <f>IF($A25="","",SUMPRODUCT((MOVIMIENTOS!$B$5:$B$417="SALDO INICIAL")*(MOVIMIENTOS!$C$5:$C$417="Chancho")*(MOVIMIENTOS!$D$5:$D$417="sacos")*(MOVIMIENTOS!$A$5:$A$417&lt;&gt;"")*(MOVIMIENTOS!$A$5:$A$417&lt;=$A25)*MOVIMIENTOS!$E$5:$E$417)+SUMPRODUCT((MOVIMIENTOS!$B$5:$B$417="PROCESO")*(MOVIMIENTOS!$C$5:$C$417="Chancho")*(MOVIMIENTOS!$D$5:$D$417="sacos")*(MOVIMIENTOS!$A$5:$A$417&lt;&gt;"")*(MOVIMIENTOS!$A$5:$A$417&lt;=$A25)*MOVIMIENTOS!$E$5:$E$417)-SUMPRODUCT((MOVIMIENTOS!$B$5:$B$417="VENTA CHANCHO")*(MOVIMIENTOS!$C$5:$C$417="Chancho")*(MOVIMIENTOS!$D$5:$D$417="sacos")*(MOVIMIENTOS!$A$5:$A$417&lt;&gt;"")*(MOVIMIENTOS!$A$5:$A$417&lt;=$A25)*MOVIMIENTOS!$E$5:$E$417)-SUMPRODUCT((MOVIMIENTOS!$B$5:$B$417="REGALO")*(MOVIMIENTOS!$C$5:$C$417="Chancho")*(MOVIMIENTOS!$D$5:$D$417="sacos")*(MOVIMIENTOS!$A$5:$A$417&lt;&gt;"")*(MOVIMIENTOS!$A$5:$A$417&lt;=$A25)*MOVIMIENTOS!$E$5:$E$417)-SUMPRODUCT((MOVIMIENTOS!$B$5:$B$417="VENTA")*(MOVIMIENTOS!$C$5:$C$417="Chancho")*(MOVIMIENTOS!$D$5:$D$417="sacos")*(MOVIMIENTOS!$A$5:$A$417&lt;&gt;"")*(MOVIMIENTOS!$A$5:$A$417&lt;=$A25)*MOVIMIENTOS!$E$5:$E$417)+SUMPRODUCT((MOVIMIENTOS!$B$5:$B$417="AJUSTE")*(MOVIMIENTOS!$C$5:$C$417="Chancho")*(MOVIMIENTOS!$D$5:$D$417="sacos")*(MOVIMIENTOS!$A$5:$A$417&lt;&gt;"")*(MOVIMIENTOS!$A$5:$A$417&lt;=$A25)*MOVIMIENTOS!$E$5:$E$417))</f>
        <v>23</v>
      </c>
      <c r="G25" s="56">
        <f t="shared" si="1"/>
        <v>152</v>
      </c>
      <c r="H25" s="56">
        <f>IF($A25="","",SUMPRODUCT((((MOVIMIENTOS!$B$5:$B$417="SALDO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25)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25)*MOVIMIENTOS!$I$5:$I$417))</f>
        <v>2931</v>
      </c>
      <c r="I25" s="54"/>
      <c r="J25" s="54" t="str">
        <f>IF(AND(MOVIMIENTOS!$A25&lt;&gt;"",COUNTIF(MOVIMIENTOS!$A$5:$A24,MOVIMIENTOS!$A25)=0),COUNT(J$4:J24)+1,"")</f>
        <v/>
      </c>
      <c r="K25" s="57">
        <f>MOVIMIENTOS!$A25</f>
        <v>46216</v>
      </c>
      <c r="L25" s="54"/>
      <c r="M25" s="54"/>
      <c r="N25" s="54"/>
    </row>
    <row r="26" spans="1:14" ht="15" customHeight="1" x14ac:dyDescent="0.2">
      <c r="A26" s="55">
        <f t="shared" si="0"/>
        <v>46235</v>
      </c>
      <c r="B26" s="56">
        <f>IF($A26="","",SUMPRODUCT((MOVIMIENTOS!$B$5:$B$417="SALDO INICIAL")*(MOVIMIENTOS!$C$5:$C$417="A")*(MOVIMIENTOS!$D$5:$D$417="jabas")*(MOVIMIENTOS!$A$5:$A$417&lt;&gt;"")*(MOVIMIENTOS!$A$5:$A$417&lt;=$A26)*MOVIMIENTOS!$E$5:$E$417)+SUMPRODUCT((MOVIMIENTOS!$B$5:$B$417="PROCESO")*(MOVIMIENTOS!$C$5:$C$417="A")*(MOVIMIENTOS!$D$5:$D$417="jabas")*(MOVIMIENTOS!$A$5:$A$417&lt;&gt;"")*(MOVIMIENTOS!$A$5:$A$417&lt;=$A26)*MOVIMIENTOS!$E$5:$E$417)-SUMPRODUCT((MOVIMIENTOS!$B$5:$B$417="ENVÍO A SUPESA")*(MOVIMIENTOS!$C$5:$C$417="A")*(MOVIMIENTOS!$D$5:$D$417="jabas")*(MOVIMIENTOS!$A$5:$A$417&lt;&gt;"")*(MOVIMIENTOS!$A$5:$A$417&lt;=$A26)*MOVIMIENTOS!$E$5:$E$417)+SUMPRODUCT((MOVIMIENTOS!$B$5:$B$417="DEVOLUCIÓN")*(MOVIMIENTOS!$C$5:$C$417="A")*(MOVIMIENTOS!$D$5:$D$417="jabas")*(MOVIMIENTOS!$A$5:$A$417&lt;&gt;"")*(MOVIMIENTOS!$A$5:$A$417&lt;=$A26)*MOVIMIENTOS!$E$5:$E$417)-SUMPRODUCT((MOVIMIENTOS!$B$5:$B$417="TRASIEGO")*(MOVIMIENTOS!$C$5:$C$417="A")*(MOVIMIENTOS!$D$5:$D$417="jabas")*(MOVIMIENTOS!$A$5:$A$417&lt;&gt;"")*(MOVIMIENTOS!$A$5:$A$417&lt;=$A26)*MOVIMIENTOS!$E$5:$E$417)-SUMPRODUCT((MOVIMIENTOS!$B$5:$B$417="REGALO")*(MOVIMIENTOS!$C$5:$C$417="A")*(MOVIMIENTOS!$D$5:$D$417="jabas")*(MOVIMIENTOS!$A$5:$A$417&lt;&gt;"")*(MOVIMIENTOS!$A$5:$A$417&lt;=$A26)*MOVIMIENTOS!$E$5:$E$417)-SUMPRODUCT((MOVIMIENTOS!$B$5:$B$417="VENTA")*(MOVIMIENTOS!$C$5:$C$417="A")*(MOVIMIENTOS!$D$5:$D$417="jabas")*(MOVIMIENTOS!$A$5:$A$417&lt;&gt;"")*(MOVIMIENTOS!$A$5:$A$417&lt;=$A26)*MOVIMIENTOS!$E$5:$E$417)+SUMPRODUCT((MOVIMIENTOS!$B$5:$B$417="AJUSTE")*(MOVIMIENTOS!$C$5:$C$417="A")*(MOVIMIENTOS!$D$5:$D$417="jabas")*(MOVIMIENTOS!$A$5:$A$417&lt;&gt;"")*(MOVIMIENTOS!$A$5:$A$417&lt;=$A26)*MOVIMIENTOS!$E$5:$E$417))</f>
        <v>67</v>
      </c>
      <c r="C26" s="56">
        <f>IF($A26="","",SUMPRODUCT((MOVIMIENTOS!$B$5:$B$417="SALDO INICIAL")*(MOVIMIENTOS!$C$5:$C$417="P")*(MOVIMIENTOS!$D$5:$D$417="jabas")*(MOVIMIENTOS!$A$5:$A$417&lt;&gt;"")*(MOVIMIENTOS!$A$5:$A$417&lt;=$A26)*MOVIMIENTOS!$E$5:$E$417)+SUMPRODUCT((MOVIMIENTOS!$B$5:$B$417="PROCESO")*(MOVIMIENTOS!$C$5:$C$417="P")*(MOVIMIENTOS!$D$5:$D$417="jabas")*(MOVIMIENTOS!$A$5:$A$417&lt;&gt;"")*(MOVIMIENTOS!$A$5:$A$417&lt;=$A26)*MOVIMIENTOS!$E$5:$E$417)-SUMPRODUCT((MOVIMIENTOS!$B$5:$B$417="ENVÍO A SUPESA")*(MOVIMIENTOS!$C$5:$C$417="P")*(MOVIMIENTOS!$D$5:$D$417="jabas")*(MOVIMIENTOS!$A$5:$A$417&lt;&gt;"")*(MOVIMIENTOS!$A$5:$A$417&lt;=$A26)*MOVIMIENTOS!$E$5:$E$417)+SUMPRODUCT((MOVIMIENTOS!$B$5:$B$417="DEVOLUCIÓN")*(MOVIMIENTOS!$C$5:$C$417="P")*(MOVIMIENTOS!$D$5:$D$417="jabas")*(MOVIMIENTOS!$A$5:$A$417&lt;&gt;"")*(MOVIMIENTOS!$A$5:$A$417&lt;=$A26)*MOVIMIENTOS!$E$5:$E$417)-SUMPRODUCT((MOVIMIENTOS!$B$5:$B$417="TRASIEGO")*(MOVIMIENTOS!$C$5:$C$417="P")*(MOVIMIENTOS!$D$5:$D$417="jabas")*(MOVIMIENTOS!$A$5:$A$417&lt;&gt;"")*(MOVIMIENTOS!$A$5:$A$417&lt;=$A26)*MOVIMIENTOS!$E$5:$E$417)-SUMPRODUCT((MOVIMIENTOS!$B$5:$B$417="REGALO")*(MOVIMIENTOS!$C$5:$C$417="P")*(MOVIMIENTOS!$D$5:$D$417="jabas")*(MOVIMIENTOS!$A$5:$A$417&lt;&gt;"")*(MOVIMIENTOS!$A$5:$A$417&lt;=$A26)*MOVIMIENTOS!$E$5:$E$417)-SUMPRODUCT((MOVIMIENTOS!$B$5:$B$417="VENTA")*(MOVIMIENTOS!$C$5:$C$417="P")*(MOVIMIENTOS!$D$5:$D$417="jabas")*(MOVIMIENTOS!$A$5:$A$417&lt;&gt;"")*(MOVIMIENTOS!$A$5:$A$417&lt;=$A26)*MOVIMIENTOS!$E$5:$E$417)+SUMPRODUCT((MOVIMIENTOS!$B$5:$B$417="AJUSTE")*(MOVIMIENTOS!$C$5:$C$417="P")*(MOVIMIENTOS!$D$5:$D$417="jabas")*(MOVIMIENTOS!$A$5:$A$417&lt;&gt;"")*(MOVIMIENTOS!$A$5:$A$417&lt;=$A26)*MOVIMIENTOS!$E$5:$E$417))</f>
        <v>8</v>
      </c>
      <c r="D26" s="56">
        <f>IF($A26="","",SUMPRODUCT((MOVIMIENTOS!$B$5:$B$417="SALDO INICIAL")*(MOVIMIENTOS!$C$5:$C$417="C")*(MOVIMIENTOS!$D$5:$D$417="jabas")*(MOVIMIENTOS!$A$5:$A$417&lt;&gt;"")*(MOVIMIENTOS!$A$5:$A$417&lt;=$A26)*MOVIMIENTOS!$E$5:$E$417)+SUMPRODUCT((MOVIMIENTOS!$B$5:$B$417="PROCESO")*(MOVIMIENTOS!$C$5:$C$417="C")*(MOVIMIENTOS!$D$5:$D$417="jabas")*(MOVIMIENTOS!$A$5:$A$417&lt;&gt;"")*(MOVIMIENTOS!$A$5:$A$417&lt;=$A26)*MOVIMIENTOS!$E$5:$E$417)-SUMPRODUCT((MOVIMIENTOS!$B$5:$B$417="ENVÍO A SUPESA")*(MOVIMIENTOS!$C$5:$C$417="C")*(MOVIMIENTOS!$D$5:$D$417="jabas")*(MOVIMIENTOS!$A$5:$A$417&lt;&gt;"")*(MOVIMIENTOS!$A$5:$A$417&lt;=$A26)*MOVIMIENTOS!$E$5:$E$417)+SUMPRODUCT((MOVIMIENTOS!$B$5:$B$417="DEVOLUCIÓN")*(MOVIMIENTOS!$C$5:$C$417="C")*(MOVIMIENTOS!$D$5:$D$417="jabas")*(MOVIMIENTOS!$A$5:$A$417&lt;&gt;"")*(MOVIMIENTOS!$A$5:$A$417&lt;=$A26)*MOVIMIENTOS!$E$5:$E$417)-SUMPRODUCT((MOVIMIENTOS!$B$5:$B$417="TRASIEGO")*(MOVIMIENTOS!$C$5:$C$417="C")*(MOVIMIENTOS!$D$5:$D$417="jabas")*(MOVIMIENTOS!$A$5:$A$417&lt;&gt;"")*(MOVIMIENTOS!$A$5:$A$417&lt;=$A26)*MOVIMIENTOS!$E$5:$E$417)-SUMPRODUCT((MOVIMIENTOS!$B$5:$B$417="REGALO")*(MOVIMIENTOS!$C$5:$C$417="C")*(MOVIMIENTOS!$D$5:$D$417="jabas")*(MOVIMIENTOS!$A$5:$A$417&lt;&gt;"")*(MOVIMIENTOS!$A$5:$A$417&lt;=$A26)*MOVIMIENTOS!$E$5:$E$417)-SUMPRODUCT((MOVIMIENTOS!$B$5:$B$417="VENTA")*(MOVIMIENTOS!$C$5:$C$417="C")*(MOVIMIENTOS!$D$5:$D$417="jabas")*(MOVIMIENTOS!$A$5:$A$417&lt;&gt;"")*(MOVIMIENTOS!$A$5:$A$417&lt;=$A26)*MOVIMIENTOS!$E$5:$E$417)+SUMPRODUCT((MOVIMIENTOS!$B$5:$B$417="AJUSTE")*(MOVIMIENTOS!$C$5:$C$417="C")*(MOVIMIENTOS!$D$5:$D$417="jabas")*(MOVIMIENTOS!$A$5:$A$417&lt;&gt;"")*(MOVIMIENTOS!$A$5:$A$417&lt;=$A26)*MOVIMIENTOS!$E$5:$E$417))</f>
        <v>0</v>
      </c>
      <c r="E26" s="56">
        <f>IF($A26="","",SUMPRODUCT((MOVIMIENTOS!$B$5:$B$417="SALDO INICIAL")*(MOVIMIENTOS!$C$5:$C$417="M")*(MOVIMIENTOS!$D$5:$D$417="jabas")*(MOVIMIENTOS!$A$5:$A$417&lt;&gt;"")*(MOVIMIENTOS!$A$5:$A$417&lt;=$A26)*MOVIMIENTOS!$E$5:$E$417)+SUMPRODUCT((MOVIMIENTOS!$B$5:$B$417="PROCESO")*(MOVIMIENTOS!$C$5:$C$417="M")*(MOVIMIENTOS!$D$5:$D$417="jabas")*(MOVIMIENTOS!$A$5:$A$417&lt;&gt;"")*(MOVIMIENTOS!$A$5:$A$417&lt;=$A26)*MOVIMIENTOS!$E$5:$E$417)-SUMPRODUCT((MOVIMIENTOS!$B$5:$B$417="ENVÍO A SUPESA")*(MOVIMIENTOS!$C$5:$C$417="M")*(MOVIMIENTOS!$D$5:$D$417="jabas")*(MOVIMIENTOS!$A$5:$A$417&lt;&gt;"")*(MOVIMIENTOS!$A$5:$A$417&lt;=$A26)*MOVIMIENTOS!$E$5:$E$417)+SUMPRODUCT((MOVIMIENTOS!$B$5:$B$417="DEVOLUCIÓN")*(MOVIMIENTOS!$C$5:$C$417="M")*(MOVIMIENTOS!$D$5:$D$417="jabas")*(MOVIMIENTOS!$A$5:$A$417&lt;&gt;"")*(MOVIMIENTOS!$A$5:$A$417&lt;=$A26)*MOVIMIENTOS!$E$5:$E$417)-SUMPRODUCT((MOVIMIENTOS!$B$5:$B$417="TRASIEGO")*(MOVIMIENTOS!$C$5:$C$417="M")*(MOVIMIENTOS!$D$5:$D$417="jabas")*(MOVIMIENTOS!$A$5:$A$417&lt;&gt;"")*(MOVIMIENTOS!$A$5:$A$417&lt;=$A26)*MOVIMIENTOS!$E$5:$E$417)-SUMPRODUCT((MOVIMIENTOS!$B$5:$B$417="REGALO")*(MOVIMIENTOS!$C$5:$C$417="M")*(MOVIMIENTOS!$D$5:$D$417="jabas")*(MOVIMIENTOS!$A$5:$A$417&lt;&gt;"")*(MOVIMIENTOS!$A$5:$A$417&lt;=$A26)*MOVIMIENTOS!$E$5:$E$417)-SUMPRODUCT((MOVIMIENTOS!$B$5:$B$417="VENTA")*(MOVIMIENTOS!$C$5:$C$417="M")*(MOVIMIENTOS!$D$5:$D$417="jabas")*(MOVIMIENTOS!$A$5:$A$417&lt;&gt;"")*(MOVIMIENTOS!$A$5:$A$417&lt;=$A26)*MOVIMIENTOS!$E$5:$E$417)+SUMPRODUCT((MOVIMIENTOS!$B$5:$B$417="AJUSTE")*(MOVIMIENTOS!$C$5:$C$417="M")*(MOVIMIENTOS!$D$5:$D$417="jabas")*(MOVIMIENTOS!$A$5:$A$417&lt;&gt;"")*(MOVIMIENTOS!$A$5:$A$417&lt;=$A26)*MOVIMIENTOS!$E$5:$E$417))</f>
        <v>54</v>
      </c>
      <c r="F26" s="56">
        <f>IF($A26="","",SUMPRODUCT((MOVIMIENTOS!$B$5:$B$417="SALDO INICIAL")*(MOVIMIENTOS!$C$5:$C$417="Chancho")*(MOVIMIENTOS!$D$5:$D$417="sacos")*(MOVIMIENTOS!$A$5:$A$417&lt;&gt;"")*(MOVIMIENTOS!$A$5:$A$417&lt;=$A26)*MOVIMIENTOS!$E$5:$E$417)+SUMPRODUCT((MOVIMIENTOS!$B$5:$B$417="PROCESO")*(MOVIMIENTOS!$C$5:$C$417="Chancho")*(MOVIMIENTOS!$D$5:$D$417="sacos")*(MOVIMIENTOS!$A$5:$A$417&lt;&gt;"")*(MOVIMIENTOS!$A$5:$A$417&lt;=$A26)*MOVIMIENTOS!$E$5:$E$417)-SUMPRODUCT((MOVIMIENTOS!$B$5:$B$417="VENTA CHANCHO")*(MOVIMIENTOS!$C$5:$C$417="Chancho")*(MOVIMIENTOS!$D$5:$D$417="sacos")*(MOVIMIENTOS!$A$5:$A$417&lt;&gt;"")*(MOVIMIENTOS!$A$5:$A$417&lt;=$A26)*MOVIMIENTOS!$E$5:$E$417)-SUMPRODUCT((MOVIMIENTOS!$B$5:$B$417="REGALO")*(MOVIMIENTOS!$C$5:$C$417="Chancho")*(MOVIMIENTOS!$D$5:$D$417="sacos")*(MOVIMIENTOS!$A$5:$A$417&lt;&gt;"")*(MOVIMIENTOS!$A$5:$A$417&lt;=$A26)*MOVIMIENTOS!$E$5:$E$417)-SUMPRODUCT((MOVIMIENTOS!$B$5:$B$417="VENTA")*(MOVIMIENTOS!$C$5:$C$417="Chancho")*(MOVIMIENTOS!$D$5:$D$417="sacos")*(MOVIMIENTOS!$A$5:$A$417&lt;&gt;"")*(MOVIMIENTOS!$A$5:$A$417&lt;=$A26)*MOVIMIENTOS!$E$5:$E$417)+SUMPRODUCT((MOVIMIENTOS!$B$5:$B$417="AJUSTE")*(MOVIMIENTOS!$C$5:$C$417="Chancho")*(MOVIMIENTOS!$D$5:$D$417="sacos")*(MOVIMIENTOS!$A$5:$A$417&lt;&gt;"")*(MOVIMIENTOS!$A$5:$A$417&lt;=$A26)*MOVIMIENTOS!$E$5:$E$417))</f>
        <v>26</v>
      </c>
      <c r="G26" s="56">
        <f t="shared" si="1"/>
        <v>129</v>
      </c>
      <c r="H26" s="56">
        <f>IF($A26="","",SUMPRODUCT((((MOVIMIENTOS!$B$5:$B$417="SALDO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26)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26)*MOVIMIENTOS!$I$5:$I$417))</f>
        <v>2716</v>
      </c>
      <c r="I26" s="54"/>
      <c r="J26" s="54" t="str">
        <f>IF(AND(MOVIMIENTOS!$A26&lt;&gt;"",COUNTIF(MOVIMIENTOS!$A$5:$A25,MOVIMIENTOS!$A26)=0),COUNT(J$4:J25)+1,"")</f>
        <v/>
      </c>
      <c r="K26" s="57">
        <f>MOVIMIENTOS!$A26</f>
        <v>46216</v>
      </c>
      <c r="L26" s="54"/>
      <c r="M26" s="54"/>
      <c r="N26" s="54"/>
    </row>
    <row r="27" spans="1:14" ht="15" customHeight="1" x14ac:dyDescent="0.2">
      <c r="A27" s="55">
        <f t="shared" si="0"/>
        <v>46236</v>
      </c>
      <c r="B27" s="56">
        <f>IF($A27="","",SUMPRODUCT((MOVIMIENTOS!$B$5:$B$417="SALDO INICIAL")*(MOVIMIENTOS!$C$5:$C$417="A")*(MOVIMIENTOS!$D$5:$D$417="jabas")*(MOVIMIENTOS!$A$5:$A$417&lt;&gt;"")*(MOVIMIENTOS!$A$5:$A$417&lt;=$A27)*MOVIMIENTOS!$E$5:$E$417)+SUMPRODUCT((MOVIMIENTOS!$B$5:$B$417="PROCESO")*(MOVIMIENTOS!$C$5:$C$417="A")*(MOVIMIENTOS!$D$5:$D$417="jabas")*(MOVIMIENTOS!$A$5:$A$417&lt;&gt;"")*(MOVIMIENTOS!$A$5:$A$417&lt;=$A27)*MOVIMIENTOS!$E$5:$E$417)-SUMPRODUCT((MOVIMIENTOS!$B$5:$B$417="ENVÍO A SUPESA")*(MOVIMIENTOS!$C$5:$C$417="A")*(MOVIMIENTOS!$D$5:$D$417="jabas")*(MOVIMIENTOS!$A$5:$A$417&lt;&gt;"")*(MOVIMIENTOS!$A$5:$A$417&lt;=$A27)*MOVIMIENTOS!$E$5:$E$417)+SUMPRODUCT((MOVIMIENTOS!$B$5:$B$417="DEVOLUCIÓN")*(MOVIMIENTOS!$C$5:$C$417="A")*(MOVIMIENTOS!$D$5:$D$417="jabas")*(MOVIMIENTOS!$A$5:$A$417&lt;&gt;"")*(MOVIMIENTOS!$A$5:$A$417&lt;=$A27)*MOVIMIENTOS!$E$5:$E$417)-SUMPRODUCT((MOVIMIENTOS!$B$5:$B$417="TRASIEGO")*(MOVIMIENTOS!$C$5:$C$417="A")*(MOVIMIENTOS!$D$5:$D$417="jabas")*(MOVIMIENTOS!$A$5:$A$417&lt;&gt;"")*(MOVIMIENTOS!$A$5:$A$417&lt;=$A27)*MOVIMIENTOS!$E$5:$E$417)-SUMPRODUCT((MOVIMIENTOS!$B$5:$B$417="REGALO")*(MOVIMIENTOS!$C$5:$C$417="A")*(MOVIMIENTOS!$D$5:$D$417="jabas")*(MOVIMIENTOS!$A$5:$A$417&lt;&gt;"")*(MOVIMIENTOS!$A$5:$A$417&lt;=$A27)*MOVIMIENTOS!$E$5:$E$417)-SUMPRODUCT((MOVIMIENTOS!$B$5:$B$417="VENTA")*(MOVIMIENTOS!$C$5:$C$417="A")*(MOVIMIENTOS!$D$5:$D$417="jabas")*(MOVIMIENTOS!$A$5:$A$417&lt;&gt;"")*(MOVIMIENTOS!$A$5:$A$417&lt;=$A27)*MOVIMIENTOS!$E$5:$E$417)+SUMPRODUCT((MOVIMIENTOS!$B$5:$B$417="AJUSTE")*(MOVIMIENTOS!$C$5:$C$417="A")*(MOVIMIENTOS!$D$5:$D$417="jabas")*(MOVIMIENTOS!$A$5:$A$417&lt;&gt;"")*(MOVIMIENTOS!$A$5:$A$417&lt;=$A27)*MOVIMIENTOS!$E$5:$E$417))</f>
        <v>98</v>
      </c>
      <c r="C27" s="56">
        <f>IF($A27="","",SUMPRODUCT((MOVIMIENTOS!$B$5:$B$417="SALDO INICIAL")*(MOVIMIENTOS!$C$5:$C$417="P")*(MOVIMIENTOS!$D$5:$D$417="jabas")*(MOVIMIENTOS!$A$5:$A$417&lt;&gt;"")*(MOVIMIENTOS!$A$5:$A$417&lt;=$A27)*MOVIMIENTOS!$E$5:$E$417)+SUMPRODUCT((MOVIMIENTOS!$B$5:$B$417="PROCESO")*(MOVIMIENTOS!$C$5:$C$417="P")*(MOVIMIENTOS!$D$5:$D$417="jabas")*(MOVIMIENTOS!$A$5:$A$417&lt;&gt;"")*(MOVIMIENTOS!$A$5:$A$417&lt;=$A27)*MOVIMIENTOS!$E$5:$E$417)-SUMPRODUCT((MOVIMIENTOS!$B$5:$B$417="ENVÍO A SUPESA")*(MOVIMIENTOS!$C$5:$C$417="P")*(MOVIMIENTOS!$D$5:$D$417="jabas")*(MOVIMIENTOS!$A$5:$A$417&lt;&gt;"")*(MOVIMIENTOS!$A$5:$A$417&lt;=$A27)*MOVIMIENTOS!$E$5:$E$417)+SUMPRODUCT((MOVIMIENTOS!$B$5:$B$417="DEVOLUCIÓN")*(MOVIMIENTOS!$C$5:$C$417="P")*(MOVIMIENTOS!$D$5:$D$417="jabas")*(MOVIMIENTOS!$A$5:$A$417&lt;&gt;"")*(MOVIMIENTOS!$A$5:$A$417&lt;=$A27)*MOVIMIENTOS!$E$5:$E$417)-SUMPRODUCT((MOVIMIENTOS!$B$5:$B$417="TRASIEGO")*(MOVIMIENTOS!$C$5:$C$417="P")*(MOVIMIENTOS!$D$5:$D$417="jabas")*(MOVIMIENTOS!$A$5:$A$417&lt;&gt;"")*(MOVIMIENTOS!$A$5:$A$417&lt;=$A27)*MOVIMIENTOS!$E$5:$E$417)-SUMPRODUCT((MOVIMIENTOS!$B$5:$B$417="REGALO")*(MOVIMIENTOS!$C$5:$C$417="P")*(MOVIMIENTOS!$D$5:$D$417="jabas")*(MOVIMIENTOS!$A$5:$A$417&lt;&gt;"")*(MOVIMIENTOS!$A$5:$A$417&lt;=$A27)*MOVIMIENTOS!$E$5:$E$417)-SUMPRODUCT((MOVIMIENTOS!$B$5:$B$417="VENTA")*(MOVIMIENTOS!$C$5:$C$417="P")*(MOVIMIENTOS!$D$5:$D$417="jabas")*(MOVIMIENTOS!$A$5:$A$417&lt;&gt;"")*(MOVIMIENTOS!$A$5:$A$417&lt;=$A27)*MOVIMIENTOS!$E$5:$E$417)+SUMPRODUCT((MOVIMIENTOS!$B$5:$B$417="AJUSTE")*(MOVIMIENTOS!$C$5:$C$417="P")*(MOVIMIENTOS!$D$5:$D$417="jabas")*(MOVIMIENTOS!$A$5:$A$417&lt;&gt;"")*(MOVIMIENTOS!$A$5:$A$417&lt;=$A27)*MOVIMIENTOS!$E$5:$E$417))</f>
        <v>11</v>
      </c>
      <c r="D27" s="56">
        <f>IF($A27="","",SUMPRODUCT((MOVIMIENTOS!$B$5:$B$417="SALDO INICIAL")*(MOVIMIENTOS!$C$5:$C$417="C")*(MOVIMIENTOS!$D$5:$D$417="jabas")*(MOVIMIENTOS!$A$5:$A$417&lt;&gt;"")*(MOVIMIENTOS!$A$5:$A$417&lt;=$A27)*MOVIMIENTOS!$E$5:$E$417)+SUMPRODUCT((MOVIMIENTOS!$B$5:$B$417="PROCESO")*(MOVIMIENTOS!$C$5:$C$417="C")*(MOVIMIENTOS!$D$5:$D$417="jabas")*(MOVIMIENTOS!$A$5:$A$417&lt;&gt;"")*(MOVIMIENTOS!$A$5:$A$417&lt;=$A27)*MOVIMIENTOS!$E$5:$E$417)-SUMPRODUCT((MOVIMIENTOS!$B$5:$B$417="ENVÍO A SUPESA")*(MOVIMIENTOS!$C$5:$C$417="C")*(MOVIMIENTOS!$D$5:$D$417="jabas")*(MOVIMIENTOS!$A$5:$A$417&lt;&gt;"")*(MOVIMIENTOS!$A$5:$A$417&lt;=$A27)*MOVIMIENTOS!$E$5:$E$417)+SUMPRODUCT((MOVIMIENTOS!$B$5:$B$417="DEVOLUCIÓN")*(MOVIMIENTOS!$C$5:$C$417="C")*(MOVIMIENTOS!$D$5:$D$417="jabas")*(MOVIMIENTOS!$A$5:$A$417&lt;&gt;"")*(MOVIMIENTOS!$A$5:$A$417&lt;=$A27)*MOVIMIENTOS!$E$5:$E$417)-SUMPRODUCT((MOVIMIENTOS!$B$5:$B$417="TRASIEGO")*(MOVIMIENTOS!$C$5:$C$417="C")*(MOVIMIENTOS!$D$5:$D$417="jabas")*(MOVIMIENTOS!$A$5:$A$417&lt;&gt;"")*(MOVIMIENTOS!$A$5:$A$417&lt;=$A27)*MOVIMIENTOS!$E$5:$E$417)-SUMPRODUCT((MOVIMIENTOS!$B$5:$B$417="REGALO")*(MOVIMIENTOS!$C$5:$C$417="C")*(MOVIMIENTOS!$D$5:$D$417="jabas")*(MOVIMIENTOS!$A$5:$A$417&lt;&gt;"")*(MOVIMIENTOS!$A$5:$A$417&lt;=$A27)*MOVIMIENTOS!$E$5:$E$417)-SUMPRODUCT((MOVIMIENTOS!$B$5:$B$417="VENTA")*(MOVIMIENTOS!$C$5:$C$417="C")*(MOVIMIENTOS!$D$5:$D$417="jabas")*(MOVIMIENTOS!$A$5:$A$417&lt;&gt;"")*(MOVIMIENTOS!$A$5:$A$417&lt;=$A27)*MOVIMIENTOS!$E$5:$E$417)+SUMPRODUCT((MOVIMIENTOS!$B$5:$B$417="AJUSTE")*(MOVIMIENTOS!$C$5:$C$417="C")*(MOVIMIENTOS!$D$5:$D$417="jabas")*(MOVIMIENTOS!$A$5:$A$417&lt;&gt;"")*(MOVIMIENTOS!$A$5:$A$417&lt;=$A27)*MOVIMIENTOS!$E$5:$E$417))</f>
        <v>11</v>
      </c>
      <c r="E27" s="56">
        <f>IF($A27="","",SUMPRODUCT((MOVIMIENTOS!$B$5:$B$417="SALDO INICIAL")*(MOVIMIENTOS!$C$5:$C$417="M")*(MOVIMIENTOS!$D$5:$D$417="jabas")*(MOVIMIENTOS!$A$5:$A$417&lt;&gt;"")*(MOVIMIENTOS!$A$5:$A$417&lt;=$A27)*MOVIMIENTOS!$E$5:$E$417)+SUMPRODUCT((MOVIMIENTOS!$B$5:$B$417="PROCESO")*(MOVIMIENTOS!$C$5:$C$417="M")*(MOVIMIENTOS!$D$5:$D$417="jabas")*(MOVIMIENTOS!$A$5:$A$417&lt;&gt;"")*(MOVIMIENTOS!$A$5:$A$417&lt;=$A27)*MOVIMIENTOS!$E$5:$E$417)-SUMPRODUCT((MOVIMIENTOS!$B$5:$B$417="ENVÍO A SUPESA")*(MOVIMIENTOS!$C$5:$C$417="M")*(MOVIMIENTOS!$D$5:$D$417="jabas")*(MOVIMIENTOS!$A$5:$A$417&lt;&gt;"")*(MOVIMIENTOS!$A$5:$A$417&lt;=$A27)*MOVIMIENTOS!$E$5:$E$417)+SUMPRODUCT((MOVIMIENTOS!$B$5:$B$417="DEVOLUCIÓN")*(MOVIMIENTOS!$C$5:$C$417="M")*(MOVIMIENTOS!$D$5:$D$417="jabas")*(MOVIMIENTOS!$A$5:$A$417&lt;&gt;"")*(MOVIMIENTOS!$A$5:$A$417&lt;=$A27)*MOVIMIENTOS!$E$5:$E$417)-SUMPRODUCT((MOVIMIENTOS!$B$5:$B$417="TRASIEGO")*(MOVIMIENTOS!$C$5:$C$417="M")*(MOVIMIENTOS!$D$5:$D$417="jabas")*(MOVIMIENTOS!$A$5:$A$417&lt;&gt;"")*(MOVIMIENTOS!$A$5:$A$417&lt;=$A27)*MOVIMIENTOS!$E$5:$E$417)-SUMPRODUCT((MOVIMIENTOS!$B$5:$B$417="REGALO")*(MOVIMIENTOS!$C$5:$C$417="M")*(MOVIMIENTOS!$D$5:$D$417="jabas")*(MOVIMIENTOS!$A$5:$A$417&lt;&gt;"")*(MOVIMIENTOS!$A$5:$A$417&lt;=$A27)*MOVIMIENTOS!$E$5:$E$417)-SUMPRODUCT((MOVIMIENTOS!$B$5:$B$417="VENTA")*(MOVIMIENTOS!$C$5:$C$417="M")*(MOVIMIENTOS!$D$5:$D$417="jabas")*(MOVIMIENTOS!$A$5:$A$417&lt;&gt;"")*(MOVIMIENTOS!$A$5:$A$417&lt;=$A27)*MOVIMIENTOS!$E$5:$E$417)+SUMPRODUCT((MOVIMIENTOS!$B$5:$B$417="AJUSTE")*(MOVIMIENTOS!$C$5:$C$417="M")*(MOVIMIENTOS!$D$5:$D$417="jabas")*(MOVIMIENTOS!$A$5:$A$417&lt;&gt;"")*(MOVIMIENTOS!$A$5:$A$417&lt;=$A27)*MOVIMIENTOS!$E$5:$E$417))</f>
        <v>174</v>
      </c>
      <c r="F27" s="56">
        <f>IF($A27="","",SUMPRODUCT((MOVIMIENTOS!$B$5:$B$417="SALDO INICIAL")*(MOVIMIENTOS!$C$5:$C$417="Chancho")*(MOVIMIENTOS!$D$5:$D$417="sacos")*(MOVIMIENTOS!$A$5:$A$417&lt;&gt;"")*(MOVIMIENTOS!$A$5:$A$417&lt;=$A27)*MOVIMIENTOS!$E$5:$E$417)+SUMPRODUCT((MOVIMIENTOS!$B$5:$B$417="PROCESO")*(MOVIMIENTOS!$C$5:$C$417="Chancho")*(MOVIMIENTOS!$D$5:$D$417="sacos")*(MOVIMIENTOS!$A$5:$A$417&lt;&gt;"")*(MOVIMIENTOS!$A$5:$A$417&lt;=$A27)*MOVIMIENTOS!$E$5:$E$417)-SUMPRODUCT((MOVIMIENTOS!$B$5:$B$417="VENTA CHANCHO")*(MOVIMIENTOS!$C$5:$C$417="Chancho")*(MOVIMIENTOS!$D$5:$D$417="sacos")*(MOVIMIENTOS!$A$5:$A$417&lt;&gt;"")*(MOVIMIENTOS!$A$5:$A$417&lt;=$A27)*MOVIMIENTOS!$E$5:$E$417)-SUMPRODUCT((MOVIMIENTOS!$B$5:$B$417="REGALO")*(MOVIMIENTOS!$C$5:$C$417="Chancho")*(MOVIMIENTOS!$D$5:$D$417="sacos")*(MOVIMIENTOS!$A$5:$A$417&lt;&gt;"")*(MOVIMIENTOS!$A$5:$A$417&lt;=$A27)*MOVIMIENTOS!$E$5:$E$417)-SUMPRODUCT((MOVIMIENTOS!$B$5:$B$417="VENTA")*(MOVIMIENTOS!$C$5:$C$417="Chancho")*(MOVIMIENTOS!$D$5:$D$417="sacos")*(MOVIMIENTOS!$A$5:$A$417&lt;&gt;"")*(MOVIMIENTOS!$A$5:$A$417&lt;=$A27)*MOVIMIENTOS!$E$5:$E$417)+SUMPRODUCT((MOVIMIENTOS!$B$5:$B$417="AJUSTE")*(MOVIMIENTOS!$C$5:$C$417="Chancho")*(MOVIMIENTOS!$D$5:$D$417="sacos")*(MOVIMIENTOS!$A$5:$A$417&lt;&gt;"")*(MOVIMIENTOS!$A$5:$A$417&lt;=$A27)*MOVIMIENTOS!$E$5:$E$417))</f>
        <v>19.5</v>
      </c>
      <c r="G27" s="56">
        <f t="shared" si="1"/>
        <v>294</v>
      </c>
      <c r="H27" s="56">
        <f>IF($A27="","",SUMPRODUCT((((MOVIMIENTOS!$B$5:$B$417="SALDO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27)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27)*MOVIMIENTOS!$I$5:$I$417))</f>
        <v>5712.320000000007</v>
      </c>
      <c r="I27" s="54"/>
      <c r="J27" s="54" t="str">
        <f>IF(AND(MOVIMIENTOS!$A27&lt;&gt;"",COUNTIF(MOVIMIENTOS!$A$5:$A26,MOVIMIENTOS!$A27)=0),COUNT(J$4:J26)+1,"")</f>
        <v/>
      </c>
      <c r="K27" s="57">
        <f>MOVIMIENTOS!$A27</f>
        <v>46216</v>
      </c>
      <c r="L27" s="54"/>
      <c r="M27" s="54"/>
      <c r="N27" s="54"/>
    </row>
    <row r="28" spans="1:14" ht="15" customHeight="1" x14ac:dyDescent="0.2">
      <c r="A28" s="55">
        <f t="shared" si="0"/>
        <v>46237</v>
      </c>
      <c r="B28" s="56">
        <f>IF($A28="","",SUMPRODUCT((MOVIMIENTOS!$B$5:$B$417="SALDO INICIAL")*(MOVIMIENTOS!$C$5:$C$417="A")*(MOVIMIENTOS!$D$5:$D$417="jabas")*(MOVIMIENTOS!$A$5:$A$417&lt;&gt;"")*(MOVIMIENTOS!$A$5:$A$417&lt;=$A28)*MOVIMIENTOS!$E$5:$E$417)+SUMPRODUCT((MOVIMIENTOS!$B$5:$B$417="PROCESO")*(MOVIMIENTOS!$C$5:$C$417="A")*(MOVIMIENTOS!$D$5:$D$417="jabas")*(MOVIMIENTOS!$A$5:$A$417&lt;&gt;"")*(MOVIMIENTOS!$A$5:$A$417&lt;=$A28)*MOVIMIENTOS!$E$5:$E$417)-SUMPRODUCT((MOVIMIENTOS!$B$5:$B$417="ENVÍO A SUPESA")*(MOVIMIENTOS!$C$5:$C$417="A")*(MOVIMIENTOS!$D$5:$D$417="jabas")*(MOVIMIENTOS!$A$5:$A$417&lt;&gt;"")*(MOVIMIENTOS!$A$5:$A$417&lt;=$A28)*MOVIMIENTOS!$E$5:$E$417)+SUMPRODUCT((MOVIMIENTOS!$B$5:$B$417="DEVOLUCIÓN")*(MOVIMIENTOS!$C$5:$C$417="A")*(MOVIMIENTOS!$D$5:$D$417="jabas")*(MOVIMIENTOS!$A$5:$A$417&lt;&gt;"")*(MOVIMIENTOS!$A$5:$A$417&lt;=$A28)*MOVIMIENTOS!$E$5:$E$417)-SUMPRODUCT((MOVIMIENTOS!$B$5:$B$417="TRASIEGO")*(MOVIMIENTOS!$C$5:$C$417="A")*(MOVIMIENTOS!$D$5:$D$417="jabas")*(MOVIMIENTOS!$A$5:$A$417&lt;&gt;"")*(MOVIMIENTOS!$A$5:$A$417&lt;=$A28)*MOVIMIENTOS!$E$5:$E$417)-SUMPRODUCT((MOVIMIENTOS!$B$5:$B$417="REGALO")*(MOVIMIENTOS!$C$5:$C$417="A")*(MOVIMIENTOS!$D$5:$D$417="jabas")*(MOVIMIENTOS!$A$5:$A$417&lt;&gt;"")*(MOVIMIENTOS!$A$5:$A$417&lt;=$A28)*MOVIMIENTOS!$E$5:$E$417)-SUMPRODUCT((MOVIMIENTOS!$B$5:$B$417="VENTA")*(MOVIMIENTOS!$C$5:$C$417="A")*(MOVIMIENTOS!$D$5:$D$417="jabas")*(MOVIMIENTOS!$A$5:$A$417&lt;&gt;"")*(MOVIMIENTOS!$A$5:$A$417&lt;=$A28)*MOVIMIENTOS!$E$5:$E$417)+SUMPRODUCT((MOVIMIENTOS!$B$5:$B$417="AJUSTE")*(MOVIMIENTOS!$C$5:$C$417="A")*(MOVIMIENTOS!$D$5:$D$417="jabas")*(MOVIMIENTOS!$A$5:$A$417&lt;&gt;"")*(MOVIMIENTOS!$A$5:$A$417&lt;=$A28)*MOVIMIENTOS!$E$5:$E$417))</f>
        <v>51</v>
      </c>
      <c r="C28" s="56">
        <f>IF($A28="","",SUMPRODUCT((MOVIMIENTOS!$B$5:$B$417="SALDO INICIAL")*(MOVIMIENTOS!$C$5:$C$417="P")*(MOVIMIENTOS!$D$5:$D$417="jabas")*(MOVIMIENTOS!$A$5:$A$417&lt;&gt;"")*(MOVIMIENTOS!$A$5:$A$417&lt;=$A28)*MOVIMIENTOS!$E$5:$E$417)+SUMPRODUCT((MOVIMIENTOS!$B$5:$B$417="PROCESO")*(MOVIMIENTOS!$C$5:$C$417="P")*(MOVIMIENTOS!$D$5:$D$417="jabas")*(MOVIMIENTOS!$A$5:$A$417&lt;&gt;"")*(MOVIMIENTOS!$A$5:$A$417&lt;=$A28)*MOVIMIENTOS!$E$5:$E$417)-SUMPRODUCT((MOVIMIENTOS!$B$5:$B$417="ENVÍO A SUPESA")*(MOVIMIENTOS!$C$5:$C$417="P")*(MOVIMIENTOS!$D$5:$D$417="jabas")*(MOVIMIENTOS!$A$5:$A$417&lt;&gt;"")*(MOVIMIENTOS!$A$5:$A$417&lt;=$A28)*MOVIMIENTOS!$E$5:$E$417)+SUMPRODUCT((MOVIMIENTOS!$B$5:$B$417="DEVOLUCIÓN")*(MOVIMIENTOS!$C$5:$C$417="P")*(MOVIMIENTOS!$D$5:$D$417="jabas")*(MOVIMIENTOS!$A$5:$A$417&lt;&gt;"")*(MOVIMIENTOS!$A$5:$A$417&lt;=$A28)*MOVIMIENTOS!$E$5:$E$417)-SUMPRODUCT((MOVIMIENTOS!$B$5:$B$417="TRASIEGO")*(MOVIMIENTOS!$C$5:$C$417="P")*(MOVIMIENTOS!$D$5:$D$417="jabas")*(MOVIMIENTOS!$A$5:$A$417&lt;&gt;"")*(MOVIMIENTOS!$A$5:$A$417&lt;=$A28)*MOVIMIENTOS!$E$5:$E$417)-SUMPRODUCT((MOVIMIENTOS!$B$5:$B$417="REGALO")*(MOVIMIENTOS!$C$5:$C$417="P")*(MOVIMIENTOS!$D$5:$D$417="jabas")*(MOVIMIENTOS!$A$5:$A$417&lt;&gt;"")*(MOVIMIENTOS!$A$5:$A$417&lt;=$A28)*MOVIMIENTOS!$E$5:$E$417)-SUMPRODUCT((MOVIMIENTOS!$B$5:$B$417="VENTA")*(MOVIMIENTOS!$C$5:$C$417="P")*(MOVIMIENTOS!$D$5:$D$417="jabas")*(MOVIMIENTOS!$A$5:$A$417&lt;&gt;"")*(MOVIMIENTOS!$A$5:$A$417&lt;=$A28)*MOVIMIENTOS!$E$5:$E$417)+SUMPRODUCT((MOVIMIENTOS!$B$5:$B$417="AJUSTE")*(MOVIMIENTOS!$C$5:$C$417="P")*(MOVIMIENTOS!$D$5:$D$417="jabas")*(MOVIMIENTOS!$A$5:$A$417&lt;&gt;"")*(MOVIMIENTOS!$A$5:$A$417&lt;=$A28)*MOVIMIENTOS!$E$5:$E$417))</f>
        <v>0</v>
      </c>
      <c r="D28" s="56">
        <f>IF($A28="","",SUMPRODUCT((MOVIMIENTOS!$B$5:$B$417="SALDO INICIAL")*(MOVIMIENTOS!$C$5:$C$417="C")*(MOVIMIENTOS!$D$5:$D$417="jabas")*(MOVIMIENTOS!$A$5:$A$417&lt;&gt;"")*(MOVIMIENTOS!$A$5:$A$417&lt;=$A28)*MOVIMIENTOS!$E$5:$E$417)+SUMPRODUCT((MOVIMIENTOS!$B$5:$B$417="PROCESO")*(MOVIMIENTOS!$C$5:$C$417="C")*(MOVIMIENTOS!$D$5:$D$417="jabas")*(MOVIMIENTOS!$A$5:$A$417&lt;&gt;"")*(MOVIMIENTOS!$A$5:$A$417&lt;=$A28)*MOVIMIENTOS!$E$5:$E$417)-SUMPRODUCT((MOVIMIENTOS!$B$5:$B$417="ENVÍO A SUPESA")*(MOVIMIENTOS!$C$5:$C$417="C")*(MOVIMIENTOS!$D$5:$D$417="jabas")*(MOVIMIENTOS!$A$5:$A$417&lt;&gt;"")*(MOVIMIENTOS!$A$5:$A$417&lt;=$A28)*MOVIMIENTOS!$E$5:$E$417)+SUMPRODUCT((MOVIMIENTOS!$B$5:$B$417="DEVOLUCIÓN")*(MOVIMIENTOS!$C$5:$C$417="C")*(MOVIMIENTOS!$D$5:$D$417="jabas")*(MOVIMIENTOS!$A$5:$A$417&lt;&gt;"")*(MOVIMIENTOS!$A$5:$A$417&lt;=$A28)*MOVIMIENTOS!$E$5:$E$417)-SUMPRODUCT((MOVIMIENTOS!$B$5:$B$417="TRASIEGO")*(MOVIMIENTOS!$C$5:$C$417="C")*(MOVIMIENTOS!$D$5:$D$417="jabas")*(MOVIMIENTOS!$A$5:$A$417&lt;&gt;"")*(MOVIMIENTOS!$A$5:$A$417&lt;=$A28)*MOVIMIENTOS!$E$5:$E$417)-SUMPRODUCT((MOVIMIENTOS!$B$5:$B$417="REGALO")*(MOVIMIENTOS!$C$5:$C$417="C")*(MOVIMIENTOS!$D$5:$D$417="jabas")*(MOVIMIENTOS!$A$5:$A$417&lt;&gt;"")*(MOVIMIENTOS!$A$5:$A$417&lt;=$A28)*MOVIMIENTOS!$E$5:$E$417)-SUMPRODUCT((MOVIMIENTOS!$B$5:$B$417="VENTA")*(MOVIMIENTOS!$C$5:$C$417="C")*(MOVIMIENTOS!$D$5:$D$417="jabas")*(MOVIMIENTOS!$A$5:$A$417&lt;&gt;"")*(MOVIMIENTOS!$A$5:$A$417&lt;=$A28)*MOVIMIENTOS!$E$5:$E$417)+SUMPRODUCT((MOVIMIENTOS!$B$5:$B$417="AJUSTE")*(MOVIMIENTOS!$C$5:$C$417="C")*(MOVIMIENTOS!$D$5:$D$417="jabas")*(MOVIMIENTOS!$A$5:$A$417&lt;&gt;"")*(MOVIMIENTOS!$A$5:$A$417&lt;=$A28)*MOVIMIENTOS!$E$5:$E$417))</f>
        <v>0</v>
      </c>
      <c r="E28" s="56">
        <f>IF($A28="","",SUMPRODUCT((MOVIMIENTOS!$B$5:$B$417="SALDO INICIAL")*(MOVIMIENTOS!$C$5:$C$417="M")*(MOVIMIENTOS!$D$5:$D$417="jabas")*(MOVIMIENTOS!$A$5:$A$417&lt;&gt;"")*(MOVIMIENTOS!$A$5:$A$417&lt;=$A28)*MOVIMIENTOS!$E$5:$E$417)+SUMPRODUCT((MOVIMIENTOS!$B$5:$B$417="PROCESO")*(MOVIMIENTOS!$C$5:$C$417="M")*(MOVIMIENTOS!$D$5:$D$417="jabas")*(MOVIMIENTOS!$A$5:$A$417&lt;&gt;"")*(MOVIMIENTOS!$A$5:$A$417&lt;=$A28)*MOVIMIENTOS!$E$5:$E$417)-SUMPRODUCT((MOVIMIENTOS!$B$5:$B$417="ENVÍO A SUPESA")*(MOVIMIENTOS!$C$5:$C$417="M")*(MOVIMIENTOS!$D$5:$D$417="jabas")*(MOVIMIENTOS!$A$5:$A$417&lt;&gt;"")*(MOVIMIENTOS!$A$5:$A$417&lt;=$A28)*MOVIMIENTOS!$E$5:$E$417)+SUMPRODUCT((MOVIMIENTOS!$B$5:$B$417="DEVOLUCIÓN")*(MOVIMIENTOS!$C$5:$C$417="M")*(MOVIMIENTOS!$D$5:$D$417="jabas")*(MOVIMIENTOS!$A$5:$A$417&lt;&gt;"")*(MOVIMIENTOS!$A$5:$A$417&lt;=$A28)*MOVIMIENTOS!$E$5:$E$417)-SUMPRODUCT((MOVIMIENTOS!$B$5:$B$417="TRASIEGO")*(MOVIMIENTOS!$C$5:$C$417="M")*(MOVIMIENTOS!$D$5:$D$417="jabas")*(MOVIMIENTOS!$A$5:$A$417&lt;&gt;"")*(MOVIMIENTOS!$A$5:$A$417&lt;=$A28)*MOVIMIENTOS!$E$5:$E$417)-SUMPRODUCT((MOVIMIENTOS!$B$5:$B$417="REGALO")*(MOVIMIENTOS!$C$5:$C$417="M")*(MOVIMIENTOS!$D$5:$D$417="jabas")*(MOVIMIENTOS!$A$5:$A$417&lt;&gt;"")*(MOVIMIENTOS!$A$5:$A$417&lt;=$A28)*MOVIMIENTOS!$E$5:$E$417)-SUMPRODUCT((MOVIMIENTOS!$B$5:$B$417="VENTA")*(MOVIMIENTOS!$C$5:$C$417="M")*(MOVIMIENTOS!$D$5:$D$417="jabas")*(MOVIMIENTOS!$A$5:$A$417&lt;&gt;"")*(MOVIMIENTOS!$A$5:$A$417&lt;=$A28)*MOVIMIENTOS!$E$5:$E$417)+SUMPRODUCT((MOVIMIENTOS!$B$5:$B$417="AJUSTE")*(MOVIMIENTOS!$C$5:$C$417="M")*(MOVIMIENTOS!$D$5:$D$417="jabas")*(MOVIMIENTOS!$A$5:$A$417&lt;&gt;"")*(MOVIMIENTOS!$A$5:$A$417&lt;=$A28)*MOVIMIENTOS!$E$5:$E$417))</f>
        <v>56</v>
      </c>
      <c r="F28" s="56">
        <f>IF($A28="","",SUMPRODUCT((MOVIMIENTOS!$B$5:$B$417="SALDO INICIAL")*(MOVIMIENTOS!$C$5:$C$417="Chancho")*(MOVIMIENTOS!$D$5:$D$417="sacos")*(MOVIMIENTOS!$A$5:$A$417&lt;&gt;"")*(MOVIMIENTOS!$A$5:$A$417&lt;=$A28)*MOVIMIENTOS!$E$5:$E$417)+SUMPRODUCT((MOVIMIENTOS!$B$5:$B$417="PROCESO")*(MOVIMIENTOS!$C$5:$C$417="Chancho")*(MOVIMIENTOS!$D$5:$D$417="sacos")*(MOVIMIENTOS!$A$5:$A$417&lt;&gt;"")*(MOVIMIENTOS!$A$5:$A$417&lt;=$A28)*MOVIMIENTOS!$E$5:$E$417)-SUMPRODUCT((MOVIMIENTOS!$B$5:$B$417="VENTA CHANCHO")*(MOVIMIENTOS!$C$5:$C$417="Chancho")*(MOVIMIENTOS!$D$5:$D$417="sacos")*(MOVIMIENTOS!$A$5:$A$417&lt;&gt;"")*(MOVIMIENTOS!$A$5:$A$417&lt;=$A28)*MOVIMIENTOS!$E$5:$E$417)-SUMPRODUCT((MOVIMIENTOS!$B$5:$B$417="REGALO")*(MOVIMIENTOS!$C$5:$C$417="Chancho")*(MOVIMIENTOS!$D$5:$D$417="sacos")*(MOVIMIENTOS!$A$5:$A$417&lt;&gt;"")*(MOVIMIENTOS!$A$5:$A$417&lt;=$A28)*MOVIMIENTOS!$E$5:$E$417)-SUMPRODUCT((MOVIMIENTOS!$B$5:$B$417="VENTA")*(MOVIMIENTOS!$C$5:$C$417="Chancho")*(MOVIMIENTOS!$D$5:$D$417="sacos")*(MOVIMIENTOS!$A$5:$A$417&lt;&gt;"")*(MOVIMIENTOS!$A$5:$A$417&lt;=$A28)*MOVIMIENTOS!$E$5:$E$417)+SUMPRODUCT((MOVIMIENTOS!$B$5:$B$417="AJUSTE")*(MOVIMIENTOS!$C$5:$C$417="Chancho")*(MOVIMIENTOS!$D$5:$D$417="sacos")*(MOVIMIENTOS!$A$5:$A$417&lt;&gt;"")*(MOVIMIENTOS!$A$5:$A$417&lt;=$A28)*MOVIMIENTOS!$E$5:$E$417))</f>
        <v>19.5</v>
      </c>
      <c r="G28" s="56">
        <f t="shared" si="1"/>
        <v>107</v>
      </c>
      <c r="H28" s="56">
        <f>IF($A28="","",SUMPRODUCT((((MOVIMIENTOS!$B$5:$B$417="SALDO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28)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28)*MOVIMIENTOS!$I$5:$I$417))</f>
        <v>2599.320000000007</v>
      </c>
      <c r="I28" s="54"/>
      <c r="J28" s="54" t="str">
        <f>IF(AND(MOVIMIENTOS!$A28&lt;&gt;"",COUNTIF(MOVIMIENTOS!$A$5:$A27,MOVIMIENTOS!$A28)=0),COUNT(J$4:J27)+1,"")</f>
        <v/>
      </c>
      <c r="K28" s="57">
        <f>MOVIMIENTOS!$A28</f>
        <v>46216</v>
      </c>
      <c r="L28" s="54"/>
      <c r="M28" s="54"/>
      <c r="N28" s="54"/>
    </row>
    <row r="29" spans="1:14" ht="15" customHeight="1" x14ac:dyDescent="0.2">
      <c r="A29" s="55">
        <f t="shared" si="0"/>
        <v>46238</v>
      </c>
      <c r="B29" s="56">
        <f>IF($A29="","",SUMPRODUCT((MOVIMIENTOS!$B$5:$B$417="SALDO INICIAL")*(MOVIMIENTOS!$C$5:$C$417="A")*(MOVIMIENTOS!$D$5:$D$417="jabas")*(MOVIMIENTOS!$A$5:$A$417&lt;&gt;"")*(MOVIMIENTOS!$A$5:$A$417&lt;=$A29)*MOVIMIENTOS!$E$5:$E$417)+SUMPRODUCT((MOVIMIENTOS!$B$5:$B$417="PROCESO")*(MOVIMIENTOS!$C$5:$C$417="A")*(MOVIMIENTOS!$D$5:$D$417="jabas")*(MOVIMIENTOS!$A$5:$A$417&lt;&gt;"")*(MOVIMIENTOS!$A$5:$A$417&lt;=$A29)*MOVIMIENTOS!$E$5:$E$417)-SUMPRODUCT((MOVIMIENTOS!$B$5:$B$417="ENVÍO A SUPESA")*(MOVIMIENTOS!$C$5:$C$417="A")*(MOVIMIENTOS!$D$5:$D$417="jabas")*(MOVIMIENTOS!$A$5:$A$417&lt;&gt;"")*(MOVIMIENTOS!$A$5:$A$417&lt;=$A29)*MOVIMIENTOS!$E$5:$E$417)+SUMPRODUCT((MOVIMIENTOS!$B$5:$B$417="DEVOLUCIÓN")*(MOVIMIENTOS!$C$5:$C$417="A")*(MOVIMIENTOS!$D$5:$D$417="jabas")*(MOVIMIENTOS!$A$5:$A$417&lt;&gt;"")*(MOVIMIENTOS!$A$5:$A$417&lt;=$A29)*MOVIMIENTOS!$E$5:$E$417)-SUMPRODUCT((MOVIMIENTOS!$B$5:$B$417="TRASIEGO")*(MOVIMIENTOS!$C$5:$C$417="A")*(MOVIMIENTOS!$D$5:$D$417="jabas")*(MOVIMIENTOS!$A$5:$A$417&lt;&gt;"")*(MOVIMIENTOS!$A$5:$A$417&lt;=$A29)*MOVIMIENTOS!$E$5:$E$417)-SUMPRODUCT((MOVIMIENTOS!$B$5:$B$417="REGALO")*(MOVIMIENTOS!$C$5:$C$417="A")*(MOVIMIENTOS!$D$5:$D$417="jabas")*(MOVIMIENTOS!$A$5:$A$417&lt;&gt;"")*(MOVIMIENTOS!$A$5:$A$417&lt;=$A29)*MOVIMIENTOS!$E$5:$E$417)-SUMPRODUCT((MOVIMIENTOS!$B$5:$B$417="VENTA")*(MOVIMIENTOS!$C$5:$C$417="A")*(MOVIMIENTOS!$D$5:$D$417="jabas")*(MOVIMIENTOS!$A$5:$A$417&lt;&gt;"")*(MOVIMIENTOS!$A$5:$A$417&lt;=$A29)*MOVIMIENTOS!$E$5:$E$417)+SUMPRODUCT((MOVIMIENTOS!$B$5:$B$417="AJUSTE")*(MOVIMIENTOS!$C$5:$C$417="A")*(MOVIMIENTOS!$D$5:$D$417="jabas")*(MOVIMIENTOS!$A$5:$A$417&lt;&gt;"")*(MOVIMIENTOS!$A$5:$A$417&lt;=$A29)*MOVIMIENTOS!$E$5:$E$417))</f>
        <v>21</v>
      </c>
      <c r="C29" s="56">
        <f>IF($A29="","",SUMPRODUCT((MOVIMIENTOS!$B$5:$B$417="SALDO INICIAL")*(MOVIMIENTOS!$C$5:$C$417="P")*(MOVIMIENTOS!$D$5:$D$417="jabas")*(MOVIMIENTOS!$A$5:$A$417&lt;&gt;"")*(MOVIMIENTOS!$A$5:$A$417&lt;=$A29)*MOVIMIENTOS!$E$5:$E$417)+SUMPRODUCT((MOVIMIENTOS!$B$5:$B$417="PROCESO")*(MOVIMIENTOS!$C$5:$C$417="P")*(MOVIMIENTOS!$D$5:$D$417="jabas")*(MOVIMIENTOS!$A$5:$A$417&lt;&gt;"")*(MOVIMIENTOS!$A$5:$A$417&lt;=$A29)*MOVIMIENTOS!$E$5:$E$417)-SUMPRODUCT((MOVIMIENTOS!$B$5:$B$417="ENVÍO A SUPESA")*(MOVIMIENTOS!$C$5:$C$417="P")*(MOVIMIENTOS!$D$5:$D$417="jabas")*(MOVIMIENTOS!$A$5:$A$417&lt;&gt;"")*(MOVIMIENTOS!$A$5:$A$417&lt;=$A29)*MOVIMIENTOS!$E$5:$E$417)+SUMPRODUCT((MOVIMIENTOS!$B$5:$B$417="DEVOLUCIÓN")*(MOVIMIENTOS!$C$5:$C$417="P")*(MOVIMIENTOS!$D$5:$D$417="jabas")*(MOVIMIENTOS!$A$5:$A$417&lt;&gt;"")*(MOVIMIENTOS!$A$5:$A$417&lt;=$A29)*MOVIMIENTOS!$E$5:$E$417)-SUMPRODUCT((MOVIMIENTOS!$B$5:$B$417="TRASIEGO")*(MOVIMIENTOS!$C$5:$C$417="P")*(MOVIMIENTOS!$D$5:$D$417="jabas")*(MOVIMIENTOS!$A$5:$A$417&lt;&gt;"")*(MOVIMIENTOS!$A$5:$A$417&lt;=$A29)*MOVIMIENTOS!$E$5:$E$417)-SUMPRODUCT((MOVIMIENTOS!$B$5:$B$417="REGALO")*(MOVIMIENTOS!$C$5:$C$417="P")*(MOVIMIENTOS!$D$5:$D$417="jabas")*(MOVIMIENTOS!$A$5:$A$417&lt;&gt;"")*(MOVIMIENTOS!$A$5:$A$417&lt;=$A29)*MOVIMIENTOS!$E$5:$E$417)-SUMPRODUCT((MOVIMIENTOS!$B$5:$B$417="VENTA")*(MOVIMIENTOS!$C$5:$C$417="P")*(MOVIMIENTOS!$D$5:$D$417="jabas")*(MOVIMIENTOS!$A$5:$A$417&lt;&gt;"")*(MOVIMIENTOS!$A$5:$A$417&lt;=$A29)*MOVIMIENTOS!$E$5:$E$417)+SUMPRODUCT((MOVIMIENTOS!$B$5:$B$417="AJUSTE")*(MOVIMIENTOS!$C$5:$C$417="P")*(MOVIMIENTOS!$D$5:$D$417="jabas")*(MOVIMIENTOS!$A$5:$A$417&lt;&gt;"")*(MOVIMIENTOS!$A$5:$A$417&lt;=$A29)*MOVIMIENTOS!$E$5:$E$417))</f>
        <v>0</v>
      </c>
      <c r="D29" s="56">
        <f>IF($A29="","",SUMPRODUCT((MOVIMIENTOS!$B$5:$B$417="SALDO INICIAL")*(MOVIMIENTOS!$C$5:$C$417="C")*(MOVIMIENTOS!$D$5:$D$417="jabas")*(MOVIMIENTOS!$A$5:$A$417&lt;&gt;"")*(MOVIMIENTOS!$A$5:$A$417&lt;=$A29)*MOVIMIENTOS!$E$5:$E$417)+SUMPRODUCT((MOVIMIENTOS!$B$5:$B$417="PROCESO")*(MOVIMIENTOS!$C$5:$C$417="C")*(MOVIMIENTOS!$D$5:$D$417="jabas")*(MOVIMIENTOS!$A$5:$A$417&lt;&gt;"")*(MOVIMIENTOS!$A$5:$A$417&lt;=$A29)*MOVIMIENTOS!$E$5:$E$417)-SUMPRODUCT((MOVIMIENTOS!$B$5:$B$417="ENVÍO A SUPESA")*(MOVIMIENTOS!$C$5:$C$417="C")*(MOVIMIENTOS!$D$5:$D$417="jabas")*(MOVIMIENTOS!$A$5:$A$417&lt;&gt;"")*(MOVIMIENTOS!$A$5:$A$417&lt;=$A29)*MOVIMIENTOS!$E$5:$E$417)+SUMPRODUCT((MOVIMIENTOS!$B$5:$B$417="DEVOLUCIÓN")*(MOVIMIENTOS!$C$5:$C$417="C")*(MOVIMIENTOS!$D$5:$D$417="jabas")*(MOVIMIENTOS!$A$5:$A$417&lt;&gt;"")*(MOVIMIENTOS!$A$5:$A$417&lt;=$A29)*MOVIMIENTOS!$E$5:$E$417)-SUMPRODUCT((MOVIMIENTOS!$B$5:$B$417="TRASIEGO")*(MOVIMIENTOS!$C$5:$C$417="C")*(MOVIMIENTOS!$D$5:$D$417="jabas")*(MOVIMIENTOS!$A$5:$A$417&lt;&gt;"")*(MOVIMIENTOS!$A$5:$A$417&lt;=$A29)*MOVIMIENTOS!$E$5:$E$417)-SUMPRODUCT((MOVIMIENTOS!$B$5:$B$417="REGALO")*(MOVIMIENTOS!$C$5:$C$417="C")*(MOVIMIENTOS!$D$5:$D$417="jabas")*(MOVIMIENTOS!$A$5:$A$417&lt;&gt;"")*(MOVIMIENTOS!$A$5:$A$417&lt;=$A29)*MOVIMIENTOS!$E$5:$E$417)-SUMPRODUCT((MOVIMIENTOS!$B$5:$B$417="VENTA")*(MOVIMIENTOS!$C$5:$C$417="C")*(MOVIMIENTOS!$D$5:$D$417="jabas")*(MOVIMIENTOS!$A$5:$A$417&lt;&gt;"")*(MOVIMIENTOS!$A$5:$A$417&lt;=$A29)*MOVIMIENTOS!$E$5:$E$417)+SUMPRODUCT((MOVIMIENTOS!$B$5:$B$417="AJUSTE")*(MOVIMIENTOS!$C$5:$C$417="C")*(MOVIMIENTOS!$D$5:$D$417="jabas")*(MOVIMIENTOS!$A$5:$A$417&lt;&gt;"")*(MOVIMIENTOS!$A$5:$A$417&lt;=$A29)*MOVIMIENTOS!$E$5:$E$417))</f>
        <v>0</v>
      </c>
      <c r="E29" s="56">
        <f>IF($A29="","",SUMPRODUCT((MOVIMIENTOS!$B$5:$B$417="SALDO INICIAL")*(MOVIMIENTOS!$C$5:$C$417="M")*(MOVIMIENTOS!$D$5:$D$417="jabas")*(MOVIMIENTOS!$A$5:$A$417&lt;&gt;"")*(MOVIMIENTOS!$A$5:$A$417&lt;=$A29)*MOVIMIENTOS!$E$5:$E$417)+SUMPRODUCT((MOVIMIENTOS!$B$5:$B$417="PROCESO")*(MOVIMIENTOS!$C$5:$C$417="M")*(MOVIMIENTOS!$D$5:$D$417="jabas")*(MOVIMIENTOS!$A$5:$A$417&lt;&gt;"")*(MOVIMIENTOS!$A$5:$A$417&lt;=$A29)*MOVIMIENTOS!$E$5:$E$417)-SUMPRODUCT((MOVIMIENTOS!$B$5:$B$417="ENVÍO A SUPESA")*(MOVIMIENTOS!$C$5:$C$417="M")*(MOVIMIENTOS!$D$5:$D$417="jabas")*(MOVIMIENTOS!$A$5:$A$417&lt;&gt;"")*(MOVIMIENTOS!$A$5:$A$417&lt;=$A29)*MOVIMIENTOS!$E$5:$E$417)+SUMPRODUCT((MOVIMIENTOS!$B$5:$B$417="DEVOLUCIÓN")*(MOVIMIENTOS!$C$5:$C$417="M")*(MOVIMIENTOS!$D$5:$D$417="jabas")*(MOVIMIENTOS!$A$5:$A$417&lt;&gt;"")*(MOVIMIENTOS!$A$5:$A$417&lt;=$A29)*MOVIMIENTOS!$E$5:$E$417)-SUMPRODUCT((MOVIMIENTOS!$B$5:$B$417="TRASIEGO")*(MOVIMIENTOS!$C$5:$C$417="M")*(MOVIMIENTOS!$D$5:$D$417="jabas")*(MOVIMIENTOS!$A$5:$A$417&lt;&gt;"")*(MOVIMIENTOS!$A$5:$A$417&lt;=$A29)*MOVIMIENTOS!$E$5:$E$417)-SUMPRODUCT((MOVIMIENTOS!$B$5:$B$417="REGALO")*(MOVIMIENTOS!$C$5:$C$417="M")*(MOVIMIENTOS!$D$5:$D$417="jabas")*(MOVIMIENTOS!$A$5:$A$417&lt;&gt;"")*(MOVIMIENTOS!$A$5:$A$417&lt;=$A29)*MOVIMIENTOS!$E$5:$E$417)-SUMPRODUCT((MOVIMIENTOS!$B$5:$B$417="VENTA")*(MOVIMIENTOS!$C$5:$C$417="M")*(MOVIMIENTOS!$D$5:$D$417="jabas")*(MOVIMIENTOS!$A$5:$A$417&lt;&gt;"")*(MOVIMIENTOS!$A$5:$A$417&lt;=$A29)*MOVIMIENTOS!$E$5:$E$417)+SUMPRODUCT((MOVIMIENTOS!$B$5:$B$417="AJUSTE")*(MOVIMIENTOS!$C$5:$C$417="M")*(MOVIMIENTOS!$D$5:$D$417="jabas")*(MOVIMIENTOS!$A$5:$A$417&lt;&gt;"")*(MOVIMIENTOS!$A$5:$A$417&lt;=$A29)*MOVIMIENTOS!$E$5:$E$417))</f>
        <v>16</v>
      </c>
      <c r="F29" s="56">
        <f>IF($A29="","",SUMPRODUCT((MOVIMIENTOS!$B$5:$B$417="SALDO INICIAL")*(MOVIMIENTOS!$C$5:$C$417="Chancho")*(MOVIMIENTOS!$D$5:$D$417="sacos")*(MOVIMIENTOS!$A$5:$A$417&lt;&gt;"")*(MOVIMIENTOS!$A$5:$A$417&lt;=$A29)*MOVIMIENTOS!$E$5:$E$417)+SUMPRODUCT((MOVIMIENTOS!$B$5:$B$417="PROCESO")*(MOVIMIENTOS!$C$5:$C$417="Chancho")*(MOVIMIENTOS!$D$5:$D$417="sacos")*(MOVIMIENTOS!$A$5:$A$417&lt;&gt;"")*(MOVIMIENTOS!$A$5:$A$417&lt;=$A29)*MOVIMIENTOS!$E$5:$E$417)-SUMPRODUCT((MOVIMIENTOS!$B$5:$B$417="VENTA CHANCHO")*(MOVIMIENTOS!$C$5:$C$417="Chancho")*(MOVIMIENTOS!$D$5:$D$417="sacos")*(MOVIMIENTOS!$A$5:$A$417&lt;&gt;"")*(MOVIMIENTOS!$A$5:$A$417&lt;=$A29)*MOVIMIENTOS!$E$5:$E$417)-SUMPRODUCT((MOVIMIENTOS!$B$5:$B$417="REGALO")*(MOVIMIENTOS!$C$5:$C$417="Chancho")*(MOVIMIENTOS!$D$5:$D$417="sacos")*(MOVIMIENTOS!$A$5:$A$417&lt;&gt;"")*(MOVIMIENTOS!$A$5:$A$417&lt;=$A29)*MOVIMIENTOS!$E$5:$E$417)-SUMPRODUCT((MOVIMIENTOS!$B$5:$B$417="VENTA")*(MOVIMIENTOS!$C$5:$C$417="Chancho")*(MOVIMIENTOS!$D$5:$D$417="sacos")*(MOVIMIENTOS!$A$5:$A$417&lt;&gt;"")*(MOVIMIENTOS!$A$5:$A$417&lt;=$A29)*MOVIMIENTOS!$E$5:$E$417)+SUMPRODUCT((MOVIMIENTOS!$B$5:$B$417="AJUSTE")*(MOVIMIENTOS!$C$5:$C$417="Chancho")*(MOVIMIENTOS!$D$5:$D$417="sacos")*(MOVIMIENTOS!$A$5:$A$417&lt;&gt;"")*(MOVIMIENTOS!$A$5:$A$417&lt;=$A29)*MOVIMIENTOS!$E$5:$E$417))</f>
        <v>31.5</v>
      </c>
      <c r="G29" s="56">
        <f t="shared" si="1"/>
        <v>37</v>
      </c>
      <c r="H29" s="56">
        <f>IF($A29="","",SUMPRODUCT((((MOVIMIENTOS!$B$5:$B$417="SALDO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29)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29)*MOVIMIENTOS!$I$5:$I$417))</f>
        <v>1472.320000000007</v>
      </c>
      <c r="I29" s="54"/>
      <c r="J29" s="54">
        <f>IF(AND(MOVIMIENTOS!$A29&lt;&gt;"",COUNTIF(MOVIMIENTOS!$A$5:$A28,MOVIMIENTOS!$A29)=0),COUNT(J$4:J28)+1,"")</f>
        <v>4</v>
      </c>
      <c r="K29" s="57">
        <f>MOVIMIENTOS!$A29</f>
        <v>46217</v>
      </c>
      <c r="L29" s="54"/>
      <c r="M29" s="54"/>
      <c r="N29" s="54"/>
    </row>
    <row r="30" spans="1:14" ht="15" customHeight="1" x14ac:dyDescent="0.2">
      <c r="A30" s="55">
        <f t="shared" si="0"/>
        <v>46239</v>
      </c>
      <c r="B30" s="56">
        <f>IF($A30="","",SUMPRODUCT((MOVIMIENTOS!$B$5:$B$417="SALDO INICIAL")*(MOVIMIENTOS!$C$5:$C$417="A")*(MOVIMIENTOS!$D$5:$D$417="jabas")*(MOVIMIENTOS!$A$5:$A$417&lt;&gt;"")*(MOVIMIENTOS!$A$5:$A$417&lt;=$A30)*MOVIMIENTOS!$E$5:$E$417)+SUMPRODUCT((MOVIMIENTOS!$B$5:$B$417="PROCESO")*(MOVIMIENTOS!$C$5:$C$417="A")*(MOVIMIENTOS!$D$5:$D$417="jabas")*(MOVIMIENTOS!$A$5:$A$417&lt;&gt;"")*(MOVIMIENTOS!$A$5:$A$417&lt;=$A30)*MOVIMIENTOS!$E$5:$E$417)-SUMPRODUCT((MOVIMIENTOS!$B$5:$B$417="ENVÍO A SUPESA")*(MOVIMIENTOS!$C$5:$C$417="A")*(MOVIMIENTOS!$D$5:$D$417="jabas")*(MOVIMIENTOS!$A$5:$A$417&lt;&gt;"")*(MOVIMIENTOS!$A$5:$A$417&lt;=$A30)*MOVIMIENTOS!$E$5:$E$417)+SUMPRODUCT((MOVIMIENTOS!$B$5:$B$417="DEVOLUCIÓN")*(MOVIMIENTOS!$C$5:$C$417="A")*(MOVIMIENTOS!$D$5:$D$417="jabas")*(MOVIMIENTOS!$A$5:$A$417&lt;&gt;"")*(MOVIMIENTOS!$A$5:$A$417&lt;=$A30)*MOVIMIENTOS!$E$5:$E$417)-SUMPRODUCT((MOVIMIENTOS!$B$5:$B$417="TRASIEGO")*(MOVIMIENTOS!$C$5:$C$417="A")*(MOVIMIENTOS!$D$5:$D$417="jabas")*(MOVIMIENTOS!$A$5:$A$417&lt;&gt;"")*(MOVIMIENTOS!$A$5:$A$417&lt;=$A30)*MOVIMIENTOS!$E$5:$E$417)-SUMPRODUCT((MOVIMIENTOS!$B$5:$B$417="REGALO")*(MOVIMIENTOS!$C$5:$C$417="A")*(MOVIMIENTOS!$D$5:$D$417="jabas")*(MOVIMIENTOS!$A$5:$A$417&lt;&gt;"")*(MOVIMIENTOS!$A$5:$A$417&lt;=$A30)*MOVIMIENTOS!$E$5:$E$417)-SUMPRODUCT((MOVIMIENTOS!$B$5:$B$417="VENTA")*(MOVIMIENTOS!$C$5:$C$417="A")*(MOVIMIENTOS!$D$5:$D$417="jabas")*(MOVIMIENTOS!$A$5:$A$417&lt;&gt;"")*(MOVIMIENTOS!$A$5:$A$417&lt;=$A30)*MOVIMIENTOS!$E$5:$E$417)+SUMPRODUCT((MOVIMIENTOS!$B$5:$B$417="AJUSTE")*(MOVIMIENTOS!$C$5:$C$417="A")*(MOVIMIENTOS!$D$5:$D$417="jabas")*(MOVIMIENTOS!$A$5:$A$417&lt;&gt;"")*(MOVIMIENTOS!$A$5:$A$417&lt;=$A30)*MOVIMIENTOS!$E$5:$E$417))</f>
        <v>50</v>
      </c>
      <c r="C30" s="56">
        <f>IF($A30="","",SUMPRODUCT((MOVIMIENTOS!$B$5:$B$417="SALDO INICIAL")*(MOVIMIENTOS!$C$5:$C$417="P")*(MOVIMIENTOS!$D$5:$D$417="jabas")*(MOVIMIENTOS!$A$5:$A$417&lt;&gt;"")*(MOVIMIENTOS!$A$5:$A$417&lt;=$A30)*MOVIMIENTOS!$E$5:$E$417)+SUMPRODUCT((MOVIMIENTOS!$B$5:$B$417="PROCESO")*(MOVIMIENTOS!$C$5:$C$417="P")*(MOVIMIENTOS!$D$5:$D$417="jabas")*(MOVIMIENTOS!$A$5:$A$417&lt;&gt;"")*(MOVIMIENTOS!$A$5:$A$417&lt;=$A30)*MOVIMIENTOS!$E$5:$E$417)-SUMPRODUCT((MOVIMIENTOS!$B$5:$B$417="ENVÍO A SUPESA")*(MOVIMIENTOS!$C$5:$C$417="P")*(MOVIMIENTOS!$D$5:$D$417="jabas")*(MOVIMIENTOS!$A$5:$A$417&lt;&gt;"")*(MOVIMIENTOS!$A$5:$A$417&lt;=$A30)*MOVIMIENTOS!$E$5:$E$417)+SUMPRODUCT((MOVIMIENTOS!$B$5:$B$417="DEVOLUCIÓN")*(MOVIMIENTOS!$C$5:$C$417="P")*(MOVIMIENTOS!$D$5:$D$417="jabas")*(MOVIMIENTOS!$A$5:$A$417&lt;&gt;"")*(MOVIMIENTOS!$A$5:$A$417&lt;=$A30)*MOVIMIENTOS!$E$5:$E$417)-SUMPRODUCT((MOVIMIENTOS!$B$5:$B$417="TRASIEGO")*(MOVIMIENTOS!$C$5:$C$417="P")*(MOVIMIENTOS!$D$5:$D$417="jabas")*(MOVIMIENTOS!$A$5:$A$417&lt;&gt;"")*(MOVIMIENTOS!$A$5:$A$417&lt;=$A30)*MOVIMIENTOS!$E$5:$E$417)-SUMPRODUCT((MOVIMIENTOS!$B$5:$B$417="REGALO")*(MOVIMIENTOS!$C$5:$C$417="P")*(MOVIMIENTOS!$D$5:$D$417="jabas")*(MOVIMIENTOS!$A$5:$A$417&lt;&gt;"")*(MOVIMIENTOS!$A$5:$A$417&lt;=$A30)*MOVIMIENTOS!$E$5:$E$417)-SUMPRODUCT((MOVIMIENTOS!$B$5:$B$417="VENTA")*(MOVIMIENTOS!$C$5:$C$417="P")*(MOVIMIENTOS!$D$5:$D$417="jabas")*(MOVIMIENTOS!$A$5:$A$417&lt;&gt;"")*(MOVIMIENTOS!$A$5:$A$417&lt;=$A30)*MOVIMIENTOS!$E$5:$E$417)+SUMPRODUCT((MOVIMIENTOS!$B$5:$B$417="AJUSTE")*(MOVIMIENTOS!$C$5:$C$417="P")*(MOVIMIENTOS!$D$5:$D$417="jabas")*(MOVIMIENTOS!$A$5:$A$417&lt;&gt;"")*(MOVIMIENTOS!$A$5:$A$417&lt;=$A30)*MOVIMIENTOS!$E$5:$E$417))</f>
        <v>11</v>
      </c>
      <c r="D30" s="56">
        <f>IF($A30="","",SUMPRODUCT((MOVIMIENTOS!$B$5:$B$417="SALDO INICIAL")*(MOVIMIENTOS!$C$5:$C$417="C")*(MOVIMIENTOS!$D$5:$D$417="jabas")*(MOVIMIENTOS!$A$5:$A$417&lt;&gt;"")*(MOVIMIENTOS!$A$5:$A$417&lt;=$A30)*MOVIMIENTOS!$E$5:$E$417)+SUMPRODUCT((MOVIMIENTOS!$B$5:$B$417="PROCESO")*(MOVIMIENTOS!$C$5:$C$417="C")*(MOVIMIENTOS!$D$5:$D$417="jabas")*(MOVIMIENTOS!$A$5:$A$417&lt;&gt;"")*(MOVIMIENTOS!$A$5:$A$417&lt;=$A30)*MOVIMIENTOS!$E$5:$E$417)-SUMPRODUCT((MOVIMIENTOS!$B$5:$B$417="ENVÍO A SUPESA")*(MOVIMIENTOS!$C$5:$C$417="C")*(MOVIMIENTOS!$D$5:$D$417="jabas")*(MOVIMIENTOS!$A$5:$A$417&lt;&gt;"")*(MOVIMIENTOS!$A$5:$A$417&lt;=$A30)*MOVIMIENTOS!$E$5:$E$417)+SUMPRODUCT((MOVIMIENTOS!$B$5:$B$417="DEVOLUCIÓN")*(MOVIMIENTOS!$C$5:$C$417="C")*(MOVIMIENTOS!$D$5:$D$417="jabas")*(MOVIMIENTOS!$A$5:$A$417&lt;&gt;"")*(MOVIMIENTOS!$A$5:$A$417&lt;=$A30)*MOVIMIENTOS!$E$5:$E$417)-SUMPRODUCT((MOVIMIENTOS!$B$5:$B$417="TRASIEGO")*(MOVIMIENTOS!$C$5:$C$417="C")*(MOVIMIENTOS!$D$5:$D$417="jabas")*(MOVIMIENTOS!$A$5:$A$417&lt;&gt;"")*(MOVIMIENTOS!$A$5:$A$417&lt;=$A30)*MOVIMIENTOS!$E$5:$E$417)-SUMPRODUCT((MOVIMIENTOS!$B$5:$B$417="REGALO")*(MOVIMIENTOS!$C$5:$C$417="C")*(MOVIMIENTOS!$D$5:$D$417="jabas")*(MOVIMIENTOS!$A$5:$A$417&lt;&gt;"")*(MOVIMIENTOS!$A$5:$A$417&lt;=$A30)*MOVIMIENTOS!$E$5:$E$417)-SUMPRODUCT((MOVIMIENTOS!$B$5:$B$417="VENTA")*(MOVIMIENTOS!$C$5:$C$417="C")*(MOVIMIENTOS!$D$5:$D$417="jabas")*(MOVIMIENTOS!$A$5:$A$417&lt;&gt;"")*(MOVIMIENTOS!$A$5:$A$417&lt;=$A30)*MOVIMIENTOS!$E$5:$E$417)+SUMPRODUCT((MOVIMIENTOS!$B$5:$B$417="AJUSTE")*(MOVIMIENTOS!$C$5:$C$417="C")*(MOVIMIENTOS!$D$5:$D$417="jabas")*(MOVIMIENTOS!$A$5:$A$417&lt;&gt;"")*(MOVIMIENTOS!$A$5:$A$417&lt;=$A30)*MOVIMIENTOS!$E$5:$E$417))</f>
        <v>12</v>
      </c>
      <c r="E30" s="56">
        <f>IF($A30="","",SUMPRODUCT((MOVIMIENTOS!$B$5:$B$417="SALDO INICIAL")*(MOVIMIENTOS!$C$5:$C$417="M")*(MOVIMIENTOS!$D$5:$D$417="jabas")*(MOVIMIENTOS!$A$5:$A$417&lt;&gt;"")*(MOVIMIENTOS!$A$5:$A$417&lt;=$A30)*MOVIMIENTOS!$E$5:$E$417)+SUMPRODUCT((MOVIMIENTOS!$B$5:$B$417="PROCESO")*(MOVIMIENTOS!$C$5:$C$417="M")*(MOVIMIENTOS!$D$5:$D$417="jabas")*(MOVIMIENTOS!$A$5:$A$417&lt;&gt;"")*(MOVIMIENTOS!$A$5:$A$417&lt;=$A30)*MOVIMIENTOS!$E$5:$E$417)-SUMPRODUCT((MOVIMIENTOS!$B$5:$B$417="ENVÍO A SUPESA")*(MOVIMIENTOS!$C$5:$C$417="M")*(MOVIMIENTOS!$D$5:$D$417="jabas")*(MOVIMIENTOS!$A$5:$A$417&lt;&gt;"")*(MOVIMIENTOS!$A$5:$A$417&lt;=$A30)*MOVIMIENTOS!$E$5:$E$417)+SUMPRODUCT((MOVIMIENTOS!$B$5:$B$417="DEVOLUCIÓN")*(MOVIMIENTOS!$C$5:$C$417="M")*(MOVIMIENTOS!$D$5:$D$417="jabas")*(MOVIMIENTOS!$A$5:$A$417&lt;&gt;"")*(MOVIMIENTOS!$A$5:$A$417&lt;=$A30)*MOVIMIENTOS!$E$5:$E$417)-SUMPRODUCT((MOVIMIENTOS!$B$5:$B$417="TRASIEGO")*(MOVIMIENTOS!$C$5:$C$417="M")*(MOVIMIENTOS!$D$5:$D$417="jabas")*(MOVIMIENTOS!$A$5:$A$417&lt;&gt;"")*(MOVIMIENTOS!$A$5:$A$417&lt;=$A30)*MOVIMIENTOS!$E$5:$E$417)-SUMPRODUCT((MOVIMIENTOS!$B$5:$B$417="REGALO")*(MOVIMIENTOS!$C$5:$C$417="M")*(MOVIMIENTOS!$D$5:$D$417="jabas")*(MOVIMIENTOS!$A$5:$A$417&lt;&gt;"")*(MOVIMIENTOS!$A$5:$A$417&lt;=$A30)*MOVIMIENTOS!$E$5:$E$417)-SUMPRODUCT((MOVIMIENTOS!$B$5:$B$417="VENTA")*(MOVIMIENTOS!$C$5:$C$417="M")*(MOVIMIENTOS!$D$5:$D$417="jabas")*(MOVIMIENTOS!$A$5:$A$417&lt;&gt;"")*(MOVIMIENTOS!$A$5:$A$417&lt;=$A30)*MOVIMIENTOS!$E$5:$E$417)+SUMPRODUCT((MOVIMIENTOS!$B$5:$B$417="AJUSTE")*(MOVIMIENTOS!$C$5:$C$417="M")*(MOVIMIENTOS!$D$5:$D$417="jabas")*(MOVIMIENTOS!$A$5:$A$417&lt;&gt;"")*(MOVIMIENTOS!$A$5:$A$417&lt;=$A30)*MOVIMIENTOS!$E$5:$E$417))</f>
        <v>65</v>
      </c>
      <c r="F30" s="56">
        <f>IF($A30="","",SUMPRODUCT((MOVIMIENTOS!$B$5:$B$417="SALDO INICIAL")*(MOVIMIENTOS!$C$5:$C$417="Chancho")*(MOVIMIENTOS!$D$5:$D$417="sacos")*(MOVIMIENTOS!$A$5:$A$417&lt;&gt;"")*(MOVIMIENTOS!$A$5:$A$417&lt;=$A30)*MOVIMIENTOS!$E$5:$E$417)+SUMPRODUCT((MOVIMIENTOS!$B$5:$B$417="PROCESO")*(MOVIMIENTOS!$C$5:$C$417="Chancho")*(MOVIMIENTOS!$D$5:$D$417="sacos")*(MOVIMIENTOS!$A$5:$A$417&lt;&gt;"")*(MOVIMIENTOS!$A$5:$A$417&lt;=$A30)*MOVIMIENTOS!$E$5:$E$417)-SUMPRODUCT((MOVIMIENTOS!$B$5:$B$417="VENTA CHANCHO")*(MOVIMIENTOS!$C$5:$C$417="Chancho")*(MOVIMIENTOS!$D$5:$D$417="sacos")*(MOVIMIENTOS!$A$5:$A$417&lt;&gt;"")*(MOVIMIENTOS!$A$5:$A$417&lt;=$A30)*MOVIMIENTOS!$E$5:$E$417)-SUMPRODUCT((MOVIMIENTOS!$B$5:$B$417="REGALO")*(MOVIMIENTOS!$C$5:$C$417="Chancho")*(MOVIMIENTOS!$D$5:$D$417="sacos")*(MOVIMIENTOS!$A$5:$A$417&lt;&gt;"")*(MOVIMIENTOS!$A$5:$A$417&lt;=$A30)*MOVIMIENTOS!$E$5:$E$417)-SUMPRODUCT((MOVIMIENTOS!$B$5:$B$417="VENTA")*(MOVIMIENTOS!$C$5:$C$417="Chancho")*(MOVIMIENTOS!$D$5:$D$417="sacos")*(MOVIMIENTOS!$A$5:$A$417&lt;&gt;"")*(MOVIMIENTOS!$A$5:$A$417&lt;=$A30)*MOVIMIENTOS!$E$5:$E$417)+SUMPRODUCT((MOVIMIENTOS!$B$5:$B$417="AJUSTE")*(MOVIMIENTOS!$C$5:$C$417="Chancho")*(MOVIMIENTOS!$D$5:$D$417="sacos")*(MOVIMIENTOS!$A$5:$A$417&lt;&gt;"")*(MOVIMIENTOS!$A$5:$A$417&lt;=$A30)*MOVIMIENTOS!$E$5:$E$417))</f>
        <v>17</v>
      </c>
      <c r="G30" s="56">
        <f t="shared" si="1"/>
        <v>138</v>
      </c>
      <c r="H30" s="56">
        <f>IF($A30="","",SUMPRODUCT((((MOVIMIENTOS!$B$5:$B$417="SALDO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30)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30)*MOVIMIENTOS!$I$5:$I$417))</f>
        <v>2824.820000000007</v>
      </c>
      <c r="I30" s="54"/>
      <c r="J30" s="54" t="str">
        <f>IF(AND(MOVIMIENTOS!$A30&lt;&gt;"",COUNTIF(MOVIMIENTOS!$A$5:$A29,MOVIMIENTOS!$A30)=0),COUNT(J$4:J29)+1,"")</f>
        <v/>
      </c>
      <c r="K30" s="57">
        <f>MOVIMIENTOS!$A30</f>
        <v>46217</v>
      </c>
      <c r="L30" s="54"/>
      <c r="M30" s="54"/>
      <c r="N30" s="54"/>
    </row>
    <row r="31" spans="1:14" ht="15" customHeight="1" x14ac:dyDescent="0.2">
      <c r="A31" s="55">
        <f t="shared" si="0"/>
        <v>46240</v>
      </c>
      <c r="B31" s="56">
        <f>IF($A31="","",SUMPRODUCT((MOVIMIENTOS!$B$5:$B$417="SALDO INICIAL")*(MOVIMIENTOS!$C$5:$C$417="A")*(MOVIMIENTOS!$D$5:$D$417="jabas")*(MOVIMIENTOS!$A$5:$A$417&lt;&gt;"")*(MOVIMIENTOS!$A$5:$A$417&lt;=$A31)*MOVIMIENTOS!$E$5:$E$417)+SUMPRODUCT((MOVIMIENTOS!$B$5:$B$417="PROCESO")*(MOVIMIENTOS!$C$5:$C$417="A")*(MOVIMIENTOS!$D$5:$D$417="jabas")*(MOVIMIENTOS!$A$5:$A$417&lt;&gt;"")*(MOVIMIENTOS!$A$5:$A$417&lt;=$A31)*MOVIMIENTOS!$E$5:$E$417)-SUMPRODUCT((MOVIMIENTOS!$B$5:$B$417="ENVÍO A SUPESA")*(MOVIMIENTOS!$C$5:$C$417="A")*(MOVIMIENTOS!$D$5:$D$417="jabas")*(MOVIMIENTOS!$A$5:$A$417&lt;&gt;"")*(MOVIMIENTOS!$A$5:$A$417&lt;=$A31)*MOVIMIENTOS!$E$5:$E$417)+SUMPRODUCT((MOVIMIENTOS!$B$5:$B$417="DEVOLUCIÓN")*(MOVIMIENTOS!$C$5:$C$417="A")*(MOVIMIENTOS!$D$5:$D$417="jabas")*(MOVIMIENTOS!$A$5:$A$417&lt;&gt;"")*(MOVIMIENTOS!$A$5:$A$417&lt;=$A31)*MOVIMIENTOS!$E$5:$E$417)-SUMPRODUCT((MOVIMIENTOS!$B$5:$B$417="TRASIEGO")*(MOVIMIENTOS!$C$5:$C$417="A")*(MOVIMIENTOS!$D$5:$D$417="jabas")*(MOVIMIENTOS!$A$5:$A$417&lt;&gt;"")*(MOVIMIENTOS!$A$5:$A$417&lt;=$A31)*MOVIMIENTOS!$E$5:$E$417)-SUMPRODUCT((MOVIMIENTOS!$B$5:$B$417="REGALO")*(MOVIMIENTOS!$C$5:$C$417="A")*(MOVIMIENTOS!$D$5:$D$417="jabas")*(MOVIMIENTOS!$A$5:$A$417&lt;&gt;"")*(MOVIMIENTOS!$A$5:$A$417&lt;=$A31)*MOVIMIENTOS!$E$5:$E$417)-SUMPRODUCT((MOVIMIENTOS!$B$5:$B$417="VENTA")*(MOVIMIENTOS!$C$5:$C$417="A")*(MOVIMIENTOS!$D$5:$D$417="jabas")*(MOVIMIENTOS!$A$5:$A$417&lt;&gt;"")*(MOVIMIENTOS!$A$5:$A$417&lt;=$A31)*MOVIMIENTOS!$E$5:$E$417)+SUMPRODUCT((MOVIMIENTOS!$B$5:$B$417="AJUSTE")*(MOVIMIENTOS!$C$5:$C$417="A")*(MOVIMIENTOS!$D$5:$D$417="jabas")*(MOVIMIENTOS!$A$5:$A$417&lt;&gt;"")*(MOVIMIENTOS!$A$5:$A$417&lt;=$A31)*MOVIMIENTOS!$E$5:$E$417))</f>
        <v>62</v>
      </c>
      <c r="C31" s="56">
        <f>IF($A31="","",SUMPRODUCT((MOVIMIENTOS!$B$5:$B$417="SALDO INICIAL")*(MOVIMIENTOS!$C$5:$C$417="P")*(MOVIMIENTOS!$D$5:$D$417="jabas")*(MOVIMIENTOS!$A$5:$A$417&lt;&gt;"")*(MOVIMIENTOS!$A$5:$A$417&lt;=$A31)*MOVIMIENTOS!$E$5:$E$417)+SUMPRODUCT((MOVIMIENTOS!$B$5:$B$417="PROCESO")*(MOVIMIENTOS!$C$5:$C$417="P")*(MOVIMIENTOS!$D$5:$D$417="jabas")*(MOVIMIENTOS!$A$5:$A$417&lt;&gt;"")*(MOVIMIENTOS!$A$5:$A$417&lt;=$A31)*MOVIMIENTOS!$E$5:$E$417)-SUMPRODUCT((MOVIMIENTOS!$B$5:$B$417="ENVÍO A SUPESA")*(MOVIMIENTOS!$C$5:$C$417="P")*(MOVIMIENTOS!$D$5:$D$417="jabas")*(MOVIMIENTOS!$A$5:$A$417&lt;&gt;"")*(MOVIMIENTOS!$A$5:$A$417&lt;=$A31)*MOVIMIENTOS!$E$5:$E$417)+SUMPRODUCT((MOVIMIENTOS!$B$5:$B$417="DEVOLUCIÓN")*(MOVIMIENTOS!$C$5:$C$417="P")*(MOVIMIENTOS!$D$5:$D$417="jabas")*(MOVIMIENTOS!$A$5:$A$417&lt;&gt;"")*(MOVIMIENTOS!$A$5:$A$417&lt;=$A31)*MOVIMIENTOS!$E$5:$E$417)-SUMPRODUCT((MOVIMIENTOS!$B$5:$B$417="TRASIEGO")*(MOVIMIENTOS!$C$5:$C$417="P")*(MOVIMIENTOS!$D$5:$D$417="jabas")*(MOVIMIENTOS!$A$5:$A$417&lt;&gt;"")*(MOVIMIENTOS!$A$5:$A$417&lt;=$A31)*MOVIMIENTOS!$E$5:$E$417)-SUMPRODUCT((MOVIMIENTOS!$B$5:$B$417="REGALO")*(MOVIMIENTOS!$C$5:$C$417="P")*(MOVIMIENTOS!$D$5:$D$417="jabas")*(MOVIMIENTOS!$A$5:$A$417&lt;&gt;"")*(MOVIMIENTOS!$A$5:$A$417&lt;=$A31)*MOVIMIENTOS!$E$5:$E$417)-SUMPRODUCT((MOVIMIENTOS!$B$5:$B$417="VENTA")*(MOVIMIENTOS!$C$5:$C$417="P")*(MOVIMIENTOS!$D$5:$D$417="jabas")*(MOVIMIENTOS!$A$5:$A$417&lt;&gt;"")*(MOVIMIENTOS!$A$5:$A$417&lt;=$A31)*MOVIMIENTOS!$E$5:$E$417)+SUMPRODUCT((MOVIMIENTOS!$B$5:$B$417="AJUSTE")*(MOVIMIENTOS!$C$5:$C$417="P")*(MOVIMIENTOS!$D$5:$D$417="jabas")*(MOVIMIENTOS!$A$5:$A$417&lt;&gt;"")*(MOVIMIENTOS!$A$5:$A$417&lt;=$A31)*MOVIMIENTOS!$E$5:$E$417))</f>
        <v>11</v>
      </c>
      <c r="D31" s="56">
        <f>IF($A31="","",SUMPRODUCT((MOVIMIENTOS!$B$5:$B$417="SALDO INICIAL")*(MOVIMIENTOS!$C$5:$C$417="C")*(MOVIMIENTOS!$D$5:$D$417="jabas")*(MOVIMIENTOS!$A$5:$A$417&lt;&gt;"")*(MOVIMIENTOS!$A$5:$A$417&lt;=$A31)*MOVIMIENTOS!$E$5:$E$417)+SUMPRODUCT((MOVIMIENTOS!$B$5:$B$417="PROCESO")*(MOVIMIENTOS!$C$5:$C$417="C")*(MOVIMIENTOS!$D$5:$D$417="jabas")*(MOVIMIENTOS!$A$5:$A$417&lt;&gt;"")*(MOVIMIENTOS!$A$5:$A$417&lt;=$A31)*MOVIMIENTOS!$E$5:$E$417)-SUMPRODUCT((MOVIMIENTOS!$B$5:$B$417="ENVÍO A SUPESA")*(MOVIMIENTOS!$C$5:$C$417="C")*(MOVIMIENTOS!$D$5:$D$417="jabas")*(MOVIMIENTOS!$A$5:$A$417&lt;&gt;"")*(MOVIMIENTOS!$A$5:$A$417&lt;=$A31)*MOVIMIENTOS!$E$5:$E$417)+SUMPRODUCT((MOVIMIENTOS!$B$5:$B$417="DEVOLUCIÓN")*(MOVIMIENTOS!$C$5:$C$417="C")*(MOVIMIENTOS!$D$5:$D$417="jabas")*(MOVIMIENTOS!$A$5:$A$417&lt;&gt;"")*(MOVIMIENTOS!$A$5:$A$417&lt;=$A31)*MOVIMIENTOS!$E$5:$E$417)-SUMPRODUCT((MOVIMIENTOS!$B$5:$B$417="TRASIEGO")*(MOVIMIENTOS!$C$5:$C$417="C")*(MOVIMIENTOS!$D$5:$D$417="jabas")*(MOVIMIENTOS!$A$5:$A$417&lt;&gt;"")*(MOVIMIENTOS!$A$5:$A$417&lt;=$A31)*MOVIMIENTOS!$E$5:$E$417)-SUMPRODUCT((MOVIMIENTOS!$B$5:$B$417="REGALO")*(MOVIMIENTOS!$C$5:$C$417="C")*(MOVIMIENTOS!$D$5:$D$417="jabas")*(MOVIMIENTOS!$A$5:$A$417&lt;&gt;"")*(MOVIMIENTOS!$A$5:$A$417&lt;=$A31)*MOVIMIENTOS!$E$5:$E$417)-SUMPRODUCT((MOVIMIENTOS!$B$5:$B$417="VENTA")*(MOVIMIENTOS!$C$5:$C$417="C")*(MOVIMIENTOS!$D$5:$D$417="jabas")*(MOVIMIENTOS!$A$5:$A$417&lt;&gt;"")*(MOVIMIENTOS!$A$5:$A$417&lt;=$A31)*MOVIMIENTOS!$E$5:$E$417)+SUMPRODUCT((MOVIMIENTOS!$B$5:$B$417="AJUSTE")*(MOVIMIENTOS!$C$5:$C$417="C")*(MOVIMIENTOS!$D$5:$D$417="jabas")*(MOVIMIENTOS!$A$5:$A$417&lt;&gt;"")*(MOVIMIENTOS!$A$5:$A$417&lt;=$A31)*MOVIMIENTOS!$E$5:$E$417))</f>
        <v>12</v>
      </c>
      <c r="E31" s="56">
        <f>IF($A31="","",SUMPRODUCT((MOVIMIENTOS!$B$5:$B$417="SALDO INICIAL")*(MOVIMIENTOS!$C$5:$C$417="M")*(MOVIMIENTOS!$D$5:$D$417="jabas")*(MOVIMIENTOS!$A$5:$A$417&lt;&gt;"")*(MOVIMIENTOS!$A$5:$A$417&lt;=$A31)*MOVIMIENTOS!$E$5:$E$417)+SUMPRODUCT((MOVIMIENTOS!$B$5:$B$417="PROCESO")*(MOVIMIENTOS!$C$5:$C$417="M")*(MOVIMIENTOS!$D$5:$D$417="jabas")*(MOVIMIENTOS!$A$5:$A$417&lt;&gt;"")*(MOVIMIENTOS!$A$5:$A$417&lt;=$A31)*MOVIMIENTOS!$E$5:$E$417)-SUMPRODUCT((MOVIMIENTOS!$B$5:$B$417="ENVÍO A SUPESA")*(MOVIMIENTOS!$C$5:$C$417="M")*(MOVIMIENTOS!$D$5:$D$417="jabas")*(MOVIMIENTOS!$A$5:$A$417&lt;&gt;"")*(MOVIMIENTOS!$A$5:$A$417&lt;=$A31)*MOVIMIENTOS!$E$5:$E$417)+SUMPRODUCT((MOVIMIENTOS!$B$5:$B$417="DEVOLUCIÓN")*(MOVIMIENTOS!$C$5:$C$417="M")*(MOVIMIENTOS!$D$5:$D$417="jabas")*(MOVIMIENTOS!$A$5:$A$417&lt;&gt;"")*(MOVIMIENTOS!$A$5:$A$417&lt;=$A31)*MOVIMIENTOS!$E$5:$E$417)-SUMPRODUCT((MOVIMIENTOS!$B$5:$B$417="TRASIEGO")*(MOVIMIENTOS!$C$5:$C$417="M")*(MOVIMIENTOS!$D$5:$D$417="jabas")*(MOVIMIENTOS!$A$5:$A$417&lt;&gt;"")*(MOVIMIENTOS!$A$5:$A$417&lt;=$A31)*MOVIMIENTOS!$E$5:$E$417)-SUMPRODUCT((MOVIMIENTOS!$B$5:$B$417="REGALO")*(MOVIMIENTOS!$C$5:$C$417="M")*(MOVIMIENTOS!$D$5:$D$417="jabas")*(MOVIMIENTOS!$A$5:$A$417&lt;&gt;"")*(MOVIMIENTOS!$A$5:$A$417&lt;=$A31)*MOVIMIENTOS!$E$5:$E$417)-SUMPRODUCT((MOVIMIENTOS!$B$5:$B$417="VENTA")*(MOVIMIENTOS!$C$5:$C$417="M")*(MOVIMIENTOS!$D$5:$D$417="jabas")*(MOVIMIENTOS!$A$5:$A$417&lt;&gt;"")*(MOVIMIENTOS!$A$5:$A$417&lt;=$A31)*MOVIMIENTOS!$E$5:$E$417)+SUMPRODUCT((MOVIMIENTOS!$B$5:$B$417="AJUSTE")*(MOVIMIENTOS!$C$5:$C$417="M")*(MOVIMIENTOS!$D$5:$D$417="jabas")*(MOVIMIENTOS!$A$5:$A$417&lt;&gt;"")*(MOVIMIENTOS!$A$5:$A$417&lt;=$A31)*MOVIMIENTOS!$E$5:$E$417))</f>
        <v>94</v>
      </c>
      <c r="F31" s="56">
        <f>IF($A31="","",SUMPRODUCT((MOVIMIENTOS!$B$5:$B$417="SALDO INICIAL")*(MOVIMIENTOS!$C$5:$C$417="Chancho")*(MOVIMIENTOS!$D$5:$D$417="sacos")*(MOVIMIENTOS!$A$5:$A$417&lt;&gt;"")*(MOVIMIENTOS!$A$5:$A$417&lt;=$A31)*MOVIMIENTOS!$E$5:$E$417)+SUMPRODUCT((MOVIMIENTOS!$B$5:$B$417="PROCESO")*(MOVIMIENTOS!$C$5:$C$417="Chancho")*(MOVIMIENTOS!$D$5:$D$417="sacos")*(MOVIMIENTOS!$A$5:$A$417&lt;&gt;"")*(MOVIMIENTOS!$A$5:$A$417&lt;=$A31)*MOVIMIENTOS!$E$5:$E$417)-SUMPRODUCT((MOVIMIENTOS!$B$5:$B$417="VENTA CHANCHO")*(MOVIMIENTOS!$C$5:$C$417="Chancho")*(MOVIMIENTOS!$D$5:$D$417="sacos")*(MOVIMIENTOS!$A$5:$A$417&lt;&gt;"")*(MOVIMIENTOS!$A$5:$A$417&lt;=$A31)*MOVIMIENTOS!$E$5:$E$417)-SUMPRODUCT((MOVIMIENTOS!$B$5:$B$417="REGALO")*(MOVIMIENTOS!$C$5:$C$417="Chancho")*(MOVIMIENTOS!$D$5:$D$417="sacos")*(MOVIMIENTOS!$A$5:$A$417&lt;&gt;"")*(MOVIMIENTOS!$A$5:$A$417&lt;=$A31)*MOVIMIENTOS!$E$5:$E$417)-SUMPRODUCT((MOVIMIENTOS!$B$5:$B$417="VENTA")*(MOVIMIENTOS!$C$5:$C$417="Chancho")*(MOVIMIENTOS!$D$5:$D$417="sacos")*(MOVIMIENTOS!$A$5:$A$417&lt;&gt;"")*(MOVIMIENTOS!$A$5:$A$417&lt;=$A31)*MOVIMIENTOS!$E$5:$E$417)+SUMPRODUCT((MOVIMIENTOS!$B$5:$B$417="AJUSTE")*(MOVIMIENTOS!$C$5:$C$417="Chancho")*(MOVIMIENTOS!$D$5:$D$417="sacos")*(MOVIMIENTOS!$A$5:$A$417&lt;&gt;"")*(MOVIMIENTOS!$A$5:$A$417&lt;=$A31)*MOVIMIENTOS!$E$5:$E$417))</f>
        <v>6.5</v>
      </c>
      <c r="G31" s="56">
        <f t="shared" si="1"/>
        <v>179</v>
      </c>
      <c r="H31" s="56">
        <f>IF($A31="","",SUMPRODUCT((((MOVIMIENTOS!$B$5:$B$417="SALDO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31)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31)*MOVIMIENTOS!$I$5:$I$417))</f>
        <v>3437.320000000007</v>
      </c>
      <c r="I31" s="54"/>
      <c r="J31" s="54" t="str">
        <f>IF(AND(MOVIMIENTOS!$A31&lt;&gt;"",COUNTIF(MOVIMIENTOS!$A$5:$A30,MOVIMIENTOS!$A31)=0),COUNT(J$4:J30)+1,"")</f>
        <v/>
      </c>
      <c r="K31" s="57">
        <f>MOVIMIENTOS!$A31</f>
        <v>46217</v>
      </c>
      <c r="L31" s="54"/>
      <c r="M31" s="54"/>
      <c r="N31" s="54"/>
    </row>
    <row r="32" spans="1:14" ht="15" customHeight="1" x14ac:dyDescent="0.2">
      <c r="A32" s="55">
        <f t="shared" si="0"/>
        <v>46241</v>
      </c>
      <c r="B32" s="56">
        <f>IF($A32="","",SUMPRODUCT((MOVIMIENTOS!$B$5:$B$417="SALDO INICIAL")*(MOVIMIENTOS!$C$5:$C$417="A")*(MOVIMIENTOS!$D$5:$D$417="jabas")*(MOVIMIENTOS!$A$5:$A$417&lt;&gt;"")*(MOVIMIENTOS!$A$5:$A$417&lt;=$A32)*MOVIMIENTOS!$E$5:$E$417)+SUMPRODUCT((MOVIMIENTOS!$B$5:$B$417="PROCESO")*(MOVIMIENTOS!$C$5:$C$417="A")*(MOVIMIENTOS!$D$5:$D$417="jabas")*(MOVIMIENTOS!$A$5:$A$417&lt;&gt;"")*(MOVIMIENTOS!$A$5:$A$417&lt;=$A32)*MOVIMIENTOS!$E$5:$E$417)-SUMPRODUCT((MOVIMIENTOS!$B$5:$B$417="ENVÍO A SUPESA")*(MOVIMIENTOS!$C$5:$C$417="A")*(MOVIMIENTOS!$D$5:$D$417="jabas")*(MOVIMIENTOS!$A$5:$A$417&lt;&gt;"")*(MOVIMIENTOS!$A$5:$A$417&lt;=$A32)*MOVIMIENTOS!$E$5:$E$417)+SUMPRODUCT((MOVIMIENTOS!$B$5:$B$417="DEVOLUCIÓN")*(MOVIMIENTOS!$C$5:$C$417="A")*(MOVIMIENTOS!$D$5:$D$417="jabas")*(MOVIMIENTOS!$A$5:$A$417&lt;&gt;"")*(MOVIMIENTOS!$A$5:$A$417&lt;=$A32)*MOVIMIENTOS!$E$5:$E$417)-SUMPRODUCT((MOVIMIENTOS!$B$5:$B$417="TRASIEGO")*(MOVIMIENTOS!$C$5:$C$417="A")*(MOVIMIENTOS!$D$5:$D$417="jabas")*(MOVIMIENTOS!$A$5:$A$417&lt;&gt;"")*(MOVIMIENTOS!$A$5:$A$417&lt;=$A32)*MOVIMIENTOS!$E$5:$E$417)-SUMPRODUCT((MOVIMIENTOS!$B$5:$B$417="REGALO")*(MOVIMIENTOS!$C$5:$C$417="A")*(MOVIMIENTOS!$D$5:$D$417="jabas")*(MOVIMIENTOS!$A$5:$A$417&lt;&gt;"")*(MOVIMIENTOS!$A$5:$A$417&lt;=$A32)*MOVIMIENTOS!$E$5:$E$417)-SUMPRODUCT((MOVIMIENTOS!$B$5:$B$417="VENTA")*(MOVIMIENTOS!$C$5:$C$417="A")*(MOVIMIENTOS!$D$5:$D$417="jabas")*(MOVIMIENTOS!$A$5:$A$417&lt;&gt;"")*(MOVIMIENTOS!$A$5:$A$417&lt;=$A32)*MOVIMIENTOS!$E$5:$E$417)+SUMPRODUCT((MOVIMIENTOS!$B$5:$B$417="AJUSTE")*(MOVIMIENTOS!$C$5:$C$417="A")*(MOVIMIENTOS!$D$5:$D$417="jabas")*(MOVIMIENTOS!$A$5:$A$417&lt;&gt;"")*(MOVIMIENTOS!$A$5:$A$417&lt;=$A32)*MOVIMIENTOS!$E$5:$E$417))</f>
        <v>12</v>
      </c>
      <c r="C32" s="56">
        <f>IF($A32="","",SUMPRODUCT((MOVIMIENTOS!$B$5:$B$417="SALDO INICIAL")*(MOVIMIENTOS!$C$5:$C$417="P")*(MOVIMIENTOS!$D$5:$D$417="jabas")*(MOVIMIENTOS!$A$5:$A$417&lt;&gt;"")*(MOVIMIENTOS!$A$5:$A$417&lt;=$A32)*MOVIMIENTOS!$E$5:$E$417)+SUMPRODUCT((MOVIMIENTOS!$B$5:$B$417="PROCESO")*(MOVIMIENTOS!$C$5:$C$417="P")*(MOVIMIENTOS!$D$5:$D$417="jabas")*(MOVIMIENTOS!$A$5:$A$417&lt;&gt;"")*(MOVIMIENTOS!$A$5:$A$417&lt;=$A32)*MOVIMIENTOS!$E$5:$E$417)-SUMPRODUCT((MOVIMIENTOS!$B$5:$B$417="ENVÍO A SUPESA")*(MOVIMIENTOS!$C$5:$C$417="P")*(MOVIMIENTOS!$D$5:$D$417="jabas")*(MOVIMIENTOS!$A$5:$A$417&lt;&gt;"")*(MOVIMIENTOS!$A$5:$A$417&lt;=$A32)*MOVIMIENTOS!$E$5:$E$417)+SUMPRODUCT((MOVIMIENTOS!$B$5:$B$417="DEVOLUCIÓN")*(MOVIMIENTOS!$C$5:$C$417="P")*(MOVIMIENTOS!$D$5:$D$417="jabas")*(MOVIMIENTOS!$A$5:$A$417&lt;&gt;"")*(MOVIMIENTOS!$A$5:$A$417&lt;=$A32)*MOVIMIENTOS!$E$5:$E$417)-SUMPRODUCT((MOVIMIENTOS!$B$5:$B$417="TRASIEGO")*(MOVIMIENTOS!$C$5:$C$417="P")*(MOVIMIENTOS!$D$5:$D$417="jabas")*(MOVIMIENTOS!$A$5:$A$417&lt;&gt;"")*(MOVIMIENTOS!$A$5:$A$417&lt;=$A32)*MOVIMIENTOS!$E$5:$E$417)-SUMPRODUCT((MOVIMIENTOS!$B$5:$B$417="REGALO")*(MOVIMIENTOS!$C$5:$C$417="P")*(MOVIMIENTOS!$D$5:$D$417="jabas")*(MOVIMIENTOS!$A$5:$A$417&lt;&gt;"")*(MOVIMIENTOS!$A$5:$A$417&lt;=$A32)*MOVIMIENTOS!$E$5:$E$417)-SUMPRODUCT((MOVIMIENTOS!$B$5:$B$417="VENTA")*(MOVIMIENTOS!$C$5:$C$417="P")*(MOVIMIENTOS!$D$5:$D$417="jabas")*(MOVIMIENTOS!$A$5:$A$417&lt;&gt;"")*(MOVIMIENTOS!$A$5:$A$417&lt;=$A32)*MOVIMIENTOS!$E$5:$E$417)+SUMPRODUCT((MOVIMIENTOS!$B$5:$B$417="AJUSTE")*(MOVIMIENTOS!$C$5:$C$417="P")*(MOVIMIENTOS!$D$5:$D$417="jabas")*(MOVIMIENTOS!$A$5:$A$417&lt;&gt;"")*(MOVIMIENTOS!$A$5:$A$417&lt;=$A32)*MOVIMIENTOS!$E$5:$E$417))</f>
        <v>0</v>
      </c>
      <c r="D32" s="56">
        <f>IF($A32="","",SUMPRODUCT((MOVIMIENTOS!$B$5:$B$417="SALDO INICIAL")*(MOVIMIENTOS!$C$5:$C$417="C")*(MOVIMIENTOS!$D$5:$D$417="jabas")*(MOVIMIENTOS!$A$5:$A$417&lt;&gt;"")*(MOVIMIENTOS!$A$5:$A$417&lt;=$A32)*MOVIMIENTOS!$E$5:$E$417)+SUMPRODUCT((MOVIMIENTOS!$B$5:$B$417="PROCESO")*(MOVIMIENTOS!$C$5:$C$417="C")*(MOVIMIENTOS!$D$5:$D$417="jabas")*(MOVIMIENTOS!$A$5:$A$417&lt;&gt;"")*(MOVIMIENTOS!$A$5:$A$417&lt;=$A32)*MOVIMIENTOS!$E$5:$E$417)-SUMPRODUCT((MOVIMIENTOS!$B$5:$B$417="ENVÍO A SUPESA")*(MOVIMIENTOS!$C$5:$C$417="C")*(MOVIMIENTOS!$D$5:$D$417="jabas")*(MOVIMIENTOS!$A$5:$A$417&lt;&gt;"")*(MOVIMIENTOS!$A$5:$A$417&lt;=$A32)*MOVIMIENTOS!$E$5:$E$417)+SUMPRODUCT((MOVIMIENTOS!$B$5:$B$417="DEVOLUCIÓN")*(MOVIMIENTOS!$C$5:$C$417="C")*(MOVIMIENTOS!$D$5:$D$417="jabas")*(MOVIMIENTOS!$A$5:$A$417&lt;&gt;"")*(MOVIMIENTOS!$A$5:$A$417&lt;=$A32)*MOVIMIENTOS!$E$5:$E$417)-SUMPRODUCT((MOVIMIENTOS!$B$5:$B$417="TRASIEGO")*(MOVIMIENTOS!$C$5:$C$417="C")*(MOVIMIENTOS!$D$5:$D$417="jabas")*(MOVIMIENTOS!$A$5:$A$417&lt;&gt;"")*(MOVIMIENTOS!$A$5:$A$417&lt;=$A32)*MOVIMIENTOS!$E$5:$E$417)-SUMPRODUCT((MOVIMIENTOS!$B$5:$B$417="REGALO")*(MOVIMIENTOS!$C$5:$C$417="C")*(MOVIMIENTOS!$D$5:$D$417="jabas")*(MOVIMIENTOS!$A$5:$A$417&lt;&gt;"")*(MOVIMIENTOS!$A$5:$A$417&lt;=$A32)*MOVIMIENTOS!$E$5:$E$417)-SUMPRODUCT((MOVIMIENTOS!$B$5:$B$417="VENTA")*(MOVIMIENTOS!$C$5:$C$417="C")*(MOVIMIENTOS!$D$5:$D$417="jabas")*(MOVIMIENTOS!$A$5:$A$417&lt;&gt;"")*(MOVIMIENTOS!$A$5:$A$417&lt;=$A32)*MOVIMIENTOS!$E$5:$E$417)+SUMPRODUCT((MOVIMIENTOS!$B$5:$B$417="AJUSTE")*(MOVIMIENTOS!$C$5:$C$417="C")*(MOVIMIENTOS!$D$5:$D$417="jabas")*(MOVIMIENTOS!$A$5:$A$417&lt;&gt;"")*(MOVIMIENTOS!$A$5:$A$417&lt;=$A32)*MOVIMIENTOS!$E$5:$E$417))</f>
        <v>0</v>
      </c>
      <c r="E32" s="56">
        <f>IF($A32="","",SUMPRODUCT((MOVIMIENTOS!$B$5:$B$417="SALDO INICIAL")*(MOVIMIENTOS!$C$5:$C$417="M")*(MOVIMIENTOS!$D$5:$D$417="jabas")*(MOVIMIENTOS!$A$5:$A$417&lt;&gt;"")*(MOVIMIENTOS!$A$5:$A$417&lt;=$A32)*MOVIMIENTOS!$E$5:$E$417)+SUMPRODUCT((MOVIMIENTOS!$B$5:$B$417="PROCESO")*(MOVIMIENTOS!$C$5:$C$417="M")*(MOVIMIENTOS!$D$5:$D$417="jabas")*(MOVIMIENTOS!$A$5:$A$417&lt;&gt;"")*(MOVIMIENTOS!$A$5:$A$417&lt;=$A32)*MOVIMIENTOS!$E$5:$E$417)-SUMPRODUCT((MOVIMIENTOS!$B$5:$B$417="ENVÍO A SUPESA")*(MOVIMIENTOS!$C$5:$C$417="M")*(MOVIMIENTOS!$D$5:$D$417="jabas")*(MOVIMIENTOS!$A$5:$A$417&lt;&gt;"")*(MOVIMIENTOS!$A$5:$A$417&lt;=$A32)*MOVIMIENTOS!$E$5:$E$417)+SUMPRODUCT((MOVIMIENTOS!$B$5:$B$417="DEVOLUCIÓN")*(MOVIMIENTOS!$C$5:$C$417="M")*(MOVIMIENTOS!$D$5:$D$417="jabas")*(MOVIMIENTOS!$A$5:$A$417&lt;&gt;"")*(MOVIMIENTOS!$A$5:$A$417&lt;=$A32)*MOVIMIENTOS!$E$5:$E$417)-SUMPRODUCT((MOVIMIENTOS!$B$5:$B$417="TRASIEGO")*(MOVIMIENTOS!$C$5:$C$417="M")*(MOVIMIENTOS!$D$5:$D$417="jabas")*(MOVIMIENTOS!$A$5:$A$417&lt;&gt;"")*(MOVIMIENTOS!$A$5:$A$417&lt;=$A32)*MOVIMIENTOS!$E$5:$E$417)-SUMPRODUCT((MOVIMIENTOS!$B$5:$B$417="REGALO")*(MOVIMIENTOS!$C$5:$C$417="M")*(MOVIMIENTOS!$D$5:$D$417="jabas")*(MOVIMIENTOS!$A$5:$A$417&lt;&gt;"")*(MOVIMIENTOS!$A$5:$A$417&lt;=$A32)*MOVIMIENTOS!$E$5:$E$417)-SUMPRODUCT((MOVIMIENTOS!$B$5:$B$417="VENTA")*(MOVIMIENTOS!$C$5:$C$417="M")*(MOVIMIENTOS!$D$5:$D$417="jabas")*(MOVIMIENTOS!$A$5:$A$417&lt;&gt;"")*(MOVIMIENTOS!$A$5:$A$417&lt;=$A32)*MOVIMIENTOS!$E$5:$E$417)+SUMPRODUCT((MOVIMIENTOS!$B$5:$B$417="AJUSTE")*(MOVIMIENTOS!$C$5:$C$417="M")*(MOVIMIENTOS!$D$5:$D$417="jabas")*(MOVIMIENTOS!$A$5:$A$417&lt;&gt;"")*(MOVIMIENTOS!$A$5:$A$417&lt;=$A32)*MOVIMIENTOS!$E$5:$E$417))</f>
        <v>13</v>
      </c>
      <c r="F32" s="56">
        <f>IF($A32="","",SUMPRODUCT((MOVIMIENTOS!$B$5:$B$417="SALDO INICIAL")*(MOVIMIENTOS!$C$5:$C$417="Chancho")*(MOVIMIENTOS!$D$5:$D$417="sacos")*(MOVIMIENTOS!$A$5:$A$417&lt;&gt;"")*(MOVIMIENTOS!$A$5:$A$417&lt;=$A32)*MOVIMIENTOS!$E$5:$E$417)+SUMPRODUCT((MOVIMIENTOS!$B$5:$B$417="PROCESO")*(MOVIMIENTOS!$C$5:$C$417="Chancho")*(MOVIMIENTOS!$D$5:$D$417="sacos")*(MOVIMIENTOS!$A$5:$A$417&lt;&gt;"")*(MOVIMIENTOS!$A$5:$A$417&lt;=$A32)*MOVIMIENTOS!$E$5:$E$417)-SUMPRODUCT((MOVIMIENTOS!$B$5:$B$417="VENTA CHANCHO")*(MOVIMIENTOS!$C$5:$C$417="Chancho")*(MOVIMIENTOS!$D$5:$D$417="sacos")*(MOVIMIENTOS!$A$5:$A$417&lt;&gt;"")*(MOVIMIENTOS!$A$5:$A$417&lt;=$A32)*MOVIMIENTOS!$E$5:$E$417)-SUMPRODUCT((MOVIMIENTOS!$B$5:$B$417="REGALO")*(MOVIMIENTOS!$C$5:$C$417="Chancho")*(MOVIMIENTOS!$D$5:$D$417="sacos")*(MOVIMIENTOS!$A$5:$A$417&lt;&gt;"")*(MOVIMIENTOS!$A$5:$A$417&lt;=$A32)*MOVIMIENTOS!$E$5:$E$417)-SUMPRODUCT((MOVIMIENTOS!$B$5:$B$417="VENTA")*(MOVIMIENTOS!$C$5:$C$417="Chancho")*(MOVIMIENTOS!$D$5:$D$417="sacos")*(MOVIMIENTOS!$A$5:$A$417&lt;&gt;"")*(MOVIMIENTOS!$A$5:$A$417&lt;=$A32)*MOVIMIENTOS!$E$5:$E$417)+SUMPRODUCT((MOVIMIENTOS!$B$5:$B$417="AJUSTE")*(MOVIMIENTOS!$C$5:$C$417="Chancho")*(MOVIMIENTOS!$D$5:$D$417="sacos")*(MOVIMIENTOS!$A$5:$A$417&lt;&gt;"")*(MOVIMIENTOS!$A$5:$A$417&lt;=$A32)*MOVIMIENTOS!$E$5:$E$417))</f>
        <v>4.5</v>
      </c>
      <c r="G32" s="56">
        <f t="shared" si="1"/>
        <v>25</v>
      </c>
      <c r="H32" s="56">
        <f>IF($A32="","",SUMPRODUCT((((MOVIMIENTOS!$B$5:$B$417="SALDO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32)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32)*MOVIMIENTOS!$I$5:$I$417))</f>
        <v>800.32000000000698</v>
      </c>
      <c r="I32" s="54"/>
      <c r="J32" s="54" t="str">
        <f>IF(AND(MOVIMIENTOS!$A32&lt;&gt;"",COUNTIF(MOVIMIENTOS!$A$5:$A31,MOVIMIENTOS!$A32)=0),COUNT(J$4:J31)+1,"")</f>
        <v/>
      </c>
      <c r="K32" s="57">
        <f>MOVIMIENTOS!$A32</f>
        <v>46217</v>
      </c>
      <c r="L32" s="54"/>
      <c r="M32" s="54"/>
      <c r="N32" s="54"/>
    </row>
    <row r="33" spans="1:14" ht="15" customHeight="1" x14ac:dyDescent="0.2">
      <c r="A33" s="55">
        <f t="shared" si="0"/>
        <v>46242</v>
      </c>
      <c r="B33" s="56">
        <f>IF($A33="","",SUMPRODUCT((MOVIMIENTOS!$B$5:$B$417="SALDO INICIAL")*(MOVIMIENTOS!$C$5:$C$417="A")*(MOVIMIENTOS!$D$5:$D$417="jabas")*(MOVIMIENTOS!$A$5:$A$417&lt;&gt;"")*(MOVIMIENTOS!$A$5:$A$417&lt;=$A33)*MOVIMIENTOS!$E$5:$E$417)+SUMPRODUCT((MOVIMIENTOS!$B$5:$B$417="PROCESO")*(MOVIMIENTOS!$C$5:$C$417="A")*(MOVIMIENTOS!$D$5:$D$417="jabas")*(MOVIMIENTOS!$A$5:$A$417&lt;&gt;"")*(MOVIMIENTOS!$A$5:$A$417&lt;=$A33)*MOVIMIENTOS!$E$5:$E$417)-SUMPRODUCT((MOVIMIENTOS!$B$5:$B$417="ENVÍO A SUPESA")*(MOVIMIENTOS!$C$5:$C$417="A")*(MOVIMIENTOS!$D$5:$D$417="jabas")*(MOVIMIENTOS!$A$5:$A$417&lt;&gt;"")*(MOVIMIENTOS!$A$5:$A$417&lt;=$A33)*MOVIMIENTOS!$E$5:$E$417)+SUMPRODUCT((MOVIMIENTOS!$B$5:$B$417="DEVOLUCIÓN")*(MOVIMIENTOS!$C$5:$C$417="A")*(MOVIMIENTOS!$D$5:$D$417="jabas")*(MOVIMIENTOS!$A$5:$A$417&lt;&gt;"")*(MOVIMIENTOS!$A$5:$A$417&lt;=$A33)*MOVIMIENTOS!$E$5:$E$417)-SUMPRODUCT((MOVIMIENTOS!$B$5:$B$417="TRASIEGO")*(MOVIMIENTOS!$C$5:$C$417="A")*(MOVIMIENTOS!$D$5:$D$417="jabas")*(MOVIMIENTOS!$A$5:$A$417&lt;&gt;"")*(MOVIMIENTOS!$A$5:$A$417&lt;=$A33)*MOVIMIENTOS!$E$5:$E$417)-SUMPRODUCT((MOVIMIENTOS!$B$5:$B$417="REGALO")*(MOVIMIENTOS!$C$5:$C$417="A")*(MOVIMIENTOS!$D$5:$D$417="jabas")*(MOVIMIENTOS!$A$5:$A$417&lt;&gt;"")*(MOVIMIENTOS!$A$5:$A$417&lt;=$A33)*MOVIMIENTOS!$E$5:$E$417)-SUMPRODUCT((MOVIMIENTOS!$B$5:$B$417="VENTA")*(MOVIMIENTOS!$C$5:$C$417="A")*(MOVIMIENTOS!$D$5:$D$417="jabas")*(MOVIMIENTOS!$A$5:$A$417&lt;&gt;"")*(MOVIMIENTOS!$A$5:$A$417&lt;=$A33)*MOVIMIENTOS!$E$5:$E$417)+SUMPRODUCT((MOVIMIENTOS!$B$5:$B$417="AJUSTE")*(MOVIMIENTOS!$C$5:$C$417="A")*(MOVIMIENTOS!$D$5:$D$417="jabas")*(MOVIMIENTOS!$A$5:$A$417&lt;&gt;"")*(MOVIMIENTOS!$A$5:$A$417&lt;=$A33)*MOVIMIENTOS!$E$5:$E$417))</f>
        <v>12</v>
      </c>
      <c r="C33" s="56">
        <f>IF($A33="","",SUMPRODUCT((MOVIMIENTOS!$B$5:$B$417="SALDO INICIAL")*(MOVIMIENTOS!$C$5:$C$417="P")*(MOVIMIENTOS!$D$5:$D$417="jabas")*(MOVIMIENTOS!$A$5:$A$417&lt;&gt;"")*(MOVIMIENTOS!$A$5:$A$417&lt;=$A33)*MOVIMIENTOS!$E$5:$E$417)+SUMPRODUCT((MOVIMIENTOS!$B$5:$B$417="PROCESO")*(MOVIMIENTOS!$C$5:$C$417="P")*(MOVIMIENTOS!$D$5:$D$417="jabas")*(MOVIMIENTOS!$A$5:$A$417&lt;&gt;"")*(MOVIMIENTOS!$A$5:$A$417&lt;=$A33)*MOVIMIENTOS!$E$5:$E$417)-SUMPRODUCT((MOVIMIENTOS!$B$5:$B$417="ENVÍO A SUPESA")*(MOVIMIENTOS!$C$5:$C$417="P")*(MOVIMIENTOS!$D$5:$D$417="jabas")*(MOVIMIENTOS!$A$5:$A$417&lt;&gt;"")*(MOVIMIENTOS!$A$5:$A$417&lt;=$A33)*MOVIMIENTOS!$E$5:$E$417)+SUMPRODUCT((MOVIMIENTOS!$B$5:$B$417="DEVOLUCIÓN")*(MOVIMIENTOS!$C$5:$C$417="P")*(MOVIMIENTOS!$D$5:$D$417="jabas")*(MOVIMIENTOS!$A$5:$A$417&lt;&gt;"")*(MOVIMIENTOS!$A$5:$A$417&lt;=$A33)*MOVIMIENTOS!$E$5:$E$417)-SUMPRODUCT((MOVIMIENTOS!$B$5:$B$417="TRASIEGO")*(MOVIMIENTOS!$C$5:$C$417="P")*(MOVIMIENTOS!$D$5:$D$417="jabas")*(MOVIMIENTOS!$A$5:$A$417&lt;&gt;"")*(MOVIMIENTOS!$A$5:$A$417&lt;=$A33)*MOVIMIENTOS!$E$5:$E$417)-SUMPRODUCT((MOVIMIENTOS!$B$5:$B$417="REGALO")*(MOVIMIENTOS!$C$5:$C$417="P")*(MOVIMIENTOS!$D$5:$D$417="jabas")*(MOVIMIENTOS!$A$5:$A$417&lt;&gt;"")*(MOVIMIENTOS!$A$5:$A$417&lt;=$A33)*MOVIMIENTOS!$E$5:$E$417)-SUMPRODUCT((MOVIMIENTOS!$B$5:$B$417="VENTA")*(MOVIMIENTOS!$C$5:$C$417="P")*(MOVIMIENTOS!$D$5:$D$417="jabas")*(MOVIMIENTOS!$A$5:$A$417&lt;&gt;"")*(MOVIMIENTOS!$A$5:$A$417&lt;=$A33)*MOVIMIENTOS!$E$5:$E$417)+SUMPRODUCT((MOVIMIENTOS!$B$5:$B$417="AJUSTE")*(MOVIMIENTOS!$C$5:$C$417="P")*(MOVIMIENTOS!$D$5:$D$417="jabas")*(MOVIMIENTOS!$A$5:$A$417&lt;&gt;"")*(MOVIMIENTOS!$A$5:$A$417&lt;=$A33)*MOVIMIENTOS!$E$5:$E$417))</f>
        <v>0</v>
      </c>
      <c r="D33" s="56">
        <f>IF($A33="","",SUMPRODUCT((MOVIMIENTOS!$B$5:$B$417="SALDO INICIAL")*(MOVIMIENTOS!$C$5:$C$417="C")*(MOVIMIENTOS!$D$5:$D$417="jabas")*(MOVIMIENTOS!$A$5:$A$417&lt;&gt;"")*(MOVIMIENTOS!$A$5:$A$417&lt;=$A33)*MOVIMIENTOS!$E$5:$E$417)+SUMPRODUCT((MOVIMIENTOS!$B$5:$B$417="PROCESO")*(MOVIMIENTOS!$C$5:$C$417="C")*(MOVIMIENTOS!$D$5:$D$417="jabas")*(MOVIMIENTOS!$A$5:$A$417&lt;&gt;"")*(MOVIMIENTOS!$A$5:$A$417&lt;=$A33)*MOVIMIENTOS!$E$5:$E$417)-SUMPRODUCT((MOVIMIENTOS!$B$5:$B$417="ENVÍO A SUPESA")*(MOVIMIENTOS!$C$5:$C$417="C")*(MOVIMIENTOS!$D$5:$D$417="jabas")*(MOVIMIENTOS!$A$5:$A$417&lt;&gt;"")*(MOVIMIENTOS!$A$5:$A$417&lt;=$A33)*MOVIMIENTOS!$E$5:$E$417)+SUMPRODUCT((MOVIMIENTOS!$B$5:$B$417="DEVOLUCIÓN")*(MOVIMIENTOS!$C$5:$C$417="C")*(MOVIMIENTOS!$D$5:$D$417="jabas")*(MOVIMIENTOS!$A$5:$A$417&lt;&gt;"")*(MOVIMIENTOS!$A$5:$A$417&lt;=$A33)*MOVIMIENTOS!$E$5:$E$417)-SUMPRODUCT((MOVIMIENTOS!$B$5:$B$417="TRASIEGO")*(MOVIMIENTOS!$C$5:$C$417="C")*(MOVIMIENTOS!$D$5:$D$417="jabas")*(MOVIMIENTOS!$A$5:$A$417&lt;&gt;"")*(MOVIMIENTOS!$A$5:$A$417&lt;=$A33)*MOVIMIENTOS!$E$5:$E$417)-SUMPRODUCT((MOVIMIENTOS!$B$5:$B$417="REGALO")*(MOVIMIENTOS!$C$5:$C$417="C")*(MOVIMIENTOS!$D$5:$D$417="jabas")*(MOVIMIENTOS!$A$5:$A$417&lt;&gt;"")*(MOVIMIENTOS!$A$5:$A$417&lt;=$A33)*MOVIMIENTOS!$E$5:$E$417)-SUMPRODUCT((MOVIMIENTOS!$B$5:$B$417="VENTA")*(MOVIMIENTOS!$C$5:$C$417="C")*(MOVIMIENTOS!$D$5:$D$417="jabas")*(MOVIMIENTOS!$A$5:$A$417&lt;&gt;"")*(MOVIMIENTOS!$A$5:$A$417&lt;=$A33)*MOVIMIENTOS!$E$5:$E$417)+SUMPRODUCT((MOVIMIENTOS!$B$5:$B$417="AJUSTE")*(MOVIMIENTOS!$C$5:$C$417="C")*(MOVIMIENTOS!$D$5:$D$417="jabas")*(MOVIMIENTOS!$A$5:$A$417&lt;&gt;"")*(MOVIMIENTOS!$A$5:$A$417&lt;=$A33)*MOVIMIENTOS!$E$5:$E$417))</f>
        <v>0</v>
      </c>
      <c r="E33" s="56">
        <f>IF($A33="","",SUMPRODUCT((MOVIMIENTOS!$B$5:$B$417="SALDO INICIAL")*(MOVIMIENTOS!$C$5:$C$417="M")*(MOVIMIENTOS!$D$5:$D$417="jabas")*(MOVIMIENTOS!$A$5:$A$417&lt;&gt;"")*(MOVIMIENTOS!$A$5:$A$417&lt;=$A33)*MOVIMIENTOS!$E$5:$E$417)+SUMPRODUCT((MOVIMIENTOS!$B$5:$B$417="PROCESO")*(MOVIMIENTOS!$C$5:$C$417="M")*(MOVIMIENTOS!$D$5:$D$417="jabas")*(MOVIMIENTOS!$A$5:$A$417&lt;&gt;"")*(MOVIMIENTOS!$A$5:$A$417&lt;=$A33)*MOVIMIENTOS!$E$5:$E$417)-SUMPRODUCT((MOVIMIENTOS!$B$5:$B$417="ENVÍO A SUPESA")*(MOVIMIENTOS!$C$5:$C$417="M")*(MOVIMIENTOS!$D$5:$D$417="jabas")*(MOVIMIENTOS!$A$5:$A$417&lt;&gt;"")*(MOVIMIENTOS!$A$5:$A$417&lt;=$A33)*MOVIMIENTOS!$E$5:$E$417)+SUMPRODUCT((MOVIMIENTOS!$B$5:$B$417="DEVOLUCIÓN")*(MOVIMIENTOS!$C$5:$C$417="M")*(MOVIMIENTOS!$D$5:$D$417="jabas")*(MOVIMIENTOS!$A$5:$A$417&lt;&gt;"")*(MOVIMIENTOS!$A$5:$A$417&lt;=$A33)*MOVIMIENTOS!$E$5:$E$417)-SUMPRODUCT((MOVIMIENTOS!$B$5:$B$417="TRASIEGO")*(MOVIMIENTOS!$C$5:$C$417="M")*(MOVIMIENTOS!$D$5:$D$417="jabas")*(MOVIMIENTOS!$A$5:$A$417&lt;&gt;"")*(MOVIMIENTOS!$A$5:$A$417&lt;=$A33)*MOVIMIENTOS!$E$5:$E$417)-SUMPRODUCT((MOVIMIENTOS!$B$5:$B$417="REGALO")*(MOVIMIENTOS!$C$5:$C$417="M")*(MOVIMIENTOS!$D$5:$D$417="jabas")*(MOVIMIENTOS!$A$5:$A$417&lt;&gt;"")*(MOVIMIENTOS!$A$5:$A$417&lt;=$A33)*MOVIMIENTOS!$E$5:$E$417)-SUMPRODUCT((MOVIMIENTOS!$B$5:$B$417="VENTA")*(MOVIMIENTOS!$C$5:$C$417="M")*(MOVIMIENTOS!$D$5:$D$417="jabas")*(MOVIMIENTOS!$A$5:$A$417&lt;&gt;"")*(MOVIMIENTOS!$A$5:$A$417&lt;=$A33)*MOVIMIENTOS!$E$5:$E$417)+SUMPRODUCT((MOVIMIENTOS!$B$5:$B$417="AJUSTE")*(MOVIMIENTOS!$C$5:$C$417="M")*(MOVIMIENTOS!$D$5:$D$417="jabas")*(MOVIMIENTOS!$A$5:$A$417&lt;&gt;"")*(MOVIMIENTOS!$A$5:$A$417&lt;=$A33)*MOVIMIENTOS!$E$5:$E$417))</f>
        <v>13</v>
      </c>
      <c r="F33" s="56">
        <f>IF($A33="","",SUMPRODUCT((MOVIMIENTOS!$B$5:$B$417="SALDO INICIAL")*(MOVIMIENTOS!$C$5:$C$417="Chancho")*(MOVIMIENTOS!$D$5:$D$417="sacos")*(MOVIMIENTOS!$A$5:$A$417&lt;&gt;"")*(MOVIMIENTOS!$A$5:$A$417&lt;=$A33)*MOVIMIENTOS!$E$5:$E$417)+SUMPRODUCT((MOVIMIENTOS!$B$5:$B$417="PROCESO")*(MOVIMIENTOS!$C$5:$C$417="Chancho")*(MOVIMIENTOS!$D$5:$D$417="sacos")*(MOVIMIENTOS!$A$5:$A$417&lt;&gt;"")*(MOVIMIENTOS!$A$5:$A$417&lt;=$A33)*MOVIMIENTOS!$E$5:$E$417)-SUMPRODUCT((MOVIMIENTOS!$B$5:$B$417="VENTA CHANCHO")*(MOVIMIENTOS!$C$5:$C$417="Chancho")*(MOVIMIENTOS!$D$5:$D$417="sacos")*(MOVIMIENTOS!$A$5:$A$417&lt;&gt;"")*(MOVIMIENTOS!$A$5:$A$417&lt;=$A33)*MOVIMIENTOS!$E$5:$E$417)-SUMPRODUCT((MOVIMIENTOS!$B$5:$B$417="REGALO")*(MOVIMIENTOS!$C$5:$C$417="Chancho")*(MOVIMIENTOS!$D$5:$D$417="sacos")*(MOVIMIENTOS!$A$5:$A$417&lt;&gt;"")*(MOVIMIENTOS!$A$5:$A$417&lt;=$A33)*MOVIMIENTOS!$E$5:$E$417)-SUMPRODUCT((MOVIMIENTOS!$B$5:$B$417="VENTA")*(MOVIMIENTOS!$C$5:$C$417="Chancho")*(MOVIMIENTOS!$D$5:$D$417="sacos")*(MOVIMIENTOS!$A$5:$A$417&lt;&gt;"")*(MOVIMIENTOS!$A$5:$A$417&lt;=$A33)*MOVIMIENTOS!$E$5:$E$417)+SUMPRODUCT((MOVIMIENTOS!$B$5:$B$417="AJUSTE")*(MOVIMIENTOS!$C$5:$C$417="Chancho")*(MOVIMIENTOS!$D$5:$D$417="sacos")*(MOVIMIENTOS!$A$5:$A$417&lt;&gt;"")*(MOVIMIENTOS!$A$5:$A$417&lt;=$A33)*MOVIMIENTOS!$E$5:$E$417))</f>
        <v>4.5</v>
      </c>
      <c r="G33" s="56">
        <f t="shared" si="1"/>
        <v>25</v>
      </c>
      <c r="H33" s="56">
        <f>IF($A33="","",SUMPRODUCT((((MOVIMIENTOS!$B$5:$B$417="SALDO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33)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33)*MOVIMIENTOS!$I$5:$I$417))</f>
        <v>4486.320000000007</v>
      </c>
      <c r="I33" s="54"/>
      <c r="J33" s="54" t="str">
        <f>IF(AND(MOVIMIENTOS!$A33&lt;&gt;"",COUNTIF(MOVIMIENTOS!$A$5:$A32,MOVIMIENTOS!$A33)=0),COUNT(J$4:J32)+1,"")</f>
        <v/>
      </c>
      <c r="K33" s="57">
        <f>MOVIMIENTOS!$A33</f>
        <v>46217</v>
      </c>
      <c r="L33" s="54"/>
      <c r="M33" s="54"/>
      <c r="N33" s="54"/>
    </row>
    <row r="34" spans="1:14" ht="15" customHeight="1" x14ac:dyDescent="0.2">
      <c r="A34" s="55" t="str">
        <f t="shared" si="0"/>
        <v/>
      </c>
      <c r="B34" s="56" t="str">
        <f>IF($A34="","",SUMPRODUCT((MOVIMIENTOS!$B$5:$B$417="SALDO INICIAL")*(MOVIMIENTOS!$C$5:$C$417="A")*(MOVIMIENTOS!$D$5:$D$417="jabas")*(MOVIMIENTOS!$A$5:$A$417&lt;&gt;"")*(MOVIMIENTOS!$A$5:$A$417&lt;=$A34)*MOVIMIENTOS!$E$5:$E$417)+SUMPRODUCT((MOVIMIENTOS!$B$5:$B$417="PROCESO")*(MOVIMIENTOS!$C$5:$C$417="A")*(MOVIMIENTOS!$D$5:$D$417="jabas")*(MOVIMIENTOS!$A$5:$A$417&lt;&gt;"")*(MOVIMIENTOS!$A$5:$A$417&lt;=$A34)*MOVIMIENTOS!$E$5:$E$417)-SUMPRODUCT((MOVIMIENTOS!$B$5:$B$417="ENVÍO A SUPESA")*(MOVIMIENTOS!$C$5:$C$417="A")*(MOVIMIENTOS!$D$5:$D$417="jabas")*(MOVIMIENTOS!$A$5:$A$417&lt;&gt;"")*(MOVIMIENTOS!$A$5:$A$417&lt;=$A34)*MOVIMIENTOS!$E$5:$E$417)+SUMPRODUCT((MOVIMIENTOS!$B$5:$B$417="DEVOLUCIÓN")*(MOVIMIENTOS!$C$5:$C$417="A")*(MOVIMIENTOS!$D$5:$D$417="jabas")*(MOVIMIENTOS!$A$5:$A$417&lt;&gt;"")*(MOVIMIENTOS!$A$5:$A$417&lt;=$A34)*MOVIMIENTOS!$E$5:$E$417)-SUMPRODUCT((MOVIMIENTOS!$B$5:$B$417="TRASIEGO")*(MOVIMIENTOS!$C$5:$C$417="A")*(MOVIMIENTOS!$D$5:$D$417="jabas")*(MOVIMIENTOS!$A$5:$A$417&lt;&gt;"")*(MOVIMIENTOS!$A$5:$A$417&lt;=$A34)*MOVIMIENTOS!$E$5:$E$417)-SUMPRODUCT((MOVIMIENTOS!$B$5:$B$417="REGALO")*(MOVIMIENTOS!$C$5:$C$417="A")*(MOVIMIENTOS!$D$5:$D$417="jabas")*(MOVIMIENTOS!$A$5:$A$417&lt;&gt;"")*(MOVIMIENTOS!$A$5:$A$417&lt;=$A34)*MOVIMIENTOS!$E$5:$E$417)-SUMPRODUCT((MOVIMIENTOS!$B$5:$B$417="VENTA")*(MOVIMIENTOS!$C$5:$C$417="A")*(MOVIMIENTOS!$D$5:$D$417="jabas")*(MOVIMIENTOS!$A$5:$A$417&lt;&gt;"")*(MOVIMIENTOS!$A$5:$A$417&lt;=$A34)*MOVIMIENTOS!$E$5:$E$417)+SUMPRODUCT((MOVIMIENTOS!$B$5:$B$417="AJUSTE")*(MOVIMIENTOS!$C$5:$C$417="A")*(MOVIMIENTOS!$D$5:$D$417="jabas")*(MOVIMIENTOS!$A$5:$A$417&lt;&gt;"")*(MOVIMIENTOS!$A$5:$A$417&lt;=$A34)*MOVIMIENTOS!$E$5:$E$417))</f>
        <v/>
      </c>
      <c r="C34" s="56" t="str">
        <f>IF($A34="","",SUMPRODUCT((MOVIMIENTOS!$B$5:$B$417="SALDO INICIAL")*(MOVIMIENTOS!$C$5:$C$417="P")*(MOVIMIENTOS!$D$5:$D$417="jabas")*(MOVIMIENTOS!$A$5:$A$417&lt;&gt;"")*(MOVIMIENTOS!$A$5:$A$417&lt;=$A34)*MOVIMIENTOS!$E$5:$E$417)+SUMPRODUCT((MOVIMIENTOS!$B$5:$B$417="PROCESO")*(MOVIMIENTOS!$C$5:$C$417="P")*(MOVIMIENTOS!$D$5:$D$417="jabas")*(MOVIMIENTOS!$A$5:$A$417&lt;&gt;"")*(MOVIMIENTOS!$A$5:$A$417&lt;=$A34)*MOVIMIENTOS!$E$5:$E$417)-SUMPRODUCT((MOVIMIENTOS!$B$5:$B$417="ENVÍO A SUPESA")*(MOVIMIENTOS!$C$5:$C$417="P")*(MOVIMIENTOS!$D$5:$D$417="jabas")*(MOVIMIENTOS!$A$5:$A$417&lt;&gt;"")*(MOVIMIENTOS!$A$5:$A$417&lt;=$A34)*MOVIMIENTOS!$E$5:$E$417)+SUMPRODUCT((MOVIMIENTOS!$B$5:$B$417="DEVOLUCIÓN")*(MOVIMIENTOS!$C$5:$C$417="P")*(MOVIMIENTOS!$D$5:$D$417="jabas")*(MOVIMIENTOS!$A$5:$A$417&lt;&gt;"")*(MOVIMIENTOS!$A$5:$A$417&lt;=$A34)*MOVIMIENTOS!$E$5:$E$417)-SUMPRODUCT((MOVIMIENTOS!$B$5:$B$417="TRASIEGO")*(MOVIMIENTOS!$C$5:$C$417="P")*(MOVIMIENTOS!$D$5:$D$417="jabas")*(MOVIMIENTOS!$A$5:$A$417&lt;&gt;"")*(MOVIMIENTOS!$A$5:$A$417&lt;=$A34)*MOVIMIENTOS!$E$5:$E$417)-SUMPRODUCT((MOVIMIENTOS!$B$5:$B$417="REGALO")*(MOVIMIENTOS!$C$5:$C$417="P")*(MOVIMIENTOS!$D$5:$D$417="jabas")*(MOVIMIENTOS!$A$5:$A$417&lt;&gt;"")*(MOVIMIENTOS!$A$5:$A$417&lt;=$A34)*MOVIMIENTOS!$E$5:$E$417)-SUMPRODUCT((MOVIMIENTOS!$B$5:$B$417="VENTA")*(MOVIMIENTOS!$C$5:$C$417="P")*(MOVIMIENTOS!$D$5:$D$417="jabas")*(MOVIMIENTOS!$A$5:$A$417&lt;&gt;"")*(MOVIMIENTOS!$A$5:$A$417&lt;=$A34)*MOVIMIENTOS!$E$5:$E$417)+SUMPRODUCT((MOVIMIENTOS!$B$5:$B$417="AJUSTE")*(MOVIMIENTOS!$C$5:$C$417="P")*(MOVIMIENTOS!$D$5:$D$417="jabas")*(MOVIMIENTOS!$A$5:$A$417&lt;&gt;"")*(MOVIMIENTOS!$A$5:$A$417&lt;=$A34)*MOVIMIENTOS!$E$5:$E$417))</f>
        <v/>
      </c>
      <c r="D34" s="56" t="str">
        <f>IF($A34="","",SUMPRODUCT((MOVIMIENTOS!$B$5:$B$417="SALDO INICIAL")*(MOVIMIENTOS!$C$5:$C$417="C")*(MOVIMIENTOS!$D$5:$D$417="jabas")*(MOVIMIENTOS!$A$5:$A$417&lt;&gt;"")*(MOVIMIENTOS!$A$5:$A$417&lt;=$A34)*MOVIMIENTOS!$E$5:$E$417)+SUMPRODUCT((MOVIMIENTOS!$B$5:$B$417="PROCESO")*(MOVIMIENTOS!$C$5:$C$417="C")*(MOVIMIENTOS!$D$5:$D$417="jabas")*(MOVIMIENTOS!$A$5:$A$417&lt;&gt;"")*(MOVIMIENTOS!$A$5:$A$417&lt;=$A34)*MOVIMIENTOS!$E$5:$E$417)-SUMPRODUCT((MOVIMIENTOS!$B$5:$B$417="ENVÍO A SUPESA")*(MOVIMIENTOS!$C$5:$C$417="C")*(MOVIMIENTOS!$D$5:$D$417="jabas")*(MOVIMIENTOS!$A$5:$A$417&lt;&gt;"")*(MOVIMIENTOS!$A$5:$A$417&lt;=$A34)*MOVIMIENTOS!$E$5:$E$417)+SUMPRODUCT((MOVIMIENTOS!$B$5:$B$417="DEVOLUCIÓN")*(MOVIMIENTOS!$C$5:$C$417="C")*(MOVIMIENTOS!$D$5:$D$417="jabas")*(MOVIMIENTOS!$A$5:$A$417&lt;&gt;"")*(MOVIMIENTOS!$A$5:$A$417&lt;=$A34)*MOVIMIENTOS!$E$5:$E$417)-SUMPRODUCT((MOVIMIENTOS!$B$5:$B$417="TRASIEGO")*(MOVIMIENTOS!$C$5:$C$417="C")*(MOVIMIENTOS!$D$5:$D$417="jabas")*(MOVIMIENTOS!$A$5:$A$417&lt;&gt;"")*(MOVIMIENTOS!$A$5:$A$417&lt;=$A34)*MOVIMIENTOS!$E$5:$E$417)-SUMPRODUCT((MOVIMIENTOS!$B$5:$B$417="REGALO")*(MOVIMIENTOS!$C$5:$C$417="C")*(MOVIMIENTOS!$D$5:$D$417="jabas")*(MOVIMIENTOS!$A$5:$A$417&lt;&gt;"")*(MOVIMIENTOS!$A$5:$A$417&lt;=$A34)*MOVIMIENTOS!$E$5:$E$417)-SUMPRODUCT((MOVIMIENTOS!$B$5:$B$417="VENTA")*(MOVIMIENTOS!$C$5:$C$417="C")*(MOVIMIENTOS!$D$5:$D$417="jabas")*(MOVIMIENTOS!$A$5:$A$417&lt;&gt;"")*(MOVIMIENTOS!$A$5:$A$417&lt;=$A34)*MOVIMIENTOS!$E$5:$E$417)+SUMPRODUCT((MOVIMIENTOS!$B$5:$B$417="AJUSTE")*(MOVIMIENTOS!$C$5:$C$417="C")*(MOVIMIENTOS!$D$5:$D$417="jabas")*(MOVIMIENTOS!$A$5:$A$417&lt;&gt;"")*(MOVIMIENTOS!$A$5:$A$417&lt;=$A34)*MOVIMIENTOS!$E$5:$E$417))</f>
        <v/>
      </c>
      <c r="E34" s="56" t="str">
        <f>IF($A34="","",SUMPRODUCT((MOVIMIENTOS!$B$5:$B$417="SALDO INICIAL")*(MOVIMIENTOS!$C$5:$C$417="M")*(MOVIMIENTOS!$D$5:$D$417="jabas")*(MOVIMIENTOS!$A$5:$A$417&lt;&gt;"")*(MOVIMIENTOS!$A$5:$A$417&lt;=$A34)*MOVIMIENTOS!$E$5:$E$417)+SUMPRODUCT((MOVIMIENTOS!$B$5:$B$417="PROCESO")*(MOVIMIENTOS!$C$5:$C$417="M")*(MOVIMIENTOS!$D$5:$D$417="jabas")*(MOVIMIENTOS!$A$5:$A$417&lt;&gt;"")*(MOVIMIENTOS!$A$5:$A$417&lt;=$A34)*MOVIMIENTOS!$E$5:$E$417)-SUMPRODUCT((MOVIMIENTOS!$B$5:$B$417="ENVÍO A SUPESA")*(MOVIMIENTOS!$C$5:$C$417="M")*(MOVIMIENTOS!$D$5:$D$417="jabas")*(MOVIMIENTOS!$A$5:$A$417&lt;&gt;"")*(MOVIMIENTOS!$A$5:$A$417&lt;=$A34)*MOVIMIENTOS!$E$5:$E$417)+SUMPRODUCT((MOVIMIENTOS!$B$5:$B$417="DEVOLUCIÓN")*(MOVIMIENTOS!$C$5:$C$417="M")*(MOVIMIENTOS!$D$5:$D$417="jabas")*(MOVIMIENTOS!$A$5:$A$417&lt;&gt;"")*(MOVIMIENTOS!$A$5:$A$417&lt;=$A34)*MOVIMIENTOS!$E$5:$E$417)-SUMPRODUCT((MOVIMIENTOS!$B$5:$B$417="TRASIEGO")*(MOVIMIENTOS!$C$5:$C$417="M")*(MOVIMIENTOS!$D$5:$D$417="jabas")*(MOVIMIENTOS!$A$5:$A$417&lt;&gt;"")*(MOVIMIENTOS!$A$5:$A$417&lt;=$A34)*MOVIMIENTOS!$E$5:$E$417)-SUMPRODUCT((MOVIMIENTOS!$B$5:$B$417="REGALO")*(MOVIMIENTOS!$C$5:$C$417="M")*(MOVIMIENTOS!$D$5:$D$417="jabas")*(MOVIMIENTOS!$A$5:$A$417&lt;&gt;"")*(MOVIMIENTOS!$A$5:$A$417&lt;=$A34)*MOVIMIENTOS!$E$5:$E$417)-SUMPRODUCT((MOVIMIENTOS!$B$5:$B$417="VENTA")*(MOVIMIENTOS!$C$5:$C$417="M")*(MOVIMIENTOS!$D$5:$D$417="jabas")*(MOVIMIENTOS!$A$5:$A$417&lt;&gt;"")*(MOVIMIENTOS!$A$5:$A$417&lt;=$A34)*MOVIMIENTOS!$E$5:$E$417)+SUMPRODUCT((MOVIMIENTOS!$B$5:$B$417="AJUSTE")*(MOVIMIENTOS!$C$5:$C$417="M")*(MOVIMIENTOS!$D$5:$D$417="jabas")*(MOVIMIENTOS!$A$5:$A$417&lt;&gt;"")*(MOVIMIENTOS!$A$5:$A$417&lt;=$A34)*MOVIMIENTOS!$E$5:$E$417))</f>
        <v/>
      </c>
      <c r="F34" s="56" t="str">
        <f>IF($A34="","",SUMPRODUCT((MOVIMIENTOS!$B$5:$B$417="SALDO INICIAL")*(MOVIMIENTOS!$C$5:$C$417="Chancho")*(MOVIMIENTOS!$D$5:$D$417="sacos")*(MOVIMIENTOS!$A$5:$A$417&lt;&gt;"")*(MOVIMIENTOS!$A$5:$A$417&lt;=$A34)*MOVIMIENTOS!$E$5:$E$417)+SUMPRODUCT((MOVIMIENTOS!$B$5:$B$417="PROCESO")*(MOVIMIENTOS!$C$5:$C$417="Chancho")*(MOVIMIENTOS!$D$5:$D$417="sacos")*(MOVIMIENTOS!$A$5:$A$417&lt;&gt;"")*(MOVIMIENTOS!$A$5:$A$417&lt;=$A34)*MOVIMIENTOS!$E$5:$E$417)-SUMPRODUCT((MOVIMIENTOS!$B$5:$B$417="VENTA CHANCHO")*(MOVIMIENTOS!$C$5:$C$417="Chancho")*(MOVIMIENTOS!$D$5:$D$417="sacos")*(MOVIMIENTOS!$A$5:$A$417&lt;&gt;"")*(MOVIMIENTOS!$A$5:$A$417&lt;=$A34)*MOVIMIENTOS!$E$5:$E$417)-SUMPRODUCT((MOVIMIENTOS!$B$5:$B$417="REGALO")*(MOVIMIENTOS!$C$5:$C$417="Chancho")*(MOVIMIENTOS!$D$5:$D$417="sacos")*(MOVIMIENTOS!$A$5:$A$417&lt;&gt;"")*(MOVIMIENTOS!$A$5:$A$417&lt;=$A34)*MOVIMIENTOS!$E$5:$E$417)-SUMPRODUCT((MOVIMIENTOS!$B$5:$B$417="VENTA")*(MOVIMIENTOS!$C$5:$C$417="Chancho")*(MOVIMIENTOS!$D$5:$D$417="sacos")*(MOVIMIENTOS!$A$5:$A$417&lt;&gt;"")*(MOVIMIENTOS!$A$5:$A$417&lt;=$A34)*MOVIMIENTOS!$E$5:$E$417)+SUMPRODUCT((MOVIMIENTOS!$B$5:$B$417="AJUSTE")*(MOVIMIENTOS!$C$5:$C$417="Chancho")*(MOVIMIENTOS!$D$5:$D$417="sacos")*(MOVIMIENTOS!$A$5:$A$417&lt;&gt;"")*(MOVIMIENTOS!$A$5:$A$417&lt;=$A34)*MOVIMIENTOS!$E$5:$E$417))</f>
        <v/>
      </c>
      <c r="G34" s="56" t="str">
        <f t="shared" si="1"/>
        <v/>
      </c>
      <c r="H34" s="56" t="str">
        <f>IF($A34="","",SUMPRODUCT((((MOVIMIENTOS!$B$5:$B$417="SALDO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34)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34)*MOVIMIENTOS!$I$5:$I$417))</f>
        <v/>
      </c>
      <c r="I34" s="54"/>
      <c r="J34" s="54" t="str">
        <f>IF(AND(MOVIMIENTOS!$A34&lt;&gt;"",COUNTIF(MOVIMIENTOS!$A$5:$A33,MOVIMIENTOS!$A34)=0),COUNT(J$4:J33)+1,"")</f>
        <v/>
      </c>
      <c r="K34" s="57">
        <f>MOVIMIENTOS!$A34</f>
        <v>46217</v>
      </c>
      <c r="L34" s="54"/>
      <c r="M34" s="54"/>
      <c r="N34" s="54"/>
    </row>
    <row r="35" spans="1:14" ht="15" customHeight="1" x14ac:dyDescent="0.2">
      <c r="A35" s="55" t="str">
        <f t="shared" si="0"/>
        <v/>
      </c>
      <c r="B35" s="56" t="str">
        <f>IF($A35="","",SUMPRODUCT((MOVIMIENTOS!$B$5:$B$417="SALDO INICIAL")*(MOVIMIENTOS!$C$5:$C$417="A")*(MOVIMIENTOS!$D$5:$D$417="jabas")*(MOVIMIENTOS!$A$5:$A$417&lt;&gt;"")*(MOVIMIENTOS!$A$5:$A$417&lt;=$A35)*MOVIMIENTOS!$E$5:$E$417)+SUMPRODUCT((MOVIMIENTOS!$B$5:$B$417="PROCESO")*(MOVIMIENTOS!$C$5:$C$417="A")*(MOVIMIENTOS!$D$5:$D$417="jabas")*(MOVIMIENTOS!$A$5:$A$417&lt;&gt;"")*(MOVIMIENTOS!$A$5:$A$417&lt;=$A35)*MOVIMIENTOS!$E$5:$E$417)-SUMPRODUCT((MOVIMIENTOS!$B$5:$B$417="ENVÍO A SUPESA")*(MOVIMIENTOS!$C$5:$C$417="A")*(MOVIMIENTOS!$D$5:$D$417="jabas")*(MOVIMIENTOS!$A$5:$A$417&lt;&gt;"")*(MOVIMIENTOS!$A$5:$A$417&lt;=$A35)*MOVIMIENTOS!$E$5:$E$417)+SUMPRODUCT((MOVIMIENTOS!$B$5:$B$417="DEVOLUCIÓN")*(MOVIMIENTOS!$C$5:$C$417="A")*(MOVIMIENTOS!$D$5:$D$417="jabas")*(MOVIMIENTOS!$A$5:$A$417&lt;&gt;"")*(MOVIMIENTOS!$A$5:$A$417&lt;=$A35)*MOVIMIENTOS!$E$5:$E$417)-SUMPRODUCT((MOVIMIENTOS!$B$5:$B$417="TRASIEGO")*(MOVIMIENTOS!$C$5:$C$417="A")*(MOVIMIENTOS!$D$5:$D$417="jabas")*(MOVIMIENTOS!$A$5:$A$417&lt;&gt;"")*(MOVIMIENTOS!$A$5:$A$417&lt;=$A35)*MOVIMIENTOS!$E$5:$E$417)-SUMPRODUCT((MOVIMIENTOS!$B$5:$B$417="REGALO")*(MOVIMIENTOS!$C$5:$C$417="A")*(MOVIMIENTOS!$D$5:$D$417="jabas")*(MOVIMIENTOS!$A$5:$A$417&lt;&gt;"")*(MOVIMIENTOS!$A$5:$A$417&lt;=$A35)*MOVIMIENTOS!$E$5:$E$417)-SUMPRODUCT((MOVIMIENTOS!$B$5:$B$417="VENTA")*(MOVIMIENTOS!$C$5:$C$417="A")*(MOVIMIENTOS!$D$5:$D$417="jabas")*(MOVIMIENTOS!$A$5:$A$417&lt;&gt;"")*(MOVIMIENTOS!$A$5:$A$417&lt;=$A35)*MOVIMIENTOS!$E$5:$E$417)+SUMPRODUCT((MOVIMIENTOS!$B$5:$B$417="AJUSTE")*(MOVIMIENTOS!$C$5:$C$417="A")*(MOVIMIENTOS!$D$5:$D$417="jabas")*(MOVIMIENTOS!$A$5:$A$417&lt;&gt;"")*(MOVIMIENTOS!$A$5:$A$417&lt;=$A35)*MOVIMIENTOS!$E$5:$E$417))</f>
        <v/>
      </c>
      <c r="C35" s="56" t="str">
        <f>IF($A35="","",SUMPRODUCT((MOVIMIENTOS!$B$5:$B$417="SALDO INICIAL")*(MOVIMIENTOS!$C$5:$C$417="P")*(MOVIMIENTOS!$D$5:$D$417="jabas")*(MOVIMIENTOS!$A$5:$A$417&lt;&gt;"")*(MOVIMIENTOS!$A$5:$A$417&lt;=$A35)*MOVIMIENTOS!$E$5:$E$417)+SUMPRODUCT((MOVIMIENTOS!$B$5:$B$417="PROCESO")*(MOVIMIENTOS!$C$5:$C$417="P")*(MOVIMIENTOS!$D$5:$D$417="jabas")*(MOVIMIENTOS!$A$5:$A$417&lt;&gt;"")*(MOVIMIENTOS!$A$5:$A$417&lt;=$A35)*MOVIMIENTOS!$E$5:$E$417)-SUMPRODUCT((MOVIMIENTOS!$B$5:$B$417="ENVÍO A SUPESA")*(MOVIMIENTOS!$C$5:$C$417="P")*(MOVIMIENTOS!$D$5:$D$417="jabas")*(MOVIMIENTOS!$A$5:$A$417&lt;&gt;"")*(MOVIMIENTOS!$A$5:$A$417&lt;=$A35)*MOVIMIENTOS!$E$5:$E$417)+SUMPRODUCT((MOVIMIENTOS!$B$5:$B$417="DEVOLUCIÓN")*(MOVIMIENTOS!$C$5:$C$417="P")*(MOVIMIENTOS!$D$5:$D$417="jabas")*(MOVIMIENTOS!$A$5:$A$417&lt;&gt;"")*(MOVIMIENTOS!$A$5:$A$417&lt;=$A35)*MOVIMIENTOS!$E$5:$E$417)-SUMPRODUCT((MOVIMIENTOS!$B$5:$B$417="TRASIEGO")*(MOVIMIENTOS!$C$5:$C$417="P")*(MOVIMIENTOS!$D$5:$D$417="jabas")*(MOVIMIENTOS!$A$5:$A$417&lt;&gt;"")*(MOVIMIENTOS!$A$5:$A$417&lt;=$A35)*MOVIMIENTOS!$E$5:$E$417)-SUMPRODUCT((MOVIMIENTOS!$B$5:$B$417="REGALO")*(MOVIMIENTOS!$C$5:$C$417="P")*(MOVIMIENTOS!$D$5:$D$417="jabas")*(MOVIMIENTOS!$A$5:$A$417&lt;&gt;"")*(MOVIMIENTOS!$A$5:$A$417&lt;=$A35)*MOVIMIENTOS!$E$5:$E$417)-SUMPRODUCT((MOVIMIENTOS!$B$5:$B$417="VENTA")*(MOVIMIENTOS!$C$5:$C$417="P")*(MOVIMIENTOS!$D$5:$D$417="jabas")*(MOVIMIENTOS!$A$5:$A$417&lt;&gt;"")*(MOVIMIENTOS!$A$5:$A$417&lt;=$A35)*MOVIMIENTOS!$E$5:$E$417)+SUMPRODUCT((MOVIMIENTOS!$B$5:$B$417="AJUSTE")*(MOVIMIENTOS!$C$5:$C$417="P")*(MOVIMIENTOS!$D$5:$D$417="jabas")*(MOVIMIENTOS!$A$5:$A$417&lt;&gt;"")*(MOVIMIENTOS!$A$5:$A$417&lt;=$A35)*MOVIMIENTOS!$E$5:$E$417))</f>
        <v/>
      </c>
      <c r="D35" s="56" t="str">
        <f>IF($A35="","",SUMPRODUCT((MOVIMIENTOS!$B$5:$B$417="SALDO INICIAL")*(MOVIMIENTOS!$C$5:$C$417="C")*(MOVIMIENTOS!$D$5:$D$417="jabas")*(MOVIMIENTOS!$A$5:$A$417&lt;&gt;"")*(MOVIMIENTOS!$A$5:$A$417&lt;=$A35)*MOVIMIENTOS!$E$5:$E$417)+SUMPRODUCT((MOVIMIENTOS!$B$5:$B$417="PROCESO")*(MOVIMIENTOS!$C$5:$C$417="C")*(MOVIMIENTOS!$D$5:$D$417="jabas")*(MOVIMIENTOS!$A$5:$A$417&lt;&gt;"")*(MOVIMIENTOS!$A$5:$A$417&lt;=$A35)*MOVIMIENTOS!$E$5:$E$417)-SUMPRODUCT((MOVIMIENTOS!$B$5:$B$417="ENVÍO A SUPESA")*(MOVIMIENTOS!$C$5:$C$417="C")*(MOVIMIENTOS!$D$5:$D$417="jabas")*(MOVIMIENTOS!$A$5:$A$417&lt;&gt;"")*(MOVIMIENTOS!$A$5:$A$417&lt;=$A35)*MOVIMIENTOS!$E$5:$E$417)+SUMPRODUCT((MOVIMIENTOS!$B$5:$B$417="DEVOLUCIÓN")*(MOVIMIENTOS!$C$5:$C$417="C")*(MOVIMIENTOS!$D$5:$D$417="jabas")*(MOVIMIENTOS!$A$5:$A$417&lt;&gt;"")*(MOVIMIENTOS!$A$5:$A$417&lt;=$A35)*MOVIMIENTOS!$E$5:$E$417)-SUMPRODUCT((MOVIMIENTOS!$B$5:$B$417="TRASIEGO")*(MOVIMIENTOS!$C$5:$C$417="C")*(MOVIMIENTOS!$D$5:$D$417="jabas")*(MOVIMIENTOS!$A$5:$A$417&lt;&gt;"")*(MOVIMIENTOS!$A$5:$A$417&lt;=$A35)*MOVIMIENTOS!$E$5:$E$417)-SUMPRODUCT((MOVIMIENTOS!$B$5:$B$417="REGALO")*(MOVIMIENTOS!$C$5:$C$417="C")*(MOVIMIENTOS!$D$5:$D$417="jabas")*(MOVIMIENTOS!$A$5:$A$417&lt;&gt;"")*(MOVIMIENTOS!$A$5:$A$417&lt;=$A35)*MOVIMIENTOS!$E$5:$E$417)-SUMPRODUCT((MOVIMIENTOS!$B$5:$B$417="VENTA")*(MOVIMIENTOS!$C$5:$C$417="C")*(MOVIMIENTOS!$D$5:$D$417="jabas")*(MOVIMIENTOS!$A$5:$A$417&lt;&gt;"")*(MOVIMIENTOS!$A$5:$A$417&lt;=$A35)*MOVIMIENTOS!$E$5:$E$417)+SUMPRODUCT((MOVIMIENTOS!$B$5:$B$417="AJUSTE")*(MOVIMIENTOS!$C$5:$C$417="C")*(MOVIMIENTOS!$D$5:$D$417="jabas")*(MOVIMIENTOS!$A$5:$A$417&lt;&gt;"")*(MOVIMIENTOS!$A$5:$A$417&lt;=$A35)*MOVIMIENTOS!$E$5:$E$417))</f>
        <v/>
      </c>
      <c r="E35" s="56" t="str">
        <f>IF($A35="","",SUMPRODUCT((MOVIMIENTOS!$B$5:$B$417="SALDO INICIAL")*(MOVIMIENTOS!$C$5:$C$417="M")*(MOVIMIENTOS!$D$5:$D$417="jabas")*(MOVIMIENTOS!$A$5:$A$417&lt;&gt;"")*(MOVIMIENTOS!$A$5:$A$417&lt;=$A35)*MOVIMIENTOS!$E$5:$E$417)+SUMPRODUCT((MOVIMIENTOS!$B$5:$B$417="PROCESO")*(MOVIMIENTOS!$C$5:$C$417="M")*(MOVIMIENTOS!$D$5:$D$417="jabas")*(MOVIMIENTOS!$A$5:$A$417&lt;&gt;"")*(MOVIMIENTOS!$A$5:$A$417&lt;=$A35)*MOVIMIENTOS!$E$5:$E$417)-SUMPRODUCT((MOVIMIENTOS!$B$5:$B$417="ENVÍO A SUPESA")*(MOVIMIENTOS!$C$5:$C$417="M")*(MOVIMIENTOS!$D$5:$D$417="jabas")*(MOVIMIENTOS!$A$5:$A$417&lt;&gt;"")*(MOVIMIENTOS!$A$5:$A$417&lt;=$A35)*MOVIMIENTOS!$E$5:$E$417)+SUMPRODUCT((MOVIMIENTOS!$B$5:$B$417="DEVOLUCIÓN")*(MOVIMIENTOS!$C$5:$C$417="M")*(MOVIMIENTOS!$D$5:$D$417="jabas")*(MOVIMIENTOS!$A$5:$A$417&lt;&gt;"")*(MOVIMIENTOS!$A$5:$A$417&lt;=$A35)*MOVIMIENTOS!$E$5:$E$417)-SUMPRODUCT((MOVIMIENTOS!$B$5:$B$417="TRASIEGO")*(MOVIMIENTOS!$C$5:$C$417="M")*(MOVIMIENTOS!$D$5:$D$417="jabas")*(MOVIMIENTOS!$A$5:$A$417&lt;&gt;"")*(MOVIMIENTOS!$A$5:$A$417&lt;=$A35)*MOVIMIENTOS!$E$5:$E$417)-SUMPRODUCT((MOVIMIENTOS!$B$5:$B$417="REGALO")*(MOVIMIENTOS!$C$5:$C$417="M")*(MOVIMIENTOS!$D$5:$D$417="jabas")*(MOVIMIENTOS!$A$5:$A$417&lt;&gt;"")*(MOVIMIENTOS!$A$5:$A$417&lt;=$A35)*MOVIMIENTOS!$E$5:$E$417)-SUMPRODUCT((MOVIMIENTOS!$B$5:$B$417="VENTA")*(MOVIMIENTOS!$C$5:$C$417="M")*(MOVIMIENTOS!$D$5:$D$417="jabas")*(MOVIMIENTOS!$A$5:$A$417&lt;&gt;"")*(MOVIMIENTOS!$A$5:$A$417&lt;=$A35)*MOVIMIENTOS!$E$5:$E$417)+SUMPRODUCT((MOVIMIENTOS!$B$5:$B$417="AJUSTE")*(MOVIMIENTOS!$C$5:$C$417="M")*(MOVIMIENTOS!$D$5:$D$417="jabas")*(MOVIMIENTOS!$A$5:$A$417&lt;&gt;"")*(MOVIMIENTOS!$A$5:$A$417&lt;=$A35)*MOVIMIENTOS!$E$5:$E$417))</f>
        <v/>
      </c>
      <c r="F35" s="56" t="str">
        <f>IF($A35="","",SUMPRODUCT((MOVIMIENTOS!$B$5:$B$417="SALDO INICIAL")*(MOVIMIENTOS!$C$5:$C$417="Chancho")*(MOVIMIENTOS!$D$5:$D$417="sacos")*(MOVIMIENTOS!$A$5:$A$417&lt;&gt;"")*(MOVIMIENTOS!$A$5:$A$417&lt;=$A35)*MOVIMIENTOS!$E$5:$E$417)+SUMPRODUCT((MOVIMIENTOS!$B$5:$B$417="PROCESO")*(MOVIMIENTOS!$C$5:$C$417="Chancho")*(MOVIMIENTOS!$D$5:$D$417="sacos")*(MOVIMIENTOS!$A$5:$A$417&lt;&gt;"")*(MOVIMIENTOS!$A$5:$A$417&lt;=$A35)*MOVIMIENTOS!$E$5:$E$417)-SUMPRODUCT((MOVIMIENTOS!$B$5:$B$417="VENTA CHANCHO")*(MOVIMIENTOS!$C$5:$C$417="Chancho")*(MOVIMIENTOS!$D$5:$D$417="sacos")*(MOVIMIENTOS!$A$5:$A$417&lt;&gt;"")*(MOVIMIENTOS!$A$5:$A$417&lt;=$A35)*MOVIMIENTOS!$E$5:$E$417)-SUMPRODUCT((MOVIMIENTOS!$B$5:$B$417="REGALO")*(MOVIMIENTOS!$C$5:$C$417="Chancho")*(MOVIMIENTOS!$D$5:$D$417="sacos")*(MOVIMIENTOS!$A$5:$A$417&lt;&gt;"")*(MOVIMIENTOS!$A$5:$A$417&lt;=$A35)*MOVIMIENTOS!$E$5:$E$417)-SUMPRODUCT((MOVIMIENTOS!$B$5:$B$417="VENTA")*(MOVIMIENTOS!$C$5:$C$417="Chancho")*(MOVIMIENTOS!$D$5:$D$417="sacos")*(MOVIMIENTOS!$A$5:$A$417&lt;&gt;"")*(MOVIMIENTOS!$A$5:$A$417&lt;=$A35)*MOVIMIENTOS!$E$5:$E$417)+SUMPRODUCT((MOVIMIENTOS!$B$5:$B$417="AJUSTE")*(MOVIMIENTOS!$C$5:$C$417="Chancho")*(MOVIMIENTOS!$D$5:$D$417="sacos")*(MOVIMIENTOS!$A$5:$A$417&lt;&gt;"")*(MOVIMIENTOS!$A$5:$A$417&lt;=$A35)*MOVIMIENTOS!$E$5:$E$417))</f>
        <v/>
      </c>
      <c r="G35" s="56" t="str">
        <f t="shared" si="1"/>
        <v/>
      </c>
      <c r="H35" s="56" t="str">
        <f>IF($A35="","",SUMPRODUCT((((MOVIMIENTOS!$B$5:$B$417="SALDO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35)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35)*MOVIMIENTOS!$I$5:$I$417))</f>
        <v/>
      </c>
      <c r="I35" s="54"/>
      <c r="J35" s="54" t="str">
        <f>IF(AND(MOVIMIENTOS!$A35&lt;&gt;"",COUNTIF(MOVIMIENTOS!$A$5:$A34,MOVIMIENTOS!$A35)=0),COUNT(J$4:J34)+1,"")</f>
        <v/>
      </c>
      <c r="K35" s="57">
        <f>MOVIMIENTOS!$A35</f>
        <v>46217</v>
      </c>
      <c r="L35" s="54"/>
      <c r="M35" s="54"/>
      <c r="N35" s="54"/>
    </row>
    <row r="36" spans="1:14" ht="15" customHeight="1" x14ac:dyDescent="0.2">
      <c r="A36" s="55" t="str">
        <f t="shared" si="0"/>
        <v/>
      </c>
      <c r="B36" s="56" t="str">
        <f>IF($A36="","",SUMPRODUCT((MOVIMIENTOS!$B$5:$B$417="SALDO INICIAL")*(MOVIMIENTOS!$C$5:$C$417="A")*(MOVIMIENTOS!$D$5:$D$417="jabas")*(MOVIMIENTOS!$A$5:$A$417&lt;&gt;"")*(MOVIMIENTOS!$A$5:$A$417&lt;=$A36)*MOVIMIENTOS!$E$5:$E$417)+SUMPRODUCT((MOVIMIENTOS!$B$5:$B$417="PROCESO")*(MOVIMIENTOS!$C$5:$C$417="A")*(MOVIMIENTOS!$D$5:$D$417="jabas")*(MOVIMIENTOS!$A$5:$A$417&lt;&gt;"")*(MOVIMIENTOS!$A$5:$A$417&lt;=$A36)*MOVIMIENTOS!$E$5:$E$417)-SUMPRODUCT((MOVIMIENTOS!$B$5:$B$417="ENVÍO A SUPESA")*(MOVIMIENTOS!$C$5:$C$417="A")*(MOVIMIENTOS!$D$5:$D$417="jabas")*(MOVIMIENTOS!$A$5:$A$417&lt;&gt;"")*(MOVIMIENTOS!$A$5:$A$417&lt;=$A36)*MOVIMIENTOS!$E$5:$E$417)+SUMPRODUCT((MOVIMIENTOS!$B$5:$B$417="DEVOLUCIÓN")*(MOVIMIENTOS!$C$5:$C$417="A")*(MOVIMIENTOS!$D$5:$D$417="jabas")*(MOVIMIENTOS!$A$5:$A$417&lt;&gt;"")*(MOVIMIENTOS!$A$5:$A$417&lt;=$A36)*MOVIMIENTOS!$E$5:$E$417)-SUMPRODUCT((MOVIMIENTOS!$B$5:$B$417="TRASIEGO")*(MOVIMIENTOS!$C$5:$C$417="A")*(MOVIMIENTOS!$D$5:$D$417="jabas")*(MOVIMIENTOS!$A$5:$A$417&lt;&gt;"")*(MOVIMIENTOS!$A$5:$A$417&lt;=$A36)*MOVIMIENTOS!$E$5:$E$417)-SUMPRODUCT((MOVIMIENTOS!$B$5:$B$417="REGALO")*(MOVIMIENTOS!$C$5:$C$417="A")*(MOVIMIENTOS!$D$5:$D$417="jabas")*(MOVIMIENTOS!$A$5:$A$417&lt;&gt;"")*(MOVIMIENTOS!$A$5:$A$417&lt;=$A36)*MOVIMIENTOS!$E$5:$E$417)-SUMPRODUCT((MOVIMIENTOS!$B$5:$B$417="VENTA")*(MOVIMIENTOS!$C$5:$C$417="A")*(MOVIMIENTOS!$D$5:$D$417="jabas")*(MOVIMIENTOS!$A$5:$A$417&lt;&gt;"")*(MOVIMIENTOS!$A$5:$A$417&lt;=$A36)*MOVIMIENTOS!$E$5:$E$417)+SUMPRODUCT((MOVIMIENTOS!$B$5:$B$417="AJUSTE")*(MOVIMIENTOS!$C$5:$C$417="A")*(MOVIMIENTOS!$D$5:$D$417="jabas")*(MOVIMIENTOS!$A$5:$A$417&lt;&gt;"")*(MOVIMIENTOS!$A$5:$A$417&lt;=$A36)*MOVIMIENTOS!$E$5:$E$417))</f>
        <v/>
      </c>
      <c r="C36" s="56" t="str">
        <f>IF($A36="","",SUMPRODUCT((MOVIMIENTOS!$B$5:$B$417="SALDO INICIAL")*(MOVIMIENTOS!$C$5:$C$417="P")*(MOVIMIENTOS!$D$5:$D$417="jabas")*(MOVIMIENTOS!$A$5:$A$417&lt;&gt;"")*(MOVIMIENTOS!$A$5:$A$417&lt;=$A36)*MOVIMIENTOS!$E$5:$E$417)+SUMPRODUCT((MOVIMIENTOS!$B$5:$B$417="PROCESO")*(MOVIMIENTOS!$C$5:$C$417="P")*(MOVIMIENTOS!$D$5:$D$417="jabas")*(MOVIMIENTOS!$A$5:$A$417&lt;&gt;"")*(MOVIMIENTOS!$A$5:$A$417&lt;=$A36)*MOVIMIENTOS!$E$5:$E$417)-SUMPRODUCT((MOVIMIENTOS!$B$5:$B$417="ENVÍO A SUPESA")*(MOVIMIENTOS!$C$5:$C$417="P")*(MOVIMIENTOS!$D$5:$D$417="jabas")*(MOVIMIENTOS!$A$5:$A$417&lt;&gt;"")*(MOVIMIENTOS!$A$5:$A$417&lt;=$A36)*MOVIMIENTOS!$E$5:$E$417)+SUMPRODUCT((MOVIMIENTOS!$B$5:$B$417="DEVOLUCIÓN")*(MOVIMIENTOS!$C$5:$C$417="P")*(MOVIMIENTOS!$D$5:$D$417="jabas")*(MOVIMIENTOS!$A$5:$A$417&lt;&gt;"")*(MOVIMIENTOS!$A$5:$A$417&lt;=$A36)*MOVIMIENTOS!$E$5:$E$417)-SUMPRODUCT((MOVIMIENTOS!$B$5:$B$417="TRASIEGO")*(MOVIMIENTOS!$C$5:$C$417="P")*(MOVIMIENTOS!$D$5:$D$417="jabas")*(MOVIMIENTOS!$A$5:$A$417&lt;&gt;"")*(MOVIMIENTOS!$A$5:$A$417&lt;=$A36)*MOVIMIENTOS!$E$5:$E$417)-SUMPRODUCT((MOVIMIENTOS!$B$5:$B$417="REGALO")*(MOVIMIENTOS!$C$5:$C$417="P")*(MOVIMIENTOS!$D$5:$D$417="jabas")*(MOVIMIENTOS!$A$5:$A$417&lt;&gt;"")*(MOVIMIENTOS!$A$5:$A$417&lt;=$A36)*MOVIMIENTOS!$E$5:$E$417)-SUMPRODUCT((MOVIMIENTOS!$B$5:$B$417="VENTA")*(MOVIMIENTOS!$C$5:$C$417="P")*(MOVIMIENTOS!$D$5:$D$417="jabas")*(MOVIMIENTOS!$A$5:$A$417&lt;&gt;"")*(MOVIMIENTOS!$A$5:$A$417&lt;=$A36)*MOVIMIENTOS!$E$5:$E$417)+SUMPRODUCT((MOVIMIENTOS!$B$5:$B$417="AJUSTE")*(MOVIMIENTOS!$C$5:$C$417="P")*(MOVIMIENTOS!$D$5:$D$417="jabas")*(MOVIMIENTOS!$A$5:$A$417&lt;&gt;"")*(MOVIMIENTOS!$A$5:$A$417&lt;=$A36)*MOVIMIENTOS!$E$5:$E$417))</f>
        <v/>
      </c>
      <c r="D36" s="56" t="str">
        <f>IF($A36="","",SUMPRODUCT((MOVIMIENTOS!$B$5:$B$417="SALDO INICIAL")*(MOVIMIENTOS!$C$5:$C$417="C")*(MOVIMIENTOS!$D$5:$D$417="jabas")*(MOVIMIENTOS!$A$5:$A$417&lt;&gt;"")*(MOVIMIENTOS!$A$5:$A$417&lt;=$A36)*MOVIMIENTOS!$E$5:$E$417)+SUMPRODUCT((MOVIMIENTOS!$B$5:$B$417="PROCESO")*(MOVIMIENTOS!$C$5:$C$417="C")*(MOVIMIENTOS!$D$5:$D$417="jabas")*(MOVIMIENTOS!$A$5:$A$417&lt;&gt;"")*(MOVIMIENTOS!$A$5:$A$417&lt;=$A36)*MOVIMIENTOS!$E$5:$E$417)-SUMPRODUCT((MOVIMIENTOS!$B$5:$B$417="ENVÍO A SUPESA")*(MOVIMIENTOS!$C$5:$C$417="C")*(MOVIMIENTOS!$D$5:$D$417="jabas")*(MOVIMIENTOS!$A$5:$A$417&lt;&gt;"")*(MOVIMIENTOS!$A$5:$A$417&lt;=$A36)*MOVIMIENTOS!$E$5:$E$417)+SUMPRODUCT((MOVIMIENTOS!$B$5:$B$417="DEVOLUCIÓN")*(MOVIMIENTOS!$C$5:$C$417="C")*(MOVIMIENTOS!$D$5:$D$417="jabas")*(MOVIMIENTOS!$A$5:$A$417&lt;&gt;"")*(MOVIMIENTOS!$A$5:$A$417&lt;=$A36)*MOVIMIENTOS!$E$5:$E$417)-SUMPRODUCT((MOVIMIENTOS!$B$5:$B$417="TRASIEGO")*(MOVIMIENTOS!$C$5:$C$417="C")*(MOVIMIENTOS!$D$5:$D$417="jabas")*(MOVIMIENTOS!$A$5:$A$417&lt;&gt;"")*(MOVIMIENTOS!$A$5:$A$417&lt;=$A36)*MOVIMIENTOS!$E$5:$E$417)-SUMPRODUCT((MOVIMIENTOS!$B$5:$B$417="REGALO")*(MOVIMIENTOS!$C$5:$C$417="C")*(MOVIMIENTOS!$D$5:$D$417="jabas")*(MOVIMIENTOS!$A$5:$A$417&lt;&gt;"")*(MOVIMIENTOS!$A$5:$A$417&lt;=$A36)*MOVIMIENTOS!$E$5:$E$417)-SUMPRODUCT((MOVIMIENTOS!$B$5:$B$417="VENTA")*(MOVIMIENTOS!$C$5:$C$417="C")*(MOVIMIENTOS!$D$5:$D$417="jabas")*(MOVIMIENTOS!$A$5:$A$417&lt;&gt;"")*(MOVIMIENTOS!$A$5:$A$417&lt;=$A36)*MOVIMIENTOS!$E$5:$E$417)+SUMPRODUCT((MOVIMIENTOS!$B$5:$B$417="AJUSTE")*(MOVIMIENTOS!$C$5:$C$417="C")*(MOVIMIENTOS!$D$5:$D$417="jabas")*(MOVIMIENTOS!$A$5:$A$417&lt;&gt;"")*(MOVIMIENTOS!$A$5:$A$417&lt;=$A36)*MOVIMIENTOS!$E$5:$E$417))</f>
        <v/>
      </c>
      <c r="E36" s="56" t="str">
        <f>IF($A36="","",SUMPRODUCT((MOVIMIENTOS!$B$5:$B$417="SALDO INICIAL")*(MOVIMIENTOS!$C$5:$C$417="M")*(MOVIMIENTOS!$D$5:$D$417="jabas")*(MOVIMIENTOS!$A$5:$A$417&lt;&gt;"")*(MOVIMIENTOS!$A$5:$A$417&lt;=$A36)*MOVIMIENTOS!$E$5:$E$417)+SUMPRODUCT((MOVIMIENTOS!$B$5:$B$417="PROCESO")*(MOVIMIENTOS!$C$5:$C$417="M")*(MOVIMIENTOS!$D$5:$D$417="jabas")*(MOVIMIENTOS!$A$5:$A$417&lt;&gt;"")*(MOVIMIENTOS!$A$5:$A$417&lt;=$A36)*MOVIMIENTOS!$E$5:$E$417)-SUMPRODUCT((MOVIMIENTOS!$B$5:$B$417="ENVÍO A SUPESA")*(MOVIMIENTOS!$C$5:$C$417="M")*(MOVIMIENTOS!$D$5:$D$417="jabas")*(MOVIMIENTOS!$A$5:$A$417&lt;&gt;"")*(MOVIMIENTOS!$A$5:$A$417&lt;=$A36)*MOVIMIENTOS!$E$5:$E$417)+SUMPRODUCT((MOVIMIENTOS!$B$5:$B$417="DEVOLUCIÓN")*(MOVIMIENTOS!$C$5:$C$417="M")*(MOVIMIENTOS!$D$5:$D$417="jabas")*(MOVIMIENTOS!$A$5:$A$417&lt;&gt;"")*(MOVIMIENTOS!$A$5:$A$417&lt;=$A36)*MOVIMIENTOS!$E$5:$E$417)-SUMPRODUCT((MOVIMIENTOS!$B$5:$B$417="TRASIEGO")*(MOVIMIENTOS!$C$5:$C$417="M")*(MOVIMIENTOS!$D$5:$D$417="jabas")*(MOVIMIENTOS!$A$5:$A$417&lt;&gt;"")*(MOVIMIENTOS!$A$5:$A$417&lt;=$A36)*MOVIMIENTOS!$E$5:$E$417)-SUMPRODUCT((MOVIMIENTOS!$B$5:$B$417="REGALO")*(MOVIMIENTOS!$C$5:$C$417="M")*(MOVIMIENTOS!$D$5:$D$417="jabas")*(MOVIMIENTOS!$A$5:$A$417&lt;&gt;"")*(MOVIMIENTOS!$A$5:$A$417&lt;=$A36)*MOVIMIENTOS!$E$5:$E$417)-SUMPRODUCT((MOVIMIENTOS!$B$5:$B$417="VENTA")*(MOVIMIENTOS!$C$5:$C$417="M")*(MOVIMIENTOS!$D$5:$D$417="jabas")*(MOVIMIENTOS!$A$5:$A$417&lt;&gt;"")*(MOVIMIENTOS!$A$5:$A$417&lt;=$A36)*MOVIMIENTOS!$E$5:$E$417)+SUMPRODUCT((MOVIMIENTOS!$B$5:$B$417="AJUSTE")*(MOVIMIENTOS!$C$5:$C$417="M")*(MOVIMIENTOS!$D$5:$D$417="jabas")*(MOVIMIENTOS!$A$5:$A$417&lt;&gt;"")*(MOVIMIENTOS!$A$5:$A$417&lt;=$A36)*MOVIMIENTOS!$E$5:$E$417))</f>
        <v/>
      </c>
      <c r="F36" s="56" t="str">
        <f>IF($A36="","",SUMPRODUCT((MOVIMIENTOS!$B$5:$B$417="SALDO INICIAL")*(MOVIMIENTOS!$C$5:$C$417="Chancho")*(MOVIMIENTOS!$D$5:$D$417="sacos")*(MOVIMIENTOS!$A$5:$A$417&lt;&gt;"")*(MOVIMIENTOS!$A$5:$A$417&lt;=$A36)*MOVIMIENTOS!$E$5:$E$417)+SUMPRODUCT((MOVIMIENTOS!$B$5:$B$417="PROCESO")*(MOVIMIENTOS!$C$5:$C$417="Chancho")*(MOVIMIENTOS!$D$5:$D$417="sacos")*(MOVIMIENTOS!$A$5:$A$417&lt;&gt;"")*(MOVIMIENTOS!$A$5:$A$417&lt;=$A36)*MOVIMIENTOS!$E$5:$E$417)-SUMPRODUCT((MOVIMIENTOS!$B$5:$B$417="VENTA CHANCHO")*(MOVIMIENTOS!$C$5:$C$417="Chancho")*(MOVIMIENTOS!$D$5:$D$417="sacos")*(MOVIMIENTOS!$A$5:$A$417&lt;&gt;"")*(MOVIMIENTOS!$A$5:$A$417&lt;=$A36)*MOVIMIENTOS!$E$5:$E$417)-SUMPRODUCT((MOVIMIENTOS!$B$5:$B$417="REGALO")*(MOVIMIENTOS!$C$5:$C$417="Chancho")*(MOVIMIENTOS!$D$5:$D$417="sacos")*(MOVIMIENTOS!$A$5:$A$417&lt;&gt;"")*(MOVIMIENTOS!$A$5:$A$417&lt;=$A36)*MOVIMIENTOS!$E$5:$E$417)-SUMPRODUCT((MOVIMIENTOS!$B$5:$B$417="VENTA")*(MOVIMIENTOS!$C$5:$C$417="Chancho")*(MOVIMIENTOS!$D$5:$D$417="sacos")*(MOVIMIENTOS!$A$5:$A$417&lt;&gt;"")*(MOVIMIENTOS!$A$5:$A$417&lt;=$A36)*MOVIMIENTOS!$E$5:$E$417)+SUMPRODUCT((MOVIMIENTOS!$B$5:$B$417="AJUSTE")*(MOVIMIENTOS!$C$5:$C$417="Chancho")*(MOVIMIENTOS!$D$5:$D$417="sacos")*(MOVIMIENTOS!$A$5:$A$417&lt;&gt;"")*(MOVIMIENTOS!$A$5:$A$417&lt;=$A36)*MOVIMIENTOS!$E$5:$E$417))</f>
        <v/>
      </c>
      <c r="G36" s="56" t="str">
        <f t="shared" si="1"/>
        <v/>
      </c>
      <c r="H36" s="56" t="str">
        <f>IF($A36="","",SUMPRODUCT((((MOVIMIENTOS!$B$5:$B$417="SALDO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36)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36)*MOVIMIENTOS!$I$5:$I$417))</f>
        <v/>
      </c>
      <c r="I36" s="54"/>
      <c r="J36" s="54" t="str">
        <f>IF(AND(MOVIMIENTOS!$A36&lt;&gt;"",COUNTIF(MOVIMIENTOS!$A$5:$A35,MOVIMIENTOS!$A36)=0),COUNT(J$4:J35)+1,"")</f>
        <v/>
      </c>
      <c r="K36" s="57">
        <f>MOVIMIENTOS!$A36</f>
        <v>46217</v>
      </c>
      <c r="L36" s="54"/>
      <c r="M36" s="54"/>
      <c r="N36" s="54"/>
    </row>
    <row r="37" spans="1:14" ht="15" customHeight="1" x14ac:dyDescent="0.2">
      <c r="A37" s="55" t="str">
        <f t="shared" ref="A37:A69" si="2">IFERROR(INDEX(K$5:K$400,MATCH(ROW()-4,J$5:J$400,0)),"")</f>
        <v/>
      </c>
      <c r="B37" s="56" t="str">
        <f>IF($A37="","",SUMPRODUCT((MOVIMIENTOS!$B$5:$B$417="SALDO INICIAL")*(MOVIMIENTOS!$C$5:$C$417="A")*(MOVIMIENTOS!$D$5:$D$417="jabas")*(MOVIMIENTOS!$A$5:$A$417&lt;&gt;"")*(MOVIMIENTOS!$A$5:$A$417&lt;=$A37)*MOVIMIENTOS!$E$5:$E$417)+SUMPRODUCT((MOVIMIENTOS!$B$5:$B$417="PROCESO")*(MOVIMIENTOS!$C$5:$C$417="A")*(MOVIMIENTOS!$D$5:$D$417="jabas")*(MOVIMIENTOS!$A$5:$A$417&lt;&gt;"")*(MOVIMIENTOS!$A$5:$A$417&lt;=$A37)*MOVIMIENTOS!$E$5:$E$417)-SUMPRODUCT((MOVIMIENTOS!$B$5:$B$417="ENVÍO A SUPESA")*(MOVIMIENTOS!$C$5:$C$417="A")*(MOVIMIENTOS!$D$5:$D$417="jabas")*(MOVIMIENTOS!$A$5:$A$417&lt;&gt;"")*(MOVIMIENTOS!$A$5:$A$417&lt;=$A37)*MOVIMIENTOS!$E$5:$E$417)+SUMPRODUCT((MOVIMIENTOS!$B$5:$B$417="DEVOLUCIÓN")*(MOVIMIENTOS!$C$5:$C$417="A")*(MOVIMIENTOS!$D$5:$D$417="jabas")*(MOVIMIENTOS!$A$5:$A$417&lt;&gt;"")*(MOVIMIENTOS!$A$5:$A$417&lt;=$A37)*MOVIMIENTOS!$E$5:$E$417)-SUMPRODUCT((MOVIMIENTOS!$B$5:$B$417="TRASIEGO")*(MOVIMIENTOS!$C$5:$C$417="A")*(MOVIMIENTOS!$D$5:$D$417="jabas")*(MOVIMIENTOS!$A$5:$A$417&lt;&gt;"")*(MOVIMIENTOS!$A$5:$A$417&lt;=$A37)*MOVIMIENTOS!$E$5:$E$417)-SUMPRODUCT((MOVIMIENTOS!$B$5:$B$417="REGALO")*(MOVIMIENTOS!$C$5:$C$417="A")*(MOVIMIENTOS!$D$5:$D$417="jabas")*(MOVIMIENTOS!$A$5:$A$417&lt;&gt;"")*(MOVIMIENTOS!$A$5:$A$417&lt;=$A37)*MOVIMIENTOS!$E$5:$E$417)-SUMPRODUCT((MOVIMIENTOS!$B$5:$B$417="VENTA")*(MOVIMIENTOS!$C$5:$C$417="A")*(MOVIMIENTOS!$D$5:$D$417="jabas")*(MOVIMIENTOS!$A$5:$A$417&lt;&gt;"")*(MOVIMIENTOS!$A$5:$A$417&lt;=$A37)*MOVIMIENTOS!$E$5:$E$417)+SUMPRODUCT((MOVIMIENTOS!$B$5:$B$417="AJUSTE")*(MOVIMIENTOS!$C$5:$C$417="A")*(MOVIMIENTOS!$D$5:$D$417="jabas")*(MOVIMIENTOS!$A$5:$A$417&lt;&gt;"")*(MOVIMIENTOS!$A$5:$A$417&lt;=$A37)*MOVIMIENTOS!$E$5:$E$417))</f>
        <v/>
      </c>
      <c r="C37" s="56" t="str">
        <f>IF($A37="","",SUMPRODUCT((MOVIMIENTOS!$B$5:$B$417="SALDO INICIAL")*(MOVIMIENTOS!$C$5:$C$417="P")*(MOVIMIENTOS!$D$5:$D$417="jabas")*(MOVIMIENTOS!$A$5:$A$417&lt;&gt;"")*(MOVIMIENTOS!$A$5:$A$417&lt;=$A37)*MOVIMIENTOS!$E$5:$E$417)+SUMPRODUCT((MOVIMIENTOS!$B$5:$B$417="PROCESO")*(MOVIMIENTOS!$C$5:$C$417="P")*(MOVIMIENTOS!$D$5:$D$417="jabas")*(MOVIMIENTOS!$A$5:$A$417&lt;&gt;"")*(MOVIMIENTOS!$A$5:$A$417&lt;=$A37)*MOVIMIENTOS!$E$5:$E$417)-SUMPRODUCT((MOVIMIENTOS!$B$5:$B$417="ENVÍO A SUPESA")*(MOVIMIENTOS!$C$5:$C$417="P")*(MOVIMIENTOS!$D$5:$D$417="jabas")*(MOVIMIENTOS!$A$5:$A$417&lt;&gt;"")*(MOVIMIENTOS!$A$5:$A$417&lt;=$A37)*MOVIMIENTOS!$E$5:$E$417)+SUMPRODUCT((MOVIMIENTOS!$B$5:$B$417="DEVOLUCIÓN")*(MOVIMIENTOS!$C$5:$C$417="P")*(MOVIMIENTOS!$D$5:$D$417="jabas")*(MOVIMIENTOS!$A$5:$A$417&lt;&gt;"")*(MOVIMIENTOS!$A$5:$A$417&lt;=$A37)*MOVIMIENTOS!$E$5:$E$417)-SUMPRODUCT((MOVIMIENTOS!$B$5:$B$417="TRASIEGO")*(MOVIMIENTOS!$C$5:$C$417="P")*(MOVIMIENTOS!$D$5:$D$417="jabas")*(MOVIMIENTOS!$A$5:$A$417&lt;&gt;"")*(MOVIMIENTOS!$A$5:$A$417&lt;=$A37)*MOVIMIENTOS!$E$5:$E$417)-SUMPRODUCT((MOVIMIENTOS!$B$5:$B$417="REGALO")*(MOVIMIENTOS!$C$5:$C$417="P")*(MOVIMIENTOS!$D$5:$D$417="jabas")*(MOVIMIENTOS!$A$5:$A$417&lt;&gt;"")*(MOVIMIENTOS!$A$5:$A$417&lt;=$A37)*MOVIMIENTOS!$E$5:$E$417)-SUMPRODUCT((MOVIMIENTOS!$B$5:$B$417="VENTA")*(MOVIMIENTOS!$C$5:$C$417="P")*(MOVIMIENTOS!$D$5:$D$417="jabas")*(MOVIMIENTOS!$A$5:$A$417&lt;&gt;"")*(MOVIMIENTOS!$A$5:$A$417&lt;=$A37)*MOVIMIENTOS!$E$5:$E$417)+SUMPRODUCT((MOVIMIENTOS!$B$5:$B$417="AJUSTE")*(MOVIMIENTOS!$C$5:$C$417="P")*(MOVIMIENTOS!$D$5:$D$417="jabas")*(MOVIMIENTOS!$A$5:$A$417&lt;&gt;"")*(MOVIMIENTOS!$A$5:$A$417&lt;=$A37)*MOVIMIENTOS!$E$5:$E$417))</f>
        <v/>
      </c>
      <c r="D37" s="56" t="str">
        <f>IF($A37="","",SUMPRODUCT((MOVIMIENTOS!$B$5:$B$417="SALDO INICIAL")*(MOVIMIENTOS!$C$5:$C$417="C")*(MOVIMIENTOS!$D$5:$D$417="jabas")*(MOVIMIENTOS!$A$5:$A$417&lt;&gt;"")*(MOVIMIENTOS!$A$5:$A$417&lt;=$A37)*MOVIMIENTOS!$E$5:$E$417)+SUMPRODUCT((MOVIMIENTOS!$B$5:$B$417="PROCESO")*(MOVIMIENTOS!$C$5:$C$417="C")*(MOVIMIENTOS!$D$5:$D$417="jabas")*(MOVIMIENTOS!$A$5:$A$417&lt;&gt;"")*(MOVIMIENTOS!$A$5:$A$417&lt;=$A37)*MOVIMIENTOS!$E$5:$E$417)-SUMPRODUCT((MOVIMIENTOS!$B$5:$B$417="ENVÍO A SUPESA")*(MOVIMIENTOS!$C$5:$C$417="C")*(MOVIMIENTOS!$D$5:$D$417="jabas")*(MOVIMIENTOS!$A$5:$A$417&lt;&gt;"")*(MOVIMIENTOS!$A$5:$A$417&lt;=$A37)*MOVIMIENTOS!$E$5:$E$417)+SUMPRODUCT((MOVIMIENTOS!$B$5:$B$417="DEVOLUCIÓN")*(MOVIMIENTOS!$C$5:$C$417="C")*(MOVIMIENTOS!$D$5:$D$417="jabas")*(MOVIMIENTOS!$A$5:$A$417&lt;&gt;"")*(MOVIMIENTOS!$A$5:$A$417&lt;=$A37)*MOVIMIENTOS!$E$5:$E$417)-SUMPRODUCT((MOVIMIENTOS!$B$5:$B$417="TRASIEGO")*(MOVIMIENTOS!$C$5:$C$417="C")*(MOVIMIENTOS!$D$5:$D$417="jabas")*(MOVIMIENTOS!$A$5:$A$417&lt;&gt;"")*(MOVIMIENTOS!$A$5:$A$417&lt;=$A37)*MOVIMIENTOS!$E$5:$E$417)-SUMPRODUCT((MOVIMIENTOS!$B$5:$B$417="REGALO")*(MOVIMIENTOS!$C$5:$C$417="C")*(MOVIMIENTOS!$D$5:$D$417="jabas")*(MOVIMIENTOS!$A$5:$A$417&lt;&gt;"")*(MOVIMIENTOS!$A$5:$A$417&lt;=$A37)*MOVIMIENTOS!$E$5:$E$417)-SUMPRODUCT((MOVIMIENTOS!$B$5:$B$417="VENTA")*(MOVIMIENTOS!$C$5:$C$417="C")*(MOVIMIENTOS!$D$5:$D$417="jabas")*(MOVIMIENTOS!$A$5:$A$417&lt;&gt;"")*(MOVIMIENTOS!$A$5:$A$417&lt;=$A37)*MOVIMIENTOS!$E$5:$E$417)+SUMPRODUCT((MOVIMIENTOS!$B$5:$B$417="AJUSTE")*(MOVIMIENTOS!$C$5:$C$417="C")*(MOVIMIENTOS!$D$5:$D$417="jabas")*(MOVIMIENTOS!$A$5:$A$417&lt;&gt;"")*(MOVIMIENTOS!$A$5:$A$417&lt;=$A37)*MOVIMIENTOS!$E$5:$E$417))</f>
        <v/>
      </c>
      <c r="E37" s="56" t="str">
        <f>IF($A37="","",SUMPRODUCT((MOVIMIENTOS!$B$5:$B$417="SALDO INICIAL")*(MOVIMIENTOS!$C$5:$C$417="M")*(MOVIMIENTOS!$D$5:$D$417="jabas")*(MOVIMIENTOS!$A$5:$A$417&lt;&gt;"")*(MOVIMIENTOS!$A$5:$A$417&lt;=$A37)*MOVIMIENTOS!$E$5:$E$417)+SUMPRODUCT((MOVIMIENTOS!$B$5:$B$417="PROCESO")*(MOVIMIENTOS!$C$5:$C$417="M")*(MOVIMIENTOS!$D$5:$D$417="jabas")*(MOVIMIENTOS!$A$5:$A$417&lt;&gt;"")*(MOVIMIENTOS!$A$5:$A$417&lt;=$A37)*MOVIMIENTOS!$E$5:$E$417)-SUMPRODUCT((MOVIMIENTOS!$B$5:$B$417="ENVÍO A SUPESA")*(MOVIMIENTOS!$C$5:$C$417="M")*(MOVIMIENTOS!$D$5:$D$417="jabas")*(MOVIMIENTOS!$A$5:$A$417&lt;&gt;"")*(MOVIMIENTOS!$A$5:$A$417&lt;=$A37)*MOVIMIENTOS!$E$5:$E$417)+SUMPRODUCT((MOVIMIENTOS!$B$5:$B$417="DEVOLUCIÓN")*(MOVIMIENTOS!$C$5:$C$417="M")*(MOVIMIENTOS!$D$5:$D$417="jabas")*(MOVIMIENTOS!$A$5:$A$417&lt;&gt;"")*(MOVIMIENTOS!$A$5:$A$417&lt;=$A37)*MOVIMIENTOS!$E$5:$E$417)-SUMPRODUCT((MOVIMIENTOS!$B$5:$B$417="TRASIEGO")*(MOVIMIENTOS!$C$5:$C$417="M")*(MOVIMIENTOS!$D$5:$D$417="jabas")*(MOVIMIENTOS!$A$5:$A$417&lt;&gt;"")*(MOVIMIENTOS!$A$5:$A$417&lt;=$A37)*MOVIMIENTOS!$E$5:$E$417)-SUMPRODUCT((MOVIMIENTOS!$B$5:$B$417="REGALO")*(MOVIMIENTOS!$C$5:$C$417="M")*(MOVIMIENTOS!$D$5:$D$417="jabas")*(MOVIMIENTOS!$A$5:$A$417&lt;&gt;"")*(MOVIMIENTOS!$A$5:$A$417&lt;=$A37)*MOVIMIENTOS!$E$5:$E$417)-SUMPRODUCT((MOVIMIENTOS!$B$5:$B$417="VENTA")*(MOVIMIENTOS!$C$5:$C$417="M")*(MOVIMIENTOS!$D$5:$D$417="jabas")*(MOVIMIENTOS!$A$5:$A$417&lt;&gt;"")*(MOVIMIENTOS!$A$5:$A$417&lt;=$A37)*MOVIMIENTOS!$E$5:$E$417)+SUMPRODUCT((MOVIMIENTOS!$B$5:$B$417="AJUSTE")*(MOVIMIENTOS!$C$5:$C$417="M")*(MOVIMIENTOS!$D$5:$D$417="jabas")*(MOVIMIENTOS!$A$5:$A$417&lt;&gt;"")*(MOVIMIENTOS!$A$5:$A$417&lt;=$A37)*MOVIMIENTOS!$E$5:$E$417))</f>
        <v/>
      </c>
      <c r="F37" s="56" t="str">
        <f>IF($A37="","",SUMPRODUCT((MOVIMIENTOS!$B$5:$B$417="SALDO INICIAL")*(MOVIMIENTOS!$C$5:$C$417="Chancho")*(MOVIMIENTOS!$D$5:$D$417="sacos")*(MOVIMIENTOS!$A$5:$A$417&lt;&gt;"")*(MOVIMIENTOS!$A$5:$A$417&lt;=$A37)*MOVIMIENTOS!$E$5:$E$417)+SUMPRODUCT((MOVIMIENTOS!$B$5:$B$417="PROCESO")*(MOVIMIENTOS!$C$5:$C$417="Chancho")*(MOVIMIENTOS!$D$5:$D$417="sacos")*(MOVIMIENTOS!$A$5:$A$417&lt;&gt;"")*(MOVIMIENTOS!$A$5:$A$417&lt;=$A37)*MOVIMIENTOS!$E$5:$E$417)-SUMPRODUCT((MOVIMIENTOS!$B$5:$B$417="VENTA CHANCHO")*(MOVIMIENTOS!$C$5:$C$417="Chancho")*(MOVIMIENTOS!$D$5:$D$417="sacos")*(MOVIMIENTOS!$A$5:$A$417&lt;&gt;"")*(MOVIMIENTOS!$A$5:$A$417&lt;=$A37)*MOVIMIENTOS!$E$5:$E$417)-SUMPRODUCT((MOVIMIENTOS!$B$5:$B$417="REGALO")*(MOVIMIENTOS!$C$5:$C$417="Chancho")*(MOVIMIENTOS!$D$5:$D$417="sacos")*(MOVIMIENTOS!$A$5:$A$417&lt;&gt;"")*(MOVIMIENTOS!$A$5:$A$417&lt;=$A37)*MOVIMIENTOS!$E$5:$E$417)-SUMPRODUCT((MOVIMIENTOS!$B$5:$B$417="VENTA")*(MOVIMIENTOS!$C$5:$C$417="Chancho")*(MOVIMIENTOS!$D$5:$D$417="sacos")*(MOVIMIENTOS!$A$5:$A$417&lt;&gt;"")*(MOVIMIENTOS!$A$5:$A$417&lt;=$A37)*MOVIMIENTOS!$E$5:$E$417)+SUMPRODUCT((MOVIMIENTOS!$B$5:$B$417="AJUSTE")*(MOVIMIENTOS!$C$5:$C$417="Chancho")*(MOVIMIENTOS!$D$5:$D$417="sacos")*(MOVIMIENTOS!$A$5:$A$417&lt;&gt;"")*(MOVIMIENTOS!$A$5:$A$417&lt;=$A37)*MOVIMIENTOS!$E$5:$E$417))</f>
        <v/>
      </c>
      <c r="G37" s="56" t="str">
        <f t="shared" ref="G37:G69" si="3">IF($A37="","",SUM(B37:E37))</f>
        <v/>
      </c>
      <c r="H37" s="56" t="str">
        <f>IF($A37="","",SUMPRODUCT((((MOVIMIENTOS!$B$5:$B$417="SALDO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37)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37)*MOVIMIENTOS!$I$5:$I$417))</f>
        <v/>
      </c>
      <c r="I37" s="54"/>
      <c r="J37" s="54" t="str">
        <f>IF(AND(MOVIMIENTOS!$A37&lt;&gt;"",COUNTIF(MOVIMIENTOS!$A$5:$A36,MOVIMIENTOS!$A37)=0),COUNT(J$4:J36)+1,"")</f>
        <v/>
      </c>
      <c r="K37" s="57">
        <f>MOVIMIENTOS!$A37</f>
        <v>46217</v>
      </c>
      <c r="L37" s="54"/>
      <c r="M37" s="54"/>
      <c r="N37" s="54"/>
    </row>
    <row r="38" spans="1:14" ht="15" customHeight="1" x14ac:dyDescent="0.2">
      <c r="A38" s="55" t="str">
        <f t="shared" si="2"/>
        <v/>
      </c>
      <c r="B38" s="56" t="str">
        <f>IF($A38="","",SUMPRODUCT((MOVIMIENTOS!$B$5:$B$417="SALDO INICIAL")*(MOVIMIENTOS!$C$5:$C$417="A")*(MOVIMIENTOS!$D$5:$D$417="jabas")*(MOVIMIENTOS!$A$5:$A$417&lt;&gt;"")*(MOVIMIENTOS!$A$5:$A$417&lt;=$A38)*MOVIMIENTOS!$E$5:$E$417)+SUMPRODUCT((MOVIMIENTOS!$B$5:$B$417="PROCESO")*(MOVIMIENTOS!$C$5:$C$417="A")*(MOVIMIENTOS!$D$5:$D$417="jabas")*(MOVIMIENTOS!$A$5:$A$417&lt;&gt;"")*(MOVIMIENTOS!$A$5:$A$417&lt;=$A38)*MOVIMIENTOS!$E$5:$E$417)-SUMPRODUCT((MOVIMIENTOS!$B$5:$B$417="ENVÍO A SUPESA")*(MOVIMIENTOS!$C$5:$C$417="A")*(MOVIMIENTOS!$D$5:$D$417="jabas")*(MOVIMIENTOS!$A$5:$A$417&lt;&gt;"")*(MOVIMIENTOS!$A$5:$A$417&lt;=$A38)*MOVIMIENTOS!$E$5:$E$417)+SUMPRODUCT((MOVIMIENTOS!$B$5:$B$417="DEVOLUCIÓN")*(MOVIMIENTOS!$C$5:$C$417="A")*(MOVIMIENTOS!$D$5:$D$417="jabas")*(MOVIMIENTOS!$A$5:$A$417&lt;&gt;"")*(MOVIMIENTOS!$A$5:$A$417&lt;=$A38)*MOVIMIENTOS!$E$5:$E$417)-SUMPRODUCT((MOVIMIENTOS!$B$5:$B$417="TRASIEGO")*(MOVIMIENTOS!$C$5:$C$417="A")*(MOVIMIENTOS!$D$5:$D$417="jabas")*(MOVIMIENTOS!$A$5:$A$417&lt;&gt;"")*(MOVIMIENTOS!$A$5:$A$417&lt;=$A38)*MOVIMIENTOS!$E$5:$E$417)-SUMPRODUCT((MOVIMIENTOS!$B$5:$B$417="REGALO")*(MOVIMIENTOS!$C$5:$C$417="A")*(MOVIMIENTOS!$D$5:$D$417="jabas")*(MOVIMIENTOS!$A$5:$A$417&lt;&gt;"")*(MOVIMIENTOS!$A$5:$A$417&lt;=$A38)*MOVIMIENTOS!$E$5:$E$417)-SUMPRODUCT((MOVIMIENTOS!$B$5:$B$417="VENTA")*(MOVIMIENTOS!$C$5:$C$417="A")*(MOVIMIENTOS!$D$5:$D$417="jabas")*(MOVIMIENTOS!$A$5:$A$417&lt;&gt;"")*(MOVIMIENTOS!$A$5:$A$417&lt;=$A38)*MOVIMIENTOS!$E$5:$E$417)+SUMPRODUCT((MOVIMIENTOS!$B$5:$B$417="AJUSTE")*(MOVIMIENTOS!$C$5:$C$417="A")*(MOVIMIENTOS!$D$5:$D$417="jabas")*(MOVIMIENTOS!$A$5:$A$417&lt;&gt;"")*(MOVIMIENTOS!$A$5:$A$417&lt;=$A38)*MOVIMIENTOS!$E$5:$E$417))</f>
        <v/>
      </c>
      <c r="C38" s="56" t="str">
        <f>IF($A38="","",SUMPRODUCT((MOVIMIENTOS!$B$5:$B$417="SALDO INICIAL")*(MOVIMIENTOS!$C$5:$C$417="P")*(MOVIMIENTOS!$D$5:$D$417="jabas")*(MOVIMIENTOS!$A$5:$A$417&lt;&gt;"")*(MOVIMIENTOS!$A$5:$A$417&lt;=$A38)*MOVIMIENTOS!$E$5:$E$417)+SUMPRODUCT((MOVIMIENTOS!$B$5:$B$417="PROCESO")*(MOVIMIENTOS!$C$5:$C$417="P")*(MOVIMIENTOS!$D$5:$D$417="jabas")*(MOVIMIENTOS!$A$5:$A$417&lt;&gt;"")*(MOVIMIENTOS!$A$5:$A$417&lt;=$A38)*MOVIMIENTOS!$E$5:$E$417)-SUMPRODUCT((MOVIMIENTOS!$B$5:$B$417="ENVÍO A SUPESA")*(MOVIMIENTOS!$C$5:$C$417="P")*(MOVIMIENTOS!$D$5:$D$417="jabas")*(MOVIMIENTOS!$A$5:$A$417&lt;&gt;"")*(MOVIMIENTOS!$A$5:$A$417&lt;=$A38)*MOVIMIENTOS!$E$5:$E$417)+SUMPRODUCT((MOVIMIENTOS!$B$5:$B$417="DEVOLUCIÓN")*(MOVIMIENTOS!$C$5:$C$417="P")*(MOVIMIENTOS!$D$5:$D$417="jabas")*(MOVIMIENTOS!$A$5:$A$417&lt;&gt;"")*(MOVIMIENTOS!$A$5:$A$417&lt;=$A38)*MOVIMIENTOS!$E$5:$E$417)-SUMPRODUCT((MOVIMIENTOS!$B$5:$B$417="TRASIEGO")*(MOVIMIENTOS!$C$5:$C$417="P")*(MOVIMIENTOS!$D$5:$D$417="jabas")*(MOVIMIENTOS!$A$5:$A$417&lt;&gt;"")*(MOVIMIENTOS!$A$5:$A$417&lt;=$A38)*MOVIMIENTOS!$E$5:$E$417)-SUMPRODUCT((MOVIMIENTOS!$B$5:$B$417="REGALO")*(MOVIMIENTOS!$C$5:$C$417="P")*(MOVIMIENTOS!$D$5:$D$417="jabas")*(MOVIMIENTOS!$A$5:$A$417&lt;&gt;"")*(MOVIMIENTOS!$A$5:$A$417&lt;=$A38)*MOVIMIENTOS!$E$5:$E$417)-SUMPRODUCT((MOVIMIENTOS!$B$5:$B$417="VENTA")*(MOVIMIENTOS!$C$5:$C$417="P")*(MOVIMIENTOS!$D$5:$D$417="jabas")*(MOVIMIENTOS!$A$5:$A$417&lt;&gt;"")*(MOVIMIENTOS!$A$5:$A$417&lt;=$A38)*MOVIMIENTOS!$E$5:$E$417)+SUMPRODUCT((MOVIMIENTOS!$B$5:$B$417="AJUSTE")*(MOVIMIENTOS!$C$5:$C$417="P")*(MOVIMIENTOS!$D$5:$D$417="jabas")*(MOVIMIENTOS!$A$5:$A$417&lt;&gt;"")*(MOVIMIENTOS!$A$5:$A$417&lt;=$A38)*MOVIMIENTOS!$E$5:$E$417))</f>
        <v/>
      </c>
      <c r="D38" s="56" t="str">
        <f>IF($A38="","",SUMPRODUCT((MOVIMIENTOS!$B$5:$B$417="SALDO INICIAL")*(MOVIMIENTOS!$C$5:$C$417="C")*(MOVIMIENTOS!$D$5:$D$417="jabas")*(MOVIMIENTOS!$A$5:$A$417&lt;&gt;"")*(MOVIMIENTOS!$A$5:$A$417&lt;=$A38)*MOVIMIENTOS!$E$5:$E$417)+SUMPRODUCT((MOVIMIENTOS!$B$5:$B$417="PROCESO")*(MOVIMIENTOS!$C$5:$C$417="C")*(MOVIMIENTOS!$D$5:$D$417="jabas")*(MOVIMIENTOS!$A$5:$A$417&lt;&gt;"")*(MOVIMIENTOS!$A$5:$A$417&lt;=$A38)*MOVIMIENTOS!$E$5:$E$417)-SUMPRODUCT((MOVIMIENTOS!$B$5:$B$417="ENVÍO A SUPESA")*(MOVIMIENTOS!$C$5:$C$417="C")*(MOVIMIENTOS!$D$5:$D$417="jabas")*(MOVIMIENTOS!$A$5:$A$417&lt;&gt;"")*(MOVIMIENTOS!$A$5:$A$417&lt;=$A38)*MOVIMIENTOS!$E$5:$E$417)+SUMPRODUCT((MOVIMIENTOS!$B$5:$B$417="DEVOLUCIÓN")*(MOVIMIENTOS!$C$5:$C$417="C")*(MOVIMIENTOS!$D$5:$D$417="jabas")*(MOVIMIENTOS!$A$5:$A$417&lt;&gt;"")*(MOVIMIENTOS!$A$5:$A$417&lt;=$A38)*MOVIMIENTOS!$E$5:$E$417)-SUMPRODUCT((MOVIMIENTOS!$B$5:$B$417="TRASIEGO")*(MOVIMIENTOS!$C$5:$C$417="C")*(MOVIMIENTOS!$D$5:$D$417="jabas")*(MOVIMIENTOS!$A$5:$A$417&lt;&gt;"")*(MOVIMIENTOS!$A$5:$A$417&lt;=$A38)*MOVIMIENTOS!$E$5:$E$417)-SUMPRODUCT((MOVIMIENTOS!$B$5:$B$417="REGALO")*(MOVIMIENTOS!$C$5:$C$417="C")*(MOVIMIENTOS!$D$5:$D$417="jabas")*(MOVIMIENTOS!$A$5:$A$417&lt;&gt;"")*(MOVIMIENTOS!$A$5:$A$417&lt;=$A38)*MOVIMIENTOS!$E$5:$E$417)-SUMPRODUCT((MOVIMIENTOS!$B$5:$B$417="VENTA")*(MOVIMIENTOS!$C$5:$C$417="C")*(MOVIMIENTOS!$D$5:$D$417="jabas")*(MOVIMIENTOS!$A$5:$A$417&lt;&gt;"")*(MOVIMIENTOS!$A$5:$A$417&lt;=$A38)*MOVIMIENTOS!$E$5:$E$417)+SUMPRODUCT((MOVIMIENTOS!$B$5:$B$417="AJUSTE")*(MOVIMIENTOS!$C$5:$C$417="C")*(MOVIMIENTOS!$D$5:$D$417="jabas")*(MOVIMIENTOS!$A$5:$A$417&lt;&gt;"")*(MOVIMIENTOS!$A$5:$A$417&lt;=$A38)*MOVIMIENTOS!$E$5:$E$417))</f>
        <v/>
      </c>
      <c r="E38" s="56" t="str">
        <f>IF($A38="","",SUMPRODUCT((MOVIMIENTOS!$B$5:$B$417="SALDO INICIAL")*(MOVIMIENTOS!$C$5:$C$417="M")*(MOVIMIENTOS!$D$5:$D$417="jabas")*(MOVIMIENTOS!$A$5:$A$417&lt;&gt;"")*(MOVIMIENTOS!$A$5:$A$417&lt;=$A38)*MOVIMIENTOS!$E$5:$E$417)+SUMPRODUCT((MOVIMIENTOS!$B$5:$B$417="PROCESO")*(MOVIMIENTOS!$C$5:$C$417="M")*(MOVIMIENTOS!$D$5:$D$417="jabas")*(MOVIMIENTOS!$A$5:$A$417&lt;&gt;"")*(MOVIMIENTOS!$A$5:$A$417&lt;=$A38)*MOVIMIENTOS!$E$5:$E$417)-SUMPRODUCT((MOVIMIENTOS!$B$5:$B$417="ENVÍO A SUPESA")*(MOVIMIENTOS!$C$5:$C$417="M")*(MOVIMIENTOS!$D$5:$D$417="jabas")*(MOVIMIENTOS!$A$5:$A$417&lt;&gt;"")*(MOVIMIENTOS!$A$5:$A$417&lt;=$A38)*MOVIMIENTOS!$E$5:$E$417)+SUMPRODUCT((MOVIMIENTOS!$B$5:$B$417="DEVOLUCIÓN")*(MOVIMIENTOS!$C$5:$C$417="M")*(MOVIMIENTOS!$D$5:$D$417="jabas")*(MOVIMIENTOS!$A$5:$A$417&lt;&gt;"")*(MOVIMIENTOS!$A$5:$A$417&lt;=$A38)*MOVIMIENTOS!$E$5:$E$417)-SUMPRODUCT((MOVIMIENTOS!$B$5:$B$417="TRASIEGO")*(MOVIMIENTOS!$C$5:$C$417="M")*(MOVIMIENTOS!$D$5:$D$417="jabas")*(MOVIMIENTOS!$A$5:$A$417&lt;&gt;"")*(MOVIMIENTOS!$A$5:$A$417&lt;=$A38)*MOVIMIENTOS!$E$5:$E$417)-SUMPRODUCT((MOVIMIENTOS!$B$5:$B$417="REGALO")*(MOVIMIENTOS!$C$5:$C$417="M")*(MOVIMIENTOS!$D$5:$D$417="jabas")*(MOVIMIENTOS!$A$5:$A$417&lt;&gt;"")*(MOVIMIENTOS!$A$5:$A$417&lt;=$A38)*MOVIMIENTOS!$E$5:$E$417)-SUMPRODUCT((MOVIMIENTOS!$B$5:$B$417="VENTA")*(MOVIMIENTOS!$C$5:$C$417="M")*(MOVIMIENTOS!$D$5:$D$417="jabas")*(MOVIMIENTOS!$A$5:$A$417&lt;&gt;"")*(MOVIMIENTOS!$A$5:$A$417&lt;=$A38)*MOVIMIENTOS!$E$5:$E$417)+SUMPRODUCT((MOVIMIENTOS!$B$5:$B$417="AJUSTE")*(MOVIMIENTOS!$C$5:$C$417="M")*(MOVIMIENTOS!$D$5:$D$417="jabas")*(MOVIMIENTOS!$A$5:$A$417&lt;&gt;"")*(MOVIMIENTOS!$A$5:$A$417&lt;=$A38)*MOVIMIENTOS!$E$5:$E$417))</f>
        <v/>
      </c>
      <c r="F38" s="56" t="str">
        <f>IF($A38="","",SUMPRODUCT((MOVIMIENTOS!$B$5:$B$417="SALDO INICIAL")*(MOVIMIENTOS!$C$5:$C$417="Chancho")*(MOVIMIENTOS!$D$5:$D$417="sacos")*(MOVIMIENTOS!$A$5:$A$417&lt;&gt;"")*(MOVIMIENTOS!$A$5:$A$417&lt;=$A38)*MOVIMIENTOS!$E$5:$E$417)+SUMPRODUCT((MOVIMIENTOS!$B$5:$B$417="PROCESO")*(MOVIMIENTOS!$C$5:$C$417="Chancho")*(MOVIMIENTOS!$D$5:$D$417="sacos")*(MOVIMIENTOS!$A$5:$A$417&lt;&gt;"")*(MOVIMIENTOS!$A$5:$A$417&lt;=$A38)*MOVIMIENTOS!$E$5:$E$417)-SUMPRODUCT((MOVIMIENTOS!$B$5:$B$417="VENTA CHANCHO")*(MOVIMIENTOS!$C$5:$C$417="Chancho")*(MOVIMIENTOS!$D$5:$D$417="sacos")*(MOVIMIENTOS!$A$5:$A$417&lt;&gt;"")*(MOVIMIENTOS!$A$5:$A$417&lt;=$A38)*MOVIMIENTOS!$E$5:$E$417)-SUMPRODUCT((MOVIMIENTOS!$B$5:$B$417="REGALO")*(MOVIMIENTOS!$C$5:$C$417="Chancho")*(MOVIMIENTOS!$D$5:$D$417="sacos")*(MOVIMIENTOS!$A$5:$A$417&lt;&gt;"")*(MOVIMIENTOS!$A$5:$A$417&lt;=$A38)*MOVIMIENTOS!$E$5:$E$417)-SUMPRODUCT((MOVIMIENTOS!$B$5:$B$417="VENTA")*(MOVIMIENTOS!$C$5:$C$417="Chancho")*(MOVIMIENTOS!$D$5:$D$417="sacos")*(MOVIMIENTOS!$A$5:$A$417&lt;&gt;"")*(MOVIMIENTOS!$A$5:$A$417&lt;=$A38)*MOVIMIENTOS!$E$5:$E$417)+SUMPRODUCT((MOVIMIENTOS!$B$5:$B$417="AJUSTE")*(MOVIMIENTOS!$C$5:$C$417="Chancho")*(MOVIMIENTOS!$D$5:$D$417="sacos")*(MOVIMIENTOS!$A$5:$A$417&lt;&gt;"")*(MOVIMIENTOS!$A$5:$A$417&lt;=$A38)*MOVIMIENTOS!$E$5:$E$417))</f>
        <v/>
      </c>
      <c r="G38" s="56" t="str">
        <f t="shared" si="3"/>
        <v/>
      </c>
      <c r="H38" s="56" t="str">
        <f>IF($A38="","",SUMPRODUCT((((MOVIMIENTOS!$B$5:$B$417="SALDO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38)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38)*MOVIMIENTOS!$I$5:$I$417))</f>
        <v/>
      </c>
      <c r="I38" s="54"/>
      <c r="J38" s="54" t="str">
        <f>IF(AND(MOVIMIENTOS!$A38&lt;&gt;"",COUNTIF(MOVIMIENTOS!$A$5:$A37,MOVIMIENTOS!$A38)=0),COUNT(J$4:J37)+1,"")</f>
        <v/>
      </c>
      <c r="K38" s="57">
        <f>MOVIMIENTOS!$A38</f>
        <v>46217</v>
      </c>
      <c r="L38" s="54"/>
      <c r="M38" s="54"/>
      <c r="N38" s="54"/>
    </row>
    <row r="39" spans="1:14" ht="15" customHeight="1" x14ac:dyDescent="0.2">
      <c r="A39" s="55" t="str">
        <f t="shared" si="2"/>
        <v/>
      </c>
      <c r="B39" s="56" t="str">
        <f>IF($A39="","",SUMPRODUCT((MOVIMIENTOS!$B$5:$B$417="SALDO INICIAL")*(MOVIMIENTOS!$C$5:$C$417="A")*(MOVIMIENTOS!$D$5:$D$417="jabas")*(MOVIMIENTOS!$A$5:$A$417&lt;&gt;"")*(MOVIMIENTOS!$A$5:$A$417&lt;=$A39)*MOVIMIENTOS!$E$5:$E$417)+SUMPRODUCT((MOVIMIENTOS!$B$5:$B$417="PROCESO")*(MOVIMIENTOS!$C$5:$C$417="A")*(MOVIMIENTOS!$D$5:$D$417="jabas")*(MOVIMIENTOS!$A$5:$A$417&lt;&gt;"")*(MOVIMIENTOS!$A$5:$A$417&lt;=$A39)*MOVIMIENTOS!$E$5:$E$417)-SUMPRODUCT((MOVIMIENTOS!$B$5:$B$417="ENVÍO A SUPESA")*(MOVIMIENTOS!$C$5:$C$417="A")*(MOVIMIENTOS!$D$5:$D$417="jabas")*(MOVIMIENTOS!$A$5:$A$417&lt;&gt;"")*(MOVIMIENTOS!$A$5:$A$417&lt;=$A39)*MOVIMIENTOS!$E$5:$E$417)+SUMPRODUCT((MOVIMIENTOS!$B$5:$B$417="DEVOLUCIÓN")*(MOVIMIENTOS!$C$5:$C$417="A")*(MOVIMIENTOS!$D$5:$D$417="jabas")*(MOVIMIENTOS!$A$5:$A$417&lt;&gt;"")*(MOVIMIENTOS!$A$5:$A$417&lt;=$A39)*MOVIMIENTOS!$E$5:$E$417)-SUMPRODUCT((MOVIMIENTOS!$B$5:$B$417="TRASIEGO")*(MOVIMIENTOS!$C$5:$C$417="A")*(MOVIMIENTOS!$D$5:$D$417="jabas")*(MOVIMIENTOS!$A$5:$A$417&lt;&gt;"")*(MOVIMIENTOS!$A$5:$A$417&lt;=$A39)*MOVIMIENTOS!$E$5:$E$417)-SUMPRODUCT((MOVIMIENTOS!$B$5:$B$417="REGALO")*(MOVIMIENTOS!$C$5:$C$417="A")*(MOVIMIENTOS!$D$5:$D$417="jabas")*(MOVIMIENTOS!$A$5:$A$417&lt;&gt;"")*(MOVIMIENTOS!$A$5:$A$417&lt;=$A39)*MOVIMIENTOS!$E$5:$E$417)-SUMPRODUCT((MOVIMIENTOS!$B$5:$B$417="VENTA")*(MOVIMIENTOS!$C$5:$C$417="A")*(MOVIMIENTOS!$D$5:$D$417="jabas")*(MOVIMIENTOS!$A$5:$A$417&lt;&gt;"")*(MOVIMIENTOS!$A$5:$A$417&lt;=$A39)*MOVIMIENTOS!$E$5:$E$417)+SUMPRODUCT((MOVIMIENTOS!$B$5:$B$417="AJUSTE")*(MOVIMIENTOS!$C$5:$C$417="A")*(MOVIMIENTOS!$D$5:$D$417="jabas")*(MOVIMIENTOS!$A$5:$A$417&lt;&gt;"")*(MOVIMIENTOS!$A$5:$A$417&lt;=$A39)*MOVIMIENTOS!$E$5:$E$417))</f>
        <v/>
      </c>
      <c r="C39" s="56" t="str">
        <f>IF($A39="","",SUMPRODUCT((MOVIMIENTOS!$B$5:$B$417="SALDO INICIAL")*(MOVIMIENTOS!$C$5:$C$417="P")*(MOVIMIENTOS!$D$5:$D$417="jabas")*(MOVIMIENTOS!$A$5:$A$417&lt;&gt;"")*(MOVIMIENTOS!$A$5:$A$417&lt;=$A39)*MOVIMIENTOS!$E$5:$E$417)+SUMPRODUCT((MOVIMIENTOS!$B$5:$B$417="PROCESO")*(MOVIMIENTOS!$C$5:$C$417="P")*(MOVIMIENTOS!$D$5:$D$417="jabas")*(MOVIMIENTOS!$A$5:$A$417&lt;&gt;"")*(MOVIMIENTOS!$A$5:$A$417&lt;=$A39)*MOVIMIENTOS!$E$5:$E$417)-SUMPRODUCT((MOVIMIENTOS!$B$5:$B$417="ENVÍO A SUPESA")*(MOVIMIENTOS!$C$5:$C$417="P")*(MOVIMIENTOS!$D$5:$D$417="jabas")*(MOVIMIENTOS!$A$5:$A$417&lt;&gt;"")*(MOVIMIENTOS!$A$5:$A$417&lt;=$A39)*MOVIMIENTOS!$E$5:$E$417)+SUMPRODUCT((MOVIMIENTOS!$B$5:$B$417="DEVOLUCIÓN")*(MOVIMIENTOS!$C$5:$C$417="P")*(MOVIMIENTOS!$D$5:$D$417="jabas")*(MOVIMIENTOS!$A$5:$A$417&lt;&gt;"")*(MOVIMIENTOS!$A$5:$A$417&lt;=$A39)*MOVIMIENTOS!$E$5:$E$417)-SUMPRODUCT((MOVIMIENTOS!$B$5:$B$417="TRASIEGO")*(MOVIMIENTOS!$C$5:$C$417="P")*(MOVIMIENTOS!$D$5:$D$417="jabas")*(MOVIMIENTOS!$A$5:$A$417&lt;&gt;"")*(MOVIMIENTOS!$A$5:$A$417&lt;=$A39)*MOVIMIENTOS!$E$5:$E$417)-SUMPRODUCT((MOVIMIENTOS!$B$5:$B$417="REGALO")*(MOVIMIENTOS!$C$5:$C$417="P")*(MOVIMIENTOS!$D$5:$D$417="jabas")*(MOVIMIENTOS!$A$5:$A$417&lt;&gt;"")*(MOVIMIENTOS!$A$5:$A$417&lt;=$A39)*MOVIMIENTOS!$E$5:$E$417)-SUMPRODUCT((MOVIMIENTOS!$B$5:$B$417="VENTA")*(MOVIMIENTOS!$C$5:$C$417="P")*(MOVIMIENTOS!$D$5:$D$417="jabas")*(MOVIMIENTOS!$A$5:$A$417&lt;&gt;"")*(MOVIMIENTOS!$A$5:$A$417&lt;=$A39)*MOVIMIENTOS!$E$5:$E$417)+SUMPRODUCT((MOVIMIENTOS!$B$5:$B$417="AJUSTE")*(MOVIMIENTOS!$C$5:$C$417="P")*(MOVIMIENTOS!$D$5:$D$417="jabas")*(MOVIMIENTOS!$A$5:$A$417&lt;&gt;"")*(MOVIMIENTOS!$A$5:$A$417&lt;=$A39)*MOVIMIENTOS!$E$5:$E$417))</f>
        <v/>
      </c>
      <c r="D39" s="56" t="str">
        <f>IF($A39="","",SUMPRODUCT((MOVIMIENTOS!$B$5:$B$417="SALDO INICIAL")*(MOVIMIENTOS!$C$5:$C$417="C")*(MOVIMIENTOS!$D$5:$D$417="jabas")*(MOVIMIENTOS!$A$5:$A$417&lt;&gt;"")*(MOVIMIENTOS!$A$5:$A$417&lt;=$A39)*MOVIMIENTOS!$E$5:$E$417)+SUMPRODUCT((MOVIMIENTOS!$B$5:$B$417="PROCESO")*(MOVIMIENTOS!$C$5:$C$417="C")*(MOVIMIENTOS!$D$5:$D$417="jabas")*(MOVIMIENTOS!$A$5:$A$417&lt;&gt;"")*(MOVIMIENTOS!$A$5:$A$417&lt;=$A39)*MOVIMIENTOS!$E$5:$E$417)-SUMPRODUCT((MOVIMIENTOS!$B$5:$B$417="ENVÍO A SUPESA")*(MOVIMIENTOS!$C$5:$C$417="C")*(MOVIMIENTOS!$D$5:$D$417="jabas")*(MOVIMIENTOS!$A$5:$A$417&lt;&gt;"")*(MOVIMIENTOS!$A$5:$A$417&lt;=$A39)*MOVIMIENTOS!$E$5:$E$417)+SUMPRODUCT((MOVIMIENTOS!$B$5:$B$417="DEVOLUCIÓN")*(MOVIMIENTOS!$C$5:$C$417="C")*(MOVIMIENTOS!$D$5:$D$417="jabas")*(MOVIMIENTOS!$A$5:$A$417&lt;&gt;"")*(MOVIMIENTOS!$A$5:$A$417&lt;=$A39)*MOVIMIENTOS!$E$5:$E$417)-SUMPRODUCT((MOVIMIENTOS!$B$5:$B$417="TRASIEGO")*(MOVIMIENTOS!$C$5:$C$417="C")*(MOVIMIENTOS!$D$5:$D$417="jabas")*(MOVIMIENTOS!$A$5:$A$417&lt;&gt;"")*(MOVIMIENTOS!$A$5:$A$417&lt;=$A39)*MOVIMIENTOS!$E$5:$E$417)-SUMPRODUCT((MOVIMIENTOS!$B$5:$B$417="REGALO")*(MOVIMIENTOS!$C$5:$C$417="C")*(MOVIMIENTOS!$D$5:$D$417="jabas")*(MOVIMIENTOS!$A$5:$A$417&lt;&gt;"")*(MOVIMIENTOS!$A$5:$A$417&lt;=$A39)*MOVIMIENTOS!$E$5:$E$417)-SUMPRODUCT((MOVIMIENTOS!$B$5:$B$417="VENTA")*(MOVIMIENTOS!$C$5:$C$417="C")*(MOVIMIENTOS!$D$5:$D$417="jabas")*(MOVIMIENTOS!$A$5:$A$417&lt;&gt;"")*(MOVIMIENTOS!$A$5:$A$417&lt;=$A39)*MOVIMIENTOS!$E$5:$E$417)+SUMPRODUCT((MOVIMIENTOS!$B$5:$B$417="AJUSTE")*(MOVIMIENTOS!$C$5:$C$417="C")*(MOVIMIENTOS!$D$5:$D$417="jabas")*(MOVIMIENTOS!$A$5:$A$417&lt;&gt;"")*(MOVIMIENTOS!$A$5:$A$417&lt;=$A39)*MOVIMIENTOS!$E$5:$E$417))</f>
        <v/>
      </c>
      <c r="E39" s="56" t="str">
        <f>IF($A39="","",SUMPRODUCT((MOVIMIENTOS!$B$5:$B$417="SALDO INICIAL")*(MOVIMIENTOS!$C$5:$C$417="M")*(MOVIMIENTOS!$D$5:$D$417="jabas")*(MOVIMIENTOS!$A$5:$A$417&lt;&gt;"")*(MOVIMIENTOS!$A$5:$A$417&lt;=$A39)*MOVIMIENTOS!$E$5:$E$417)+SUMPRODUCT((MOVIMIENTOS!$B$5:$B$417="PROCESO")*(MOVIMIENTOS!$C$5:$C$417="M")*(MOVIMIENTOS!$D$5:$D$417="jabas")*(MOVIMIENTOS!$A$5:$A$417&lt;&gt;"")*(MOVIMIENTOS!$A$5:$A$417&lt;=$A39)*MOVIMIENTOS!$E$5:$E$417)-SUMPRODUCT((MOVIMIENTOS!$B$5:$B$417="ENVÍO A SUPESA")*(MOVIMIENTOS!$C$5:$C$417="M")*(MOVIMIENTOS!$D$5:$D$417="jabas")*(MOVIMIENTOS!$A$5:$A$417&lt;&gt;"")*(MOVIMIENTOS!$A$5:$A$417&lt;=$A39)*MOVIMIENTOS!$E$5:$E$417)+SUMPRODUCT((MOVIMIENTOS!$B$5:$B$417="DEVOLUCIÓN")*(MOVIMIENTOS!$C$5:$C$417="M")*(MOVIMIENTOS!$D$5:$D$417="jabas")*(MOVIMIENTOS!$A$5:$A$417&lt;&gt;"")*(MOVIMIENTOS!$A$5:$A$417&lt;=$A39)*MOVIMIENTOS!$E$5:$E$417)-SUMPRODUCT((MOVIMIENTOS!$B$5:$B$417="TRASIEGO")*(MOVIMIENTOS!$C$5:$C$417="M")*(MOVIMIENTOS!$D$5:$D$417="jabas")*(MOVIMIENTOS!$A$5:$A$417&lt;&gt;"")*(MOVIMIENTOS!$A$5:$A$417&lt;=$A39)*MOVIMIENTOS!$E$5:$E$417)-SUMPRODUCT((MOVIMIENTOS!$B$5:$B$417="REGALO")*(MOVIMIENTOS!$C$5:$C$417="M")*(MOVIMIENTOS!$D$5:$D$417="jabas")*(MOVIMIENTOS!$A$5:$A$417&lt;&gt;"")*(MOVIMIENTOS!$A$5:$A$417&lt;=$A39)*MOVIMIENTOS!$E$5:$E$417)-SUMPRODUCT((MOVIMIENTOS!$B$5:$B$417="VENTA")*(MOVIMIENTOS!$C$5:$C$417="M")*(MOVIMIENTOS!$D$5:$D$417="jabas")*(MOVIMIENTOS!$A$5:$A$417&lt;&gt;"")*(MOVIMIENTOS!$A$5:$A$417&lt;=$A39)*MOVIMIENTOS!$E$5:$E$417)+SUMPRODUCT((MOVIMIENTOS!$B$5:$B$417="AJUSTE")*(MOVIMIENTOS!$C$5:$C$417="M")*(MOVIMIENTOS!$D$5:$D$417="jabas")*(MOVIMIENTOS!$A$5:$A$417&lt;&gt;"")*(MOVIMIENTOS!$A$5:$A$417&lt;=$A39)*MOVIMIENTOS!$E$5:$E$417))</f>
        <v/>
      </c>
      <c r="F39" s="56" t="str">
        <f>IF($A39="","",SUMPRODUCT((MOVIMIENTOS!$B$5:$B$417="SALDO INICIAL")*(MOVIMIENTOS!$C$5:$C$417="Chancho")*(MOVIMIENTOS!$D$5:$D$417="sacos")*(MOVIMIENTOS!$A$5:$A$417&lt;&gt;"")*(MOVIMIENTOS!$A$5:$A$417&lt;=$A39)*MOVIMIENTOS!$E$5:$E$417)+SUMPRODUCT((MOVIMIENTOS!$B$5:$B$417="PROCESO")*(MOVIMIENTOS!$C$5:$C$417="Chancho")*(MOVIMIENTOS!$D$5:$D$417="sacos")*(MOVIMIENTOS!$A$5:$A$417&lt;&gt;"")*(MOVIMIENTOS!$A$5:$A$417&lt;=$A39)*MOVIMIENTOS!$E$5:$E$417)-SUMPRODUCT((MOVIMIENTOS!$B$5:$B$417="VENTA CHANCHO")*(MOVIMIENTOS!$C$5:$C$417="Chancho")*(MOVIMIENTOS!$D$5:$D$417="sacos")*(MOVIMIENTOS!$A$5:$A$417&lt;&gt;"")*(MOVIMIENTOS!$A$5:$A$417&lt;=$A39)*MOVIMIENTOS!$E$5:$E$417)-SUMPRODUCT((MOVIMIENTOS!$B$5:$B$417="REGALO")*(MOVIMIENTOS!$C$5:$C$417="Chancho")*(MOVIMIENTOS!$D$5:$D$417="sacos")*(MOVIMIENTOS!$A$5:$A$417&lt;&gt;"")*(MOVIMIENTOS!$A$5:$A$417&lt;=$A39)*MOVIMIENTOS!$E$5:$E$417)-SUMPRODUCT((MOVIMIENTOS!$B$5:$B$417="VENTA")*(MOVIMIENTOS!$C$5:$C$417="Chancho")*(MOVIMIENTOS!$D$5:$D$417="sacos")*(MOVIMIENTOS!$A$5:$A$417&lt;&gt;"")*(MOVIMIENTOS!$A$5:$A$417&lt;=$A39)*MOVIMIENTOS!$E$5:$E$417)+SUMPRODUCT((MOVIMIENTOS!$B$5:$B$417="AJUSTE")*(MOVIMIENTOS!$C$5:$C$417="Chancho")*(MOVIMIENTOS!$D$5:$D$417="sacos")*(MOVIMIENTOS!$A$5:$A$417&lt;&gt;"")*(MOVIMIENTOS!$A$5:$A$417&lt;=$A39)*MOVIMIENTOS!$E$5:$E$417))</f>
        <v/>
      </c>
      <c r="G39" s="56" t="str">
        <f t="shared" si="3"/>
        <v/>
      </c>
      <c r="H39" s="56" t="str">
        <f>IF($A39="","",SUMPRODUCT((((MOVIMIENTOS!$B$5:$B$417="SALDO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39)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39)*MOVIMIENTOS!$I$5:$I$417))</f>
        <v/>
      </c>
      <c r="I39" s="54"/>
      <c r="J39" s="54">
        <f>IF(AND(MOVIMIENTOS!$A39&lt;&gt;"",COUNTIF(MOVIMIENTOS!$A$5:$A38,MOVIMIENTOS!$A39)=0),COUNT(J$4:J38)+1,"")</f>
        <v>5</v>
      </c>
      <c r="K39" s="57">
        <f>MOVIMIENTOS!$A39</f>
        <v>46218</v>
      </c>
      <c r="L39" s="54"/>
      <c r="M39" s="54"/>
      <c r="N39" s="54"/>
    </row>
    <row r="40" spans="1:14" ht="15" customHeight="1" x14ac:dyDescent="0.2">
      <c r="A40" s="55" t="str">
        <f t="shared" si="2"/>
        <v/>
      </c>
      <c r="B40" s="56" t="str">
        <f>IF($A40="","",SUMPRODUCT((MOVIMIENTOS!$B$5:$B$417="SALDO INICIAL")*(MOVIMIENTOS!$C$5:$C$417="A")*(MOVIMIENTOS!$D$5:$D$417="jabas")*(MOVIMIENTOS!$A$5:$A$417&lt;&gt;"")*(MOVIMIENTOS!$A$5:$A$417&lt;=$A40)*MOVIMIENTOS!$E$5:$E$417)+SUMPRODUCT((MOVIMIENTOS!$B$5:$B$417="PROCESO")*(MOVIMIENTOS!$C$5:$C$417="A")*(MOVIMIENTOS!$D$5:$D$417="jabas")*(MOVIMIENTOS!$A$5:$A$417&lt;&gt;"")*(MOVIMIENTOS!$A$5:$A$417&lt;=$A40)*MOVIMIENTOS!$E$5:$E$417)-SUMPRODUCT((MOVIMIENTOS!$B$5:$B$417="ENVÍO A SUPESA")*(MOVIMIENTOS!$C$5:$C$417="A")*(MOVIMIENTOS!$D$5:$D$417="jabas")*(MOVIMIENTOS!$A$5:$A$417&lt;&gt;"")*(MOVIMIENTOS!$A$5:$A$417&lt;=$A40)*MOVIMIENTOS!$E$5:$E$417)+SUMPRODUCT((MOVIMIENTOS!$B$5:$B$417="DEVOLUCIÓN")*(MOVIMIENTOS!$C$5:$C$417="A")*(MOVIMIENTOS!$D$5:$D$417="jabas")*(MOVIMIENTOS!$A$5:$A$417&lt;&gt;"")*(MOVIMIENTOS!$A$5:$A$417&lt;=$A40)*MOVIMIENTOS!$E$5:$E$417)-SUMPRODUCT((MOVIMIENTOS!$B$5:$B$417="TRASIEGO")*(MOVIMIENTOS!$C$5:$C$417="A")*(MOVIMIENTOS!$D$5:$D$417="jabas")*(MOVIMIENTOS!$A$5:$A$417&lt;&gt;"")*(MOVIMIENTOS!$A$5:$A$417&lt;=$A40)*MOVIMIENTOS!$E$5:$E$417)-SUMPRODUCT((MOVIMIENTOS!$B$5:$B$417="REGALO")*(MOVIMIENTOS!$C$5:$C$417="A")*(MOVIMIENTOS!$D$5:$D$417="jabas")*(MOVIMIENTOS!$A$5:$A$417&lt;&gt;"")*(MOVIMIENTOS!$A$5:$A$417&lt;=$A40)*MOVIMIENTOS!$E$5:$E$417)-SUMPRODUCT((MOVIMIENTOS!$B$5:$B$417="VENTA")*(MOVIMIENTOS!$C$5:$C$417="A")*(MOVIMIENTOS!$D$5:$D$417="jabas")*(MOVIMIENTOS!$A$5:$A$417&lt;&gt;"")*(MOVIMIENTOS!$A$5:$A$417&lt;=$A40)*MOVIMIENTOS!$E$5:$E$417)+SUMPRODUCT((MOVIMIENTOS!$B$5:$B$417="AJUSTE")*(MOVIMIENTOS!$C$5:$C$417="A")*(MOVIMIENTOS!$D$5:$D$417="jabas")*(MOVIMIENTOS!$A$5:$A$417&lt;&gt;"")*(MOVIMIENTOS!$A$5:$A$417&lt;=$A40)*MOVIMIENTOS!$E$5:$E$417))</f>
        <v/>
      </c>
      <c r="C40" s="56" t="str">
        <f>IF($A40="","",SUMPRODUCT((MOVIMIENTOS!$B$5:$B$417="SALDO INICIAL")*(MOVIMIENTOS!$C$5:$C$417="P")*(MOVIMIENTOS!$D$5:$D$417="jabas")*(MOVIMIENTOS!$A$5:$A$417&lt;&gt;"")*(MOVIMIENTOS!$A$5:$A$417&lt;=$A40)*MOVIMIENTOS!$E$5:$E$417)+SUMPRODUCT((MOVIMIENTOS!$B$5:$B$417="PROCESO")*(MOVIMIENTOS!$C$5:$C$417="P")*(MOVIMIENTOS!$D$5:$D$417="jabas")*(MOVIMIENTOS!$A$5:$A$417&lt;&gt;"")*(MOVIMIENTOS!$A$5:$A$417&lt;=$A40)*MOVIMIENTOS!$E$5:$E$417)-SUMPRODUCT((MOVIMIENTOS!$B$5:$B$417="ENVÍO A SUPESA")*(MOVIMIENTOS!$C$5:$C$417="P")*(MOVIMIENTOS!$D$5:$D$417="jabas")*(MOVIMIENTOS!$A$5:$A$417&lt;&gt;"")*(MOVIMIENTOS!$A$5:$A$417&lt;=$A40)*MOVIMIENTOS!$E$5:$E$417)+SUMPRODUCT((MOVIMIENTOS!$B$5:$B$417="DEVOLUCIÓN")*(MOVIMIENTOS!$C$5:$C$417="P")*(MOVIMIENTOS!$D$5:$D$417="jabas")*(MOVIMIENTOS!$A$5:$A$417&lt;&gt;"")*(MOVIMIENTOS!$A$5:$A$417&lt;=$A40)*MOVIMIENTOS!$E$5:$E$417)-SUMPRODUCT((MOVIMIENTOS!$B$5:$B$417="TRASIEGO")*(MOVIMIENTOS!$C$5:$C$417="P")*(MOVIMIENTOS!$D$5:$D$417="jabas")*(MOVIMIENTOS!$A$5:$A$417&lt;&gt;"")*(MOVIMIENTOS!$A$5:$A$417&lt;=$A40)*MOVIMIENTOS!$E$5:$E$417)-SUMPRODUCT((MOVIMIENTOS!$B$5:$B$417="REGALO")*(MOVIMIENTOS!$C$5:$C$417="P")*(MOVIMIENTOS!$D$5:$D$417="jabas")*(MOVIMIENTOS!$A$5:$A$417&lt;&gt;"")*(MOVIMIENTOS!$A$5:$A$417&lt;=$A40)*MOVIMIENTOS!$E$5:$E$417)-SUMPRODUCT((MOVIMIENTOS!$B$5:$B$417="VENTA")*(MOVIMIENTOS!$C$5:$C$417="P")*(MOVIMIENTOS!$D$5:$D$417="jabas")*(MOVIMIENTOS!$A$5:$A$417&lt;&gt;"")*(MOVIMIENTOS!$A$5:$A$417&lt;=$A40)*MOVIMIENTOS!$E$5:$E$417)+SUMPRODUCT((MOVIMIENTOS!$B$5:$B$417="AJUSTE")*(MOVIMIENTOS!$C$5:$C$417="P")*(MOVIMIENTOS!$D$5:$D$417="jabas")*(MOVIMIENTOS!$A$5:$A$417&lt;&gt;"")*(MOVIMIENTOS!$A$5:$A$417&lt;=$A40)*MOVIMIENTOS!$E$5:$E$417))</f>
        <v/>
      </c>
      <c r="D40" s="56" t="str">
        <f>IF($A40="","",SUMPRODUCT((MOVIMIENTOS!$B$5:$B$417="SALDO INICIAL")*(MOVIMIENTOS!$C$5:$C$417="C")*(MOVIMIENTOS!$D$5:$D$417="jabas")*(MOVIMIENTOS!$A$5:$A$417&lt;&gt;"")*(MOVIMIENTOS!$A$5:$A$417&lt;=$A40)*MOVIMIENTOS!$E$5:$E$417)+SUMPRODUCT((MOVIMIENTOS!$B$5:$B$417="PROCESO")*(MOVIMIENTOS!$C$5:$C$417="C")*(MOVIMIENTOS!$D$5:$D$417="jabas")*(MOVIMIENTOS!$A$5:$A$417&lt;&gt;"")*(MOVIMIENTOS!$A$5:$A$417&lt;=$A40)*MOVIMIENTOS!$E$5:$E$417)-SUMPRODUCT((MOVIMIENTOS!$B$5:$B$417="ENVÍO A SUPESA")*(MOVIMIENTOS!$C$5:$C$417="C")*(MOVIMIENTOS!$D$5:$D$417="jabas")*(MOVIMIENTOS!$A$5:$A$417&lt;&gt;"")*(MOVIMIENTOS!$A$5:$A$417&lt;=$A40)*MOVIMIENTOS!$E$5:$E$417)+SUMPRODUCT((MOVIMIENTOS!$B$5:$B$417="DEVOLUCIÓN")*(MOVIMIENTOS!$C$5:$C$417="C")*(MOVIMIENTOS!$D$5:$D$417="jabas")*(MOVIMIENTOS!$A$5:$A$417&lt;&gt;"")*(MOVIMIENTOS!$A$5:$A$417&lt;=$A40)*MOVIMIENTOS!$E$5:$E$417)-SUMPRODUCT((MOVIMIENTOS!$B$5:$B$417="TRASIEGO")*(MOVIMIENTOS!$C$5:$C$417="C")*(MOVIMIENTOS!$D$5:$D$417="jabas")*(MOVIMIENTOS!$A$5:$A$417&lt;&gt;"")*(MOVIMIENTOS!$A$5:$A$417&lt;=$A40)*MOVIMIENTOS!$E$5:$E$417)-SUMPRODUCT((MOVIMIENTOS!$B$5:$B$417="REGALO")*(MOVIMIENTOS!$C$5:$C$417="C")*(MOVIMIENTOS!$D$5:$D$417="jabas")*(MOVIMIENTOS!$A$5:$A$417&lt;&gt;"")*(MOVIMIENTOS!$A$5:$A$417&lt;=$A40)*MOVIMIENTOS!$E$5:$E$417)-SUMPRODUCT((MOVIMIENTOS!$B$5:$B$417="VENTA")*(MOVIMIENTOS!$C$5:$C$417="C")*(MOVIMIENTOS!$D$5:$D$417="jabas")*(MOVIMIENTOS!$A$5:$A$417&lt;&gt;"")*(MOVIMIENTOS!$A$5:$A$417&lt;=$A40)*MOVIMIENTOS!$E$5:$E$417)+SUMPRODUCT((MOVIMIENTOS!$B$5:$B$417="AJUSTE")*(MOVIMIENTOS!$C$5:$C$417="C")*(MOVIMIENTOS!$D$5:$D$417="jabas")*(MOVIMIENTOS!$A$5:$A$417&lt;&gt;"")*(MOVIMIENTOS!$A$5:$A$417&lt;=$A40)*MOVIMIENTOS!$E$5:$E$417))</f>
        <v/>
      </c>
      <c r="E40" s="56" t="str">
        <f>IF($A40="","",SUMPRODUCT((MOVIMIENTOS!$B$5:$B$417="SALDO INICIAL")*(MOVIMIENTOS!$C$5:$C$417="M")*(MOVIMIENTOS!$D$5:$D$417="jabas")*(MOVIMIENTOS!$A$5:$A$417&lt;&gt;"")*(MOVIMIENTOS!$A$5:$A$417&lt;=$A40)*MOVIMIENTOS!$E$5:$E$417)+SUMPRODUCT((MOVIMIENTOS!$B$5:$B$417="PROCESO")*(MOVIMIENTOS!$C$5:$C$417="M")*(MOVIMIENTOS!$D$5:$D$417="jabas")*(MOVIMIENTOS!$A$5:$A$417&lt;&gt;"")*(MOVIMIENTOS!$A$5:$A$417&lt;=$A40)*MOVIMIENTOS!$E$5:$E$417)-SUMPRODUCT((MOVIMIENTOS!$B$5:$B$417="ENVÍO A SUPESA")*(MOVIMIENTOS!$C$5:$C$417="M")*(MOVIMIENTOS!$D$5:$D$417="jabas")*(MOVIMIENTOS!$A$5:$A$417&lt;&gt;"")*(MOVIMIENTOS!$A$5:$A$417&lt;=$A40)*MOVIMIENTOS!$E$5:$E$417)+SUMPRODUCT((MOVIMIENTOS!$B$5:$B$417="DEVOLUCIÓN")*(MOVIMIENTOS!$C$5:$C$417="M")*(MOVIMIENTOS!$D$5:$D$417="jabas")*(MOVIMIENTOS!$A$5:$A$417&lt;&gt;"")*(MOVIMIENTOS!$A$5:$A$417&lt;=$A40)*MOVIMIENTOS!$E$5:$E$417)-SUMPRODUCT((MOVIMIENTOS!$B$5:$B$417="TRASIEGO")*(MOVIMIENTOS!$C$5:$C$417="M")*(MOVIMIENTOS!$D$5:$D$417="jabas")*(MOVIMIENTOS!$A$5:$A$417&lt;&gt;"")*(MOVIMIENTOS!$A$5:$A$417&lt;=$A40)*MOVIMIENTOS!$E$5:$E$417)-SUMPRODUCT((MOVIMIENTOS!$B$5:$B$417="REGALO")*(MOVIMIENTOS!$C$5:$C$417="M")*(MOVIMIENTOS!$D$5:$D$417="jabas")*(MOVIMIENTOS!$A$5:$A$417&lt;&gt;"")*(MOVIMIENTOS!$A$5:$A$417&lt;=$A40)*MOVIMIENTOS!$E$5:$E$417)-SUMPRODUCT((MOVIMIENTOS!$B$5:$B$417="VENTA")*(MOVIMIENTOS!$C$5:$C$417="M")*(MOVIMIENTOS!$D$5:$D$417="jabas")*(MOVIMIENTOS!$A$5:$A$417&lt;&gt;"")*(MOVIMIENTOS!$A$5:$A$417&lt;=$A40)*MOVIMIENTOS!$E$5:$E$417)+SUMPRODUCT((MOVIMIENTOS!$B$5:$B$417="AJUSTE")*(MOVIMIENTOS!$C$5:$C$417="M")*(MOVIMIENTOS!$D$5:$D$417="jabas")*(MOVIMIENTOS!$A$5:$A$417&lt;&gt;"")*(MOVIMIENTOS!$A$5:$A$417&lt;=$A40)*MOVIMIENTOS!$E$5:$E$417))</f>
        <v/>
      </c>
      <c r="F40" s="56" t="str">
        <f>IF($A40="","",SUMPRODUCT((MOVIMIENTOS!$B$5:$B$417="SALDO INICIAL")*(MOVIMIENTOS!$C$5:$C$417="Chancho")*(MOVIMIENTOS!$D$5:$D$417="sacos")*(MOVIMIENTOS!$A$5:$A$417&lt;&gt;"")*(MOVIMIENTOS!$A$5:$A$417&lt;=$A40)*MOVIMIENTOS!$E$5:$E$417)+SUMPRODUCT((MOVIMIENTOS!$B$5:$B$417="PROCESO")*(MOVIMIENTOS!$C$5:$C$417="Chancho")*(MOVIMIENTOS!$D$5:$D$417="sacos")*(MOVIMIENTOS!$A$5:$A$417&lt;&gt;"")*(MOVIMIENTOS!$A$5:$A$417&lt;=$A40)*MOVIMIENTOS!$E$5:$E$417)-SUMPRODUCT((MOVIMIENTOS!$B$5:$B$417="VENTA CHANCHO")*(MOVIMIENTOS!$C$5:$C$417="Chancho")*(MOVIMIENTOS!$D$5:$D$417="sacos")*(MOVIMIENTOS!$A$5:$A$417&lt;&gt;"")*(MOVIMIENTOS!$A$5:$A$417&lt;=$A40)*MOVIMIENTOS!$E$5:$E$417)-SUMPRODUCT((MOVIMIENTOS!$B$5:$B$417="REGALO")*(MOVIMIENTOS!$C$5:$C$417="Chancho")*(MOVIMIENTOS!$D$5:$D$417="sacos")*(MOVIMIENTOS!$A$5:$A$417&lt;&gt;"")*(MOVIMIENTOS!$A$5:$A$417&lt;=$A40)*MOVIMIENTOS!$E$5:$E$417)-SUMPRODUCT((MOVIMIENTOS!$B$5:$B$417="VENTA")*(MOVIMIENTOS!$C$5:$C$417="Chancho")*(MOVIMIENTOS!$D$5:$D$417="sacos")*(MOVIMIENTOS!$A$5:$A$417&lt;&gt;"")*(MOVIMIENTOS!$A$5:$A$417&lt;=$A40)*MOVIMIENTOS!$E$5:$E$417)+SUMPRODUCT((MOVIMIENTOS!$B$5:$B$417="AJUSTE")*(MOVIMIENTOS!$C$5:$C$417="Chancho")*(MOVIMIENTOS!$D$5:$D$417="sacos")*(MOVIMIENTOS!$A$5:$A$417&lt;&gt;"")*(MOVIMIENTOS!$A$5:$A$417&lt;=$A40)*MOVIMIENTOS!$E$5:$E$417))</f>
        <v/>
      </c>
      <c r="G40" s="56" t="str">
        <f t="shared" si="3"/>
        <v/>
      </c>
      <c r="H40" s="56" t="str">
        <f>IF($A40="","",SUMPRODUCT((((MOVIMIENTOS!$B$5:$B$417="SALDO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40)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40)*MOVIMIENTOS!$I$5:$I$417))</f>
        <v/>
      </c>
      <c r="I40" s="54"/>
      <c r="J40" s="54" t="str">
        <f>IF(AND(MOVIMIENTOS!$A40&lt;&gt;"",COUNTIF(MOVIMIENTOS!$A$5:$A39,MOVIMIENTOS!$A40)=0),COUNT(J$4:J39)+1,"")</f>
        <v/>
      </c>
      <c r="K40" s="57">
        <f>MOVIMIENTOS!$A40</f>
        <v>46218</v>
      </c>
      <c r="L40" s="54"/>
      <c r="M40" s="54"/>
      <c r="N40" s="54"/>
    </row>
    <row r="41" spans="1:14" ht="15" customHeight="1" x14ac:dyDescent="0.2">
      <c r="A41" s="55" t="str">
        <f t="shared" si="2"/>
        <v/>
      </c>
      <c r="B41" s="56" t="str">
        <f>IF($A41="","",SUMPRODUCT((MOVIMIENTOS!$B$5:$B$417="SALDO INICIAL")*(MOVIMIENTOS!$C$5:$C$417="A")*(MOVIMIENTOS!$D$5:$D$417="jabas")*(MOVIMIENTOS!$A$5:$A$417&lt;&gt;"")*(MOVIMIENTOS!$A$5:$A$417&lt;=$A41)*MOVIMIENTOS!$E$5:$E$417)+SUMPRODUCT((MOVIMIENTOS!$B$5:$B$417="PROCESO")*(MOVIMIENTOS!$C$5:$C$417="A")*(MOVIMIENTOS!$D$5:$D$417="jabas")*(MOVIMIENTOS!$A$5:$A$417&lt;&gt;"")*(MOVIMIENTOS!$A$5:$A$417&lt;=$A41)*MOVIMIENTOS!$E$5:$E$417)-SUMPRODUCT((MOVIMIENTOS!$B$5:$B$417="ENVÍO A SUPESA")*(MOVIMIENTOS!$C$5:$C$417="A")*(MOVIMIENTOS!$D$5:$D$417="jabas")*(MOVIMIENTOS!$A$5:$A$417&lt;&gt;"")*(MOVIMIENTOS!$A$5:$A$417&lt;=$A41)*MOVIMIENTOS!$E$5:$E$417)+SUMPRODUCT((MOVIMIENTOS!$B$5:$B$417="DEVOLUCIÓN")*(MOVIMIENTOS!$C$5:$C$417="A")*(MOVIMIENTOS!$D$5:$D$417="jabas")*(MOVIMIENTOS!$A$5:$A$417&lt;&gt;"")*(MOVIMIENTOS!$A$5:$A$417&lt;=$A41)*MOVIMIENTOS!$E$5:$E$417)-SUMPRODUCT((MOVIMIENTOS!$B$5:$B$417="TRASIEGO")*(MOVIMIENTOS!$C$5:$C$417="A")*(MOVIMIENTOS!$D$5:$D$417="jabas")*(MOVIMIENTOS!$A$5:$A$417&lt;&gt;"")*(MOVIMIENTOS!$A$5:$A$417&lt;=$A41)*MOVIMIENTOS!$E$5:$E$417)-SUMPRODUCT((MOVIMIENTOS!$B$5:$B$417="REGALO")*(MOVIMIENTOS!$C$5:$C$417="A")*(MOVIMIENTOS!$D$5:$D$417="jabas")*(MOVIMIENTOS!$A$5:$A$417&lt;&gt;"")*(MOVIMIENTOS!$A$5:$A$417&lt;=$A41)*MOVIMIENTOS!$E$5:$E$417)-SUMPRODUCT((MOVIMIENTOS!$B$5:$B$417="VENTA")*(MOVIMIENTOS!$C$5:$C$417="A")*(MOVIMIENTOS!$D$5:$D$417="jabas")*(MOVIMIENTOS!$A$5:$A$417&lt;&gt;"")*(MOVIMIENTOS!$A$5:$A$417&lt;=$A41)*MOVIMIENTOS!$E$5:$E$417)+SUMPRODUCT((MOVIMIENTOS!$B$5:$B$417="AJUSTE")*(MOVIMIENTOS!$C$5:$C$417="A")*(MOVIMIENTOS!$D$5:$D$417="jabas")*(MOVIMIENTOS!$A$5:$A$417&lt;&gt;"")*(MOVIMIENTOS!$A$5:$A$417&lt;=$A41)*MOVIMIENTOS!$E$5:$E$417))</f>
        <v/>
      </c>
      <c r="C41" s="56" t="str">
        <f>IF($A41="","",SUMPRODUCT((MOVIMIENTOS!$B$5:$B$417="SALDO INICIAL")*(MOVIMIENTOS!$C$5:$C$417="P")*(MOVIMIENTOS!$D$5:$D$417="jabas")*(MOVIMIENTOS!$A$5:$A$417&lt;&gt;"")*(MOVIMIENTOS!$A$5:$A$417&lt;=$A41)*MOVIMIENTOS!$E$5:$E$417)+SUMPRODUCT((MOVIMIENTOS!$B$5:$B$417="PROCESO")*(MOVIMIENTOS!$C$5:$C$417="P")*(MOVIMIENTOS!$D$5:$D$417="jabas")*(MOVIMIENTOS!$A$5:$A$417&lt;&gt;"")*(MOVIMIENTOS!$A$5:$A$417&lt;=$A41)*MOVIMIENTOS!$E$5:$E$417)-SUMPRODUCT((MOVIMIENTOS!$B$5:$B$417="ENVÍO A SUPESA")*(MOVIMIENTOS!$C$5:$C$417="P")*(MOVIMIENTOS!$D$5:$D$417="jabas")*(MOVIMIENTOS!$A$5:$A$417&lt;&gt;"")*(MOVIMIENTOS!$A$5:$A$417&lt;=$A41)*MOVIMIENTOS!$E$5:$E$417)+SUMPRODUCT((MOVIMIENTOS!$B$5:$B$417="DEVOLUCIÓN")*(MOVIMIENTOS!$C$5:$C$417="P")*(MOVIMIENTOS!$D$5:$D$417="jabas")*(MOVIMIENTOS!$A$5:$A$417&lt;&gt;"")*(MOVIMIENTOS!$A$5:$A$417&lt;=$A41)*MOVIMIENTOS!$E$5:$E$417)-SUMPRODUCT((MOVIMIENTOS!$B$5:$B$417="TRASIEGO")*(MOVIMIENTOS!$C$5:$C$417="P")*(MOVIMIENTOS!$D$5:$D$417="jabas")*(MOVIMIENTOS!$A$5:$A$417&lt;&gt;"")*(MOVIMIENTOS!$A$5:$A$417&lt;=$A41)*MOVIMIENTOS!$E$5:$E$417)-SUMPRODUCT((MOVIMIENTOS!$B$5:$B$417="REGALO")*(MOVIMIENTOS!$C$5:$C$417="P")*(MOVIMIENTOS!$D$5:$D$417="jabas")*(MOVIMIENTOS!$A$5:$A$417&lt;&gt;"")*(MOVIMIENTOS!$A$5:$A$417&lt;=$A41)*MOVIMIENTOS!$E$5:$E$417)-SUMPRODUCT((MOVIMIENTOS!$B$5:$B$417="VENTA")*(MOVIMIENTOS!$C$5:$C$417="P")*(MOVIMIENTOS!$D$5:$D$417="jabas")*(MOVIMIENTOS!$A$5:$A$417&lt;&gt;"")*(MOVIMIENTOS!$A$5:$A$417&lt;=$A41)*MOVIMIENTOS!$E$5:$E$417)+SUMPRODUCT((MOVIMIENTOS!$B$5:$B$417="AJUSTE")*(MOVIMIENTOS!$C$5:$C$417="P")*(MOVIMIENTOS!$D$5:$D$417="jabas")*(MOVIMIENTOS!$A$5:$A$417&lt;&gt;"")*(MOVIMIENTOS!$A$5:$A$417&lt;=$A41)*MOVIMIENTOS!$E$5:$E$417))</f>
        <v/>
      </c>
      <c r="D41" s="56" t="str">
        <f>IF($A41="","",SUMPRODUCT((MOVIMIENTOS!$B$5:$B$417="SALDO INICIAL")*(MOVIMIENTOS!$C$5:$C$417="C")*(MOVIMIENTOS!$D$5:$D$417="jabas")*(MOVIMIENTOS!$A$5:$A$417&lt;&gt;"")*(MOVIMIENTOS!$A$5:$A$417&lt;=$A41)*MOVIMIENTOS!$E$5:$E$417)+SUMPRODUCT((MOVIMIENTOS!$B$5:$B$417="PROCESO")*(MOVIMIENTOS!$C$5:$C$417="C")*(MOVIMIENTOS!$D$5:$D$417="jabas")*(MOVIMIENTOS!$A$5:$A$417&lt;&gt;"")*(MOVIMIENTOS!$A$5:$A$417&lt;=$A41)*MOVIMIENTOS!$E$5:$E$417)-SUMPRODUCT((MOVIMIENTOS!$B$5:$B$417="ENVÍO A SUPESA")*(MOVIMIENTOS!$C$5:$C$417="C")*(MOVIMIENTOS!$D$5:$D$417="jabas")*(MOVIMIENTOS!$A$5:$A$417&lt;&gt;"")*(MOVIMIENTOS!$A$5:$A$417&lt;=$A41)*MOVIMIENTOS!$E$5:$E$417)+SUMPRODUCT((MOVIMIENTOS!$B$5:$B$417="DEVOLUCIÓN")*(MOVIMIENTOS!$C$5:$C$417="C")*(MOVIMIENTOS!$D$5:$D$417="jabas")*(MOVIMIENTOS!$A$5:$A$417&lt;&gt;"")*(MOVIMIENTOS!$A$5:$A$417&lt;=$A41)*MOVIMIENTOS!$E$5:$E$417)-SUMPRODUCT((MOVIMIENTOS!$B$5:$B$417="TRASIEGO")*(MOVIMIENTOS!$C$5:$C$417="C")*(MOVIMIENTOS!$D$5:$D$417="jabas")*(MOVIMIENTOS!$A$5:$A$417&lt;&gt;"")*(MOVIMIENTOS!$A$5:$A$417&lt;=$A41)*MOVIMIENTOS!$E$5:$E$417)-SUMPRODUCT((MOVIMIENTOS!$B$5:$B$417="REGALO")*(MOVIMIENTOS!$C$5:$C$417="C")*(MOVIMIENTOS!$D$5:$D$417="jabas")*(MOVIMIENTOS!$A$5:$A$417&lt;&gt;"")*(MOVIMIENTOS!$A$5:$A$417&lt;=$A41)*MOVIMIENTOS!$E$5:$E$417)-SUMPRODUCT((MOVIMIENTOS!$B$5:$B$417="VENTA")*(MOVIMIENTOS!$C$5:$C$417="C")*(MOVIMIENTOS!$D$5:$D$417="jabas")*(MOVIMIENTOS!$A$5:$A$417&lt;&gt;"")*(MOVIMIENTOS!$A$5:$A$417&lt;=$A41)*MOVIMIENTOS!$E$5:$E$417)+SUMPRODUCT((MOVIMIENTOS!$B$5:$B$417="AJUSTE")*(MOVIMIENTOS!$C$5:$C$417="C")*(MOVIMIENTOS!$D$5:$D$417="jabas")*(MOVIMIENTOS!$A$5:$A$417&lt;&gt;"")*(MOVIMIENTOS!$A$5:$A$417&lt;=$A41)*MOVIMIENTOS!$E$5:$E$417))</f>
        <v/>
      </c>
      <c r="E41" s="56" t="str">
        <f>IF($A41="","",SUMPRODUCT((MOVIMIENTOS!$B$5:$B$417="SALDO INICIAL")*(MOVIMIENTOS!$C$5:$C$417="M")*(MOVIMIENTOS!$D$5:$D$417="jabas")*(MOVIMIENTOS!$A$5:$A$417&lt;&gt;"")*(MOVIMIENTOS!$A$5:$A$417&lt;=$A41)*MOVIMIENTOS!$E$5:$E$417)+SUMPRODUCT((MOVIMIENTOS!$B$5:$B$417="PROCESO")*(MOVIMIENTOS!$C$5:$C$417="M")*(MOVIMIENTOS!$D$5:$D$417="jabas")*(MOVIMIENTOS!$A$5:$A$417&lt;&gt;"")*(MOVIMIENTOS!$A$5:$A$417&lt;=$A41)*MOVIMIENTOS!$E$5:$E$417)-SUMPRODUCT((MOVIMIENTOS!$B$5:$B$417="ENVÍO A SUPESA")*(MOVIMIENTOS!$C$5:$C$417="M")*(MOVIMIENTOS!$D$5:$D$417="jabas")*(MOVIMIENTOS!$A$5:$A$417&lt;&gt;"")*(MOVIMIENTOS!$A$5:$A$417&lt;=$A41)*MOVIMIENTOS!$E$5:$E$417)+SUMPRODUCT((MOVIMIENTOS!$B$5:$B$417="DEVOLUCIÓN")*(MOVIMIENTOS!$C$5:$C$417="M")*(MOVIMIENTOS!$D$5:$D$417="jabas")*(MOVIMIENTOS!$A$5:$A$417&lt;&gt;"")*(MOVIMIENTOS!$A$5:$A$417&lt;=$A41)*MOVIMIENTOS!$E$5:$E$417)-SUMPRODUCT((MOVIMIENTOS!$B$5:$B$417="TRASIEGO")*(MOVIMIENTOS!$C$5:$C$417="M")*(MOVIMIENTOS!$D$5:$D$417="jabas")*(MOVIMIENTOS!$A$5:$A$417&lt;&gt;"")*(MOVIMIENTOS!$A$5:$A$417&lt;=$A41)*MOVIMIENTOS!$E$5:$E$417)-SUMPRODUCT((MOVIMIENTOS!$B$5:$B$417="REGALO")*(MOVIMIENTOS!$C$5:$C$417="M")*(MOVIMIENTOS!$D$5:$D$417="jabas")*(MOVIMIENTOS!$A$5:$A$417&lt;&gt;"")*(MOVIMIENTOS!$A$5:$A$417&lt;=$A41)*MOVIMIENTOS!$E$5:$E$417)-SUMPRODUCT((MOVIMIENTOS!$B$5:$B$417="VENTA")*(MOVIMIENTOS!$C$5:$C$417="M")*(MOVIMIENTOS!$D$5:$D$417="jabas")*(MOVIMIENTOS!$A$5:$A$417&lt;&gt;"")*(MOVIMIENTOS!$A$5:$A$417&lt;=$A41)*MOVIMIENTOS!$E$5:$E$417)+SUMPRODUCT((MOVIMIENTOS!$B$5:$B$417="AJUSTE")*(MOVIMIENTOS!$C$5:$C$417="M")*(MOVIMIENTOS!$D$5:$D$417="jabas")*(MOVIMIENTOS!$A$5:$A$417&lt;&gt;"")*(MOVIMIENTOS!$A$5:$A$417&lt;=$A41)*MOVIMIENTOS!$E$5:$E$417))</f>
        <v/>
      </c>
      <c r="F41" s="56" t="str">
        <f>IF($A41="","",SUMPRODUCT((MOVIMIENTOS!$B$5:$B$417="SALDO INICIAL")*(MOVIMIENTOS!$C$5:$C$417="Chancho")*(MOVIMIENTOS!$D$5:$D$417="sacos")*(MOVIMIENTOS!$A$5:$A$417&lt;&gt;"")*(MOVIMIENTOS!$A$5:$A$417&lt;=$A41)*MOVIMIENTOS!$E$5:$E$417)+SUMPRODUCT((MOVIMIENTOS!$B$5:$B$417="PROCESO")*(MOVIMIENTOS!$C$5:$C$417="Chancho")*(MOVIMIENTOS!$D$5:$D$417="sacos")*(MOVIMIENTOS!$A$5:$A$417&lt;&gt;"")*(MOVIMIENTOS!$A$5:$A$417&lt;=$A41)*MOVIMIENTOS!$E$5:$E$417)-SUMPRODUCT((MOVIMIENTOS!$B$5:$B$417="VENTA CHANCHO")*(MOVIMIENTOS!$C$5:$C$417="Chancho")*(MOVIMIENTOS!$D$5:$D$417="sacos")*(MOVIMIENTOS!$A$5:$A$417&lt;&gt;"")*(MOVIMIENTOS!$A$5:$A$417&lt;=$A41)*MOVIMIENTOS!$E$5:$E$417)-SUMPRODUCT((MOVIMIENTOS!$B$5:$B$417="REGALO")*(MOVIMIENTOS!$C$5:$C$417="Chancho")*(MOVIMIENTOS!$D$5:$D$417="sacos")*(MOVIMIENTOS!$A$5:$A$417&lt;&gt;"")*(MOVIMIENTOS!$A$5:$A$417&lt;=$A41)*MOVIMIENTOS!$E$5:$E$417)-SUMPRODUCT((MOVIMIENTOS!$B$5:$B$417="VENTA")*(MOVIMIENTOS!$C$5:$C$417="Chancho")*(MOVIMIENTOS!$D$5:$D$417="sacos")*(MOVIMIENTOS!$A$5:$A$417&lt;&gt;"")*(MOVIMIENTOS!$A$5:$A$417&lt;=$A41)*MOVIMIENTOS!$E$5:$E$417)+SUMPRODUCT((MOVIMIENTOS!$B$5:$B$417="AJUSTE")*(MOVIMIENTOS!$C$5:$C$417="Chancho")*(MOVIMIENTOS!$D$5:$D$417="sacos")*(MOVIMIENTOS!$A$5:$A$417&lt;&gt;"")*(MOVIMIENTOS!$A$5:$A$417&lt;=$A41)*MOVIMIENTOS!$E$5:$E$417))</f>
        <v/>
      </c>
      <c r="G41" s="56" t="str">
        <f t="shared" si="3"/>
        <v/>
      </c>
      <c r="H41" s="56" t="str">
        <f>IF($A41="","",SUMPRODUCT((((MOVIMIENTOS!$B$5:$B$417="SALDO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41)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41)*MOVIMIENTOS!$I$5:$I$417))</f>
        <v/>
      </c>
      <c r="I41" s="54"/>
      <c r="J41" s="54" t="str">
        <f>IF(AND(MOVIMIENTOS!$A41&lt;&gt;"",COUNTIF(MOVIMIENTOS!$A$5:$A40,MOVIMIENTOS!$A41)=0),COUNT(J$4:J40)+1,"")</f>
        <v/>
      </c>
      <c r="K41" s="57">
        <f>MOVIMIENTOS!$A41</f>
        <v>46218</v>
      </c>
      <c r="L41" s="54"/>
      <c r="M41" s="54"/>
      <c r="N41" s="54"/>
    </row>
    <row r="42" spans="1:14" ht="15" customHeight="1" x14ac:dyDescent="0.2">
      <c r="A42" s="55" t="str">
        <f t="shared" si="2"/>
        <v/>
      </c>
      <c r="B42" s="56" t="str">
        <f>IF($A42="","",SUMPRODUCT((MOVIMIENTOS!$B$5:$B$417="SALDO INICIAL")*(MOVIMIENTOS!$C$5:$C$417="A")*(MOVIMIENTOS!$D$5:$D$417="jabas")*(MOVIMIENTOS!$A$5:$A$417&lt;&gt;"")*(MOVIMIENTOS!$A$5:$A$417&lt;=$A42)*MOVIMIENTOS!$E$5:$E$417)+SUMPRODUCT((MOVIMIENTOS!$B$5:$B$417="PROCESO")*(MOVIMIENTOS!$C$5:$C$417="A")*(MOVIMIENTOS!$D$5:$D$417="jabas")*(MOVIMIENTOS!$A$5:$A$417&lt;&gt;"")*(MOVIMIENTOS!$A$5:$A$417&lt;=$A42)*MOVIMIENTOS!$E$5:$E$417)-SUMPRODUCT((MOVIMIENTOS!$B$5:$B$417="ENVÍO A SUPESA")*(MOVIMIENTOS!$C$5:$C$417="A")*(MOVIMIENTOS!$D$5:$D$417="jabas")*(MOVIMIENTOS!$A$5:$A$417&lt;&gt;"")*(MOVIMIENTOS!$A$5:$A$417&lt;=$A42)*MOVIMIENTOS!$E$5:$E$417)+SUMPRODUCT((MOVIMIENTOS!$B$5:$B$417="DEVOLUCIÓN")*(MOVIMIENTOS!$C$5:$C$417="A")*(MOVIMIENTOS!$D$5:$D$417="jabas")*(MOVIMIENTOS!$A$5:$A$417&lt;&gt;"")*(MOVIMIENTOS!$A$5:$A$417&lt;=$A42)*MOVIMIENTOS!$E$5:$E$417)-SUMPRODUCT((MOVIMIENTOS!$B$5:$B$417="TRASIEGO")*(MOVIMIENTOS!$C$5:$C$417="A")*(MOVIMIENTOS!$D$5:$D$417="jabas")*(MOVIMIENTOS!$A$5:$A$417&lt;&gt;"")*(MOVIMIENTOS!$A$5:$A$417&lt;=$A42)*MOVIMIENTOS!$E$5:$E$417)-SUMPRODUCT((MOVIMIENTOS!$B$5:$B$417="REGALO")*(MOVIMIENTOS!$C$5:$C$417="A")*(MOVIMIENTOS!$D$5:$D$417="jabas")*(MOVIMIENTOS!$A$5:$A$417&lt;&gt;"")*(MOVIMIENTOS!$A$5:$A$417&lt;=$A42)*MOVIMIENTOS!$E$5:$E$417)-SUMPRODUCT((MOVIMIENTOS!$B$5:$B$417="VENTA")*(MOVIMIENTOS!$C$5:$C$417="A")*(MOVIMIENTOS!$D$5:$D$417="jabas")*(MOVIMIENTOS!$A$5:$A$417&lt;&gt;"")*(MOVIMIENTOS!$A$5:$A$417&lt;=$A42)*MOVIMIENTOS!$E$5:$E$417)+SUMPRODUCT((MOVIMIENTOS!$B$5:$B$417="AJUSTE")*(MOVIMIENTOS!$C$5:$C$417="A")*(MOVIMIENTOS!$D$5:$D$417="jabas")*(MOVIMIENTOS!$A$5:$A$417&lt;&gt;"")*(MOVIMIENTOS!$A$5:$A$417&lt;=$A42)*MOVIMIENTOS!$E$5:$E$417))</f>
        <v/>
      </c>
      <c r="C42" s="56" t="str">
        <f>IF($A42="","",SUMPRODUCT((MOVIMIENTOS!$B$5:$B$417="SALDO INICIAL")*(MOVIMIENTOS!$C$5:$C$417="P")*(MOVIMIENTOS!$D$5:$D$417="jabas")*(MOVIMIENTOS!$A$5:$A$417&lt;&gt;"")*(MOVIMIENTOS!$A$5:$A$417&lt;=$A42)*MOVIMIENTOS!$E$5:$E$417)+SUMPRODUCT((MOVIMIENTOS!$B$5:$B$417="PROCESO")*(MOVIMIENTOS!$C$5:$C$417="P")*(MOVIMIENTOS!$D$5:$D$417="jabas")*(MOVIMIENTOS!$A$5:$A$417&lt;&gt;"")*(MOVIMIENTOS!$A$5:$A$417&lt;=$A42)*MOVIMIENTOS!$E$5:$E$417)-SUMPRODUCT((MOVIMIENTOS!$B$5:$B$417="ENVÍO A SUPESA")*(MOVIMIENTOS!$C$5:$C$417="P")*(MOVIMIENTOS!$D$5:$D$417="jabas")*(MOVIMIENTOS!$A$5:$A$417&lt;&gt;"")*(MOVIMIENTOS!$A$5:$A$417&lt;=$A42)*MOVIMIENTOS!$E$5:$E$417)+SUMPRODUCT((MOVIMIENTOS!$B$5:$B$417="DEVOLUCIÓN")*(MOVIMIENTOS!$C$5:$C$417="P")*(MOVIMIENTOS!$D$5:$D$417="jabas")*(MOVIMIENTOS!$A$5:$A$417&lt;&gt;"")*(MOVIMIENTOS!$A$5:$A$417&lt;=$A42)*MOVIMIENTOS!$E$5:$E$417)-SUMPRODUCT((MOVIMIENTOS!$B$5:$B$417="TRASIEGO")*(MOVIMIENTOS!$C$5:$C$417="P")*(MOVIMIENTOS!$D$5:$D$417="jabas")*(MOVIMIENTOS!$A$5:$A$417&lt;&gt;"")*(MOVIMIENTOS!$A$5:$A$417&lt;=$A42)*MOVIMIENTOS!$E$5:$E$417)-SUMPRODUCT((MOVIMIENTOS!$B$5:$B$417="REGALO")*(MOVIMIENTOS!$C$5:$C$417="P")*(MOVIMIENTOS!$D$5:$D$417="jabas")*(MOVIMIENTOS!$A$5:$A$417&lt;&gt;"")*(MOVIMIENTOS!$A$5:$A$417&lt;=$A42)*MOVIMIENTOS!$E$5:$E$417)-SUMPRODUCT((MOVIMIENTOS!$B$5:$B$417="VENTA")*(MOVIMIENTOS!$C$5:$C$417="P")*(MOVIMIENTOS!$D$5:$D$417="jabas")*(MOVIMIENTOS!$A$5:$A$417&lt;&gt;"")*(MOVIMIENTOS!$A$5:$A$417&lt;=$A42)*MOVIMIENTOS!$E$5:$E$417)+SUMPRODUCT((MOVIMIENTOS!$B$5:$B$417="AJUSTE")*(MOVIMIENTOS!$C$5:$C$417="P")*(MOVIMIENTOS!$D$5:$D$417="jabas")*(MOVIMIENTOS!$A$5:$A$417&lt;&gt;"")*(MOVIMIENTOS!$A$5:$A$417&lt;=$A42)*MOVIMIENTOS!$E$5:$E$417))</f>
        <v/>
      </c>
      <c r="D42" s="56" t="str">
        <f>IF($A42="","",SUMPRODUCT((MOVIMIENTOS!$B$5:$B$417="SALDO INICIAL")*(MOVIMIENTOS!$C$5:$C$417="C")*(MOVIMIENTOS!$D$5:$D$417="jabas")*(MOVIMIENTOS!$A$5:$A$417&lt;&gt;"")*(MOVIMIENTOS!$A$5:$A$417&lt;=$A42)*MOVIMIENTOS!$E$5:$E$417)+SUMPRODUCT((MOVIMIENTOS!$B$5:$B$417="PROCESO")*(MOVIMIENTOS!$C$5:$C$417="C")*(MOVIMIENTOS!$D$5:$D$417="jabas")*(MOVIMIENTOS!$A$5:$A$417&lt;&gt;"")*(MOVIMIENTOS!$A$5:$A$417&lt;=$A42)*MOVIMIENTOS!$E$5:$E$417)-SUMPRODUCT((MOVIMIENTOS!$B$5:$B$417="ENVÍO A SUPESA")*(MOVIMIENTOS!$C$5:$C$417="C")*(MOVIMIENTOS!$D$5:$D$417="jabas")*(MOVIMIENTOS!$A$5:$A$417&lt;&gt;"")*(MOVIMIENTOS!$A$5:$A$417&lt;=$A42)*MOVIMIENTOS!$E$5:$E$417)+SUMPRODUCT((MOVIMIENTOS!$B$5:$B$417="DEVOLUCIÓN")*(MOVIMIENTOS!$C$5:$C$417="C")*(MOVIMIENTOS!$D$5:$D$417="jabas")*(MOVIMIENTOS!$A$5:$A$417&lt;&gt;"")*(MOVIMIENTOS!$A$5:$A$417&lt;=$A42)*MOVIMIENTOS!$E$5:$E$417)-SUMPRODUCT((MOVIMIENTOS!$B$5:$B$417="TRASIEGO")*(MOVIMIENTOS!$C$5:$C$417="C")*(MOVIMIENTOS!$D$5:$D$417="jabas")*(MOVIMIENTOS!$A$5:$A$417&lt;&gt;"")*(MOVIMIENTOS!$A$5:$A$417&lt;=$A42)*MOVIMIENTOS!$E$5:$E$417)-SUMPRODUCT((MOVIMIENTOS!$B$5:$B$417="REGALO")*(MOVIMIENTOS!$C$5:$C$417="C")*(MOVIMIENTOS!$D$5:$D$417="jabas")*(MOVIMIENTOS!$A$5:$A$417&lt;&gt;"")*(MOVIMIENTOS!$A$5:$A$417&lt;=$A42)*MOVIMIENTOS!$E$5:$E$417)-SUMPRODUCT((MOVIMIENTOS!$B$5:$B$417="VENTA")*(MOVIMIENTOS!$C$5:$C$417="C")*(MOVIMIENTOS!$D$5:$D$417="jabas")*(MOVIMIENTOS!$A$5:$A$417&lt;&gt;"")*(MOVIMIENTOS!$A$5:$A$417&lt;=$A42)*MOVIMIENTOS!$E$5:$E$417)+SUMPRODUCT((MOVIMIENTOS!$B$5:$B$417="AJUSTE")*(MOVIMIENTOS!$C$5:$C$417="C")*(MOVIMIENTOS!$D$5:$D$417="jabas")*(MOVIMIENTOS!$A$5:$A$417&lt;&gt;"")*(MOVIMIENTOS!$A$5:$A$417&lt;=$A42)*MOVIMIENTOS!$E$5:$E$417))</f>
        <v/>
      </c>
      <c r="E42" s="56" t="str">
        <f>IF($A42="","",SUMPRODUCT((MOVIMIENTOS!$B$5:$B$417="SALDO INICIAL")*(MOVIMIENTOS!$C$5:$C$417="M")*(MOVIMIENTOS!$D$5:$D$417="jabas")*(MOVIMIENTOS!$A$5:$A$417&lt;&gt;"")*(MOVIMIENTOS!$A$5:$A$417&lt;=$A42)*MOVIMIENTOS!$E$5:$E$417)+SUMPRODUCT((MOVIMIENTOS!$B$5:$B$417="PROCESO")*(MOVIMIENTOS!$C$5:$C$417="M")*(MOVIMIENTOS!$D$5:$D$417="jabas")*(MOVIMIENTOS!$A$5:$A$417&lt;&gt;"")*(MOVIMIENTOS!$A$5:$A$417&lt;=$A42)*MOVIMIENTOS!$E$5:$E$417)-SUMPRODUCT((MOVIMIENTOS!$B$5:$B$417="ENVÍO A SUPESA")*(MOVIMIENTOS!$C$5:$C$417="M")*(MOVIMIENTOS!$D$5:$D$417="jabas")*(MOVIMIENTOS!$A$5:$A$417&lt;&gt;"")*(MOVIMIENTOS!$A$5:$A$417&lt;=$A42)*MOVIMIENTOS!$E$5:$E$417)+SUMPRODUCT((MOVIMIENTOS!$B$5:$B$417="DEVOLUCIÓN")*(MOVIMIENTOS!$C$5:$C$417="M")*(MOVIMIENTOS!$D$5:$D$417="jabas")*(MOVIMIENTOS!$A$5:$A$417&lt;&gt;"")*(MOVIMIENTOS!$A$5:$A$417&lt;=$A42)*MOVIMIENTOS!$E$5:$E$417)-SUMPRODUCT((MOVIMIENTOS!$B$5:$B$417="TRASIEGO")*(MOVIMIENTOS!$C$5:$C$417="M")*(MOVIMIENTOS!$D$5:$D$417="jabas")*(MOVIMIENTOS!$A$5:$A$417&lt;&gt;"")*(MOVIMIENTOS!$A$5:$A$417&lt;=$A42)*MOVIMIENTOS!$E$5:$E$417)-SUMPRODUCT((MOVIMIENTOS!$B$5:$B$417="REGALO")*(MOVIMIENTOS!$C$5:$C$417="M")*(MOVIMIENTOS!$D$5:$D$417="jabas")*(MOVIMIENTOS!$A$5:$A$417&lt;&gt;"")*(MOVIMIENTOS!$A$5:$A$417&lt;=$A42)*MOVIMIENTOS!$E$5:$E$417)-SUMPRODUCT((MOVIMIENTOS!$B$5:$B$417="VENTA")*(MOVIMIENTOS!$C$5:$C$417="M")*(MOVIMIENTOS!$D$5:$D$417="jabas")*(MOVIMIENTOS!$A$5:$A$417&lt;&gt;"")*(MOVIMIENTOS!$A$5:$A$417&lt;=$A42)*MOVIMIENTOS!$E$5:$E$417)+SUMPRODUCT((MOVIMIENTOS!$B$5:$B$417="AJUSTE")*(MOVIMIENTOS!$C$5:$C$417="M")*(MOVIMIENTOS!$D$5:$D$417="jabas")*(MOVIMIENTOS!$A$5:$A$417&lt;&gt;"")*(MOVIMIENTOS!$A$5:$A$417&lt;=$A42)*MOVIMIENTOS!$E$5:$E$417))</f>
        <v/>
      </c>
      <c r="F42" s="56" t="str">
        <f>IF($A42="","",SUMPRODUCT((MOVIMIENTOS!$B$5:$B$417="SALDO INICIAL")*(MOVIMIENTOS!$C$5:$C$417="Chancho")*(MOVIMIENTOS!$D$5:$D$417="sacos")*(MOVIMIENTOS!$A$5:$A$417&lt;&gt;"")*(MOVIMIENTOS!$A$5:$A$417&lt;=$A42)*MOVIMIENTOS!$E$5:$E$417)+SUMPRODUCT((MOVIMIENTOS!$B$5:$B$417="PROCESO")*(MOVIMIENTOS!$C$5:$C$417="Chancho")*(MOVIMIENTOS!$D$5:$D$417="sacos")*(MOVIMIENTOS!$A$5:$A$417&lt;&gt;"")*(MOVIMIENTOS!$A$5:$A$417&lt;=$A42)*MOVIMIENTOS!$E$5:$E$417)-SUMPRODUCT((MOVIMIENTOS!$B$5:$B$417="VENTA CHANCHO")*(MOVIMIENTOS!$C$5:$C$417="Chancho")*(MOVIMIENTOS!$D$5:$D$417="sacos")*(MOVIMIENTOS!$A$5:$A$417&lt;&gt;"")*(MOVIMIENTOS!$A$5:$A$417&lt;=$A42)*MOVIMIENTOS!$E$5:$E$417)-SUMPRODUCT((MOVIMIENTOS!$B$5:$B$417="REGALO")*(MOVIMIENTOS!$C$5:$C$417="Chancho")*(MOVIMIENTOS!$D$5:$D$417="sacos")*(MOVIMIENTOS!$A$5:$A$417&lt;&gt;"")*(MOVIMIENTOS!$A$5:$A$417&lt;=$A42)*MOVIMIENTOS!$E$5:$E$417)-SUMPRODUCT((MOVIMIENTOS!$B$5:$B$417="VENTA")*(MOVIMIENTOS!$C$5:$C$417="Chancho")*(MOVIMIENTOS!$D$5:$D$417="sacos")*(MOVIMIENTOS!$A$5:$A$417&lt;&gt;"")*(MOVIMIENTOS!$A$5:$A$417&lt;=$A42)*MOVIMIENTOS!$E$5:$E$417)+SUMPRODUCT((MOVIMIENTOS!$B$5:$B$417="AJUSTE")*(MOVIMIENTOS!$C$5:$C$417="Chancho")*(MOVIMIENTOS!$D$5:$D$417="sacos")*(MOVIMIENTOS!$A$5:$A$417&lt;&gt;"")*(MOVIMIENTOS!$A$5:$A$417&lt;=$A42)*MOVIMIENTOS!$E$5:$E$417))</f>
        <v/>
      </c>
      <c r="G42" s="56" t="str">
        <f t="shared" si="3"/>
        <v/>
      </c>
      <c r="H42" s="56" t="str">
        <f>IF($A42="","",SUMPRODUCT((((MOVIMIENTOS!$B$5:$B$417="SALDO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42)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42)*MOVIMIENTOS!$I$5:$I$417))</f>
        <v/>
      </c>
      <c r="I42" s="54"/>
      <c r="J42" s="54" t="str">
        <f>IF(AND(MOVIMIENTOS!$A42&lt;&gt;"",COUNTIF(MOVIMIENTOS!$A$5:$A41,MOVIMIENTOS!$A42)=0),COUNT(J$4:J41)+1,"")</f>
        <v/>
      </c>
      <c r="K42" s="57">
        <f>MOVIMIENTOS!$A42</f>
        <v>46218</v>
      </c>
      <c r="L42" s="54"/>
      <c r="M42" s="54"/>
      <c r="N42" s="54"/>
    </row>
    <row r="43" spans="1:14" ht="15" customHeight="1" x14ac:dyDescent="0.2">
      <c r="A43" s="55" t="str">
        <f t="shared" si="2"/>
        <v/>
      </c>
      <c r="B43" s="56" t="str">
        <f>IF($A43="","",SUMPRODUCT((MOVIMIENTOS!$B$5:$B$417="SALDO INICIAL")*(MOVIMIENTOS!$C$5:$C$417="A")*(MOVIMIENTOS!$D$5:$D$417="jabas")*(MOVIMIENTOS!$A$5:$A$417&lt;&gt;"")*(MOVIMIENTOS!$A$5:$A$417&lt;=$A43)*MOVIMIENTOS!$E$5:$E$417)+SUMPRODUCT((MOVIMIENTOS!$B$5:$B$417="PROCESO")*(MOVIMIENTOS!$C$5:$C$417="A")*(MOVIMIENTOS!$D$5:$D$417="jabas")*(MOVIMIENTOS!$A$5:$A$417&lt;&gt;"")*(MOVIMIENTOS!$A$5:$A$417&lt;=$A43)*MOVIMIENTOS!$E$5:$E$417)-SUMPRODUCT((MOVIMIENTOS!$B$5:$B$417="ENVÍO A SUPESA")*(MOVIMIENTOS!$C$5:$C$417="A")*(MOVIMIENTOS!$D$5:$D$417="jabas")*(MOVIMIENTOS!$A$5:$A$417&lt;&gt;"")*(MOVIMIENTOS!$A$5:$A$417&lt;=$A43)*MOVIMIENTOS!$E$5:$E$417)+SUMPRODUCT((MOVIMIENTOS!$B$5:$B$417="DEVOLUCIÓN")*(MOVIMIENTOS!$C$5:$C$417="A")*(MOVIMIENTOS!$D$5:$D$417="jabas")*(MOVIMIENTOS!$A$5:$A$417&lt;&gt;"")*(MOVIMIENTOS!$A$5:$A$417&lt;=$A43)*MOVIMIENTOS!$E$5:$E$417)-SUMPRODUCT((MOVIMIENTOS!$B$5:$B$417="TRASIEGO")*(MOVIMIENTOS!$C$5:$C$417="A")*(MOVIMIENTOS!$D$5:$D$417="jabas")*(MOVIMIENTOS!$A$5:$A$417&lt;&gt;"")*(MOVIMIENTOS!$A$5:$A$417&lt;=$A43)*MOVIMIENTOS!$E$5:$E$417)-SUMPRODUCT((MOVIMIENTOS!$B$5:$B$417="REGALO")*(MOVIMIENTOS!$C$5:$C$417="A")*(MOVIMIENTOS!$D$5:$D$417="jabas")*(MOVIMIENTOS!$A$5:$A$417&lt;&gt;"")*(MOVIMIENTOS!$A$5:$A$417&lt;=$A43)*MOVIMIENTOS!$E$5:$E$417)-SUMPRODUCT((MOVIMIENTOS!$B$5:$B$417="VENTA")*(MOVIMIENTOS!$C$5:$C$417="A")*(MOVIMIENTOS!$D$5:$D$417="jabas")*(MOVIMIENTOS!$A$5:$A$417&lt;&gt;"")*(MOVIMIENTOS!$A$5:$A$417&lt;=$A43)*MOVIMIENTOS!$E$5:$E$417)+SUMPRODUCT((MOVIMIENTOS!$B$5:$B$417="AJUSTE")*(MOVIMIENTOS!$C$5:$C$417="A")*(MOVIMIENTOS!$D$5:$D$417="jabas")*(MOVIMIENTOS!$A$5:$A$417&lt;&gt;"")*(MOVIMIENTOS!$A$5:$A$417&lt;=$A43)*MOVIMIENTOS!$E$5:$E$417))</f>
        <v/>
      </c>
      <c r="C43" s="56" t="str">
        <f>IF($A43="","",SUMPRODUCT((MOVIMIENTOS!$B$5:$B$417="SALDO INICIAL")*(MOVIMIENTOS!$C$5:$C$417="P")*(MOVIMIENTOS!$D$5:$D$417="jabas")*(MOVIMIENTOS!$A$5:$A$417&lt;&gt;"")*(MOVIMIENTOS!$A$5:$A$417&lt;=$A43)*MOVIMIENTOS!$E$5:$E$417)+SUMPRODUCT((MOVIMIENTOS!$B$5:$B$417="PROCESO")*(MOVIMIENTOS!$C$5:$C$417="P")*(MOVIMIENTOS!$D$5:$D$417="jabas")*(MOVIMIENTOS!$A$5:$A$417&lt;&gt;"")*(MOVIMIENTOS!$A$5:$A$417&lt;=$A43)*MOVIMIENTOS!$E$5:$E$417)-SUMPRODUCT((MOVIMIENTOS!$B$5:$B$417="ENVÍO A SUPESA")*(MOVIMIENTOS!$C$5:$C$417="P")*(MOVIMIENTOS!$D$5:$D$417="jabas")*(MOVIMIENTOS!$A$5:$A$417&lt;&gt;"")*(MOVIMIENTOS!$A$5:$A$417&lt;=$A43)*MOVIMIENTOS!$E$5:$E$417)+SUMPRODUCT((MOVIMIENTOS!$B$5:$B$417="DEVOLUCIÓN")*(MOVIMIENTOS!$C$5:$C$417="P")*(MOVIMIENTOS!$D$5:$D$417="jabas")*(MOVIMIENTOS!$A$5:$A$417&lt;&gt;"")*(MOVIMIENTOS!$A$5:$A$417&lt;=$A43)*MOVIMIENTOS!$E$5:$E$417)-SUMPRODUCT((MOVIMIENTOS!$B$5:$B$417="TRASIEGO")*(MOVIMIENTOS!$C$5:$C$417="P")*(MOVIMIENTOS!$D$5:$D$417="jabas")*(MOVIMIENTOS!$A$5:$A$417&lt;&gt;"")*(MOVIMIENTOS!$A$5:$A$417&lt;=$A43)*MOVIMIENTOS!$E$5:$E$417)-SUMPRODUCT((MOVIMIENTOS!$B$5:$B$417="REGALO")*(MOVIMIENTOS!$C$5:$C$417="P")*(MOVIMIENTOS!$D$5:$D$417="jabas")*(MOVIMIENTOS!$A$5:$A$417&lt;&gt;"")*(MOVIMIENTOS!$A$5:$A$417&lt;=$A43)*MOVIMIENTOS!$E$5:$E$417)-SUMPRODUCT((MOVIMIENTOS!$B$5:$B$417="VENTA")*(MOVIMIENTOS!$C$5:$C$417="P")*(MOVIMIENTOS!$D$5:$D$417="jabas")*(MOVIMIENTOS!$A$5:$A$417&lt;&gt;"")*(MOVIMIENTOS!$A$5:$A$417&lt;=$A43)*MOVIMIENTOS!$E$5:$E$417)+SUMPRODUCT((MOVIMIENTOS!$B$5:$B$417="AJUSTE")*(MOVIMIENTOS!$C$5:$C$417="P")*(MOVIMIENTOS!$D$5:$D$417="jabas")*(MOVIMIENTOS!$A$5:$A$417&lt;&gt;"")*(MOVIMIENTOS!$A$5:$A$417&lt;=$A43)*MOVIMIENTOS!$E$5:$E$417))</f>
        <v/>
      </c>
      <c r="D43" s="56" t="str">
        <f>IF($A43="","",SUMPRODUCT((MOVIMIENTOS!$B$5:$B$417="SALDO INICIAL")*(MOVIMIENTOS!$C$5:$C$417="C")*(MOVIMIENTOS!$D$5:$D$417="jabas")*(MOVIMIENTOS!$A$5:$A$417&lt;&gt;"")*(MOVIMIENTOS!$A$5:$A$417&lt;=$A43)*MOVIMIENTOS!$E$5:$E$417)+SUMPRODUCT((MOVIMIENTOS!$B$5:$B$417="PROCESO")*(MOVIMIENTOS!$C$5:$C$417="C")*(MOVIMIENTOS!$D$5:$D$417="jabas")*(MOVIMIENTOS!$A$5:$A$417&lt;&gt;"")*(MOVIMIENTOS!$A$5:$A$417&lt;=$A43)*MOVIMIENTOS!$E$5:$E$417)-SUMPRODUCT((MOVIMIENTOS!$B$5:$B$417="ENVÍO A SUPESA")*(MOVIMIENTOS!$C$5:$C$417="C")*(MOVIMIENTOS!$D$5:$D$417="jabas")*(MOVIMIENTOS!$A$5:$A$417&lt;&gt;"")*(MOVIMIENTOS!$A$5:$A$417&lt;=$A43)*MOVIMIENTOS!$E$5:$E$417)+SUMPRODUCT((MOVIMIENTOS!$B$5:$B$417="DEVOLUCIÓN")*(MOVIMIENTOS!$C$5:$C$417="C")*(MOVIMIENTOS!$D$5:$D$417="jabas")*(MOVIMIENTOS!$A$5:$A$417&lt;&gt;"")*(MOVIMIENTOS!$A$5:$A$417&lt;=$A43)*MOVIMIENTOS!$E$5:$E$417)-SUMPRODUCT((MOVIMIENTOS!$B$5:$B$417="TRASIEGO")*(MOVIMIENTOS!$C$5:$C$417="C")*(MOVIMIENTOS!$D$5:$D$417="jabas")*(MOVIMIENTOS!$A$5:$A$417&lt;&gt;"")*(MOVIMIENTOS!$A$5:$A$417&lt;=$A43)*MOVIMIENTOS!$E$5:$E$417)-SUMPRODUCT((MOVIMIENTOS!$B$5:$B$417="REGALO")*(MOVIMIENTOS!$C$5:$C$417="C")*(MOVIMIENTOS!$D$5:$D$417="jabas")*(MOVIMIENTOS!$A$5:$A$417&lt;&gt;"")*(MOVIMIENTOS!$A$5:$A$417&lt;=$A43)*MOVIMIENTOS!$E$5:$E$417)-SUMPRODUCT((MOVIMIENTOS!$B$5:$B$417="VENTA")*(MOVIMIENTOS!$C$5:$C$417="C")*(MOVIMIENTOS!$D$5:$D$417="jabas")*(MOVIMIENTOS!$A$5:$A$417&lt;&gt;"")*(MOVIMIENTOS!$A$5:$A$417&lt;=$A43)*MOVIMIENTOS!$E$5:$E$417)+SUMPRODUCT((MOVIMIENTOS!$B$5:$B$417="AJUSTE")*(MOVIMIENTOS!$C$5:$C$417="C")*(MOVIMIENTOS!$D$5:$D$417="jabas")*(MOVIMIENTOS!$A$5:$A$417&lt;&gt;"")*(MOVIMIENTOS!$A$5:$A$417&lt;=$A43)*MOVIMIENTOS!$E$5:$E$417))</f>
        <v/>
      </c>
      <c r="E43" s="56" t="str">
        <f>IF($A43="","",SUMPRODUCT((MOVIMIENTOS!$B$5:$B$417="SALDO INICIAL")*(MOVIMIENTOS!$C$5:$C$417="M")*(MOVIMIENTOS!$D$5:$D$417="jabas")*(MOVIMIENTOS!$A$5:$A$417&lt;&gt;"")*(MOVIMIENTOS!$A$5:$A$417&lt;=$A43)*MOVIMIENTOS!$E$5:$E$417)+SUMPRODUCT((MOVIMIENTOS!$B$5:$B$417="PROCESO")*(MOVIMIENTOS!$C$5:$C$417="M")*(MOVIMIENTOS!$D$5:$D$417="jabas")*(MOVIMIENTOS!$A$5:$A$417&lt;&gt;"")*(MOVIMIENTOS!$A$5:$A$417&lt;=$A43)*MOVIMIENTOS!$E$5:$E$417)-SUMPRODUCT((MOVIMIENTOS!$B$5:$B$417="ENVÍO A SUPESA")*(MOVIMIENTOS!$C$5:$C$417="M")*(MOVIMIENTOS!$D$5:$D$417="jabas")*(MOVIMIENTOS!$A$5:$A$417&lt;&gt;"")*(MOVIMIENTOS!$A$5:$A$417&lt;=$A43)*MOVIMIENTOS!$E$5:$E$417)+SUMPRODUCT((MOVIMIENTOS!$B$5:$B$417="DEVOLUCIÓN")*(MOVIMIENTOS!$C$5:$C$417="M")*(MOVIMIENTOS!$D$5:$D$417="jabas")*(MOVIMIENTOS!$A$5:$A$417&lt;&gt;"")*(MOVIMIENTOS!$A$5:$A$417&lt;=$A43)*MOVIMIENTOS!$E$5:$E$417)-SUMPRODUCT((MOVIMIENTOS!$B$5:$B$417="TRASIEGO")*(MOVIMIENTOS!$C$5:$C$417="M")*(MOVIMIENTOS!$D$5:$D$417="jabas")*(MOVIMIENTOS!$A$5:$A$417&lt;&gt;"")*(MOVIMIENTOS!$A$5:$A$417&lt;=$A43)*MOVIMIENTOS!$E$5:$E$417)-SUMPRODUCT((MOVIMIENTOS!$B$5:$B$417="REGALO")*(MOVIMIENTOS!$C$5:$C$417="M")*(MOVIMIENTOS!$D$5:$D$417="jabas")*(MOVIMIENTOS!$A$5:$A$417&lt;&gt;"")*(MOVIMIENTOS!$A$5:$A$417&lt;=$A43)*MOVIMIENTOS!$E$5:$E$417)-SUMPRODUCT((MOVIMIENTOS!$B$5:$B$417="VENTA")*(MOVIMIENTOS!$C$5:$C$417="M")*(MOVIMIENTOS!$D$5:$D$417="jabas")*(MOVIMIENTOS!$A$5:$A$417&lt;&gt;"")*(MOVIMIENTOS!$A$5:$A$417&lt;=$A43)*MOVIMIENTOS!$E$5:$E$417)+SUMPRODUCT((MOVIMIENTOS!$B$5:$B$417="AJUSTE")*(MOVIMIENTOS!$C$5:$C$417="M")*(MOVIMIENTOS!$D$5:$D$417="jabas")*(MOVIMIENTOS!$A$5:$A$417&lt;&gt;"")*(MOVIMIENTOS!$A$5:$A$417&lt;=$A43)*MOVIMIENTOS!$E$5:$E$417))</f>
        <v/>
      </c>
      <c r="F43" s="56" t="str">
        <f>IF($A43="","",SUMPRODUCT((MOVIMIENTOS!$B$5:$B$417="SALDO INICIAL")*(MOVIMIENTOS!$C$5:$C$417="Chancho")*(MOVIMIENTOS!$D$5:$D$417="sacos")*(MOVIMIENTOS!$A$5:$A$417&lt;&gt;"")*(MOVIMIENTOS!$A$5:$A$417&lt;=$A43)*MOVIMIENTOS!$E$5:$E$417)+SUMPRODUCT((MOVIMIENTOS!$B$5:$B$417="PROCESO")*(MOVIMIENTOS!$C$5:$C$417="Chancho")*(MOVIMIENTOS!$D$5:$D$417="sacos")*(MOVIMIENTOS!$A$5:$A$417&lt;&gt;"")*(MOVIMIENTOS!$A$5:$A$417&lt;=$A43)*MOVIMIENTOS!$E$5:$E$417)-SUMPRODUCT((MOVIMIENTOS!$B$5:$B$417="VENTA CHANCHO")*(MOVIMIENTOS!$C$5:$C$417="Chancho")*(MOVIMIENTOS!$D$5:$D$417="sacos")*(MOVIMIENTOS!$A$5:$A$417&lt;&gt;"")*(MOVIMIENTOS!$A$5:$A$417&lt;=$A43)*MOVIMIENTOS!$E$5:$E$417)-SUMPRODUCT((MOVIMIENTOS!$B$5:$B$417="REGALO")*(MOVIMIENTOS!$C$5:$C$417="Chancho")*(MOVIMIENTOS!$D$5:$D$417="sacos")*(MOVIMIENTOS!$A$5:$A$417&lt;&gt;"")*(MOVIMIENTOS!$A$5:$A$417&lt;=$A43)*MOVIMIENTOS!$E$5:$E$417)-SUMPRODUCT((MOVIMIENTOS!$B$5:$B$417="VENTA")*(MOVIMIENTOS!$C$5:$C$417="Chancho")*(MOVIMIENTOS!$D$5:$D$417="sacos")*(MOVIMIENTOS!$A$5:$A$417&lt;&gt;"")*(MOVIMIENTOS!$A$5:$A$417&lt;=$A43)*MOVIMIENTOS!$E$5:$E$417)+SUMPRODUCT((MOVIMIENTOS!$B$5:$B$417="AJUSTE")*(MOVIMIENTOS!$C$5:$C$417="Chancho")*(MOVIMIENTOS!$D$5:$D$417="sacos")*(MOVIMIENTOS!$A$5:$A$417&lt;&gt;"")*(MOVIMIENTOS!$A$5:$A$417&lt;=$A43)*MOVIMIENTOS!$E$5:$E$417))</f>
        <v/>
      </c>
      <c r="G43" s="56" t="str">
        <f t="shared" si="3"/>
        <v/>
      </c>
      <c r="H43" s="56" t="str">
        <f>IF($A43="","",SUMPRODUCT((((MOVIMIENTOS!$B$5:$B$417="SALDO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43)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43)*MOVIMIENTOS!$I$5:$I$417))</f>
        <v/>
      </c>
      <c r="I43" s="54"/>
      <c r="J43" s="54" t="str">
        <f>IF(AND(MOVIMIENTOS!$A43&lt;&gt;"",COUNTIF(MOVIMIENTOS!$A$5:$A42,MOVIMIENTOS!$A43)=0),COUNT(J$4:J42)+1,"")</f>
        <v/>
      </c>
      <c r="K43" s="57">
        <f>MOVIMIENTOS!$A43</f>
        <v>46218</v>
      </c>
      <c r="L43" s="54"/>
      <c r="M43" s="54"/>
      <c r="N43" s="54"/>
    </row>
    <row r="44" spans="1:14" ht="15" customHeight="1" x14ac:dyDescent="0.2">
      <c r="A44" s="55" t="str">
        <f t="shared" si="2"/>
        <v/>
      </c>
      <c r="B44" s="56" t="str">
        <f>IF($A44="","",SUMPRODUCT((MOVIMIENTOS!$B$5:$B$417="SALDO INICIAL")*(MOVIMIENTOS!$C$5:$C$417="A")*(MOVIMIENTOS!$D$5:$D$417="jabas")*(MOVIMIENTOS!$A$5:$A$417&lt;&gt;"")*(MOVIMIENTOS!$A$5:$A$417&lt;=$A44)*MOVIMIENTOS!$E$5:$E$417)+SUMPRODUCT((MOVIMIENTOS!$B$5:$B$417="PROCESO")*(MOVIMIENTOS!$C$5:$C$417="A")*(MOVIMIENTOS!$D$5:$D$417="jabas")*(MOVIMIENTOS!$A$5:$A$417&lt;&gt;"")*(MOVIMIENTOS!$A$5:$A$417&lt;=$A44)*MOVIMIENTOS!$E$5:$E$417)-SUMPRODUCT((MOVIMIENTOS!$B$5:$B$417="ENVÍO A SUPESA")*(MOVIMIENTOS!$C$5:$C$417="A")*(MOVIMIENTOS!$D$5:$D$417="jabas")*(MOVIMIENTOS!$A$5:$A$417&lt;&gt;"")*(MOVIMIENTOS!$A$5:$A$417&lt;=$A44)*MOVIMIENTOS!$E$5:$E$417)+SUMPRODUCT((MOVIMIENTOS!$B$5:$B$417="DEVOLUCIÓN")*(MOVIMIENTOS!$C$5:$C$417="A")*(MOVIMIENTOS!$D$5:$D$417="jabas")*(MOVIMIENTOS!$A$5:$A$417&lt;&gt;"")*(MOVIMIENTOS!$A$5:$A$417&lt;=$A44)*MOVIMIENTOS!$E$5:$E$417)-SUMPRODUCT((MOVIMIENTOS!$B$5:$B$417="TRASIEGO")*(MOVIMIENTOS!$C$5:$C$417="A")*(MOVIMIENTOS!$D$5:$D$417="jabas")*(MOVIMIENTOS!$A$5:$A$417&lt;&gt;"")*(MOVIMIENTOS!$A$5:$A$417&lt;=$A44)*MOVIMIENTOS!$E$5:$E$417)-SUMPRODUCT((MOVIMIENTOS!$B$5:$B$417="REGALO")*(MOVIMIENTOS!$C$5:$C$417="A")*(MOVIMIENTOS!$D$5:$D$417="jabas")*(MOVIMIENTOS!$A$5:$A$417&lt;&gt;"")*(MOVIMIENTOS!$A$5:$A$417&lt;=$A44)*MOVIMIENTOS!$E$5:$E$417)-SUMPRODUCT((MOVIMIENTOS!$B$5:$B$417="VENTA")*(MOVIMIENTOS!$C$5:$C$417="A")*(MOVIMIENTOS!$D$5:$D$417="jabas")*(MOVIMIENTOS!$A$5:$A$417&lt;&gt;"")*(MOVIMIENTOS!$A$5:$A$417&lt;=$A44)*MOVIMIENTOS!$E$5:$E$417)+SUMPRODUCT((MOVIMIENTOS!$B$5:$B$417="AJUSTE")*(MOVIMIENTOS!$C$5:$C$417="A")*(MOVIMIENTOS!$D$5:$D$417="jabas")*(MOVIMIENTOS!$A$5:$A$417&lt;&gt;"")*(MOVIMIENTOS!$A$5:$A$417&lt;=$A44)*MOVIMIENTOS!$E$5:$E$417))</f>
        <v/>
      </c>
      <c r="C44" s="56" t="str">
        <f>IF($A44="","",SUMPRODUCT((MOVIMIENTOS!$B$5:$B$417="SALDO INICIAL")*(MOVIMIENTOS!$C$5:$C$417="P")*(MOVIMIENTOS!$D$5:$D$417="jabas")*(MOVIMIENTOS!$A$5:$A$417&lt;&gt;"")*(MOVIMIENTOS!$A$5:$A$417&lt;=$A44)*MOVIMIENTOS!$E$5:$E$417)+SUMPRODUCT((MOVIMIENTOS!$B$5:$B$417="PROCESO")*(MOVIMIENTOS!$C$5:$C$417="P")*(MOVIMIENTOS!$D$5:$D$417="jabas")*(MOVIMIENTOS!$A$5:$A$417&lt;&gt;"")*(MOVIMIENTOS!$A$5:$A$417&lt;=$A44)*MOVIMIENTOS!$E$5:$E$417)-SUMPRODUCT((MOVIMIENTOS!$B$5:$B$417="ENVÍO A SUPESA")*(MOVIMIENTOS!$C$5:$C$417="P")*(MOVIMIENTOS!$D$5:$D$417="jabas")*(MOVIMIENTOS!$A$5:$A$417&lt;&gt;"")*(MOVIMIENTOS!$A$5:$A$417&lt;=$A44)*MOVIMIENTOS!$E$5:$E$417)+SUMPRODUCT((MOVIMIENTOS!$B$5:$B$417="DEVOLUCIÓN")*(MOVIMIENTOS!$C$5:$C$417="P")*(MOVIMIENTOS!$D$5:$D$417="jabas")*(MOVIMIENTOS!$A$5:$A$417&lt;&gt;"")*(MOVIMIENTOS!$A$5:$A$417&lt;=$A44)*MOVIMIENTOS!$E$5:$E$417)-SUMPRODUCT((MOVIMIENTOS!$B$5:$B$417="TRASIEGO")*(MOVIMIENTOS!$C$5:$C$417="P")*(MOVIMIENTOS!$D$5:$D$417="jabas")*(MOVIMIENTOS!$A$5:$A$417&lt;&gt;"")*(MOVIMIENTOS!$A$5:$A$417&lt;=$A44)*MOVIMIENTOS!$E$5:$E$417)-SUMPRODUCT((MOVIMIENTOS!$B$5:$B$417="REGALO")*(MOVIMIENTOS!$C$5:$C$417="P")*(MOVIMIENTOS!$D$5:$D$417="jabas")*(MOVIMIENTOS!$A$5:$A$417&lt;&gt;"")*(MOVIMIENTOS!$A$5:$A$417&lt;=$A44)*MOVIMIENTOS!$E$5:$E$417)-SUMPRODUCT((MOVIMIENTOS!$B$5:$B$417="VENTA")*(MOVIMIENTOS!$C$5:$C$417="P")*(MOVIMIENTOS!$D$5:$D$417="jabas")*(MOVIMIENTOS!$A$5:$A$417&lt;&gt;"")*(MOVIMIENTOS!$A$5:$A$417&lt;=$A44)*MOVIMIENTOS!$E$5:$E$417)+SUMPRODUCT((MOVIMIENTOS!$B$5:$B$417="AJUSTE")*(MOVIMIENTOS!$C$5:$C$417="P")*(MOVIMIENTOS!$D$5:$D$417="jabas")*(MOVIMIENTOS!$A$5:$A$417&lt;&gt;"")*(MOVIMIENTOS!$A$5:$A$417&lt;=$A44)*MOVIMIENTOS!$E$5:$E$417))</f>
        <v/>
      </c>
      <c r="D44" s="56" t="str">
        <f>IF($A44="","",SUMPRODUCT((MOVIMIENTOS!$B$5:$B$417="SALDO INICIAL")*(MOVIMIENTOS!$C$5:$C$417="C")*(MOVIMIENTOS!$D$5:$D$417="jabas")*(MOVIMIENTOS!$A$5:$A$417&lt;&gt;"")*(MOVIMIENTOS!$A$5:$A$417&lt;=$A44)*MOVIMIENTOS!$E$5:$E$417)+SUMPRODUCT((MOVIMIENTOS!$B$5:$B$417="PROCESO")*(MOVIMIENTOS!$C$5:$C$417="C")*(MOVIMIENTOS!$D$5:$D$417="jabas")*(MOVIMIENTOS!$A$5:$A$417&lt;&gt;"")*(MOVIMIENTOS!$A$5:$A$417&lt;=$A44)*MOVIMIENTOS!$E$5:$E$417)-SUMPRODUCT((MOVIMIENTOS!$B$5:$B$417="ENVÍO A SUPESA")*(MOVIMIENTOS!$C$5:$C$417="C")*(MOVIMIENTOS!$D$5:$D$417="jabas")*(MOVIMIENTOS!$A$5:$A$417&lt;&gt;"")*(MOVIMIENTOS!$A$5:$A$417&lt;=$A44)*MOVIMIENTOS!$E$5:$E$417)+SUMPRODUCT((MOVIMIENTOS!$B$5:$B$417="DEVOLUCIÓN")*(MOVIMIENTOS!$C$5:$C$417="C")*(MOVIMIENTOS!$D$5:$D$417="jabas")*(MOVIMIENTOS!$A$5:$A$417&lt;&gt;"")*(MOVIMIENTOS!$A$5:$A$417&lt;=$A44)*MOVIMIENTOS!$E$5:$E$417)-SUMPRODUCT((MOVIMIENTOS!$B$5:$B$417="TRASIEGO")*(MOVIMIENTOS!$C$5:$C$417="C")*(MOVIMIENTOS!$D$5:$D$417="jabas")*(MOVIMIENTOS!$A$5:$A$417&lt;&gt;"")*(MOVIMIENTOS!$A$5:$A$417&lt;=$A44)*MOVIMIENTOS!$E$5:$E$417)-SUMPRODUCT((MOVIMIENTOS!$B$5:$B$417="REGALO")*(MOVIMIENTOS!$C$5:$C$417="C")*(MOVIMIENTOS!$D$5:$D$417="jabas")*(MOVIMIENTOS!$A$5:$A$417&lt;&gt;"")*(MOVIMIENTOS!$A$5:$A$417&lt;=$A44)*MOVIMIENTOS!$E$5:$E$417)-SUMPRODUCT((MOVIMIENTOS!$B$5:$B$417="VENTA")*(MOVIMIENTOS!$C$5:$C$417="C")*(MOVIMIENTOS!$D$5:$D$417="jabas")*(MOVIMIENTOS!$A$5:$A$417&lt;&gt;"")*(MOVIMIENTOS!$A$5:$A$417&lt;=$A44)*MOVIMIENTOS!$E$5:$E$417)+SUMPRODUCT((MOVIMIENTOS!$B$5:$B$417="AJUSTE")*(MOVIMIENTOS!$C$5:$C$417="C")*(MOVIMIENTOS!$D$5:$D$417="jabas")*(MOVIMIENTOS!$A$5:$A$417&lt;&gt;"")*(MOVIMIENTOS!$A$5:$A$417&lt;=$A44)*MOVIMIENTOS!$E$5:$E$417))</f>
        <v/>
      </c>
      <c r="E44" s="56" t="str">
        <f>IF($A44="","",SUMPRODUCT((MOVIMIENTOS!$B$5:$B$417="SALDO INICIAL")*(MOVIMIENTOS!$C$5:$C$417="M")*(MOVIMIENTOS!$D$5:$D$417="jabas")*(MOVIMIENTOS!$A$5:$A$417&lt;&gt;"")*(MOVIMIENTOS!$A$5:$A$417&lt;=$A44)*MOVIMIENTOS!$E$5:$E$417)+SUMPRODUCT((MOVIMIENTOS!$B$5:$B$417="PROCESO")*(MOVIMIENTOS!$C$5:$C$417="M")*(MOVIMIENTOS!$D$5:$D$417="jabas")*(MOVIMIENTOS!$A$5:$A$417&lt;&gt;"")*(MOVIMIENTOS!$A$5:$A$417&lt;=$A44)*MOVIMIENTOS!$E$5:$E$417)-SUMPRODUCT((MOVIMIENTOS!$B$5:$B$417="ENVÍO A SUPESA")*(MOVIMIENTOS!$C$5:$C$417="M")*(MOVIMIENTOS!$D$5:$D$417="jabas")*(MOVIMIENTOS!$A$5:$A$417&lt;&gt;"")*(MOVIMIENTOS!$A$5:$A$417&lt;=$A44)*MOVIMIENTOS!$E$5:$E$417)+SUMPRODUCT((MOVIMIENTOS!$B$5:$B$417="DEVOLUCIÓN")*(MOVIMIENTOS!$C$5:$C$417="M")*(MOVIMIENTOS!$D$5:$D$417="jabas")*(MOVIMIENTOS!$A$5:$A$417&lt;&gt;"")*(MOVIMIENTOS!$A$5:$A$417&lt;=$A44)*MOVIMIENTOS!$E$5:$E$417)-SUMPRODUCT((MOVIMIENTOS!$B$5:$B$417="TRASIEGO")*(MOVIMIENTOS!$C$5:$C$417="M")*(MOVIMIENTOS!$D$5:$D$417="jabas")*(MOVIMIENTOS!$A$5:$A$417&lt;&gt;"")*(MOVIMIENTOS!$A$5:$A$417&lt;=$A44)*MOVIMIENTOS!$E$5:$E$417)-SUMPRODUCT((MOVIMIENTOS!$B$5:$B$417="REGALO")*(MOVIMIENTOS!$C$5:$C$417="M")*(MOVIMIENTOS!$D$5:$D$417="jabas")*(MOVIMIENTOS!$A$5:$A$417&lt;&gt;"")*(MOVIMIENTOS!$A$5:$A$417&lt;=$A44)*MOVIMIENTOS!$E$5:$E$417)-SUMPRODUCT((MOVIMIENTOS!$B$5:$B$417="VENTA")*(MOVIMIENTOS!$C$5:$C$417="M")*(MOVIMIENTOS!$D$5:$D$417="jabas")*(MOVIMIENTOS!$A$5:$A$417&lt;&gt;"")*(MOVIMIENTOS!$A$5:$A$417&lt;=$A44)*MOVIMIENTOS!$E$5:$E$417)+SUMPRODUCT((MOVIMIENTOS!$B$5:$B$417="AJUSTE")*(MOVIMIENTOS!$C$5:$C$417="M")*(MOVIMIENTOS!$D$5:$D$417="jabas")*(MOVIMIENTOS!$A$5:$A$417&lt;&gt;"")*(MOVIMIENTOS!$A$5:$A$417&lt;=$A44)*MOVIMIENTOS!$E$5:$E$417))</f>
        <v/>
      </c>
      <c r="F44" s="56" t="str">
        <f>IF($A44="","",SUMPRODUCT((MOVIMIENTOS!$B$5:$B$417="SALDO INICIAL")*(MOVIMIENTOS!$C$5:$C$417="Chancho")*(MOVIMIENTOS!$D$5:$D$417="sacos")*(MOVIMIENTOS!$A$5:$A$417&lt;&gt;"")*(MOVIMIENTOS!$A$5:$A$417&lt;=$A44)*MOVIMIENTOS!$E$5:$E$417)+SUMPRODUCT((MOVIMIENTOS!$B$5:$B$417="PROCESO")*(MOVIMIENTOS!$C$5:$C$417="Chancho")*(MOVIMIENTOS!$D$5:$D$417="sacos")*(MOVIMIENTOS!$A$5:$A$417&lt;&gt;"")*(MOVIMIENTOS!$A$5:$A$417&lt;=$A44)*MOVIMIENTOS!$E$5:$E$417)-SUMPRODUCT((MOVIMIENTOS!$B$5:$B$417="VENTA CHANCHO")*(MOVIMIENTOS!$C$5:$C$417="Chancho")*(MOVIMIENTOS!$D$5:$D$417="sacos")*(MOVIMIENTOS!$A$5:$A$417&lt;&gt;"")*(MOVIMIENTOS!$A$5:$A$417&lt;=$A44)*MOVIMIENTOS!$E$5:$E$417)-SUMPRODUCT((MOVIMIENTOS!$B$5:$B$417="REGALO")*(MOVIMIENTOS!$C$5:$C$417="Chancho")*(MOVIMIENTOS!$D$5:$D$417="sacos")*(MOVIMIENTOS!$A$5:$A$417&lt;&gt;"")*(MOVIMIENTOS!$A$5:$A$417&lt;=$A44)*MOVIMIENTOS!$E$5:$E$417)-SUMPRODUCT((MOVIMIENTOS!$B$5:$B$417="VENTA")*(MOVIMIENTOS!$C$5:$C$417="Chancho")*(MOVIMIENTOS!$D$5:$D$417="sacos")*(MOVIMIENTOS!$A$5:$A$417&lt;&gt;"")*(MOVIMIENTOS!$A$5:$A$417&lt;=$A44)*MOVIMIENTOS!$E$5:$E$417)+SUMPRODUCT((MOVIMIENTOS!$B$5:$B$417="AJUSTE")*(MOVIMIENTOS!$C$5:$C$417="Chancho")*(MOVIMIENTOS!$D$5:$D$417="sacos")*(MOVIMIENTOS!$A$5:$A$417&lt;&gt;"")*(MOVIMIENTOS!$A$5:$A$417&lt;=$A44)*MOVIMIENTOS!$E$5:$E$417))</f>
        <v/>
      </c>
      <c r="G44" s="56" t="str">
        <f t="shared" si="3"/>
        <v/>
      </c>
      <c r="H44" s="56" t="str">
        <f>IF($A44="","",SUMPRODUCT((((MOVIMIENTOS!$B$5:$B$417="SALDO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44)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44)*MOVIMIENTOS!$I$5:$I$417))</f>
        <v/>
      </c>
      <c r="I44" s="54"/>
      <c r="J44" s="54" t="str">
        <f>IF(AND(MOVIMIENTOS!$A44&lt;&gt;"",COUNTIF(MOVIMIENTOS!$A$5:$A43,MOVIMIENTOS!$A44)=0),COUNT(J$4:J43)+1,"")</f>
        <v/>
      </c>
      <c r="K44" s="57">
        <f>MOVIMIENTOS!$A44</f>
        <v>46218</v>
      </c>
      <c r="L44" s="54"/>
      <c r="M44" s="54"/>
      <c r="N44" s="54"/>
    </row>
    <row r="45" spans="1:14" ht="15" customHeight="1" x14ac:dyDescent="0.2">
      <c r="A45" s="55" t="str">
        <f t="shared" si="2"/>
        <v/>
      </c>
      <c r="B45" s="56" t="str">
        <f>IF($A45="","",SUMPRODUCT((MOVIMIENTOS!$B$5:$B$417="SALDO INICIAL")*(MOVIMIENTOS!$C$5:$C$417="A")*(MOVIMIENTOS!$D$5:$D$417="jabas")*(MOVIMIENTOS!$A$5:$A$417&lt;&gt;"")*(MOVIMIENTOS!$A$5:$A$417&lt;=$A45)*MOVIMIENTOS!$E$5:$E$417)+SUMPRODUCT((MOVIMIENTOS!$B$5:$B$417="PROCESO")*(MOVIMIENTOS!$C$5:$C$417="A")*(MOVIMIENTOS!$D$5:$D$417="jabas")*(MOVIMIENTOS!$A$5:$A$417&lt;&gt;"")*(MOVIMIENTOS!$A$5:$A$417&lt;=$A45)*MOVIMIENTOS!$E$5:$E$417)-SUMPRODUCT((MOVIMIENTOS!$B$5:$B$417="ENVÍO A SUPESA")*(MOVIMIENTOS!$C$5:$C$417="A")*(MOVIMIENTOS!$D$5:$D$417="jabas")*(MOVIMIENTOS!$A$5:$A$417&lt;&gt;"")*(MOVIMIENTOS!$A$5:$A$417&lt;=$A45)*MOVIMIENTOS!$E$5:$E$417)+SUMPRODUCT((MOVIMIENTOS!$B$5:$B$417="DEVOLUCIÓN")*(MOVIMIENTOS!$C$5:$C$417="A")*(MOVIMIENTOS!$D$5:$D$417="jabas")*(MOVIMIENTOS!$A$5:$A$417&lt;&gt;"")*(MOVIMIENTOS!$A$5:$A$417&lt;=$A45)*MOVIMIENTOS!$E$5:$E$417)-SUMPRODUCT((MOVIMIENTOS!$B$5:$B$417="TRASIEGO")*(MOVIMIENTOS!$C$5:$C$417="A")*(MOVIMIENTOS!$D$5:$D$417="jabas")*(MOVIMIENTOS!$A$5:$A$417&lt;&gt;"")*(MOVIMIENTOS!$A$5:$A$417&lt;=$A45)*MOVIMIENTOS!$E$5:$E$417)-SUMPRODUCT((MOVIMIENTOS!$B$5:$B$417="REGALO")*(MOVIMIENTOS!$C$5:$C$417="A")*(MOVIMIENTOS!$D$5:$D$417="jabas")*(MOVIMIENTOS!$A$5:$A$417&lt;&gt;"")*(MOVIMIENTOS!$A$5:$A$417&lt;=$A45)*MOVIMIENTOS!$E$5:$E$417)-SUMPRODUCT((MOVIMIENTOS!$B$5:$B$417="VENTA")*(MOVIMIENTOS!$C$5:$C$417="A")*(MOVIMIENTOS!$D$5:$D$417="jabas")*(MOVIMIENTOS!$A$5:$A$417&lt;&gt;"")*(MOVIMIENTOS!$A$5:$A$417&lt;=$A45)*MOVIMIENTOS!$E$5:$E$417)+SUMPRODUCT((MOVIMIENTOS!$B$5:$B$417="AJUSTE")*(MOVIMIENTOS!$C$5:$C$417="A")*(MOVIMIENTOS!$D$5:$D$417="jabas")*(MOVIMIENTOS!$A$5:$A$417&lt;&gt;"")*(MOVIMIENTOS!$A$5:$A$417&lt;=$A45)*MOVIMIENTOS!$E$5:$E$417))</f>
        <v/>
      </c>
      <c r="C45" s="56" t="str">
        <f>IF($A45="","",SUMPRODUCT((MOVIMIENTOS!$B$5:$B$417="SALDO INICIAL")*(MOVIMIENTOS!$C$5:$C$417="P")*(MOVIMIENTOS!$D$5:$D$417="jabas")*(MOVIMIENTOS!$A$5:$A$417&lt;&gt;"")*(MOVIMIENTOS!$A$5:$A$417&lt;=$A45)*MOVIMIENTOS!$E$5:$E$417)+SUMPRODUCT((MOVIMIENTOS!$B$5:$B$417="PROCESO")*(MOVIMIENTOS!$C$5:$C$417="P")*(MOVIMIENTOS!$D$5:$D$417="jabas")*(MOVIMIENTOS!$A$5:$A$417&lt;&gt;"")*(MOVIMIENTOS!$A$5:$A$417&lt;=$A45)*MOVIMIENTOS!$E$5:$E$417)-SUMPRODUCT((MOVIMIENTOS!$B$5:$B$417="ENVÍO A SUPESA")*(MOVIMIENTOS!$C$5:$C$417="P")*(MOVIMIENTOS!$D$5:$D$417="jabas")*(MOVIMIENTOS!$A$5:$A$417&lt;&gt;"")*(MOVIMIENTOS!$A$5:$A$417&lt;=$A45)*MOVIMIENTOS!$E$5:$E$417)+SUMPRODUCT((MOVIMIENTOS!$B$5:$B$417="DEVOLUCIÓN")*(MOVIMIENTOS!$C$5:$C$417="P")*(MOVIMIENTOS!$D$5:$D$417="jabas")*(MOVIMIENTOS!$A$5:$A$417&lt;&gt;"")*(MOVIMIENTOS!$A$5:$A$417&lt;=$A45)*MOVIMIENTOS!$E$5:$E$417)-SUMPRODUCT((MOVIMIENTOS!$B$5:$B$417="TRASIEGO")*(MOVIMIENTOS!$C$5:$C$417="P")*(MOVIMIENTOS!$D$5:$D$417="jabas")*(MOVIMIENTOS!$A$5:$A$417&lt;&gt;"")*(MOVIMIENTOS!$A$5:$A$417&lt;=$A45)*MOVIMIENTOS!$E$5:$E$417)-SUMPRODUCT((MOVIMIENTOS!$B$5:$B$417="REGALO")*(MOVIMIENTOS!$C$5:$C$417="P")*(MOVIMIENTOS!$D$5:$D$417="jabas")*(MOVIMIENTOS!$A$5:$A$417&lt;&gt;"")*(MOVIMIENTOS!$A$5:$A$417&lt;=$A45)*MOVIMIENTOS!$E$5:$E$417)-SUMPRODUCT((MOVIMIENTOS!$B$5:$B$417="VENTA")*(MOVIMIENTOS!$C$5:$C$417="P")*(MOVIMIENTOS!$D$5:$D$417="jabas")*(MOVIMIENTOS!$A$5:$A$417&lt;&gt;"")*(MOVIMIENTOS!$A$5:$A$417&lt;=$A45)*MOVIMIENTOS!$E$5:$E$417)+SUMPRODUCT((MOVIMIENTOS!$B$5:$B$417="AJUSTE")*(MOVIMIENTOS!$C$5:$C$417="P")*(MOVIMIENTOS!$D$5:$D$417="jabas")*(MOVIMIENTOS!$A$5:$A$417&lt;&gt;"")*(MOVIMIENTOS!$A$5:$A$417&lt;=$A45)*MOVIMIENTOS!$E$5:$E$417))</f>
        <v/>
      </c>
      <c r="D45" s="56" t="str">
        <f>IF($A45="","",SUMPRODUCT((MOVIMIENTOS!$B$5:$B$417="SALDO INICIAL")*(MOVIMIENTOS!$C$5:$C$417="C")*(MOVIMIENTOS!$D$5:$D$417="jabas")*(MOVIMIENTOS!$A$5:$A$417&lt;&gt;"")*(MOVIMIENTOS!$A$5:$A$417&lt;=$A45)*MOVIMIENTOS!$E$5:$E$417)+SUMPRODUCT((MOVIMIENTOS!$B$5:$B$417="PROCESO")*(MOVIMIENTOS!$C$5:$C$417="C")*(MOVIMIENTOS!$D$5:$D$417="jabas")*(MOVIMIENTOS!$A$5:$A$417&lt;&gt;"")*(MOVIMIENTOS!$A$5:$A$417&lt;=$A45)*MOVIMIENTOS!$E$5:$E$417)-SUMPRODUCT((MOVIMIENTOS!$B$5:$B$417="ENVÍO A SUPESA")*(MOVIMIENTOS!$C$5:$C$417="C")*(MOVIMIENTOS!$D$5:$D$417="jabas")*(MOVIMIENTOS!$A$5:$A$417&lt;&gt;"")*(MOVIMIENTOS!$A$5:$A$417&lt;=$A45)*MOVIMIENTOS!$E$5:$E$417)+SUMPRODUCT((MOVIMIENTOS!$B$5:$B$417="DEVOLUCIÓN")*(MOVIMIENTOS!$C$5:$C$417="C")*(MOVIMIENTOS!$D$5:$D$417="jabas")*(MOVIMIENTOS!$A$5:$A$417&lt;&gt;"")*(MOVIMIENTOS!$A$5:$A$417&lt;=$A45)*MOVIMIENTOS!$E$5:$E$417)-SUMPRODUCT((MOVIMIENTOS!$B$5:$B$417="TRASIEGO")*(MOVIMIENTOS!$C$5:$C$417="C")*(MOVIMIENTOS!$D$5:$D$417="jabas")*(MOVIMIENTOS!$A$5:$A$417&lt;&gt;"")*(MOVIMIENTOS!$A$5:$A$417&lt;=$A45)*MOVIMIENTOS!$E$5:$E$417)-SUMPRODUCT((MOVIMIENTOS!$B$5:$B$417="REGALO")*(MOVIMIENTOS!$C$5:$C$417="C")*(MOVIMIENTOS!$D$5:$D$417="jabas")*(MOVIMIENTOS!$A$5:$A$417&lt;&gt;"")*(MOVIMIENTOS!$A$5:$A$417&lt;=$A45)*MOVIMIENTOS!$E$5:$E$417)-SUMPRODUCT((MOVIMIENTOS!$B$5:$B$417="VENTA")*(MOVIMIENTOS!$C$5:$C$417="C")*(MOVIMIENTOS!$D$5:$D$417="jabas")*(MOVIMIENTOS!$A$5:$A$417&lt;&gt;"")*(MOVIMIENTOS!$A$5:$A$417&lt;=$A45)*MOVIMIENTOS!$E$5:$E$417)+SUMPRODUCT((MOVIMIENTOS!$B$5:$B$417="AJUSTE")*(MOVIMIENTOS!$C$5:$C$417="C")*(MOVIMIENTOS!$D$5:$D$417="jabas")*(MOVIMIENTOS!$A$5:$A$417&lt;&gt;"")*(MOVIMIENTOS!$A$5:$A$417&lt;=$A45)*MOVIMIENTOS!$E$5:$E$417))</f>
        <v/>
      </c>
      <c r="E45" s="56" t="str">
        <f>IF($A45="","",SUMPRODUCT((MOVIMIENTOS!$B$5:$B$417="SALDO INICIAL")*(MOVIMIENTOS!$C$5:$C$417="M")*(MOVIMIENTOS!$D$5:$D$417="jabas")*(MOVIMIENTOS!$A$5:$A$417&lt;&gt;"")*(MOVIMIENTOS!$A$5:$A$417&lt;=$A45)*MOVIMIENTOS!$E$5:$E$417)+SUMPRODUCT((MOVIMIENTOS!$B$5:$B$417="PROCESO")*(MOVIMIENTOS!$C$5:$C$417="M")*(MOVIMIENTOS!$D$5:$D$417="jabas")*(MOVIMIENTOS!$A$5:$A$417&lt;&gt;"")*(MOVIMIENTOS!$A$5:$A$417&lt;=$A45)*MOVIMIENTOS!$E$5:$E$417)-SUMPRODUCT((MOVIMIENTOS!$B$5:$B$417="ENVÍO A SUPESA")*(MOVIMIENTOS!$C$5:$C$417="M")*(MOVIMIENTOS!$D$5:$D$417="jabas")*(MOVIMIENTOS!$A$5:$A$417&lt;&gt;"")*(MOVIMIENTOS!$A$5:$A$417&lt;=$A45)*MOVIMIENTOS!$E$5:$E$417)+SUMPRODUCT((MOVIMIENTOS!$B$5:$B$417="DEVOLUCIÓN")*(MOVIMIENTOS!$C$5:$C$417="M")*(MOVIMIENTOS!$D$5:$D$417="jabas")*(MOVIMIENTOS!$A$5:$A$417&lt;&gt;"")*(MOVIMIENTOS!$A$5:$A$417&lt;=$A45)*MOVIMIENTOS!$E$5:$E$417)-SUMPRODUCT((MOVIMIENTOS!$B$5:$B$417="TRASIEGO")*(MOVIMIENTOS!$C$5:$C$417="M")*(MOVIMIENTOS!$D$5:$D$417="jabas")*(MOVIMIENTOS!$A$5:$A$417&lt;&gt;"")*(MOVIMIENTOS!$A$5:$A$417&lt;=$A45)*MOVIMIENTOS!$E$5:$E$417)-SUMPRODUCT((MOVIMIENTOS!$B$5:$B$417="REGALO")*(MOVIMIENTOS!$C$5:$C$417="M")*(MOVIMIENTOS!$D$5:$D$417="jabas")*(MOVIMIENTOS!$A$5:$A$417&lt;&gt;"")*(MOVIMIENTOS!$A$5:$A$417&lt;=$A45)*MOVIMIENTOS!$E$5:$E$417)-SUMPRODUCT((MOVIMIENTOS!$B$5:$B$417="VENTA")*(MOVIMIENTOS!$C$5:$C$417="M")*(MOVIMIENTOS!$D$5:$D$417="jabas")*(MOVIMIENTOS!$A$5:$A$417&lt;&gt;"")*(MOVIMIENTOS!$A$5:$A$417&lt;=$A45)*MOVIMIENTOS!$E$5:$E$417)+SUMPRODUCT((MOVIMIENTOS!$B$5:$B$417="AJUSTE")*(MOVIMIENTOS!$C$5:$C$417="M")*(MOVIMIENTOS!$D$5:$D$417="jabas")*(MOVIMIENTOS!$A$5:$A$417&lt;&gt;"")*(MOVIMIENTOS!$A$5:$A$417&lt;=$A45)*MOVIMIENTOS!$E$5:$E$417))</f>
        <v/>
      </c>
      <c r="F45" s="56" t="str">
        <f>IF($A45="","",SUMPRODUCT((MOVIMIENTOS!$B$5:$B$417="SALDO INICIAL")*(MOVIMIENTOS!$C$5:$C$417="Chancho")*(MOVIMIENTOS!$D$5:$D$417="sacos")*(MOVIMIENTOS!$A$5:$A$417&lt;&gt;"")*(MOVIMIENTOS!$A$5:$A$417&lt;=$A45)*MOVIMIENTOS!$E$5:$E$417)+SUMPRODUCT((MOVIMIENTOS!$B$5:$B$417="PROCESO")*(MOVIMIENTOS!$C$5:$C$417="Chancho")*(MOVIMIENTOS!$D$5:$D$417="sacos")*(MOVIMIENTOS!$A$5:$A$417&lt;&gt;"")*(MOVIMIENTOS!$A$5:$A$417&lt;=$A45)*MOVIMIENTOS!$E$5:$E$417)-SUMPRODUCT((MOVIMIENTOS!$B$5:$B$417="VENTA CHANCHO")*(MOVIMIENTOS!$C$5:$C$417="Chancho")*(MOVIMIENTOS!$D$5:$D$417="sacos")*(MOVIMIENTOS!$A$5:$A$417&lt;&gt;"")*(MOVIMIENTOS!$A$5:$A$417&lt;=$A45)*MOVIMIENTOS!$E$5:$E$417)-SUMPRODUCT((MOVIMIENTOS!$B$5:$B$417="REGALO")*(MOVIMIENTOS!$C$5:$C$417="Chancho")*(MOVIMIENTOS!$D$5:$D$417="sacos")*(MOVIMIENTOS!$A$5:$A$417&lt;&gt;"")*(MOVIMIENTOS!$A$5:$A$417&lt;=$A45)*MOVIMIENTOS!$E$5:$E$417)-SUMPRODUCT((MOVIMIENTOS!$B$5:$B$417="VENTA")*(MOVIMIENTOS!$C$5:$C$417="Chancho")*(MOVIMIENTOS!$D$5:$D$417="sacos")*(MOVIMIENTOS!$A$5:$A$417&lt;&gt;"")*(MOVIMIENTOS!$A$5:$A$417&lt;=$A45)*MOVIMIENTOS!$E$5:$E$417)+SUMPRODUCT((MOVIMIENTOS!$B$5:$B$417="AJUSTE")*(MOVIMIENTOS!$C$5:$C$417="Chancho")*(MOVIMIENTOS!$D$5:$D$417="sacos")*(MOVIMIENTOS!$A$5:$A$417&lt;&gt;"")*(MOVIMIENTOS!$A$5:$A$417&lt;=$A45)*MOVIMIENTOS!$E$5:$E$417))</f>
        <v/>
      </c>
      <c r="G45" s="56" t="str">
        <f t="shared" si="3"/>
        <v/>
      </c>
      <c r="H45" s="56" t="str">
        <f>IF($A45="","",SUMPRODUCT((((MOVIMIENTOS!$B$5:$B$417="SALDO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45)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45)*MOVIMIENTOS!$I$5:$I$417))</f>
        <v/>
      </c>
      <c r="I45" s="54"/>
      <c r="J45" s="54" t="str">
        <f>IF(AND(MOVIMIENTOS!$A45&lt;&gt;"",COUNTIF(MOVIMIENTOS!$A$5:$A44,MOVIMIENTOS!$A45)=0),COUNT(J$4:J44)+1,"")</f>
        <v/>
      </c>
      <c r="K45" s="57">
        <f>MOVIMIENTOS!$A45</f>
        <v>46218</v>
      </c>
      <c r="L45" s="54"/>
      <c r="M45" s="54"/>
      <c r="N45" s="54"/>
    </row>
    <row r="46" spans="1:14" ht="15" customHeight="1" x14ac:dyDescent="0.2">
      <c r="A46" s="55" t="str">
        <f t="shared" si="2"/>
        <v/>
      </c>
      <c r="B46" s="56" t="str">
        <f>IF($A46="","",SUMPRODUCT((MOVIMIENTOS!$B$5:$B$417="SALDO INICIAL")*(MOVIMIENTOS!$C$5:$C$417="A")*(MOVIMIENTOS!$D$5:$D$417="jabas")*(MOVIMIENTOS!$A$5:$A$417&lt;&gt;"")*(MOVIMIENTOS!$A$5:$A$417&lt;=$A46)*MOVIMIENTOS!$E$5:$E$417)+SUMPRODUCT((MOVIMIENTOS!$B$5:$B$417="PROCESO")*(MOVIMIENTOS!$C$5:$C$417="A")*(MOVIMIENTOS!$D$5:$D$417="jabas")*(MOVIMIENTOS!$A$5:$A$417&lt;&gt;"")*(MOVIMIENTOS!$A$5:$A$417&lt;=$A46)*MOVIMIENTOS!$E$5:$E$417)-SUMPRODUCT((MOVIMIENTOS!$B$5:$B$417="ENVÍO A SUPESA")*(MOVIMIENTOS!$C$5:$C$417="A")*(MOVIMIENTOS!$D$5:$D$417="jabas")*(MOVIMIENTOS!$A$5:$A$417&lt;&gt;"")*(MOVIMIENTOS!$A$5:$A$417&lt;=$A46)*MOVIMIENTOS!$E$5:$E$417)+SUMPRODUCT((MOVIMIENTOS!$B$5:$B$417="DEVOLUCIÓN")*(MOVIMIENTOS!$C$5:$C$417="A")*(MOVIMIENTOS!$D$5:$D$417="jabas")*(MOVIMIENTOS!$A$5:$A$417&lt;&gt;"")*(MOVIMIENTOS!$A$5:$A$417&lt;=$A46)*MOVIMIENTOS!$E$5:$E$417)-SUMPRODUCT((MOVIMIENTOS!$B$5:$B$417="TRASIEGO")*(MOVIMIENTOS!$C$5:$C$417="A")*(MOVIMIENTOS!$D$5:$D$417="jabas")*(MOVIMIENTOS!$A$5:$A$417&lt;&gt;"")*(MOVIMIENTOS!$A$5:$A$417&lt;=$A46)*MOVIMIENTOS!$E$5:$E$417)-SUMPRODUCT((MOVIMIENTOS!$B$5:$B$417="REGALO")*(MOVIMIENTOS!$C$5:$C$417="A")*(MOVIMIENTOS!$D$5:$D$417="jabas")*(MOVIMIENTOS!$A$5:$A$417&lt;&gt;"")*(MOVIMIENTOS!$A$5:$A$417&lt;=$A46)*MOVIMIENTOS!$E$5:$E$417)-SUMPRODUCT((MOVIMIENTOS!$B$5:$B$417="VENTA")*(MOVIMIENTOS!$C$5:$C$417="A")*(MOVIMIENTOS!$D$5:$D$417="jabas")*(MOVIMIENTOS!$A$5:$A$417&lt;&gt;"")*(MOVIMIENTOS!$A$5:$A$417&lt;=$A46)*MOVIMIENTOS!$E$5:$E$417)+SUMPRODUCT((MOVIMIENTOS!$B$5:$B$417="AJUSTE")*(MOVIMIENTOS!$C$5:$C$417="A")*(MOVIMIENTOS!$D$5:$D$417="jabas")*(MOVIMIENTOS!$A$5:$A$417&lt;&gt;"")*(MOVIMIENTOS!$A$5:$A$417&lt;=$A46)*MOVIMIENTOS!$E$5:$E$417))</f>
        <v/>
      </c>
      <c r="C46" s="56" t="str">
        <f>IF($A46="","",SUMPRODUCT((MOVIMIENTOS!$B$5:$B$417="SALDO INICIAL")*(MOVIMIENTOS!$C$5:$C$417="P")*(MOVIMIENTOS!$D$5:$D$417="jabas")*(MOVIMIENTOS!$A$5:$A$417&lt;&gt;"")*(MOVIMIENTOS!$A$5:$A$417&lt;=$A46)*MOVIMIENTOS!$E$5:$E$417)+SUMPRODUCT((MOVIMIENTOS!$B$5:$B$417="PROCESO")*(MOVIMIENTOS!$C$5:$C$417="P")*(MOVIMIENTOS!$D$5:$D$417="jabas")*(MOVIMIENTOS!$A$5:$A$417&lt;&gt;"")*(MOVIMIENTOS!$A$5:$A$417&lt;=$A46)*MOVIMIENTOS!$E$5:$E$417)-SUMPRODUCT((MOVIMIENTOS!$B$5:$B$417="ENVÍO A SUPESA")*(MOVIMIENTOS!$C$5:$C$417="P")*(MOVIMIENTOS!$D$5:$D$417="jabas")*(MOVIMIENTOS!$A$5:$A$417&lt;&gt;"")*(MOVIMIENTOS!$A$5:$A$417&lt;=$A46)*MOVIMIENTOS!$E$5:$E$417)+SUMPRODUCT((MOVIMIENTOS!$B$5:$B$417="DEVOLUCIÓN")*(MOVIMIENTOS!$C$5:$C$417="P")*(MOVIMIENTOS!$D$5:$D$417="jabas")*(MOVIMIENTOS!$A$5:$A$417&lt;&gt;"")*(MOVIMIENTOS!$A$5:$A$417&lt;=$A46)*MOVIMIENTOS!$E$5:$E$417)-SUMPRODUCT((MOVIMIENTOS!$B$5:$B$417="TRASIEGO")*(MOVIMIENTOS!$C$5:$C$417="P")*(MOVIMIENTOS!$D$5:$D$417="jabas")*(MOVIMIENTOS!$A$5:$A$417&lt;&gt;"")*(MOVIMIENTOS!$A$5:$A$417&lt;=$A46)*MOVIMIENTOS!$E$5:$E$417)-SUMPRODUCT((MOVIMIENTOS!$B$5:$B$417="REGALO")*(MOVIMIENTOS!$C$5:$C$417="P")*(MOVIMIENTOS!$D$5:$D$417="jabas")*(MOVIMIENTOS!$A$5:$A$417&lt;&gt;"")*(MOVIMIENTOS!$A$5:$A$417&lt;=$A46)*MOVIMIENTOS!$E$5:$E$417)-SUMPRODUCT((MOVIMIENTOS!$B$5:$B$417="VENTA")*(MOVIMIENTOS!$C$5:$C$417="P")*(MOVIMIENTOS!$D$5:$D$417="jabas")*(MOVIMIENTOS!$A$5:$A$417&lt;&gt;"")*(MOVIMIENTOS!$A$5:$A$417&lt;=$A46)*MOVIMIENTOS!$E$5:$E$417)+SUMPRODUCT((MOVIMIENTOS!$B$5:$B$417="AJUSTE")*(MOVIMIENTOS!$C$5:$C$417="P")*(MOVIMIENTOS!$D$5:$D$417="jabas")*(MOVIMIENTOS!$A$5:$A$417&lt;&gt;"")*(MOVIMIENTOS!$A$5:$A$417&lt;=$A46)*MOVIMIENTOS!$E$5:$E$417))</f>
        <v/>
      </c>
      <c r="D46" s="56" t="str">
        <f>IF($A46="","",SUMPRODUCT((MOVIMIENTOS!$B$5:$B$417="SALDO INICIAL")*(MOVIMIENTOS!$C$5:$C$417="C")*(MOVIMIENTOS!$D$5:$D$417="jabas")*(MOVIMIENTOS!$A$5:$A$417&lt;&gt;"")*(MOVIMIENTOS!$A$5:$A$417&lt;=$A46)*MOVIMIENTOS!$E$5:$E$417)+SUMPRODUCT((MOVIMIENTOS!$B$5:$B$417="PROCESO")*(MOVIMIENTOS!$C$5:$C$417="C")*(MOVIMIENTOS!$D$5:$D$417="jabas")*(MOVIMIENTOS!$A$5:$A$417&lt;&gt;"")*(MOVIMIENTOS!$A$5:$A$417&lt;=$A46)*MOVIMIENTOS!$E$5:$E$417)-SUMPRODUCT((MOVIMIENTOS!$B$5:$B$417="ENVÍO A SUPESA")*(MOVIMIENTOS!$C$5:$C$417="C")*(MOVIMIENTOS!$D$5:$D$417="jabas")*(MOVIMIENTOS!$A$5:$A$417&lt;&gt;"")*(MOVIMIENTOS!$A$5:$A$417&lt;=$A46)*MOVIMIENTOS!$E$5:$E$417)+SUMPRODUCT((MOVIMIENTOS!$B$5:$B$417="DEVOLUCIÓN")*(MOVIMIENTOS!$C$5:$C$417="C")*(MOVIMIENTOS!$D$5:$D$417="jabas")*(MOVIMIENTOS!$A$5:$A$417&lt;&gt;"")*(MOVIMIENTOS!$A$5:$A$417&lt;=$A46)*MOVIMIENTOS!$E$5:$E$417)-SUMPRODUCT((MOVIMIENTOS!$B$5:$B$417="TRASIEGO")*(MOVIMIENTOS!$C$5:$C$417="C")*(MOVIMIENTOS!$D$5:$D$417="jabas")*(MOVIMIENTOS!$A$5:$A$417&lt;&gt;"")*(MOVIMIENTOS!$A$5:$A$417&lt;=$A46)*MOVIMIENTOS!$E$5:$E$417)-SUMPRODUCT((MOVIMIENTOS!$B$5:$B$417="REGALO")*(MOVIMIENTOS!$C$5:$C$417="C")*(MOVIMIENTOS!$D$5:$D$417="jabas")*(MOVIMIENTOS!$A$5:$A$417&lt;&gt;"")*(MOVIMIENTOS!$A$5:$A$417&lt;=$A46)*MOVIMIENTOS!$E$5:$E$417)-SUMPRODUCT((MOVIMIENTOS!$B$5:$B$417="VENTA")*(MOVIMIENTOS!$C$5:$C$417="C")*(MOVIMIENTOS!$D$5:$D$417="jabas")*(MOVIMIENTOS!$A$5:$A$417&lt;&gt;"")*(MOVIMIENTOS!$A$5:$A$417&lt;=$A46)*MOVIMIENTOS!$E$5:$E$417)+SUMPRODUCT((MOVIMIENTOS!$B$5:$B$417="AJUSTE")*(MOVIMIENTOS!$C$5:$C$417="C")*(MOVIMIENTOS!$D$5:$D$417="jabas")*(MOVIMIENTOS!$A$5:$A$417&lt;&gt;"")*(MOVIMIENTOS!$A$5:$A$417&lt;=$A46)*MOVIMIENTOS!$E$5:$E$417))</f>
        <v/>
      </c>
      <c r="E46" s="56" t="str">
        <f>IF($A46="","",SUMPRODUCT((MOVIMIENTOS!$B$5:$B$417="SALDO INICIAL")*(MOVIMIENTOS!$C$5:$C$417="M")*(MOVIMIENTOS!$D$5:$D$417="jabas")*(MOVIMIENTOS!$A$5:$A$417&lt;&gt;"")*(MOVIMIENTOS!$A$5:$A$417&lt;=$A46)*MOVIMIENTOS!$E$5:$E$417)+SUMPRODUCT((MOVIMIENTOS!$B$5:$B$417="PROCESO")*(MOVIMIENTOS!$C$5:$C$417="M")*(MOVIMIENTOS!$D$5:$D$417="jabas")*(MOVIMIENTOS!$A$5:$A$417&lt;&gt;"")*(MOVIMIENTOS!$A$5:$A$417&lt;=$A46)*MOVIMIENTOS!$E$5:$E$417)-SUMPRODUCT((MOVIMIENTOS!$B$5:$B$417="ENVÍO A SUPESA")*(MOVIMIENTOS!$C$5:$C$417="M")*(MOVIMIENTOS!$D$5:$D$417="jabas")*(MOVIMIENTOS!$A$5:$A$417&lt;&gt;"")*(MOVIMIENTOS!$A$5:$A$417&lt;=$A46)*MOVIMIENTOS!$E$5:$E$417)+SUMPRODUCT((MOVIMIENTOS!$B$5:$B$417="DEVOLUCIÓN")*(MOVIMIENTOS!$C$5:$C$417="M")*(MOVIMIENTOS!$D$5:$D$417="jabas")*(MOVIMIENTOS!$A$5:$A$417&lt;&gt;"")*(MOVIMIENTOS!$A$5:$A$417&lt;=$A46)*MOVIMIENTOS!$E$5:$E$417)-SUMPRODUCT((MOVIMIENTOS!$B$5:$B$417="TRASIEGO")*(MOVIMIENTOS!$C$5:$C$417="M")*(MOVIMIENTOS!$D$5:$D$417="jabas")*(MOVIMIENTOS!$A$5:$A$417&lt;&gt;"")*(MOVIMIENTOS!$A$5:$A$417&lt;=$A46)*MOVIMIENTOS!$E$5:$E$417)-SUMPRODUCT((MOVIMIENTOS!$B$5:$B$417="REGALO")*(MOVIMIENTOS!$C$5:$C$417="M")*(MOVIMIENTOS!$D$5:$D$417="jabas")*(MOVIMIENTOS!$A$5:$A$417&lt;&gt;"")*(MOVIMIENTOS!$A$5:$A$417&lt;=$A46)*MOVIMIENTOS!$E$5:$E$417)-SUMPRODUCT((MOVIMIENTOS!$B$5:$B$417="VENTA")*(MOVIMIENTOS!$C$5:$C$417="M")*(MOVIMIENTOS!$D$5:$D$417="jabas")*(MOVIMIENTOS!$A$5:$A$417&lt;&gt;"")*(MOVIMIENTOS!$A$5:$A$417&lt;=$A46)*MOVIMIENTOS!$E$5:$E$417)+SUMPRODUCT((MOVIMIENTOS!$B$5:$B$417="AJUSTE")*(MOVIMIENTOS!$C$5:$C$417="M")*(MOVIMIENTOS!$D$5:$D$417="jabas")*(MOVIMIENTOS!$A$5:$A$417&lt;&gt;"")*(MOVIMIENTOS!$A$5:$A$417&lt;=$A46)*MOVIMIENTOS!$E$5:$E$417))</f>
        <v/>
      </c>
      <c r="F46" s="56" t="str">
        <f>IF($A46="","",SUMPRODUCT((MOVIMIENTOS!$B$5:$B$417="SALDO INICIAL")*(MOVIMIENTOS!$C$5:$C$417="Chancho")*(MOVIMIENTOS!$D$5:$D$417="sacos")*(MOVIMIENTOS!$A$5:$A$417&lt;&gt;"")*(MOVIMIENTOS!$A$5:$A$417&lt;=$A46)*MOVIMIENTOS!$E$5:$E$417)+SUMPRODUCT((MOVIMIENTOS!$B$5:$B$417="PROCESO")*(MOVIMIENTOS!$C$5:$C$417="Chancho")*(MOVIMIENTOS!$D$5:$D$417="sacos")*(MOVIMIENTOS!$A$5:$A$417&lt;&gt;"")*(MOVIMIENTOS!$A$5:$A$417&lt;=$A46)*MOVIMIENTOS!$E$5:$E$417)-SUMPRODUCT((MOVIMIENTOS!$B$5:$B$417="VENTA CHANCHO")*(MOVIMIENTOS!$C$5:$C$417="Chancho")*(MOVIMIENTOS!$D$5:$D$417="sacos")*(MOVIMIENTOS!$A$5:$A$417&lt;&gt;"")*(MOVIMIENTOS!$A$5:$A$417&lt;=$A46)*MOVIMIENTOS!$E$5:$E$417)-SUMPRODUCT((MOVIMIENTOS!$B$5:$B$417="REGALO")*(MOVIMIENTOS!$C$5:$C$417="Chancho")*(MOVIMIENTOS!$D$5:$D$417="sacos")*(MOVIMIENTOS!$A$5:$A$417&lt;&gt;"")*(MOVIMIENTOS!$A$5:$A$417&lt;=$A46)*MOVIMIENTOS!$E$5:$E$417)-SUMPRODUCT((MOVIMIENTOS!$B$5:$B$417="VENTA")*(MOVIMIENTOS!$C$5:$C$417="Chancho")*(MOVIMIENTOS!$D$5:$D$417="sacos")*(MOVIMIENTOS!$A$5:$A$417&lt;&gt;"")*(MOVIMIENTOS!$A$5:$A$417&lt;=$A46)*MOVIMIENTOS!$E$5:$E$417)+SUMPRODUCT((MOVIMIENTOS!$B$5:$B$417="AJUSTE")*(MOVIMIENTOS!$C$5:$C$417="Chancho")*(MOVIMIENTOS!$D$5:$D$417="sacos")*(MOVIMIENTOS!$A$5:$A$417&lt;&gt;"")*(MOVIMIENTOS!$A$5:$A$417&lt;=$A46)*MOVIMIENTOS!$E$5:$E$417))</f>
        <v/>
      </c>
      <c r="G46" s="56" t="str">
        <f t="shared" si="3"/>
        <v/>
      </c>
      <c r="H46" s="56" t="str">
        <f>IF($A46="","",SUMPRODUCT((((MOVIMIENTOS!$B$5:$B$417="SALDO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46)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46)*MOVIMIENTOS!$I$5:$I$417))</f>
        <v/>
      </c>
      <c r="I46" s="54"/>
      <c r="J46" s="54" t="str">
        <f>IF(AND(MOVIMIENTOS!$A46&lt;&gt;"",COUNTIF(MOVIMIENTOS!$A$5:$A45,MOVIMIENTOS!$A46)=0),COUNT(J$4:J45)+1,"")</f>
        <v/>
      </c>
      <c r="K46" s="57">
        <f>MOVIMIENTOS!$A46</f>
        <v>46218</v>
      </c>
      <c r="L46" s="54"/>
      <c r="M46" s="54"/>
      <c r="N46" s="54"/>
    </row>
    <row r="47" spans="1:14" ht="15" customHeight="1" x14ac:dyDescent="0.2">
      <c r="A47" s="55" t="str">
        <f t="shared" si="2"/>
        <v/>
      </c>
      <c r="B47" s="56" t="str">
        <f>IF($A47="","",SUMPRODUCT((MOVIMIENTOS!$B$5:$B$417="SALDO INICIAL")*(MOVIMIENTOS!$C$5:$C$417="A")*(MOVIMIENTOS!$D$5:$D$417="jabas")*(MOVIMIENTOS!$A$5:$A$417&lt;&gt;"")*(MOVIMIENTOS!$A$5:$A$417&lt;=$A47)*MOVIMIENTOS!$E$5:$E$417)+SUMPRODUCT((MOVIMIENTOS!$B$5:$B$417="PROCESO")*(MOVIMIENTOS!$C$5:$C$417="A")*(MOVIMIENTOS!$D$5:$D$417="jabas")*(MOVIMIENTOS!$A$5:$A$417&lt;&gt;"")*(MOVIMIENTOS!$A$5:$A$417&lt;=$A47)*MOVIMIENTOS!$E$5:$E$417)-SUMPRODUCT((MOVIMIENTOS!$B$5:$B$417="ENVÍO A SUPESA")*(MOVIMIENTOS!$C$5:$C$417="A")*(MOVIMIENTOS!$D$5:$D$417="jabas")*(MOVIMIENTOS!$A$5:$A$417&lt;&gt;"")*(MOVIMIENTOS!$A$5:$A$417&lt;=$A47)*MOVIMIENTOS!$E$5:$E$417)+SUMPRODUCT((MOVIMIENTOS!$B$5:$B$417="DEVOLUCIÓN")*(MOVIMIENTOS!$C$5:$C$417="A")*(MOVIMIENTOS!$D$5:$D$417="jabas")*(MOVIMIENTOS!$A$5:$A$417&lt;&gt;"")*(MOVIMIENTOS!$A$5:$A$417&lt;=$A47)*MOVIMIENTOS!$E$5:$E$417)-SUMPRODUCT((MOVIMIENTOS!$B$5:$B$417="TRASIEGO")*(MOVIMIENTOS!$C$5:$C$417="A")*(MOVIMIENTOS!$D$5:$D$417="jabas")*(MOVIMIENTOS!$A$5:$A$417&lt;&gt;"")*(MOVIMIENTOS!$A$5:$A$417&lt;=$A47)*MOVIMIENTOS!$E$5:$E$417)-SUMPRODUCT((MOVIMIENTOS!$B$5:$B$417="REGALO")*(MOVIMIENTOS!$C$5:$C$417="A")*(MOVIMIENTOS!$D$5:$D$417="jabas")*(MOVIMIENTOS!$A$5:$A$417&lt;&gt;"")*(MOVIMIENTOS!$A$5:$A$417&lt;=$A47)*MOVIMIENTOS!$E$5:$E$417)-SUMPRODUCT((MOVIMIENTOS!$B$5:$B$417="VENTA")*(MOVIMIENTOS!$C$5:$C$417="A")*(MOVIMIENTOS!$D$5:$D$417="jabas")*(MOVIMIENTOS!$A$5:$A$417&lt;&gt;"")*(MOVIMIENTOS!$A$5:$A$417&lt;=$A47)*MOVIMIENTOS!$E$5:$E$417)+SUMPRODUCT((MOVIMIENTOS!$B$5:$B$417="AJUSTE")*(MOVIMIENTOS!$C$5:$C$417="A")*(MOVIMIENTOS!$D$5:$D$417="jabas")*(MOVIMIENTOS!$A$5:$A$417&lt;&gt;"")*(MOVIMIENTOS!$A$5:$A$417&lt;=$A47)*MOVIMIENTOS!$E$5:$E$417))</f>
        <v/>
      </c>
      <c r="C47" s="56" t="str">
        <f>IF($A47="","",SUMPRODUCT((MOVIMIENTOS!$B$5:$B$417="SALDO INICIAL")*(MOVIMIENTOS!$C$5:$C$417="P")*(MOVIMIENTOS!$D$5:$D$417="jabas")*(MOVIMIENTOS!$A$5:$A$417&lt;&gt;"")*(MOVIMIENTOS!$A$5:$A$417&lt;=$A47)*MOVIMIENTOS!$E$5:$E$417)+SUMPRODUCT((MOVIMIENTOS!$B$5:$B$417="PROCESO")*(MOVIMIENTOS!$C$5:$C$417="P")*(MOVIMIENTOS!$D$5:$D$417="jabas")*(MOVIMIENTOS!$A$5:$A$417&lt;&gt;"")*(MOVIMIENTOS!$A$5:$A$417&lt;=$A47)*MOVIMIENTOS!$E$5:$E$417)-SUMPRODUCT((MOVIMIENTOS!$B$5:$B$417="ENVÍO A SUPESA")*(MOVIMIENTOS!$C$5:$C$417="P")*(MOVIMIENTOS!$D$5:$D$417="jabas")*(MOVIMIENTOS!$A$5:$A$417&lt;&gt;"")*(MOVIMIENTOS!$A$5:$A$417&lt;=$A47)*MOVIMIENTOS!$E$5:$E$417)+SUMPRODUCT((MOVIMIENTOS!$B$5:$B$417="DEVOLUCIÓN")*(MOVIMIENTOS!$C$5:$C$417="P")*(MOVIMIENTOS!$D$5:$D$417="jabas")*(MOVIMIENTOS!$A$5:$A$417&lt;&gt;"")*(MOVIMIENTOS!$A$5:$A$417&lt;=$A47)*MOVIMIENTOS!$E$5:$E$417)-SUMPRODUCT((MOVIMIENTOS!$B$5:$B$417="TRASIEGO")*(MOVIMIENTOS!$C$5:$C$417="P")*(MOVIMIENTOS!$D$5:$D$417="jabas")*(MOVIMIENTOS!$A$5:$A$417&lt;&gt;"")*(MOVIMIENTOS!$A$5:$A$417&lt;=$A47)*MOVIMIENTOS!$E$5:$E$417)-SUMPRODUCT((MOVIMIENTOS!$B$5:$B$417="REGALO")*(MOVIMIENTOS!$C$5:$C$417="P")*(MOVIMIENTOS!$D$5:$D$417="jabas")*(MOVIMIENTOS!$A$5:$A$417&lt;&gt;"")*(MOVIMIENTOS!$A$5:$A$417&lt;=$A47)*MOVIMIENTOS!$E$5:$E$417)-SUMPRODUCT((MOVIMIENTOS!$B$5:$B$417="VENTA")*(MOVIMIENTOS!$C$5:$C$417="P")*(MOVIMIENTOS!$D$5:$D$417="jabas")*(MOVIMIENTOS!$A$5:$A$417&lt;&gt;"")*(MOVIMIENTOS!$A$5:$A$417&lt;=$A47)*MOVIMIENTOS!$E$5:$E$417)+SUMPRODUCT((MOVIMIENTOS!$B$5:$B$417="AJUSTE")*(MOVIMIENTOS!$C$5:$C$417="P")*(MOVIMIENTOS!$D$5:$D$417="jabas")*(MOVIMIENTOS!$A$5:$A$417&lt;&gt;"")*(MOVIMIENTOS!$A$5:$A$417&lt;=$A47)*MOVIMIENTOS!$E$5:$E$417))</f>
        <v/>
      </c>
      <c r="D47" s="56" t="str">
        <f>IF($A47="","",SUMPRODUCT((MOVIMIENTOS!$B$5:$B$417="SALDO INICIAL")*(MOVIMIENTOS!$C$5:$C$417="C")*(MOVIMIENTOS!$D$5:$D$417="jabas")*(MOVIMIENTOS!$A$5:$A$417&lt;&gt;"")*(MOVIMIENTOS!$A$5:$A$417&lt;=$A47)*MOVIMIENTOS!$E$5:$E$417)+SUMPRODUCT((MOVIMIENTOS!$B$5:$B$417="PROCESO")*(MOVIMIENTOS!$C$5:$C$417="C")*(MOVIMIENTOS!$D$5:$D$417="jabas")*(MOVIMIENTOS!$A$5:$A$417&lt;&gt;"")*(MOVIMIENTOS!$A$5:$A$417&lt;=$A47)*MOVIMIENTOS!$E$5:$E$417)-SUMPRODUCT((MOVIMIENTOS!$B$5:$B$417="ENVÍO A SUPESA")*(MOVIMIENTOS!$C$5:$C$417="C")*(MOVIMIENTOS!$D$5:$D$417="jabas")*(MOVIMIENTOS!$A$5:$A$417&lt;&gt;"")*(MOVIMIENTOS!$A$5:$A$417&lt;=$A47)*MOVIMIENTOS!$E$5:$E$417)+SUMPRODUCT((MOVIMIENTOS!$B$5:$B$417="DEVOLUCIÓN")*(MOVIMIENTOS!$C$5:$C$417="C")*(MOVIMIENTOS!$D$5:$D$417="jabas")*(MOVIMIENTOS!$A$5:$A$417&lt;&gt;"")*(MOVIMIENTOS!$A$5:$A$417&lt;=$A47)*MOVIMIENTOS!$E$5:$E$417)-SUMPRODUCT((MOVIMIENTOS!$B$5:$B$417="TRASIEGO")*(MOVIMIENTOS!$C$5:$C$417="C")*(MOVIMIENTOS!$D$5:$D$417="jabas")*(MOVIMIENTOS!$A$5:$A$417&lt;&gt;"")*(MOVIMIENTOS!$A$5:$A$417&lt;=$A47)*MOVIMIENTOS!$E$5:$E$417)-SUMPRODUCT((MOVIMIENTOS!$B$5:$B$417="REGALO")*(MOVIMIENTOS!$C$5:$C$417="C")*(MOVIMIENTOS!$D$5:$D$417="jabas")*(MOVIMIENTOS!$A$5:$A$417&lt;&gt;"")*(MOVIMIENTOS!$A$5:$A$417&lt;=$A47)*MOVIMIENTOS!$E$5:$E$417)-SUMPRODUCT((MOVIMIENTOS!$B$5:$B$417="VENTA")*(MOVIMIENTOS!$C$5:$C$417="C")*(MOVIMIENTOS!$D$5:$D$417="jabas")*(MOVIMIENTOS!$A$5:$A$417&lt;&gt;"")*(MOVIMIENTOS!$A$5:$A$417&lt;=$A47)*MOVIMIENTOS!$E$5:$E$417)+SUMPRODUCT((MOVIMIENTOS!$B$5:$B$417="AJUSTE")*(MOVIMIENTOS!$C$5:$C$417="C")*(MOVIMIENTOS!$D$5:$D$417="jabas")*(MOVIMIENTOS!$A$5:$A$417&lt;&gt;"")*(MOVIMIENTOS!$A$5:$A$417&lt;=$A47)*MOVIMIENTOS!$E$5:$E$417))</f>
        <v/>
      </c>
      <c r="E47" s="56" t="str">
        <f>IF($A47="","",SUMPRODUCT((MOVIMIENTOS!$B$5:$B$417="SALDO INICIAL")*(MOVIMIENTOS!$C$5:$C$417="M")*(MOVIMIENTOS!$D$5:$D$417="jabas")*(MOVIMIENTOS!$A$5:$A$417&lt;&gt;"")*(MOVIMIENTOS!$A$5:$A$417&lt;=$A47)*MOVIMIENTOS!$E$5:$E$417)+SUMPRODUCT((MOVIMIENTOS!$B$5:$B$417="PROCESO")*(MOVIMIENTOS!$C$5:$C$417="M")*(MOVIMIENTOS!$D$5:$D$417="jabas")*(MOVIMIENTOS!$A$5:$A$417&lt;&gt;"")*(MOVIMIENTOS!$A$5:$A$417&lt;=$A47)*MOVIMIENTOS!$E$5:$E$417)-SUMPRODUCT((MOVIMIENTOS!$B$5:$B$417="ENVÍO A SUPESA")*(MOVIMIENTOS!$C$5:$C$417="M")*(MOVIMIENTOS!$D$5:$D$417="jabas")*(MOVIMIENTOS!$A$5:$A$417&lt;&gt;"")*(MOVIMIENTOS!$A$5:$A$417&lt;=$A47)*MOVIMIENTOS!$E$5:$E$417)+SUMPRODUCT((MOVIMIENTOS!$B$5:$B$417="DEVOLUCIÓN")*(MOVIMIENTOS!$C$5:$C$417="M")*(MOVIMIENTOS!$D$5:$D$417="jabas")*(MOVIMIENTOS!$A$5:$A$417&lt;&gt;"")*(MOVIMIENTOS!$A$5:$A$417&lt;=$A47)*MOVIMIENTOS!$E$5:$E$417)-SUMPRODUCT((MOVIMIENTOS!$B$5:$B$417="TRASIEGO")*(MOVIMIENTOS!$C$5:$C$417="M")*(MOVIMIENTOS!$D$5:$D$417="jabas")*(MOVIMIENTOS!$A$5:$A$417&lt;&gt;"")*(MOVIMIENTOS!$A$5:$A$417&lt;=$A47)*MOVIMIENTOS!$E$5:$E$417)-SUMPRODUCT((MOVIMIENTOS!$B$5:$B$417="REGALO")*(MOVIMIENTOS!$C$5:$C$417="M")*(MOVIMIENTOS!$D$5:$D$417="jabas")*(MOVIMIENTOS!$A$5:$A$417&lt;&gt;"")*(MOVIMIENTOS!$A$5:$A$417&lt;=$A47)*MOVIMIENTOS!$E$5:$E$417)-SUMPRODUCT((MOVIMIENTOS!$B$5:$B$417="VENTA")*(MOVIMIENTOS!$C$5:$C$417="M")*(MOVIMIENTOS!$D$5:$D$417="jabas")*(MOVIMIENTOS!$A$5:$A$417&lt;&gt;"")*(MOVIMIENTOS!$A$5:$A$417&lt;=$A47)*MOVIMIENTOS!$E$5:$E$417)+SUMPRODUCT((MOVIMIENTOS!$B$5:$B$417="AJUSTE")*(MOVIMIENTOS!$C$5:$C$417="M")*(MOVIMIENTOS!$D$5:$D$417="jabas")*(MOVIMIENTOS!$A$5:$A$417&lt;&gt;"")*(MOVIMIENTOS!$A$5:$A$417&lt;=$A47)*MOVIMIENTOS!$E$5:$E$417))</f>
        <v/>
      </c>
      <c r="F47" s="56" t="str">
        <f>IF($A47="","",SUMPRODUCT((MOVIMIENTOS!$B$5:$B$417="SALDO INICIAL")*(MOVIMIENTOS!$C$5:$C$417="Chancho")*(MOVIMIENTOS!$D$5:$D$417="sacos")*(MOVIMIENTOS!$A$5:$A$417&lt;&gt;"")*(MOVIMIENTOS!$A$5:$A$417&lt;=$A47)*MOVIMIENTOS!$E$5:$E$417)+SUMPRODUCT((MOVIMIENTOS!$B$5:$B$417="PROCESO")*(MOVIMIENTOS!$C$5:$C$417="Chancho")*(MOVIMIENTOS!$D$5:$D$417="sacos")*(MOVIMIENTOS!$A$5:$A$417&lt;&gt;"")*(MOVIMIENTOS!$A$5:$A$417&lt;=$A47)*MOVIMIENTOS!$E$5:$E$417)-SUMPRODUCT((MOVIMIENTOS!$B$5:$B$417="VENTA CHANCHO")*(MOVIMIENTOS!$C$5:$C$417="Chancho")*(MOVIMIENTOS!$D$5:$D$417="sacos")*(MOVIMIENTOS!$A$5:$A$417&lt;&gt;"")*(MOVIMIENTOS!$A$5:$A$417&lt;=$A47)*MOVIMIENTOS!$E$5:$E$417)-SUMPRODUCT((MOVIMIENTOS!$B$5:$B$417="REGALO")*(MOVIMIENTOS!$C$5:$C$417="Chancho")*(MOVIMIENTOS!$D$5:$D$417="sacos")*(MOVIMIENTOS!$A$5:$A$417&lt;&gt;"")*(MOVIMIENTOS!$A$5:$A$417&lt;=$A47)*MOVIMIENTOS!$E$5:$E$417)-SUMPRODUCT((MOVIMIENTOS!$B$5:$B$417="VENTA")*(MOVIMIENTOS!$C$5:$C$417="Chancho")*(MOVIMIENTOS!$D$5:$D$417="sacos")*(MOVIMIENTOS!$A$5:$A$417&lt;&gt;"")*(MOVIMIENTOS!$A$5:$A$417&lt;=$A47)*MOVIMIENTOS!$E$5:$E$417)+SUMPRODUCT((MOVIMIENTOS!$B$5:$B$417="AJUSTE")*(MOVIMIENTOS!$C$5:$C$417="Chancho")*(MOVIMIENTOS!$D$5:$D$417="sacos")*(MOVIMIENTOS!$A$5:$A$417&lt;&gt;"")*(MOVIMIENTOS!$A$5:$A$417&lt;=$A47)*MOVIMIENTOS!$E$5:$E$417))</f>
        <v/>
      </c>
      <c r="G47" s="56" t="str">
        <f t="shared" si="3"/>
        <v/>
      </c>
      <c r="H47" s="56" t="str">
        <f>IF($A47="","",SUMPRODUCT((((MOVIMIENTOS!$B$5:$B$417="SALDO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47)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47)*MOVIMIENTOS!$I$5:$I$417))</f>
        <v/>
      </c>
      <c r="I47" s="54"/>
      <c r="J47" s="54" t="str">
        <f>IF(AND(MOVIMIENTOS!$A47&lt;&gt;"",COUNTIF(MOVIMIENTOS!$A$5:$A46,MOVIMIENTOS!$A47)=0),COUNT(J$4:J46)+1,"")</f>
        <v/>
      </c>
      <c r="K47" s="57">
        <f>MOVIMIENTOS!$A47</f>
        <v>46218</v>
      </c>
      <c r="L47" s="54"/>
      <c r="M47" s="54"/>
      <c r="N47" s="54"/>
    </row>
    <row r="48" spans="1:14" ht="15" customHeight="1" x14ac:dyDescent="0.2">
      <c r="A48" s="55" t="str">
        <f t="shared" si="2"/>
        <v/>
      </c>
      <c r="B48" s="56" t="str">
        <f>IF($A48="","",SUMPRODUCT((MOVIMIENTOS!$B$5:$B$417="SALDO INICIAL")*(MOVIMIENTOS!$C$5:$C$417="A")*(MOVIMIENTOS!$D$5:$D$417="jabas")*(MOVIMIENTOS!$A$5:$A$417&lt;&gt;"")*(MOVIMIENTOS!$A$5:$A$417&lt;=$A48)*MOVIMIENTOS!$E$5:$E$417)+SUMPRODUCT((MOVIMIENTOS!$B$5:$B$417="PROCESO")*(MOVIMIENTOS!$C$5:$C$417="A")*(MOVIMIENTOS!$D$5:$D$417="jabas")*(MOVIMIENTOS!$A$5:$A$417&lt;&gt;"")*(MOVIMIENTOS!$A$5:$A$417&lt;=$A48)*MOVIMIENTOS!$E$5:$E$417)-SUMPRODUCT((MOVIMIENTOS!$B$5:$B$417="ENVÍO A SUPESA")*(MOVIMIENTOS!$C$5:$C$417="A")*(MOVIMIENTOS!$D$5:$D$417="jabas")*(MOVIMIENTOS!$A$5:$A$417&lt;&gt;"")*(MOVIMIENTOS!$A$5:$A$417&lt;=$A48)*MOVIMIENTOS!$E$5:$E$417)+SUMPRODUCT((MOVIMIENTOS!$B$5:$B$417="DEVOLUCIÓN")*(MOVIMIENTOS!$C$5:$C$417="A")*(MOVIMIENTOS!$D$5:$D$417="jabas")*(MOVIMIENTOS!$A$5:$A$417&lt;&gt;"")*(MOVIMIENTOS!$A$5:$A$417&lt;=$A48)*MOVIMIENTOS!$E$5:$E$417)-SUMPRODUCT((MOVIMIENTOS!$B$5:$B$417="TRASIEGO")*(MOVIMIENTOS!$C$5:$C$417="A")*(MOVIMIENTOS!$D$5:$D$417="jabas")*(MOVIMIENTOS!$A$5:$A$417&lt;&gt;"")*(MOVIMIENTOS!$A$5:$A$417&lt;=$A48)*MOVIMIENTOS!$E$5:$E$417)-SUMPRODUCT((MOVIMIENTOS!$B$5:$B$417="REGALO")*(MOVIMIENTOS!$C$5:$C$417="A")*(MOVIMIENTOS!$D$5:$D$417="jabas")*(MOVIMIENTOS!$A$5:$A$417&lt;&gt;"")*(MOVIMIENTOS!$A$5:$A$417&lt;=$A48)*MOVIMIENTOS!$E$5:$E$417)-SUMPRODUCT((MOVIMIENTOS!$B$5:$B$417="VENTA")*(MOVIMIENTOS!$C$5:$C$417="A")*(MOVIMIENTOS!$D$5:$D$417="jabas")*(MOVIMIENTOS!$A$5:$A$417&lt;&gt;"")*(MOVIMIENTOS!$A$5:$A$417&lt;=$A48)*MOVIMIENTOS!$E$5:$E$417)+SUMPRODUCT((MOVIMIENTOS!$B$5:$B$417="AJUSTE")*(MOVIMIENTOS!$C$5:$C$417="A")*(MOVIMIENTOS!$D$5:$D$417="jabas")*(MOVIMIENTOS!$A$5:$A$417&lt;&gt;"")*(MOVIMIENTOS!$A$5:$A$417&lt;=$A48)*MOVIMIENTOS!$E$5:$E$417))</f>
        <v/>
      </c>
      <c r="C48" s="56" t="str">
        <f>IF($A48="","",SUMPRODUCT((MOVIMIENTOS!$B$5:$B$417="SALDO INICIAL")*(MOVIMIENTOS!$C$5:$C$417="P")*(MOVIMIENTOS!$D$5:$D$417="jabas")*(MOVIMIENTOS!$A$5:$A$417&lt;&gt;"")*(MOVIMIENTOS!$A$5:$A$417&lt;=$A48)*MOVIMIENTOS!$E$5:$E$417)+SUMPRODUCT((MOVIMIENTOS!$B$5:$B$417="PROCESO")*(MOVIMIENTOS!$C$5:$C$417="P")*(MOVIMIENTOS!$D$5:$D$417="jabas")*(MOVIMIENTOS!$A$5:$A$417&lt;&gt;"")*(MOVIMIENTOS!$A$5:$A$417&lt;=$A48)*MOVIMIENTOS!$E$5:$E$417)-SUMPRODUCT((MOVIMIENTOS!$B$5:$B$417="ENVÍO A SUPESA")*(MOVIMIENTOS!$C$5:$C$417="P")*(MOVIMIENTOS!$D$5:$D$417="jabas")*(MOVIMIENTOS!$A$5:$A$417&lt;&gt;"")*(MOVIMIENTOS!$A$5:$A$417&lt;=$A48)*MOVIMIENTOS!$E$5:$E$417)+SUMPRODUCT((MOVIMIENTOS!$B$5:$B$417="DEVOLUCIÓN")*(MOVIMIENTOS!$C$5:$C$417="P")*(MOVIMIENTOS!$D$5:$D$417="jabas")*(MOVIMIENTOS!$A$5:$A$417&lt;&gt;"")*(MOVIMIENTOS!$A$5:$A$417&lt;=$A48)*MOVIMIENTOS!$E$5:$E$417)-SUMPRODUCT((MOVIMIENTOS!$B$5:$B$417="TRASIEGO")*(MOVIMIENTOS!$C$5:$C$417="P")*(MOVIMIENTOS!$D$5:$D$417="jabas")*(MOVIMIENTOS!$A$5:$A$417&lt;&gt;"")*(MOVIMIENTOS!$A$5:$A$417&lt;=$A48)*MOVIMIENTOS!$E$5:$E$417)-SUMPRODUCT((MOVIMIENTOS!$B$5:$B$417="REGALO")*(MOVIMIENTOS!$C$5:$C$417="P")*(MOVIMIENTOS!$D$5:$D$417="jabas")*(MOVIMIENTOS!$A$5:$A$417&lt;&gt;"")*(MOVIMIENTOS!$A$5:$A$417&lt;=$A48)*MOVIMIENTOS!$E$5:$E$417)-SUMPRODUCT((MOVIMIENTOS!$B$5:$B$417="VENTA")*(MOVIMIENTOS!$C$5:$C$417="P")*(MOVIMIENTOS!$D$5:$D$417="jabas")*(MOVIMIENTOS!$A$5:$A$417&lt;&gt;"")*(MOVIMIENTOS!$A$5:$A$417&lt;=$A48)*MOVIMIENTOS!$E$5:$E$417)+SUMPRODUCT((MOVIMIENTOS!$B$5:$B$417="AJUSTE")*(MOVIMIENTOS!$C$5:$C$417="P")*(MOVIMIENTOS!$D$5:$D$417="jabas")*(MOVIMIENTOS!$A$5:$A$417&lt;&gt;"")*(MOVIMIENTOS!$A$5:$A$417&lt;=$A48)*MOVIMIENTOS!$E$5:$E$417))</f>
        <v/>
      </c>
      <c r="D48" s="56" t="str">
        <f>IF($A48="","",SUMPRODUCT((MOVIMIENTOS!$B$5:$B$417="SALDO INICIAL")*(MOVIMIENTOS!$C$5:$C$417="C")*(MOVIMIENTOS!$D$5:$D$417="jabas")*(MOVIMIENTOS!$A$5:$A$417&lt;&gt;"")*(MOVIMIENTOS!$A$5:$A$417&lt;=$A48)*MOVIMIENTOS!$E$5:$E$417)+SUMPRODUCT((MOVIMIENTOS!$B$5:$B$417="PROCESO")*(MOVIMIENTOS!$C$5:$C$417="C")*(MOVIMIENTOS!$D$5:$D$417="jabas")*(MOVIMIENTOS!$A$5:$A$417&lt;&gt;"")*(MOVIMIENTOS!$A$5:$A$417&lt;=$A48)*MOVIMIENTOS!$E$5:$E$417)-SUMPRODUCT((MOVIMIENTOS!$B$5:$B$417="ENVÍO A SUPESA")*(MOVIMIENTOS!$C$5:$C$417="C")*(MOVIMIENTOS!$D$5:$D$417="jabas")*(MOVIMIENTOS!$A$5:$A$417&lt;&gt;"")*(MOVIMIENTOS!$A$5:$A$417&lt;=$A48)*MOVIMIENTOS!$E$5:$E$417)+SUMPRODUCT((MOVIMIENTOS!$B$5:$B$417="DEVOLUCIÓN")*(MOVIMIENTOS!$C$5:$C$417="C")*(MOVIMIENTOS!$D$5:$D$417="jabas")*(MOVIMIENTOS!$A$5:$A$417&lt;&gt;"")*(MOVIMIENTOS!$A$5:$A$417&lt;=$A48)*MOVIMIENTOS!$E$5:$E$417)-SUMPRODUCT((MOVIMIENTOS!$B$5:$B$417="TRASIEGO")*(MOVIMIENTOS!$C$5:$C$417="C")*(MOVIMIENTOS!$D$5:$D$417="jabas")*(MOVIMIENTOS!$A$5:$A$417&lt;&gt;"")*(MOVIMIENTOS!$A$5:$A$417&lt;=$A48)*MOVIMIENTOS!$E$5:$E$417)-SUMPRODUCT((MOVIMIENTOS!$B$5:$B$417="REGALO")*(MOVIMIENTOS!$C$5:$C$417="C")*(MOVIMIENTOS!$D$5:$D$417="jabas")*(MOVIMIENTOS!$A$5:$A$417&lt;&gt;"")*(MOVIMIENTOS!$A$5:$A$417&lt;=$A48)*MOVIMIENTOS!$E$5:$E$417)-SUMPRODUCT((MOVIMIENTOS!$B$5:$B$417="VENTA")*(MOVIMIENTOS!$C$5:$C$417="C")*(MOVIMIENTOS!$D$5:$D$417="jabas")*(MOVIMIENTOS!$A$5:$A$417&lt;&gt;"")*(MOVIMIENTOS!$A$5:$A$417&lt;=$A48)*MOVIMIENTOS!$E$5:$E$417)+SUMPRODUCT((MOVIMIENTOS!$B$5:$B$417="AJUSTE")*(MOVIMIENTOS!$C$5:$C$417="C")*(MOVIMIENTOS!$D$5:$D$417="jabas")*(MOVIMIENTOS!$A$5:$A$417&lt;&gt;"")*(MOVIMIENTOS!$A$5:$A$417&lt;=$A48)*MOVIMIENTOS!$E$5:$E$417))</f>
        <v/>
      </c>
      <c r="E48" s="56" t="str">
        <f>IF($A48="","",SUMPRODUCT((MOVIMIENTOS!$B$5:$B$417="SALDO INICIAL")*(MOVIMIENTOS!$C$5:$C$417="M")*(MOVIMIENTOS!$D$5:$D$417="jabas")*(MOVIMIENTOS!$A$5:$A$417&lt;&gt;"")*(MOVIMIENTOS!$A$5:$A$417&lt;=$A48)*MOVIMIENTOS!$E$5:$E$417)+SUMPRODUCT((MOVIMIENTOS!$B$5:$B$417="PROCESO")*(MOVIMIENTOS!$C$5:$C$417="M")*(MOVIMIENTOS!$D$5:$D$417="jabas")*(MOVIMIENTOS!$A$5:$A$417&lt;&gt;"")*(MOVIMIENTOS!$A$5:$A$417&lt;=$A48)*MOVIMIENTOS!$E$5:$E$417)-SUMPRODUCT((MOVIMIENTOS!$B$5:$B$417="ENVÍO A SUPESA")*(MOVIMIENTOS!$C$5:$C$417="M")*(MOVIMIENTOS!$D$5:$D$417="jabas")*(MOVIMIENTOS!$A$5:$A$417&lt;&gt;"")*(MOVIMIENTOS!$A$5:$A$417&lt;=$A48)*MOVIMIENTOS!$E$5:$E$417)+SUMPRODUCT((MOVIMIENTOS!$B$5:$B$417="DEVOLUCIÓN")*(MOVIMIENTOS!$C$5:$C$417="M")*(MOVIMIENTOS!$D$5:$D$417="jabas")*(MOVIMIENTOS!$A$5:$A$417&lt;&gt;"")*(MOVIMIENTOS!$A$5:$A$417&lt;=$A48)*MOVIMIENTOS!$E$5:$E$417)-SUMPRODUCT((MOVIMIENTOS!$B$5:$B$417="TRASIEGO")*(MOVIMIENTOS!$C$5:$C$417="M")*(MOVIMIENTOS!$D$5:$D$417="jabas")*(MOVIMIENTOS!$A$5:$A$417&lt;&gt;"")*(MOVIMIENTOS!$A$5:$A$417&lt;=$A48)*MOVIMIENTOS!$E$5:$E$417)-SUMPRODUCT((MOVIMIENTOS!$B$5:$B$417="REGALO")*(MOVIMIENTOS!$C$5:$C$417="M")*(MOVIMIENTOS!$D$5:$D$417="jabas")*(MOVIMIENTOS!$A$5:$A$417&lt;&gt;"")*(MOVIMIENTOS!$A$5:$A$417&lt;=$A48)*MOVIMIENTOS!$E$5:$E$417)-SUMPRODUCT((MOVIMIENTOS!$B$5:$B$417="VENTA")*(MOVIMIENTOS!$C$5:$C$417="M")*(MOVIMIENTOS!$D$5:$D$417="jabas")*(MOVIMIENTOS!$A$5:$A$417&lt;&gt;"")*(MOVIMIENTOS!$A$5:$A$417&lt;=$A48)*MOVIMIENTOS!$E$5:$E$417)+SUMPRODUCT((MOVIMIENTOS!$B$5:$B$417="AJUSTE")*(MOVIMIENTOS!$C$5:$C$417="M")*(MOVIMIENTOS!$D$5:$D$417="jabas")*(MOVIMIENTOS!$A$5:$A$417&lt;&gt;"")*(MOVIMIENTOS!$A$5:$A$417&lt;=$A48)*MOVIMIENTOS!$E$5:$E$417))</f>
        <v/>
      </c>
      <c r="F48" s="56" t="str">
        <f>IF($A48="","",SUMPRODUCT((MOVIMIENTOS!$B$5:$B$417="SALDO INICIAL")*(MOVIMIENTOS!$C$5:$C$417="Chancho")*(MOVIMIENTOS!$D$5:$D$417="sacos")*(MOVIMIENTOS!$A$5:$A$417&lt;&gt;"")*(MOVIMIENTOS!$A$5:$A$417&lt;=$A48)*MOVIMIENTOS!$E$5:$E$417)+SUMPRODUCT((MOVIMIENTOS!$B$5:$B$417="PROCESO")*(MOVIMIENTOS!$C$5:$C$417="Chancho")*(MOVIMIENTOS!$D$5:$D$417="sacos")*(MOVIMIENTOS!$A$5:$A$417&lt;&gt;"")*(MOVIMIENTOS!$A$5:$A$417&lt;=$A48)*MOVIMIENTOS!$E$5:$E$417)-SUMPRODUCT((MOVIMIENTOS!$B$5:$B$417="VENTA CHANCHO")*(MOVIMIENTOS!$C$5:$C$417="Chancho")*(MOVIMIENTOS!$D$5:$D$417="sacos")*(MOVIMIENTOS!$A$5:$A$417&lt;&gt;"")*(MOVIMIENTOS!$A$5:$A$417&lt;=$A48)*MOVIMIENTOS!$E$5:$E$417)-SUMPRODUCT((MOVIMIENTOS!$B$5:$B$417="REGALO")*(MOVIMIENTOS!$C$5:$C$417="Chancho")*(MOVIMIENTOS!$D$5:$D$417="sacos")*(MOVIMIENTOS!$A$5:$A$417&lt;&gt;"")*(MOVIMIENTOS!$A$5:$A$417&lt;=$A48)*MOVIMIENTOS!$E$5:$E$417)-SUMPRODUCT((MOVIMIENTOS!$B$5:$B$417="VENTA")*(MOVIMIENTOS!$C$5:$C$417="Chancho")*(MOVIMIENTOS!$D$5:$D$417="sacos")*(MOVIMIENTOS!$A$5:$A$417&lt;&gt;"")*(MOVIMIENTOS!$A$5:$A$417&lt;=$A48)*MOVIMIENTOS!$E$5:$E$417)+SUMPRODUCT((MOVIMIENTOS!$B$5:$B$417="AJUSTE")*(MOVIMIENTOS!$C$5:$C$417="Chancho")*(MOVIMIENTOS!$D$5:$D$417="sacos")*(MOVIMIENTOS!$A$5:$A$417&lt;&gt;"")*(MOVIMIENTOS!$A$5:$A$417&lt;=$A48)*MOVIMIENTOS!$E$5:$E$417))</f>
        <v/>
      </c>
      <c r="G48" s="56" t="str">
        <f t="shared" si="3"/>
        <v/>
      </c>
      <c r="H48" s="56" t="str">
        <f>IF($A48="","",SUMPRODUCT((((MOVIMIENTOS!$B$5:$B$417="SALDO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48)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48)*MOVIMIENTOS!$I$5:$I$417))</f>
        <v/>
      </c>
      <c r="I48" s="54"/>
      <c r="J48" s="54" t="str">
        <f>IF(AND(MOVIMIENTOS!$A48&lt;&gt;"",COUNTIF(MOVIMIENTOS!$A$5:$A47,MOVIMIENTOS!$A48)=0),COUNT(J$4:J47)+1,"")</f>
        <v/>
      </c>
      <c r="K48" s="57">
        <f>MOVIMIENTOS!$A48</f>
        <v>46218</v>
      </c>
      <c r="L48" s="54"/>
      <c r="M48" s="54"/>
      <c r="N48" s="54"/>
    </row>
    <row r="49" spans="1:14" ht="15" customHeight="1" x14ac:dyDescent="0.2">
      <c r="A49" s="55" t="str">
        <f t="shared" si="2"/>
        <v/>
      </c>
      <c r="B49" s="56" t="str">
        <f>IF($A49="","",SUMPRODUCT((MOVIMIENTOS!$B$5:$B$417="SALDO INICIAL")*(MOVIMIENTOS!$C$5:$C$417="A")*(MOVIMIENTOS!$D$5:$D$417="jabas")*(MOVIMIENTOS!$A$5:$A$417&lt;&gt;"")*(MOVIMIENTOS!$A$5:$A$417&lt;=$A49)*MOVIMIENTOS!$E$5:$E$417)+SUMPRODUCT((MOVIMIENTOS!$B$5:$B$417="PROCESO")*(MOVIMIENTOS!$C$5:$C$417="A")*(MOVIMIENTOS!$D$5:$D$417="jabas")*(MOVIMIENTOS!$A$5:$A$417&lt;&gt;"")*(MOVIMIENTOS!$A$5:$A$417&lt;=$A49)*MOVIMIENTOS!$E$5:$E$417)-SUMPRODUCT((MOVIMIENTOS!$B$5:$B$417="ENVÍO A SUPESA")*(MOVIMIENTOS!$C$5:$C$417="A")*(MOVIMIENTOS!$D$5:$D$417="jabas")*(MOVIMIENTOS!$A$5:$A$417&lt;&gt;"")*(MOVIMIENTOS!$A$5:$A$417&lt;=$A49)*MOVIMIENTOS!$E$5:$E$417)+SUMPRODUCT((MOVIMIENTOS!$B$5:$B$417="DEVOLUCIÓN")*(MOVIMIENTOS!$C$5:$C$417="A")*(MOVIMIENTOS!$D$5:$D$417="jabas")*(MOVIMIENTOS!$A$5:$A$417&lt;&gt;"")*(MOVIMIENTOS!$A$5:$A$417&lt;=$A49)*MOVIMIENTOS!$E$5:$E$417)-SUMPRODUCT((MOVIMIENTOS!$B$5:$B$417="TRASIEGO")*(MOVIMIENTOS!$C$5:$C$417="A")*(MOVIMIENTOS!$D$5:$D$417="jabas")*(MOVIMIENTOS!$A$5:$A$417&lt;&gt;"")*(MOVIMIENTOS!$A$5:$A$417&lt;=$A49)*MOVIMIENTOS!$E$5:$E$417)-SUMPRODUCT((MOVIMIENTOS!$B$5:$B$417="REGALO")*(MOVIMIENTOS!$C$5:$C$417="A")*(MOVIMIENTOS!$D$5:$D$417="jabas")*(MOVIMIENTOS!$A$5:$A$417&lt;&gt;"")*(MOVIMIENTOS!$A$5:$A$417&lt;=$A49)*MOVIMIENTOS!$E$5:$E$417)-SUMPRODUCT((MOVIMIENTOS!$B$5:$B$417="VENTA")*(MOVIMIENTOS!$C$5:$C$417="A")*(MOVIMIENTOS!$D$5:$D$417="jabas")*(MOVIMIENTOS!$A$5:$A$417&lt;&gt;"")*(MOVIMIENTOS!$A$5:$A$417&lt;=$A49)*MOVIMIENTOS!$E$5:$E$417)+SUMPRODUCT((MOVIMIENTOS!$B$5:$B$417="AJUSTE")*(MOVIMIENTOS!$C$5:$C$417="A")*(MOVIMIENTOS!$D$5:$D$417="jabas")*(MOVIMIENTOS!$A$5:$A$417&lt;&gt;"")*(MOVIMIENTOS!$A$5:$A$417&lt;=$A49)*MOVIMIENTOS!$E$5:$E$417))</f>
        <v/>
      </c>
      <c r="C49" s="56" t="str">
        <f>IF($A49="","",SUMPRODUCT((MOVIMIENTOS!$B$5:$B$417="SALDO INICIAL")*(MOVIMIENTOS!$C$5:$C$417="P")*(MOVIMIENTOS!$D$5:$D$417="jabas")*(MOVIMIENTOS!$A$5:$A$417&lt;&gt;"")*(MOVIMIENTOS!$A$5:$A$417&lt;=$A49)*MOVIMIENTOS!$E$5:$E$417)+SUMPRODUCT((MOVIMIENTOS!$B$5:$B$417="PROCESO")*(MOVIMIENTOS!$C$5:$C$417="P")*(MOVIMIENTOS!$D$5:$D$417="jabas")*(MOVIMIENTOS!$A$5:$A$417&lt;&gt;"")*(MOVIMIENTOS!$A$5:$A$417&lt;=$A49)*MOVIMIENTOS!$E$5:$E$417)-SUMPRODUCT((MOVIMIENTOS!$B$5:$B$417="ENVÍO A SUPESA")*(MOVIMIENTOS!$C$5:$C$417="P")*(MOVIMIENTOS!$D$5:$D$417="jabas")*(MOVIMIENTOS!$A$5:$A$417&lt;&gt;"")*(MOVIMIENTOS!$A$5:$A$417&lt;=$A49)*MOVIMIENTOS!$E$5:$E$417)+SUMPRODUCT((MOVIMIENTOS!$B$5:$B$417="DEVOLUCIÓN")*(MOVIMIENTOS!$C$5:$C$417="P")*(MOVIMIENTOS!$D$5:$D$417="jabas")*(MOVIMIENTOS!$A$5:$A$417&lt;&gt;"")*(MOVIMIENTOS!$A$5:$A$417&lt;=$A49)*MOVIMIENTOS!$E$5:$E$417)-SUMPRODUCT((MOVIMIENTOS!$B$5:$B$417="TRASIEGO")*(MOVIMIENTOS!$C$5:$C$417="P")*(MOVIMIENTOS!$D$5:$D$417="jabas")*(MOVIMIENTOS!$A$5:$A$417&lt;&gt;"")*(MOVIMIENTOS!$A$5:$A$417&lt;=$A49)*MOVIMIENTOS!$E$5:$E$417)-SUMPRODUCT((MOVIMIENTOS!$B$5:$B$417="REGALO")*(MOVIMIENTOS!$C$5:$C$417="P")*(MOVIMIENTOS!$D$5:$D$417="jabas")*(MOVIMIENTOS!$A$5:$A$417&lt;&gt;"")*(MOVIMIENTOS!$A$5:$A$417&lt;=$A49)*MOVIMIENTOS!$E$5:$E$417)-SUMPRODUCT((MOVIMIENTOS!$B$5:$B$417="VENTA")*(MOVIMIENTOS!$C$5:$C$417="P")*(MOVIMIENTOS!$D$5:$D$417="jabas")*(MOVIMIENTOS!$A$5:$A$417&lt;&gt;"")*(MOVIMIENTOS!$A$5:$A$417&lt;=$A49)*MOVIMIENTOS!$E$5:$E$417)+SUMPRODUCT((MOVIMIENTOS!$B$5:$B$417="AJUSTE")*(MOVIMIENTOS!$C$5:$C$417="P")*(MOVIMIENTOS!$D$5:$D$417="jabas")*(MOVIMIENTOS!$A$5:$A$417&lt;&gt;"")*(MOVIMIENTOS!$A$5:$A$417&lt;=$A49)*MOVIMIENTOS!$E$5:$E$417))</f>
        <v/>
      </c>
      <c r="D49" s="56" t="str">
        <f>IF($A49="","",SUMPRODUCT((MOVIMIENTOS!$B$5:$B$417="SALDO INICIAL")*(MOVIMIENTOS!$C$5:$C$417="C")*(MOVIMIENTOS!$D$5:$D$417="jabas")*(MOVIMIENTOS!$A$5:$A$417&lt;&gt;"")*(MOVIMIENTOS!$A$5:$A$417&lt;=$A49)*MOVIMIENTOS!$E$5:$E$417)+SUMPRODUCT((MOVIMIENTOS!$B$5:$B$417="PROCESO")*(MOVIMIENTOS!$C$5:$C$417="C")*(MOVIMIENTOS!$D$5:$D$417="jabas")*(MOVIMIENTOS!$A$5:$A$417&lt;&gt;"")*(MOVIMIENTOS!$A$5:$A$417&lt;=$A49)*MOVIMIENTOS!$E$5:$E$417)-SUMPRODUCT((MOVIMIENTOS!$B$5:$B$417="ENVÍO A SUPESA")*(MOVIMIENTOS!$C$5:$C$417="C")*(MOVIMIENTOS!$D$5:$D$417="jabas")*(MOVIMIENTOS!$A$5:$A$417&lt;&gt;"")*(MOVIMIENTOS!$A$5:$A$417&lt;=$A49)*MOVIMIENTOS!$E$5:$E$417)+SUMPRODUCT((MOVIMIENTOS!$B$5:$B$417="DEVOLUCIÓN")*(MOVIMIENTOS!$C$5:$C$417="C")*(MOVIMIENTOS!$D$5:$D$417="jabas")*(MOVIMIENTOS!$A$5:$A$417&lt;&gt;"")*(MOVIMIENTOS!$A$5:$A$417&lt;=$A49)*MOVIMIENTOS!$E$5:$E$417)-SUMPRODUCT((MOVIMIENTOS!$B$5:$B$417="TRASIEGO")*(MOVIMIENTOS!$C$5:$C$417="C")*(MOVIMIENTOS!$D$5:$D$417="jabas")*(MOVIMIENTOS!$A$5:$A$417&lt;&gt;"")*(MOVIMIENTOS!$A$5:$A$417&lt;=$A49)*MOVIMIENTOS!$E$5:$E$417)-SUMPRODUCT((MOVIMIENTOS!$B$5:$B$417="REGALO")*(MOVIMIENTOS!$C$5:$C$417="C")*(MOVIMIENTOS!$D$5:$D$417="jabas")*(MOVIMIENTOS!$A$5:$A$417&lt;&gt;"")*(MOVIMIENTOS!$A$5:$A$417&lt;=$A49)*MOVIMIENTOS!$E$5:$E$417)-SUMPRODUCT((MOVIMIENTOS!$B$5:$B$417="VENTA")*(MOVIMIENTOS!$C$5:$C$417="C")*(MOVIMIENTOS!$D$5:$D$417="jabas")*(MOVIMIENTOS!$A$5:$A$417&lt;&gt;"")*(MOVIMIENTOS!$A$5:$A$417&lt;=$A49)*MOVIMIENTOS!$E$5:$E$417)+SUMPRODUCT((MOVIMIENTOS!$B$5:$B$417="AJUSTE")*(MOVIMIENTOS!$C$5:$C$417="C")*(MOVIMIENTOS!$D$5:$D$417="jabas")*(MOVIMIENTOS!$A$5:$A$417&lt;&gt;"")*(MOVIMIENTOS!$A$5:$A$417&lt;=$A49)*MOVIMIENTOS!$E$5:$E$417))</f>
        <v/>
      </c>
      <c r="E49" s="56" t="str">
        <f>IF($A49="","",SUMPRODUCT((MOVIMIENTOS!$B$5:$B$417="SALDO INICIAL")*(MOVIMIENTOS!$C$5:$C$417="M")*(MOVIMIENTOS!$D$5:$D$417="jabas")*(MOVIMIENTOS!$A$5:$A$417&lt;&gt;"")*(MOVIMIENTOS!$A$5:$A$417&lt;=$A49)*MOVIMIENTOS!$E$5:$E$417)+SUMPRODUCT((MOVIMIENTOS!$B$5:$B$417="PROCESO")*(MOVIMIENTOS!$C$5:$C$417="M")*(MOVIMIENTOS!$D$5:$D$417="jabas")*(MOVIMIENTOS!$A$5:$A$417&lt;&gt;"")*(MOVIMIENTOS!$A$5:$A$417&lt;=$A49)*MOVIMIENTOS!$E$5:$E$417)-SUMPRODUCT((MOVIMIENTOS!$B$5:$B$417="ENVÍO A SUPESA")*(MOVIMIENTOS!$C$5:$C$417="M")*(MOVIMIENTOS!$D$5:$D$417="jabas")*(MOVIMIENTOS!$A$5:$A$417&lt;&gt;"")*(MOVIMIENTOS!$A$5:$A$417&lt;=$A49)*MOVIMIENTOS!$E$5:$E$417)+SUMPRODUCT((MOVIMIENTOS!$B$5:$B$417="DEVOLUCIÓN")*(MOVIMIENTOS!$C$5:$C$417="M")*(MOVIMIENTOS!$D$5:$D$417="jabas")*(MOVIMIENTOS!$A$5:$A$417&lt;&gt;"")*(MOVIMIENTOS!$A$5:$A$417&lt;=$A49)*MOVIMIENTOS!$E$5:$E$417)-SUMPRODUCT((MOVIMIENTOS!$B$5:$B$417="TRASIEGO")*(MOVIMIENTOS!$C$5:$C$417="M")*(MOVIMIENTOS!$D$5:$D$417="jabas")*(MOVIMIENTOS!$A$5:$A$417&lt;&gt;"")*(MOVIMIENTOS!$A$5:$A$417&lt;=$A49)*MOVIMIENTOS!$E$5:$E$417)-SUMPRODUCT((MOVIMIENTOS!$B$5:$B$417="REGALO")*(MOVIMIENTOS!$C$5:$C$417="M")*(MOVIMIENTOS!$D$5:$D$417="jabas")*(MOVIMIENTOS!$A$5:$A$417&lt;&gt;"")*(MOVIMIENTOS!$A$5:$A$417&lt;=$A49)*MOVIMIENTOS!$E$5:$E$417)-SUMPRODUCT((MOVIMIENTOS!$B$5:$B$417="VENTA")*(MOVIMIENTOS!$C$5:$C$417="M")*(MOVIMIENTOS!$D$5:$D$417="jabas")*(MOVIMIENTOS!$A$5:$A$417&lt;&gt;"")*(MOVIMIENTOS!$A$5:$A$417&lt;=$A49)*MOVIMIENTOS!$E$5:$E$417)+SUMPRODUCT((MOVIMIENTOS!$B$5:$B$417="AJUSTE")*(MOVIMIENTOS!$C$5:$C$417="M")*(MOVIMIENTOS!$D$5:$D$417="jabas")*(MOVIMIENTOS!$A$5:$A$417&lt;&gt;"")*(MOVIMIENTOS!$A$5:$A$417&lt;=$A49)*MOVIMIENTOS!$E$5:$E$417))</f>
        <v/>
      </c>
      <c r="F49" s="56" t="str">
        <f>IF($A49="","",SUMPRODUCT((MOVIMIENTOS!$B$5:$B$417="SALDO INICIAL")*(MOVIMIENTOS!$C$5:$C$417="Chancho")*(MOVIMIENTOS!$D$5:$D$417="sacos")*(MOVIMIENTOS!$A$5:$A$417&lt;&gt;"")*(MOVIMIENTOS!$A$5:$A$417&lt;=$A49)*MOVIMIENTOS!$E$5:$E$417)+SUMPRODUCT((MOVIMIENTOS!$B$5:$B$417="PROCESO")*(MOVIMIENTOS!$C$5:$C$417="Chancho")*(MOVIMIENTOS!$D$5:$D$417="sacos")*(MOVIMIENTOS!$A$5:$A$417&lt;&gt;"")*(MOVIMIENTOS!$A$5:$A$417&lt;=$A49)*MOVIMIENTOS!$E$5:$E$417)-SUMPRODUCT((MOVIMIENTOS!$B$5:$B$417="VENTA CHANCHO")*(MOVIMIENTOS!$C$5:$C$417="Chancho")*(MOVIMIENTOS!$D$5:$D$417="sacos")*(MOVIMIENTOS!$A$5:$A$417&lt;&gt;"")*(MOVIMIENTOS!$A$5:$A$417&lt;=$A49)*MOVIMIENTOS!$E$5:$E$417)-SUMPRODUCT((MOVIMIENTOS!$B$5:$B$417="REGALO")*(MOVIMIENTOS!$C$5:$C$417="Chancho")*(MOVIMIENTOS!$D$5:$D$417="sacos")*(MOVIMIENTOS!$A$5:$A$417&lt;&gt;"")*(MOVIMIENTOS!$A$5:$A$417&lt;=$A49)*MOVIMIENTOS!$E$5:$E$417)-SUMPRODUCT((MOVIMIENTOS!$B$5:$B$417="VENTA")*(MOVIMIENTOS!$C$5:$C$417="Chancho")*(MOVIMIENTOS!$D$5:$D$417="sacos")*(MOVIMIENTOS!$A$5:$A$417&lt;&gt;"")*(MOVIMIENTOS!$A$5:$A$417&lt;=$A49)*MOVIMIENTOS!$E$5:$E$417)+SUMPRODUCT((MOVIMIENTOS!$B$5:$B$417="AJUSTE")*(MOVIMIENTOS!$C$5:$C$417="Chancho")*(MOVIMIENTOS!$D$5:$D$417="sacos")*(MOVIMIENTOS!$A$5:$A$417&lt;&gt;"")*(MOVIMIENTOS!$A$5:$A$417&lt;=$A49)*MOVIMIENTOS!$E$5:$E$417))</f>
        <v/>
      </c>
      <c r="G49" s="56" t="str">
        <f t="shared" si="3"/>
        <v/>
      </c>
      <c r="H49" s="56" t="str">
        <f>IF($A49="","",SUMPRODUCT((((MOVIMIENTOS!$B$5:$B$417="SALDO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49)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49)*MOVIMIENTOS!$I$5:$I$417))</f>
        <v/>
      </c>
      <c r="I49" s="54"/>
      <c r="J49" s="54" t="str">
        <f>IF(AND(MOVIMIENTOS!$A49&lt;&gt;"",COUNTIF(MOVIMIENTOS!$A$5:$A48,MOVIMIENTOS!$A49)=0),COUNT(J$4:J48)+1,"")</f>
        <v/>
      </c>
      <c r="K49" s="57">
        <f>MOVIMIENTOS!$A49</f>
        <v>46218</v>
      </c>
      <c r="L49" s="54"/>
      <c r="M49" s="54"/>
      <c r="N49" s="54"/>
    </row>
    <row r="50" spans="1:14" ht="15" customHeight="1" x14ac:dyDescent="0.2">
      <c r="A50" s="55" t="str">
        <f t="shared" si="2"/>
        <v/>
      </c>
      <c r="B50" s="56" t="str">
        <f>IF($A50="","",SUMPRODUCT((MOVIMIENTOS!$B$5:$B$417="SALDO INICIAL")*(MOVIMIENTOS!$C$5:$C$417="A")*(MOVIMIENTOS!$D$5:$D$417="jabas")*(MOVIMIENTOS!$A$5:$A$417&lt;&gt;"")*(MOVIMIENTOS!$A$5:$A$417&lt;=$A50)*MOVIMIENTOS!$E$5:$E$417)+SUMPRODUCT((MOVIMIENTOS!$B$5:$B$417="PROCESO")*(MOVIMIENTOS!$C$5:$C$417="A")*(MOVIMIENTOS!$D$5:$D$417="jabas")*(MOVIMIENTOS!$A$5:$A$417&lt;&gt;"")*(MOVIMIENTOS!$A$5:$A$417&lt;=$A50)*MOVIMIENTOS!$E$5:$E$417)-SUMPRODUCT((MOVIMIENTOS!$B$5:$B$417="ENVÍO A SUPESA")*(MOVIMIENTOS!$C$5:$C$417="A")*(MOVIMIENTOS!$D$5:$D$417="jabas")*(MOVIMIENTOS!$A$5:$A$417&lt;&gt;"")*(MOVIMIENTOS!$A$5:$A$417&lt;=$A50)*MOVIMIENTOS!$E$5:$E$417)+SUMPRODUCT((MOVIMIENTOS!$B$5:$B$417="DEVOLUCIÓN")*(MOVIMIENTOS!$C$5:$C$417="A")*(MOVIMIENTOS!$D$5:$D$417="jabas")*(MOVIMIENTOS!$A$5:$A$417&lt;&gt;"")*(MOVIMIENTOS!$A$5:$A$417&lt;=$A50)*MOVIMIENTOS!$E$5:$E$417)-SUMPRODUCT((MOVIMIENTOS!$B$5:$B$417="TRASIEGO")*(MOVIMIENTOS!$C$5:$C$417="A")*(MOVIMIENTOS!$D$5:$D$417="jabas")*(MOVIMIENTOS!$A$5:$A$417&lt;&gt;"")*(MOVIMIENTOS!$A$5:$A$417&lt;=$A50)*MOVIMIENTOS!$E$5:$E$417)-SUMPRODUCT((MOVIMIENTOS!$B$5:$B$417="REGALO")*(MOVIMIENTOS!$C$5:$C$417="A")*(MOVIMIENTOS!$D$5:$D$417="jabas")*(MOVIMIENTOS!$A$5:$A$417&lt;&gt;"")*(MOVIMIENTOS!$A$5:$A$417&lt;=$A50)*MOVIMIENTOS!$E$5:$E$417)-SUMPRODUCT((MOVIMIENTOS!$B$5:$B$417="VENTA")*(MOVIMIENTOS!$C$5:$C$417="A")*(MOVIMIENTOS!$D$5:$D$417="jabas")*(MOVIMIENTOS!$A$5:$A$417&lt;&gt;"")*(MOVIMIENTOS!$A$5:$A$417&lt;=$A50)*MOVIMIENTOS!$E$5:$E$417)+SUMPRODUCT((MOVIMIENTOS!$B$5:$B$417="AJUSTE")*(MOVIMIENTOS!$C$5:$C$417="A")*(MOVIMIENTOS!$D$5:$D$417="jabas")*(MOVIMIENTOS!$A$5:$A$417&lt;&gt;"")*(MOVIMIENTOS!$A$5:$A$417&lt;=$A50)*MOVIMIENTOS!$E$5:$E$417))</f>
        <v/>
      </c>
      <c r="C50" s="56" t="str">
        <f>IF($A50="","",SUMPRODUCT((MOVIMIENTOS!$B$5:$B$417="SALDO INICIAL")*(MOVIMIENTOS!$C$5:$C$417="P")*(MOVIMIENTOS!$D$5:$D$417="jabas")*(MOVIMIENTOS!$A$5:$A$417&lt;&gt;"")*(MOVIMIENTOS!$A$5:$A$417&lt;=$A50)*MOVIMIENTOS!$E$5:$E$417)+SUMPRODUCT((MOVIMIENTOS!$B$5:$B$417="PROCESO")*(MOVIMIENTOS!$C$5:$C$417="P")*(MOVIMIENTOS!$D$5:$D$417="jabas")*(MOVIMIENTOS!$A$5:$A$417&lt;&gt;"")*(MOVIMIENTOS!$A$5:$A$417&lt;=$A50)*MOVIMIENTOS!$E$5:$E$417)-SUMPRODUCT((MOVIMIENTOS!$B$5:$B$417="ENVÍO A SUPESA")*(MOVIMIENTOS!$C$5:$C$417="P")*(MOVIMIENTOS!$D$5:$D$417="jabas")*(MOVIMIENTOS!$A$5:$A$417&lt;&gt;"")*(MOVIMIENTOS!$A$5:$A$417&lt;=$A50)*MOVIMIENTOS!$E$5:$E$417)+SUMPRODUCT((MOVIMIENTOS!$B$5:$B$417="DEVOLUCIÓN")*(MOVIMIENTOS!$C$5:$C$417="P")*(MOVIMIENTOS!$D$5:$D$417="jabas")*(MOVIMIENTOS!$A$5:$A$417&lt;&gt;"")*(MOVIMIENTOS!$A$5:$A$417&lt;=$A50)*MOVIMIENTOS!$E$5:$E$417)-SUMPRODUCT((MOVIMIENTOS!$B$5:$B$417="TRASIEGO")*(MOVIMIENTOS!$C$5:$C$417="P")*(MOVIMIENTOS!$D$5:$D$417="jabas")*(MOVIMIENTOS!$A$5:$A$417&lt;&gt;"")*(MOVIMIENTOS!$A$5:$A$417&lt;=$A50)*MOVIMIENTOS!$E$5:$E$417)-SUMPRODUCT((MOVIMIENTOS!$B$5:$B$417="REGALO")*(MOVIMIENTOS!$C$5:$C$417="P")*(MOVIMIENTOS!$D$5:$D$417="jabas")*(MOVIMIENTOS!$A$5:$A$417&lt;&gt;"")*(MOVIMIENTOS!$A$5:$A$417&lt;=$A50)*MOVIMIENTOS!$E$5:$E$417)-SUMPRODUCT((MOVIMIENTOS!$B$5:$B$417="VENTA")*(MOVIMIENTOS!$C$5:$C$417="P")*(MOVIMIENTOS!$D$5:$D$417="jabas")*(MOVIMIENTOS!$A$5:$A$417&lt;&gt;"")*(MOVIMIENTOS!$A$5:$A$417&lt;=$A50)*MOVIMIENTOS!$E$5:$E$417)+SUMPRODUCT((MOVIMIENTOS!$B$5:$B$417="AJUSTE")*(MOVIMIENTOS!$C$5:$C$417="P")*(MOVIMIENTOS!$D$5:$D$417="jabas")*(MOVIMIENTOS!$A$5:$A$417&lt;&gt;"")*(MOVIMIENTOS!$A$5:$A$417&lt;=$A50)*MOVIMIENTOS!$E$5:$E$417))</f>
        <v/>
      </c>
      <c r="D50" s="56" t="str">
        <f>IF($A50="","",SUMPRODUCT((MOVIMIENTOS!$B$5:$B$417="SALDO INICIAL")*(MOVIMIENTOS!$C$5:$C$417="C")*(MOVIMIENTOS!$D$5:$D$417="jabas")*(MOVIMIENTOS!$A$5:$A$417&lt;&gt;"")*(MOVIMIENTOS!$A$5:$A$417&lt;=$A50)*MOVIMIENTOS!$E$5:$E$417)+SUMPRODUCT((MOVIMIENTOS!$B$5:$B$417="PROCESO")*(MOVIMIENTOS!$C$5:$C$417="C")*(MOVIMIENTOS!$D$5:$D$417="jabas")*(MOVIMIENTOS!$A$5:$A$417&lt;&gt;"")*(MOVIMIENTOS!$A$5:$A$417&lt;=$A50)*MOVIMIENTOS!$E$5:$E$417)-SUMPRODUCT((MOVIMIENTOS!$B$5:$B$417="ENVÍO A SUPESA")*(MOVIMIENTOS!$C$5:$C$417="C")*(MOVIMIENTOS!$D$5:$D$417="jabas")*(MOVIMIENTOS!$A$5:$A$417&lt;&gt;"")*(MOVIMIENTOS!$A$5:$A$417&lt;=$A50)*MOVIMIENTOS!$E$5:$E$417)+SUMPRODUCT((MOVIMIENTOS!$B$5:$B$417="DEVOLUCIÓN")*(MOVIMIENTOS!$C$5:$C$417="C")*(MOVIMIENTOS!$D$5:$D$417="jabas")*(MOVIMIENTOS!$A$5:$A$417&lt;&gt;"")*(MOVIMIENTOS!$A$5:$A$417&lt;=$A50)*MOVIMIENTOS!$E$5:$E$417)-SUMPRODUCT((MOVIMIENTOS!$B$5:$B$417="TRASIEGO")*(MOVIMIENTOS!$C$5:$C$417="C")*(MOVIMIENTOS!$D$5:$D$417="jabas")*(MOVIMIENTOS!$A$5:$A$417&lt;&gt;"")*(MOVIMIENTOS!$A$5:$A$417&lt;=$A50)*MOVIMIENTOS!$E$5:$E$417)-SUMPRODUCT((MOVIMIENTOS!$B$5:$B$417="REGALO")*(MOVIMIENTOS!$C$5:$C$417="C")*(MOVIMIENTOS!$D$5:$D$417="jabas")*(MOVIMIENTOS!$A$5:$A$417&lt;&gt;"")*(MOVIMIENTOS!$A$5:$A$417&lt;=$A50)*MOVIMIENTOS!$E$5:$E$417)-SUMPRODUCT((MOVIMIENTOS!$B$5:$B$417="VENTA")*(MOVIMIENTOS!$C$5:$C$417="C")*(MOVIMIENTOS!$D$5:$D$417="jabas")*(MOVIMIENTOS!$A$5:$A$417&lt;&gt;"")*(MOVIMIENTOS!$A$5:$A$417&lt;=$A50)*MOVIMIENTOS!$E$5:$E$417)+SUMPRODUCT((MOVIMIENTOS!$B$5:$B$417="AJUSTE")*(MOVIMIENTOS!$C$5:$C$417="C")*(MOVIMIENTOS!$D$5:$D$417="jabas")*(MOVIMIENTOS!$A$5:$A$417&lt;&gt;"")*(MOVIMIENTOS!$A$5:$A$417&lt;=$A50)*MOVIMIENTOS!$E$5:$E$417))</f>
        <v/>
      </c>
      <c r="E50" s="56" t="str">
        <f>IF($A50="","",SUMPRODUCT((MOVIMIENTOS!$B$5:$B$417="SALDO INICIAL")*(MOVIMIENTOS!$C$5:$C$417="M")*(MOVIMIENTOS!$D$5:$D$417="jabas")*(MOVIMIENTOS!$A$5:$A$417&lt;&gt;"")*(MOVIMIENTOS!$A$5:$A$417&lt;=$A50)*MOVIMIENTOS!$E$5:$E$417)+SUMPRODUCT((MOVIMIENTOS!$B$5:$B$417="PROCESO")*(MOVIMIENTOS!$C$5:$C$417="M")*(MOVIMIENTOS!$D$5:$D$417="jabas")*(MOVIMIENTOS!$A$5:$A$417&lt;&gt;"")*(MOVIMIENTOS!$A$5:$A$417&lt;=$A50)*MOVIMIENTOS!$E$5:$E$417)-SUMPRODUCT((MOVIMIENTOS!$B$5:$B$417="ENVÍO A SUPESA")*(MOVIMIENTOS!$C$5:$C$417="M")*(MOVIMIENTOS!$D$5:$D$417="jabas")*(MOVIMIENTOS!$A$5:$A$417&lt;&gt;"")*(MOVIMIENTOS!$A$5:$A$417&lt;=$A50)*MOVIMIENTOS!$E$5:$E$417)+SUMPRODUCT((MOVIMIENTOS!$B$5:$B$417="DEVOLUCIÓN")*(MOVIMIENTOS!$C$5:$C$417="M")*(MOVIMIENTOS!$D$5:$D$417="jabas")*(MOVIMIENTOS!$A$5:$A$417&lt;&gt;"")*(MOVIMIENTOS!$A$5:$A$417&lt;=$A50)*MOVIMIENTOS!$E$5:$E$417)-SUMPRODUCT((MOVIMIENTOS!$B$5:$B$417="TRASIEGO")*(MOVIMIENTOS!$C$5:$C$417="M")*(MOVIMIENTOS!$D$5:$D$417="jabas")*(MOVIMIENTOS!$A$5:$A$417&lt;&gt;"")*(MOVIMIENTOS!$A$5:$A$417&lt;=$A50)*MOVIMIENTOS!$E$5:$E$417)-SUMPRODUCT((MOVIMIENTOS!$B$5:$B$417="REGALO")*(MOVIMIENTOS!$C$5:$C$417="M")*(MOVIMIENTOS!$D$5:$D$417="jabas")*(MOVIMIENTOS!$A$5:$A$417&lt;&gt;"")*(MOVIMIENTOS!$A$5:$A$417&lt;=$A50)*MOVIMIENTOS!$E$5:$E$417)-SUMPRODUCT((MOVIMIENTOS!$B$5:$B$417="VENTA")*(MOVIMIENTOS!$C$5:$C$417="M")*(MOVIMIENTOS!$D$5:$D$417="jabas")*(MOVIMIENTOS!$A$5:$A$417&lt;&gt;"")*(MOVIMIENTOS!$A$5:$A$417&lt;=$A50)*MOVIMIENTOS!$E$5:$E$417)+SUMPRODUCT((MOVIMIENTOS!$B$5:$B$417="AJUSTE")*(MOVIMIENTOS!$C$5:$C$417="M")*(MOVIMIENTOS!$D$5:$D$417="jabas")*(MOVIMIENTOS!$A$5:$A$417&lt;&gt;"")*(MOVIMIENTOS!$A$5:$A$417&lt;=$A50)*MOVIMIENTOS!$E$5:$E$417))</f>
        <v/>
      </c>
      <c r="F50" s="56" t="str">
        <f>IF($A50="","",SUMPRODUCT((MOVIMIENTOS!$B$5:$B$417="SALDO INICIAL")*(MOVIMIENTOS!$C$5:$C$417="Chancho")*(MOVIMIENTOS!$D$5:$D$417="sacos")*(MOVIMIENTOS!$A$5:$A$417&lt;&gt;"")*(MOVIMIENTOS!$A$5:$A$417&lt;=$A50)*MOVIMIENTOS!$E$5:$E$417)+SUMPRODUCT((MOVIMIENTOS!$B$5:$B$417="PROCESO")*(MOVIMIENTOS!$C$5:$C$417="Chancho")*(MOVIMIENTOS!$D$5:$D$417="sacos")*(MOVIMIENTOS!$A$5:$A$417&lt;&gt;"")*(MOVIMIENTOS!$A$5:$A$417&lt;=$A50)*MOVIMIENTOS!$E$5:$E$417)-SUMPRODUCT((MOVIMIENTOS!$B$5:$B$417="VENTA CHANCHO")*(MOVIMIENTOS!$C$5:$C$417="Chancho")*(MOVIMIENTOS!$D$5:$D$417="sacos")*(MOVIMIENTOS!$A$5:$A$417&lt;&gt;"")*(MOVIMIENTOS!$A$5:$A$417&lt;=$A50)*MOVIMIENTOS!$E$5:$E$417)-SUMPRODUCT((MOVIMIENTOS!$B$5:$B$417="REGALO")*(MOVIMIENTOS!$C$5:$C$417="Chancho")*(MOVIMIENTOS!$D$5:$D$417="sacos")*(MOVIMIENTOS!$A$5:$A$417&lt;&gt;"")*(MOVIMIENTOS!$A$5:$A$417&lt;=$A50)*MOVIMIENTOS!$E$5:$E$417)-SUMPRODUCT((MOVIMIENTOS!$B$5:$B$417="VENTA")*(MOVIMIENTOS!$C$5:$C$417="Chancho")*(MOVIMIENTOS!$D$5:$D$417="sacos")*(MOVIMIENTOS!$A$5:$A$417&lt;&gt;"")*(MOVIMIENTOS!$A$5:$A$417&lt;=$A50)*MOVIMIENTOS!$E$5:$E$417)+SUMPRODUCT((MOVIMIENTOS!$B$5:$B$417="AJUSTE")*(MOVIMIENTOS!$C$5:$C$417="Chancho")*(MOVIMIENTOS!$D$5:$D$417="sacos")*(MOVIMIENTOS!$A$5:$A$417&lt;&gt;"")*(MOVIMIENTOS!$A$5:$A$417&lt;=$A50)*MOVIMIENTOS!$E$5:$E$417))</f>
        <v/>
      </c>
      <c r="G50" s="56" t="str">
        <f t="shared" si="3"/>
        <v/>
      </c>
      <c r="H50" s="56" t="str">
        <f>IF($A50="","",SUMPRODUCT((((MOVIMIENTOS!$B$5:$B$417="SALDO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50)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50)*MOVIMIENTOS!$I$5:$I$417))</f>
        <v/>
      </c>
      <c r="I50" s="54"/>
      <c r="J50" s="54">
        <f>IF(AND(MOVIMIENTOS!$A50&lt;&gt;"",COUNTIF(MOVIMIENTOS!$A$5:$A49,MOVIMIENTOS!$A50)=0),COUNT(J$4:J49)+1,"")</f>
        <v>6</v>
      </c>
      <c r="K50" s="57">
        <f>MOVIMIENTOS!$A50</f>
        <v>46219</v>
      </c>
      <c r="L50" s="54"/>
      <c r="M50" s="54"/>
      <c r="N50" s="54"/>
    </row>
    <row r="51" spans="1:14" ht="15" customHeight="1" x14ac:dyDescent="0.2">
      <c r="A51" s="55" t="str">
        <f t="shared" si="2"/>
        <v/>
      </c>
      <c r="B51" s="56" t="str">
        <f>IF($A51="","",SUMPRODUCT((MOVIMIENTOS!$B$5:$B$417="SALDO INICIAL")*(MOVIMIENTOS!$C$5:$C$417="A")*(MOVIMIENTOS!$D$5:$D$417="jabas")*(MOVIMIENTOS!$A$5:$A$417&lt;&gt;"")*(MOVIMIENTOS!$A$5:$A$417&lt;=$A51)*MOVIMIENTOS!$E$5:$E$417)+SUMPRODUCT((MOVIMIENTOS!$B$5:$B$417="PROCESO")*(MOVIMIENTOS!$C$5:$C$417="A")*(MOVIMIENTOS!$D$5:$D$417="jabas")*(MOVIMIENTOS!$A$5:$A$417&lt;&gt;"")*(MOVIMIENTOS!$A$5:$A$417&lt;=$A51)*MOVIMIENTOS!$E$5:$E$417)-SUMPRODUCT((MOVIMIENTOS!$B$5:$B$417="ENVÍO A SUPESA")*(MOVIMIENTOS!$C$5:$C$417="A")*(MOVIMIENTOS!$D$5:$D$417="jabas")*(MOVIMIENTOS!$A$5:$A$417&lt;&gt;"")*(MOVIMIENTOS!$A$5:$A$417&lt;=$A51)*MOVIMIENTOS!$E$5:$E$417)+SUMPRODUCT((MOVIMIENTOS!$B$5:$B$417="DEVOLUCIÓN")*(MOVIMIENTOS!$C$5:$C$417="A")*(MOVIMIENTOS!$D$5:$D$417="jabas")*(MOVIMIENTOS!$A$5:$A$417&lt;&gt;"")*(MOVIMIENTOS!$A$5:$A$417&lt;=$A51)*MOVIMIENTOS!$E$5:$E$417)-SUMPRODUCT((MOVIMIENTOS!$B$5:$B$417="TRASIEGO")*(MOVIMIENTOS!$C$5:$C$417="A")*(MOVIMIENTOS!$D$5:$D$417="jabas")*(MOVIMIENTOS!$A$5:$A$417&lt;&gt;"")*(MOVIMIENTOS!$A$5:$A$417&lt;=$A51)*MOVIMIENTOS!$E$5:$E$417)-SUMPRODUCT((MOVIMIENTOS!$B$5:$B$417="REGALO")*(MOVIMIENTOS!$C$5:$C$417="A")*(MOVIMIENTOS!$D$5:$D$417="jabas")*(MOVIMIENTOS!$A$5:$A$417&lt;&gt;"")*(MOVIMIENTOS!$A$5:$A$417&lt;=$A51)*MOVIMIENTOS!$E$5:$E$417)-SUMPRODUCT((MOVIMIENTOS!$B$5:$B$417="VENTA")*(MOVIMIENTOS!$C$5:$C$417="A")*(MOVIMIENTOS!$D$5:$D$417="jabas")*(MOVIMIENTOS!$A$5:$A$417&lt;&gt;"")*(MOVIMIENTOS!$A$5:$A$417&lt;=$A51)*MOVIMIENTOS!$E$5:$E$417)+SUMPRODUCT((MOVIMIENTOS!$B$5:$B$417="AJUSTE")*(MOVIMIENTOS!$C$5:$C$417="A")*(MOVIMIENTOS!$D$5:$D$417="jabas")*(MOVIMIENTOS!$A$5:$A$417&lt;&gt;"")*(MOVIMIENTOS!$A$5:$A$417&lt;=$A51)*MOVIMIENTOS!$E$5:$E$417))</f>
        <v/>
      </c>
      <c r="C51" s="56" t="str">
        <f>IF($A51="","",SUMPRODUCT((MOVIMIENTOS!$B$5:$B$417="SALDO INICIAL")*(MOVIMIENTOS!$C$5:$C$417="P")*(MOVIMIENTOS!$D$5:$D$417="jabas")*(MOVIMIENTOS!$A$5:$A$417&lt;&gt;"")*(MOVIMIENTOS!$A$5:$A$417&lt;=$A51)*MOVIMIENTOS!$E$5:$E$417)+SUMPRODUCT((MOVIMIENTOS!$B$5:$B$417="PROCESO")*(MOVIMIENTOS!$C$5:$C$417="P")*(MOVIMIENTOS!$D$5:$D$417="jabas")*(MOVIMIENTOS!$A$5:$A$417&lt;&gt;"")*(MOVIMIENTOS!$A$5:$A$417&lt;=$A51)*MOVIMIENTOS!$E$5:$E$417)-SUMPRODUCT((MOVIMIENTOS!$B$5:$B$417="ENVÍO A SUPESA")*(MOVIMIENTOS!$C$5:$C$417="P")*(MOVIMIENTOS!$D$5:$D$417="jabas")*(MOVIMIENTOS!$A$5:$A$417&lt;&gt;"")*(MOVIMIENTOS!$A$5:$A$417&lt;=$A51)*MOVIMIENTOS!$E$5:$E$417)+SUMPRODUCT((MOVIMIENTOS!$B$5:$B$417="DEVOLUCIÓN")*(MOVIMIENTOS!$C$5:$C$417="P")*(MOVIMIENTOS!$D$5:$D$417="jabas")*(MOVIMIENTOS!$A$5:$A$417&lt;&gt;"")*(MOVIMIENTOS!$A$5:$A$417&lt;=$A51)*MOVIMIENTOS!$E$5:$E$417)-SUMPRODUCT((MOVIMIENTOS!$B$5:$B$417="TRASIEGO")*(MOVIMIENTOS!$C$5:$C$417="P")*(MOVIMIENTOS!$D$5:$D$417="jabas")*(MOVIMIENTOS!$A$5:$A$417&lt;&gt;"")*(MOVIMIENTOS!$A$5:$A$417&lt;=$A51)*MOVIMIENTOS!$E$5:$E$417)-SUMPRODUCT((MOVIMIENTOS!$B$5:$B$417="REGALO")*(MOVIMIENTOS!$C$5:$C$417="P")*(MOVIMIENTOS!$D$5:$D$417="jabas")*(MOVIMIENTOS!$A$5:$A$417&lt;&gt;"")*(MOVIMIENTOS!$A$5:$A$417&lt;=$A51)*MOVIMIENTOS!$E$5:$E$417)-SUMPRODUCT((MOVIMIENTOS!$B$5:$B$417="VENTA")*(MOVIMIENTOS!$C$5:$C$417="P")*(MOVIMIENTOS!$D$5:$D$417="jabas")*(MOVIMIENTOS!$A$5:$A$417&lt;&gt;"")*(MOVIMIENTOS!$A$5:$A$417&lt;=$A51)*MOVIMIENTOS!$E$5:$E$417)+SUMPRODUCT((MOVIMIENTOS!$B$5:$B$417="AJUSTE")*(MOVIMIENTOS!$C$5:$C$417="P")*(MOVIMIENTOS!$D$5:$D$417="jabas")*(MOVIMIENTOS!$A$5:$A$417&lt;&gt;"")*(MOVIMIENTOS!$A$5:$A$417&lt;=$A51)*MOVIMIENTOS!$E$5:$E$417))</f>
        <v/>
      </c>
      <c r="D51" s="56" t="str">
        <f>IF($A51="","",SUMPRODUCT((MOVIMIENTOS!$B$5:$B$417="SALDO INICIAL")*(MOVIMIENTOS!$C$5:$C$417="C")*(MOVIMIENTOS!$D$5:$D$417="jabas")*(MOVIMIENTOS!$A$5:$A$417&lt;&gt;"")*(MOVIMIENTOS!$A$5:$A$417&lt;=$A51)*MOVIMIENTOS!$E$5:$E$417)+SUMPRODUCT((MOVIMIENTOS!$B$5:$B$417="PROCESO")*(MOVIMIENTOS!$C$5:$C$417="C")*(MOVIMIENTOS!$D$5:$D$417="jabas")*(MOVIMIENTOS!$A$5:$A$417&lt;&gt;"")*(MOVIMIENTOS!$A$5:$A$417&lt;=$A51)*MOVIMIENTOS!$E$5:$E$417)-SUMPRODUCT((MOVIMIENTOS!$B$5:$B$417="ENVÍO A SUPESA")*(MOVIMIENTOS!$C$5:$C$417="C")*(MOVIMIENTOS!$D$5:$D$417="jabas")*(MOVIMIENTOS!$A$5:$A$417&lt;&gt;"")*(MOVIMIENTOS!$A$5:$A$417&lt;=$A51)*MOVIMIENTOS!$E$5:$E$417)+SUMPRODUCT((MOVIMIENTOS!$B$5:$B$417="DEVOLUCIÓN")*(MOVIMIENTOS!$C$5:$C$417="C")*(MOVIMIENTOS!$D$5:$D$417="jabas")*(MOVIMIENTOS!$A$5:$A$417&lt;&gt;"")*(MOVIMIENTOS!$A$5:$A$417&lt;=$A51)*MOVIMIENTOS!$E$5:$E$417)-SUMPRODUCT((MOVIMIENTOS!$B$5:$B$417="TRASIEGO")*(MOVIMIENTOS!$C$5:$C$417="C")*(MOVIMIENTOS!$D$5:$D$417="jabas")*(MOVIMIENTOS!$A$5:$A$417&lt;&gt;"")*(MOVIMIENTOS!$A$5:$A$417&lt;=$A51)*MOVIMIENTOS!$E$5:$E$417)-SUMPRODUCT((MOVIMIENTOS!$B$5:$B$417="REGALO")*(MOVIMIENTOS!$C$5:$C$417="C")*(MOVIMIENTOS!$D$5:$D$417="jabas")*(MOVIMIENTOS!$A$5:$A$417&lt;&gt;"")*(MOVIMIENTOS!$A$5:$A$417&lt;=$A51)*MOVIMIENTOS!$E$5:$E$417)-SUMPRODUCT((MOVIMIENTOS!$B$5:$B$417="VENTA")*(MOVIMIENTOS!$C$5:$C$417="C")*(MOVIMIENTOS!$D$5:$D$417="jabas")*(MOVIMIENTOS!$A$5:$A$417&lt;&gt;"")*(MOVIMIENTOS!$A$5:$A$417&lt;=$A51)*MOVIMIENTOS!$E$5:$E$417)+SUMPRODUCT((MOVIMIENTOS!$B$5:$B$417="AJUSTE")*(MOVIMIENTOS!$C$5:$C$417="C")*(MOVIMIENTOS!$D$5:$D$417="jabas")*(MOVIMIENTOS!$A$5:$A$417&lt;&gt;"")*(MOVIMIENTOS!$A$5:$A$417&lt;=$A51)*MOVIMIENTOS!$E$5:$E$417))</f>
        <v/>
      </c>
      <c r="E51" s="56" t="str">
        <f>IF($A51="","",SUMPRODUCT((MOVIMIENTOS!$B$5:$B$417="SALDO INICIAL")*(MOVIMIENTOS!$C$5:$C$417="M")*(MOVIMIENTOS!$D$5:$D$417="jabas")*(MOVIMIENTOS!$A$5:$A$417&lt;&gt;"")*(MOVIMIENTOS!$A$5:$A$417&lt;=$A51)*MOVIMIENTOS!$E$5:$E$417)+SUMPRODUCT((MOVIMIENTOS!$B$5:$B$417="PROCESO")*(MOVIMIENTOS!$C$5:$C$417="M")*(MOVIMIENTOS!$D$5:$D$417="jabas")*(MOVIMIENTOS!$A$5:$A$417&lt;&gt;"")*(MOVIMIENTOS!$A$5:$A$417&lt;=$A51)*MOVIMIENTOS!$E$5:$E$417)-SUMPRODUCT((MOVIMIENTOS!$B$5:$B$417="ENVÍO A SUPESA")*(MOVIMIENTOS!$C$5:$C$417="M")*(MOVIMIENTOS!$D$5:$D$417="jabas")*(MOVIMIENTOS!$A$5:$A$417&lt;&gt;"")*(MOVIMIENTOS!$A$5:$A$417&lt;=$A51)*MOVIMIENTOS!$E$5:$E$417)+SUMPRODUCT((MOVIMIENTOS!$B$5:$B$417="DEVOLUCIÓN")*(MOVIMIENTOS!$C$5:$C$417="M")*(MOVIMIENTOS!$D$5:$D$417="jabas")*(MOVIMIENTOS!$A$5:$A$417&lt;&gt;"")*(MOVIMIENTOS!$A$5:$A$417&lt;=$A51)*MOVIMIENTOS!$E$5:$E$417)-SUMPRODUCT((MOVIMIENTOS!$B$5:$B$417="TRASIEGO")*(MOVIMIENTOS!$C$5:$C$417="M")*(MOVIMIENTOS!$D$5:$D$417="jabas")*(MOVIMIENTOS!$A$5:$A$417&lt;&gt;"")*(MOVIMIENTOS!$A$5:$A$417&lt;=$A51)*MOVIMIENTOS!$E$5:$E$417)-SUMPRODUCT((MOVIMIENTOS!$B$5:$B$417="REGALO")*(MOVIMIENTOS!$C$5:$C$417="M")*(MOVIMIENTOS!$D$5:$D$417="jabas")*(MOVIMIENTOS!$A$5:$A$417&lt;&gt;"")*(MOVIMIENTOS!$A$5:$A$417&lt;=$A51)*MOVIMIENTOS!$E$5:$E$417)-SUMPRODUCT((MOVIMIENTOS!$B$5:$B$417="VENTA")*(MOVIMIENTOS!$C$5:$C$417="M")*(MOVIMIENTOS!$D$5:$D$417="jabas")*(MOVIMIENTOS!$A$5:$A$417&lt;&gt;"")*(MOVIMIENTOS!$A$5:$A$417&lt;=$A51)*MOVIMIENTOS!$E$5:$E$417)+SUMPRODUCT((MOVIMIENTOS!$B$5:$B$417="AJUSTE")*(MOVIMIENTOS!$C$5:$C$417="M")*(MOVIMIENTOS!$D$5:$D$417="jabas")*(MOVIMIENTOS!$A$5:$A$417&lt;&gt;"")*(MOVIMIENTOS!$A$5:$A$417&lt;=$A51)*MOVIMIENTOS!$E$5:$E$417))</f>
        <v/>
      </c>
      <c r="F51" s="56" t="str">
        <f>IF($A51="","",SUMPRODUCT((MOVIMIENTOS!$B$5:$B$417="SALDO INICIAL")*(MOVIMIENTOS!$C$5:$C$417="Chancho")*(MOVIMIENTOS!$D$5:$D$417="sacos")*(MOVIMIENTOS!$A$5:$A$417&lt;&gt;"")*(MOVIMIENTOS!$A$5:$A$417&lt;=$A51)*MOVIMIENTOS!$E$5:$E$417)+SUMPRODUCT((MOVIMIENTOS!$B$5:$B$417="PROCESO")*(MOVIMIENTOS!$C$5:$C$417="Chancho")*(MOVIMIENTOS!$D$5:$D$417="sacos")*(MOVIMIENTOS!$A$5:$A$417&lt;&gt;"")*(MOVIMIENTOS!$A$5:$A$417&lt;=$A51)*MOVIMIENTOS!$E$5:$E$417)-SUMPRODUCT((MOVIMIENTOS!$B$5:$B$417="VENTA CHANCHO")*(MOVIMIENTOS!$C$5:$C$417="Chancho")*(MOVIMIENTOS!$D$5:$D$417="sacos")*(MOVIMIENTOS!$A$5:$A$417&lt;&gt;"")*(MOVIMIENTOS!$A$5:$A$417&lt;=$A51)*MOVIMIENTOS!$E$5:$E$417)-SUMPRODUCT((MOVIMIENTOS!$B$5:$B$417="REGALO")*(MOVIMIENTOS!$C$5:$C$417="Chancho")*(MOVIMIENTOS!$D$5:$D$417="sacos")*(MOVIMIENTOS!$A$5:$A$417&lt;&gt;"")*(MOVIMIENTOS!$A$5:$A$417&lt;=$A51)*MOVIMIENTOS!$E$5:$E$417)-SUMPRODUCT((MOVIMIENTOS!$B$5:$B$417="VENTA")*(MOVIMIENTOS!$C$5:$C$417="Chancho")*(MOVIMIENTOS!$D$5:$D$417="sacos")*(MOVIMIENTOS!$A$5:$A$417&lt;&gt;"")*(MOVIMIENTOS!$A$5:$A$417&lt;=$A51)*MOVIMIENTOS!$E$5:$E$417)+SUMPRODUCT((MOVIMIENTOS!$B$5:$B$417="AJUSTE")*(MOVIMIENTOS!$C$5:$C$417="Chancho")*(MOVIMIENTOS!$D$5:$D$417="sacos")*(MOVIMIENTOS!$A$5:$A$417&lt;&gt;"")*(MOVIMIENTOS!$A$5:$A$417&lt;=$A51)*MOVIMIENTOS!$E$5:$E$417))</f>
        <v/>
      </c>
      <c r="G51" s="56" t="str">
        <f t="shared" si="3"/>
        <v/>
      </c>
      <c r="H51" s="56" t="str">
        <f>IF($A51="","",SUMPRODUCT((((MOVIMIENTOS!$B$5:$B$417="SALDO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51)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51)*MOVIMIENTOS!$I$5:$I$417))</f>
        <v/>
      </c>
      <c r="I51" s="54"/>
      <c r="J51" s="54" t="str">
        <f>IF(AND(MOVIMIENTOS!$A51&lt;&gt;"",COUNTIF(MOVIMIENTOS!$A$5:$A50,MOVIMIENTOS!$A51)=0),COUNT(J$4:J50)+1,"")</f>
        <v/>
      </c>
      <c r="K51" s="57">
        <f>MOVIMIENTOS!$A51</f>
        <v>46219</v>
      </c>
      <c r="L51" s="54"/>
      <c r="M51" s="54"/>
      <c r="N51" s="54"/>
    </row>
    <row r="52" spans="1:14" ht="15" customHeight="1" x14ac:dyDescent="0.2">
      <c r="A52" s="55" t="str">
        <f t="shared" si="2"/>
        <v/>
      </c>
      <c r="B52" s="56" t="str">
        <f>IF($A52="","",SUMPRODUCT((MOVIMIENTOS!$B$5:$B$417="SALDO INICIAL")*(MOVIMIENTOS!$C$5:$C$417="A")*(MOVIMIENTOS!$D$5:$D$417="jabas")*(MOVIMIENTOS!$A$5:$A$417&lt;&gt;"")*(MOVIMIENTOS!$A$5:$A$417&lt;=$A52)*MOVIMIENTOS!$E$5:$E$417)+SUMPRODUCT((MOVIMIENTOS!$B$5:$B$417="PROCESO")*(MOVIMIENTOS!$C$5:$C$417="A")*(MOVIMIENTOS!$D$5:$D$417="jabas")*(MOVIMIENTOS!$A$5:$A$417&lt;&gt;"")*(MOVIMIENTOS!$A$5:$A$417&lt;=$A52)*MOVIMIENTOS!$E$5:$E$417)-SUMPRODUCT((MOVIMIENTOS!$B$5:$B$417="ENVÍO A SUPESA")*(MOVIMIENTOS!$C$5:$C$417="A")*(MOVIMIENTOS!$D$5:$D$417="jabas")*(MOVIMIENTOS!$A$5:$A$417&lt;&gt;"")*(MOVIMIENTOS!$A$5:$A$417&lt;=$A52)*MOVIMIENTOS!$E$5:$E$417)+SUMPRODUCT((MOVIMIENTOS!$B$5:$B$417="DEVOLUCIÓN")*(MOVIMIENTOS!$C$5:$C$417="A")*(MOVIMIENTOS!$D$5:$D$417="jabas")*(MOVIMIENTOS!$A$5:$A$417&lt;&gt;"")*(MOVIMIENTOS!$A$5:$A$417&lt;=$A52)*MOVIMIENTOS!$E$5:$E$417)-SUMPRODUCT((MOVIMIENTOS!$B$5:$B$417="TRASIEGO")*(MOVIMIENTOS!$C$5:$C$417="A")*(MOVIMIENTOS!$D$5:$D$417="jabas")*(MOVIMIENTOS!$A$5:$A$417&lt;&gt;"")*(MOVIMIENTOS!$A$5:$A$417&lt;=$A52)*MOVIMIENTOS!$E$5:$E$417)-SUMPRODUCT((MOVIMIENTOS!$B$5:$B$417="REGALO")*(MOVIMIENTOS!$C$5:$C$417="A")*(MOVIMIENTOS!$D$5:$D$417="jabas")*(MOVIMIENTOS!$A$5:$A$417&lt;&gt;"")*(MOVIMIENTOS!$A$5:$A$417&lt;=$A52)*MOVIMIENTOS!$E$5:$E$417)-SUMPRODUCT((MOVIMIENTOS!$B$5:$B$417="VENTA")*(MOVIMIENTOS!$C$5:$C$417="A")*(MOVIMIENTOS!$D$5:$D$417="jabas")*(MOVIMIENTOS!$A$5:$A$417&lt;&gt;"")*(MOVIMIENTOS!$A$5:$A$417&lt;=$A52)*MOVIMIENTOS!$E$5:$E$417)+SUMPRODUCT((MOVIMIENTOS!$B$5:$B$417="AJUSTE")*(MOVIMIENTOS!$C$5:$C$417="A")*(MOVIMIENTOS!$D$5:$D$417="jabas")*(MOVIMIENTOS!$A$5:$A$417&lt;&gt;"")*(MOVIMIENTOS!$A$5:$A$417&lt;=$A52)*MOVIMIENTOS!$E$5:$E$417))</f>
        <v/>
      </c>
      <c r="C52" s="56" t="str">
        <f>IF($A52="","",SUMPRODUCT((MOVIMIENTOS!$B$5:$B$417="SALDO INICIAL")*(MOVIMIENTOS!$C$5:$C$417="P")*(MOVIMIENTOS!$D$5:$D$417="jabas")*(MOVIMIENTOS!$A$5:$A$417&lt;&gt;"")*(MOVIMIENTOS!$A$5:$A$417&lt;=$A52)*MOVIMIENTOS!$E$5:$E$417)+SUMPRODUCT((MOVIMIENTOS!$B$5:$B$417="PROCESO")*(MOVIMIENTOS!$C$5:$C$417="P")*(MOVIMIENTOS!$D$5:$D$417="jabas")*(MOVIMIENTOS!$A$5:$A$417&lt;&gt;"")*(MOVIMIENTOS!$A$5:$A$417&lt;=$A52)*MOVIMIENTOS!$E$5:$E$417)-SUMPRODUCT((MOVIMIENTOS!$B$5:$B$417="ENVÍO A SUPESA")*(MOVIMIENTOS!$C$5:$C$417="P")*(MOVIMIENTOS!$D$5:$D$417="jabas")*(MOVIMIENTOS!$A$5:$A$417&lt;&gt;"")*(MOVIMIENTOS!$A$5:$A$417&lt;=$A52)*MOVIMIENTOS!$E$5:$E$417)+SUMPRODUCT((MOVIMIENTOS!$B$5:$B$417="DEVOLUCIÓN")*(MOVIMIENTOS!$C$5:$C$417="P")*(MOVIMIENTOS!$D$5:$D$417="jabas")*(MOVIMIENTOS!$A$5:$A$417&lt;&gt;"")*(MOVIMIENTOS!$A$5:$A$417&lt;=$A52)*MOVIMIENTOS!$E$5:$E$417)-SUMPRODUCT((MOVIMIENTOS!$B$5:$B$417="TRASIEGO")*(MOVIMIENTOS!$C$5:$C$417="P")*(MOVIMIENTOS!$D$5:$D$417="jabas")*(MOVIMIENTOS!$A$5:$A$417&lt;&gt;"")*(MOVIMIENTOS!$A$5:$A$417&lt;=$A52)*MOVIMIENTOS!$E$5:$E$417)-SUMPRODUCT((MOVIMIENTOS!$B$5:$B$417="REGALO")*(MOVIMIENTOS!$C$5:$C$417="P")*(MOVIMIENTOS!$D$5:$D$417="jabas")*(MOVIMIENTOS!$A$5:$A$417&lt;&gt;"")*(MOVIMIENTOS!$A$5:$A$417&lt;=$A52)*MOVIMIENTOS!$E$5:$E$417)-SUMPRODUCT((MOVIMIENTOS!$B$5:$B$417="VENTA")*(MOVIMIENTOS!$C$5:$C$417="P")*(MOVIMIENTOS!$D$5:$D$417="jabas")*(MOVIMIENTOS!$A$5:$A$417&lt;&gt;"")*(MOVIMIENTOS!$A$5:$A$417&lt;=$A52)*MOVIMIENTOS!$E$5:$E$417)+SUMPRODUCT((MOVIMIENTOS!$B$5:$B$417="AJUSTE")*(MOVIMIENTOS!$C$5:$C$417="P")*(MOVIMIENTOS!$D$5:$D$417="jabas")*(MOVIMIENTOS!$A$5:$A$417&lt;&gt;"")*(MOVIMIENTOS!$A$5:$A$417&lt;=$A52)*MOVIMIENTOS!$E$5:$E$417))</f>
        <v/>
      </c>
      <c r="D52" s="56" t="str">
        <f>IF($A52="","",SUMPRODUCT((MOVIMIENTOS!$B$5:$B$417="SALDO INICIAL")*(MOVIMIENTOS!$C$5:$C$417="C")*(MOVIMIENTOS!$D$5:$D$417="jabas")*(MOVIMIENTOS!$A$5:$A$417&lt;&gt;"")*(MOVIMIENTOS!$A$5:$A$417&lt;=$A52)*MOVIMIENTOS!$E$5:$E$417)+SUMPRODUCT((MOVIMIENTOS!$B$5:$B$417="PROCESO")*(MOVIMIENTOS!$C$5:$C$417="C")*(MOVIMIENTOS!$D$5:$D$417="jabas")*(MOVIMIENTOS!$A$5:$A$417&lt;&gt;"")*(MOVIMIENTOS!$A$5:$A$417&lt;=$A52)*MOVIMIENTOS!$E$5:$E$417)-SUMPRODUCT((MOVIMIENTOS!$B$5:$B$417="ENVÍO A SUPESA")*(MOVIMIENTOS!$C$5:$C$417="C")*(MOVIMIENTOS!$D$5:$D$417="jabas")*(MOVIMIENTOS!$A$5:$A$417&lt;&gt;"")*(MOVIMIENTOS!$A$5:$A$417&lt;=$A52)*MOVIMIENTOS!$E$5:$E$417)+SUMPRODUCT((MOVIMIENTOS!$B$5:$B$417="DEVOLUCIÓN")*(MOVIMIENTOS!$C$5:$C$417="C")*(MOVIMIENTOS!$D$5:$D$417="jabas")*(MOVIMIENTOS!$A$5:$A$417&lt;&gt;"")*(MOVIMIENTOS!$A$5:$A$417&lt;=$A52)*MOVIMIENTOS!$E$5:$E$417)-SUMPRODUCT((MOVIMIENTOS!$B$5:$B$417="TRASIEGO")*(MOVIMIENTOS!$C$5:$C$417="C")*(MOVIMIENTOS!$D$5:$D$417="jabas")*(MOVIMIENTOS!$A$5:$A$417&lt;&gt;"")*(MOVIMIENTOS!$A$5:$A$417&lt;=$A52)*MOVIMIENTOS!$E$5:$E$417)-SUMPRODUCT((MOVIMIENTOS!$B$5:$B$417="REGALO")*(MOVIMIENTOS!$C$5:$C$417="C")*(MOVIMIENTOS!$D$5:$D$417="jabas")*(MOVIMIENTOS!$A$5:$A$417&lt;&gt;"")*(MOVIMIENTOS!$A$5:$A$417&lt;=$A52)*MOVIMIENTOS!$E$5:$E$417)-SUMPRODUCT((MOVIMIENTOS!$B$5:$B$417="VENTA")*(MOVIMIENTOS!$C$5:$C$417="C")*(MOVIMIENTOS!$D$5:$D$417="jabas")*(MOVIMIENTOS!$A$5:$A$417&lt;&gt;"")*(MOVIMIENTOS!$A$5:$A$417&lt;=$A52)*MOVIMIENTOS!$E$5:$E$417)+SUMPRODUCT((MOVIMIENTOS!$B$5:$B$417="AJUSTE")*(MOVIMIENTOS!$C$5:$C$417="C")*(MOVIMIENTOS!$D$5:$D$417="jabas")*(MOVIMIENTOS!$A$5:$A$417&lt;&gt;"")*(MOVIMIENTOS!$A$5:$A$417&lt;=$A52)*MOVIMIENTOS!$E$5:$E$417))</f>
        <v/>
      </c>
      <c r="E52" s="56" t="str">
        <f>IF($A52="","",SUMPRODUCT((MOVIMIENTOS!$B$5:$B$417="SALDO INICIAL")*(MOVIMIENTOS!$C$5:$C$417="M")*(MOVIMIENTOS!$D$5:$D$417="jabas")*(MOVIMIENTOS!$A$5:$A$417&lt;&gt;"")*(MOVIMIENTOS!$A$5:$A$417&lt;=$A52)*MOVIMIENTOS!$E$5:$E$417)+SUMPRODUCT((MOVIMIENTOS!$B$5:$B$417="PROCESO")*(MOVIMIENTOS!$C$5:$C$417="M")*(MOVIMIENTOS!$D$5:$D$417="jabas")*(MOVIMIENTOS!$A$5:$A$417&lt;&gt;"")*(MOVIMIENTOS!$A$5:$A$417&lt;=$A52)*MOVIMIENTOS!$E$5:$E$417)-SUMPRODUCT((MOVIMIENTOS!$B$5:$B$417="ENVÍO A SUPESA")*(MOVIMIENTOS!$C$5:$C$417="M")*(MOVIMIENTOS!$D$5:$D$417="jabas")*(MOVIMIENTOS!$A$5:$A$417&lt;&gt;"")*(MOVIMIENTOS!$A$5:$A$417&lt;=$A52)*MOVIMIENTOS!$E$5:$E$417)+SUMPRODUCT((MOVIMIENTOS!$B$5:$B$417="DEVOLUCIÓN")*(MOVIMIENTOS!$C$5:$C$417="M")*(MOVIMIENTOS!$D$5:$D$417="jabas")*(MOVIMIENTOS!$A$5:$A$417&lt;&gt;"")*(MOVIMIENTOS!$A$5:$A$417&lt;=$A52)*MOVIMIENTOS!$E$5:$E$417)-SUMPRODUCT((MOVIMIENTOS!$B$5:$B$417="TRASIEGO")*(MOVIMIENTOS!$C$5:$C$417="M")*(MOVIMIENTOS!$D$5:$D$417="jabas")*(MOVIMIENTOS!$A$5:$A$417&lt;&gt;"")*(MOVIMIENTOS!$A$5:$A$417&lt;=$A52)*MOVIMIENTOS!$E$5:$E$417)-SUMPRODUCT((MOVIMIENTOS!$B$5:$B$417="REGALO")*(MOVIMIENTOS!$C$5:$C$417="M")*(MOVIMIENTOS!$D$5:$D$417="jabas")*(MOVIMIENTOS!$A$5:$A$417&lt;&gt;"")*(MOVIMIENTOS!$A$5:$A$417&lt;=$A52)*MOVIMIENTOS!$E$5:$E$417)-SUMPRODUCT((MOVIMIENTOS!$B$5:$B$417="VENTA")*(MOVIMIENTOS!$C$5:$C$417="M")*(MOVIMIENTOS!$D$5:$D$417="jabas")*(MOVIMIENTOS!$A$5:$A$417&lt;&gt;"")*(MOVIMIENTOS!$A$5:$A$417&lt;=$A52)*MOVIMIENTOS!$E$5:$E$417)+SUMPRODUCT((MOVIMIENTOS!$B$5:$B$417="AJUSTE")*(MOVIMIENTOS!$C$5:$C$417="M")*(MOVIMIENTOS!$D$5:$D$417="jabas")*(MOVIMIENTOS!$A$5:$A$417&lt;&gt;"")*(MOVIMIENTOS!$A$5:$A$417&lt;=$A52)*MOVIMIENTOS!$E$5:$E$417))</f>
        <v/>
      </c>
      <c r="F52" s="56" t="str">
        <f>IF($A52="","",SUMPRODUCT((MOVIMIENTOS!$B$5:$B$417="SALDO INICIAL")*(MOVIMIENTOS!$C$5:$C$417="Chancho")*(MOVIMIENTOS!$D$5:$D$417="sacos")*(MOVIMIENTOS!$A$5:$A$417&lt;&gt;"")*(MOVIMIENTOS!$A$5:$A$417&lt;=$A52)*MOVIMIENTOS!$E$5:$E$417)+SUMPRODUCT((MOVIMIENTOS!$B$5:$B$417="PROCESO")*(MOVIMIENTOS!$C$5:$C$417="Chancho")*(MOVIMIENTOS!$D$5:$D$417="sacos")*(MOVIMIENTOS!$A$5:$A$417&lt;&gt;"")*(MOVIMIENTOS!$A$5:$A$417&lt;=$A52)*MOVIMIENTOS!$E$5:$E$417)-SUMPRODUCT((MOVIMIENTOS!$B$5:$B$417="VENTA CHANCHO")*(MOVIMIENTOS!$C$5:$C$417="Chancho")*(MOVIMIENTOS!$D$5:$D$417="sacos")*(MOVIMIENTOS!$A$5:$A$417&lt;&gt;"")*(MOVIMIENTOS!$A$5:$A$417&lt;=$A52)*MOVIMIENTOS!$E$5:$E$417)-SUMPRODUCT((MOVIMIENTOS!$B$5:$B$417="REGALO")*(MOVIMIENTOS!$C$5:$C$417="Chancho")*(MOVIMIENTOS!$D$5:$D$417="sacos")*(MOVIMIENTOS!$A$5:$A$417&lt;&gt;"")*(MOVIMIENTOS!$A$5:$A$417&lt;=$A52)*MOVIMIENTOS!$E$5:$E$417)-SUMPRODUCT((MOVIMIENTOS!$B$5:$B$417="VENTA")*(MOVIMIENTOS!$C$5:$C$417="Chancho")*(MOVIMIENTOS!$D$5:$D$417="sacos")*(MOVIMIENTOS!$A$5:$A$417&lt;&gt;"")*(MOVIMIENTOS!$A$5:$A$417&lt;=$A52)*MOVIMIENTOS!$E$5:$E$417)+SUMPRODUCT((MOVIMIENTOS!$B$5:$B$417="AJUSTE")*(MOVIMIENTOS!$C$5:$C$417="Chancho")*(MOVIMIENTOS!$D$5:$D$417="sacos")*(MOVIMIENTOS!$A$5:$A$417&lt;&gt;"")*(MOVIMIENTOS!$A$5:$A$417&lt;=$A52)*MOVIMIENTOS!$E$5:$E$417))</f>
        <v/>
      </c>
      <c r="G52" s="56" t="str">
        <f t="shared" si="3"/>
        <v/>
      </c>
      <c r="H52" s="56" t="str">
        <f>IF($A52="","",SUMPRODUCT((((MOVIMIENTOS!$B$5:$B$417="SALDO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52)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52)*MOVIMIENTOS!$I$5:$I$417))</f>
        <v/>
      </c>
      <c r="I52" s="54"/>
      <c r="J52" s="54" t="str">
        <f>IF(AND(MOVIMIENTOS!$A52&lt;&gt;"",COUNTIF(MOVIMIENTOS!$A$5:$A51,MOVIMIENTOS!$A52)=0),COUNT(J$4:J51)+1,"")</f>
        <v/>
      </c>
      <c r="K52" s="57">
        <f>MOVIMIENTOS!$A52</f>
        <v>46219</v>
      </c>
      <c r="L52" s="54"/>
      <c r="M52" s="54"/>
      <c r="N52" s="54"/>
    </row>
    <row r="53" spans="1:14" ht="15" customHeight="1" x14ac:dyDescent="0.2">
      <c r="A53" s="55" t="str">
        <f t="shared" si="2"/>
        <v/>
      </c>
      <c r="B53" s="56" t="str">
        <f>IF($A53="","",SUMPRODUCT((MOVIMIENTOS!$B$5:$B$417="SALDO INICIAL")*(MOVIMIENTOS!$C$5:$C$417="A")*(MOVIMIENTOS!$D$5:$D$417="jabas")*(MOVIMIENTOS!$A$5:$A$417&lt;&gt;"")*(MOVIMIENTOS!$A$5:$A$417&lt;=$A53)*MOVIMIENTOS!$E$5:$E$417)+SUMPRODUCT((MOVIMIENTOS!$B$5:$B$417="PROCESO")*(MOVIMIENTOS!$C$5:$C$417="A")*(MOVIMIENTOS!$D$5:$D$417="jabas")*(MOVIMIENTOS!$A$5:$A$417&lt;&gt;"")*(MOVIMIENTOS!$A$5:$A$417&lt;=$A53)*MOVIMIENTOS!$E$5:$E$417)-SUMPRODUCT((MOVIMIENTOS!$B$5:$B$417="ENVÍO A SUPESA")*(MOVIMIENTOS!$C$5:$C$417="A")*(MOVIMIENTOS!$D$5:$D$417="jabas")*(MOVIMIENTOS!$A$5:$A$417&lt;&gt;"")*(MOVIMIENTOS!$A$5:$A$417&lt;=$A53)*MOVIMIENTOS!$E$5:$E$417)+SUMPRODUCT((MOVIMIENTOS!$B$5:$B$417="DEVOLUCIÓN")*(MOVIMIENTOS!$C$5:$C$417="A")*(MOVIMIENTOS!$D$5:$D$417="jabas")*(MOVIMIENTOS!$A$5:$A$417&lt;&gt;"")*(MOVIMIENTOS!$A$5:$A$417&lt;=$A53)*MOVIMIENTOS!$E$5:$E$417)-SUMPRODUCT((MOVIMIENTOS!$B$5:$B$417="TRASIEGO")*(MOVIMIENTOS!$C$5:$C$417="A")*(MOVIMIENTOS!$D$5:$D$417="jabas")*(MOVIMIENTOS!$A$5:$A$417&lt;&gt;"")*(MOVIMIENTOS!$A$5:$A$417&lt;=$A53)*MOVIMIENTOS!$E$5:$E$417)-SUMPRODUCT((MOVIMIENTOS!$B$5:$B$417="REGALO")*(MOVIMIENTOS!$C$5:$C$417="A")*(MOVIMIENTOS!$D$5:$D$417="jabas")*(MOVIMIENTOS!$A$5:$A$417&lt;&gt;"")*(MOVIMIENTOS!$A$5:$A$417&lt;=$A53)*MOVIMIENTOS!$E$5:$E$417)-SUMPRODUCT((MOVIMIENTOS!$B$5:$B$417="VENTA")*(MOVIMIENTOS!$C$5:$C$417="A")*(MOVIMIENTOS!$D$5:$D$417="jabas")*(MOVIMIENTOS!$A$5:$A$417&lt;&gt;"")*(MOVIMIENTOS!$A$5:$A$417&lt;=$A53)*MOVIMIENTOS!$E$5:$E$417)+SUMPRODUCT((MOVIMIENTOS!$B$5:$B$417="AJUSTE")*(MOVIMIENTOS!$C$5:$C$417="A")*(MOVIMIENTOS!$D$5:$D$417="jabas")*(MOVIMIENTOS!$A$5:$A$417&lt;&gt;"")*(MOVIMIENTOS!$A$5:$A$417&lt;=$A53)*MOVIMIENTOS!$E$5:$E$417))</f>
        <v/>
      </c>
      <c r="C53" s="56" t="str">
        <f>IF($A53="","",SUMPRODUCT((MOVIMIENTOS!$B$5:$B$417="SALDO INICIAL")*(MOVIMIENTOS!$C$5:$C$417="P")*(MOVIMIENTOS!$D$5:$D$417="jabas")*(MOVIMIENTOS!$A$5:$A$417&lt;&gt;"")*(MOVIMIENTOS!$A$5:$A$417&lt;=$A53)*MOVIMIENTOS!$E$5:$E$417)+SUMPRODUCT((MOVIMIENTOS!$B$5:$B$417="PROCESO")*(MOVIMIENTOS!$C$5:$C$417="P")*(MOVIMIENTOS!$D$5:$D$417="jabas")*(MOVIMIENTOS!$A$5:$A$417&lt;&gt;"")*(MOVIMIENTOS!$A$5:$A$417&lt;=$A53)*MOVIMIENTOS!$E$5:$E$417)-SUMPRODUCT((MOVIMIENTOS!$B$5:$B$417="ENVÍO A SUPESA")*(MOVIMIENTOS!$C$5:$C$417="P")*(MOVIMIENTOS!$D$5:$D$417="jabas")*(MOVIMIENTOS!$A$5:$A$417&lt;&gt;"")*(MOVIMIENTOS!$A$5:$A$417&lt;=$A53)*MOVIMIENTOS!$E$5:$E$417)+SUMPRODUCT((MOVIMIENTOS!$B$5:$B$417="DEVOLUCIÓN")*(MOVIMIENTOS!$C$5:$C$417="P")*(MOVIMIENTOS!$D$5:$D$417="jabas")*(MOVIMIENTOS!$A$5:$A$417&lt;&gt;"")*(MOVIMIENTOS!$A$5:$A$417&lt;=$A53)*MOVIMIENTOS!$E$5:$E$417)-SUMPRODUCT((MOVIMIENTOS!$B$5:$B$417="TRASIEGO")*(MOVIMIENTOS!$C$5:$C$417="P")*(MOVIMIENTOS!$D$5:$D$417="jabas")*(MOVIMIENTOS!$A$5:$A$417&lt;&gt;"")*(MOVIMIENTOS!$A$5:$A$417&lt;=$A53)*MOVIMIENTOS!$E$5:$E$417)-SUMPRODUCT((MOVIMIENTOS!$B$5:$B$417="REGALO")*(MOVIMIENTOS!$C$5:$C$417="P")*(MOVIMIENTOS!$D$5:$D$417="jabas")*(MOVIMIENTOS!$A$5:$A$417&lt;&gt;"")*(MOVIMIENTOS!$A$5:$A$417&lt;=$A53)*MOVIMIENTOS!$E$5:$E$417)-SUMPRODUCT((MOVIMIENTOS!$B$5:$B$417="VENTA")*(MOVIMIENTOS!$C$5:$C$417="P")*(MOVIMIENTOS!$D$5:$D$417="jabas")*(MOVIMIENTOS!$A$5:$A$417&lt;&gt;"")*(MOVIMIENTOS!$A$5:$A$417&lt;=$A53)*MOVIMIENTOS!$E$5:$E$417)+SUMPRODUCT((MOVIMIENTOS!$B$5:$B$417="AJUSTE")*(MOVIMIENTOS!$C$5:$C$417="P")*(MOVIMIENTOS!$D$5:$D$417="jabas")*(MOVIMIENTOS!$A$5:$A$417&lt;&gt;"")*(MOVIMIENTOS!$A$5:$A$417&lt;=$A53)*MOVIMIENTOS!$E$5:$E$417))</f>
        <v/>
      </c>
      <c r="D53" s="56" t="str">
        <f>IF($A53="","",SUMPRODUCT((MOVIMIENTOS!$B$5:$B$417="SALDO INICIAL")*(MOVIMIENTOS!$C$5:$C$417="C")*(MOVIMIENTOS!$D$5:$D$417="jabas")*(MOVIMIENTOS!$A$5:$A$417&lt;&gt;"")*(MOVIMIENTOS!$A$5:$A$417&lt;=$A53)*MOVIMIENTOS!$E$5:$E$417)+SUMPRODUCT((MOVIMIENTOS!$B$5:$B$417="PROCESO")*(MOVIMIENTOS!$C$5:$C$417="C")*(MOVIMIENTOS!$D$5:$D$417="jabas")*(MOVIMIENTOS!$A$5:$A$417&lt;&gt;"")*(MOVIMIENTOS!$A$5:$A$417&lt;=$A53)*MOVIMIENTOS!$E$5:$E$417)-SUMPRODUCT((MOVIMIENTOS!$B$5:$B$417="ENVÍO A SUPESA")*(MOVIMIENTOS!$C$5:$C$417="C")*(MOVIMIENTOS!$D$5:$D$417="jabas")*(MOVIMIENTOS!$A$5:$A$417&lt;&gt;"")*(MOVIMIENTOS!$A$5:$A$417&lt;=$A53)*MOVIMIENTOS!$E$5:$E$417)+SUMPRODUCT((MOVIMIENTOS!$B$5:$B$417="DEVOLUCIÓN")*(MOVIMIENTOS!$C$5:$C$417="C")*(MOVIMIENTOS!$D$5:$D$417="jabas")*(MOVIMIENTOS!$A$5:$A$417&lt;&gt;"")*(MOVIMIENTOS!$A$5:$A$417&lt;=$A53)*MOVIMIENTOS!$E$5:$E$417)-SUMPRODUCT((MOVIMIENTOS!$B$5:$B$417="TRASIEGO")*(MOVIMIENTOS!$C$5:$C$417="C")*(MOVIMIENTOS!$D$5:$D$417="jabas")*(MOVIMIENTOS!$A$5:$A$417&lt;&gt;"")*(MOVIMIENTOS!$A$5:$A$417&lt;=$A53)*MOVIMIENTOS!$E$5:$E$417)-SUMPRODUCT((MOVIMIENTOS!$B$5:$B$417="REGALO")*(MOVIMIENTOS!$C$5:$C$417="C")*(MOVIMIENTOS!$D$5:$D$417="jabas")*(MOVIMIENTOS!$A$5:$A$417&lt;&gt;"")*(MOVIMIENTOS!$A$5:$A$417&lt;=$A53)*MOVIMIENTOS!$E$5:$E$417)-SUMPRODUCT((MOVIMIENTOS!$B$5:$B$417="VENTA")*(MOVIMIENTOS!$C$5:$C$417="C")*(MOVIMIENTOS!$D$5:$D$417="jabas")*(MOVIMIENTOS!$A$5:$A$417&lt;&gt;"")*(MOVIMIENTOS!$A$5:$A$417&lt;=$A53)*MOVIMIENTOS!$E$5:$E$417)+SUMPRODUCT((MOVIMIENTOS!$B$5:$B$417="AJUSTE")*(MOVIMIENTOS!$C$5:$C$417="C")*(MOVIMIENTOS!$D$5:$D$417="jabas")*(MOVIMIENTOS!$A$5:$A$417&lt;&gt;"")*(MOVIMIENTOS!$A$5:$A$417&lt;=$A53)*MOVIMIENTOS!$E$5:$E$417))</f>
        <v/>
      </c>
      <c r="E53" s="56" t="str">
        <f>IF($A53="","",SUMPRODUCT((MOVIMIENTOS!$B$5:$B$417="SALDO INICIAL")*(MOVIMIENTOS!$C$5:$C$417="M")*(MOVIMIENTOS!$D$5:$D$417="jabas")*(MOVIMIENTOS!$A$5:$A$417&lt;&gt;"")*(MOVIMIENTOS!$A$5:$A$417&lt;=$A53)*MOVIMIENTOS!$E$5:$E$417)+SUMPRODUCT((MOVIMIENTOS!$B$5:$B$417="PROCESO")*(MOVIMIENTOS!$C$5:$C$417="M")*(MOVIMIENTOS!$D$5:$D$417="jabas")*(MOVIMIENTOS!$A$5:$A$417&lt;&gt;"")*(MOVIMIENTOS!$A$5:$A$417&lt;=$A53)*MOVIMIENTOS!$E$5:$E$417)-SUMPRODUCT((MOVIMIENTOS!$B$5:$B$417="ENVÍO A SUPESA")*(MOVIMIENTOS!$C$5:$C$417="M")*(MOVIMIENTOS!$D$5:$D$417="jabas")*(MOVIMIENTOS!$A$5:$A$417&lt;&gt;"")*(MOVIMIENTOS!$A$5:$A$417&lt;=$A53)*MOVIMIENTOS!$E$5:$E$417)+SUMPRODUCT((MOVIMIENTOS!$B$5:$B$417="DEVOLUCIÓN")*(MOVIMIENTOS!$C$5:$C$417="M")*(MOVIMIENTOS!$D$5:$D$417="jabas")*(MOVIMIENTOS!$A$5:$A$417&lt;&gt;"")*(MOVIMIENTOS!$A$5:$A$417&lt;=$A53)*MOVIMIENTOS!$E$5:$E$417)-SUMPRODUCT((MOVIMIENTOS!$B$5:$B$417="TRASIEGO")*(MOVIMIENTOS!$C$5:$C$417="M")*(MOVIMIENTOS!$D$5:$D$417="jabas")*(MOVIMIENTOS!$A$5:$A$417&lt;&gt;"")*(MOVIMIENTOS!$A$5:$A$417&lt;=$A53)*MOVIMIENTOS!$E$5:$E$417)-SUMPRODUCT((MOVIMIENTOS!$B$5:$B$417="REGALO")*(MOVIMIENTOS!$C$5:$C$417="M")*(MOVIMIENTOS!$D$5:$D$417="jabas")*(MOVIMIENTOS!$A$5:$A$417&lt;&gt;"")*(MOVIMIENTOS!$A$5:$A$417&lt;=$A53)*MOVIMIENTOS!$E$5:$E$417)-SUMPRODUCT((MOVIMIENTOS!$B$5:$B$417="VENTA")*(MOVIMIENTOS!$C$5:$C$417="M")*(MOVIMIENTOS!$D$5:$D$417="jabas")*(MOVIMIENTOS!$A$5:$A$417&lt;&gt;"")*(MOVIMIENTOS!$A$5:$A$417&lt;=$A53)*MOVIMIENTOS!$E$5:$E$417)+SUMPRODUCT((MOVIMIENTOS!$B$5:$B$417="AJUSTE")*(MOVIMIENTOS!$C$5:$C$417="M")*(MOVIMIENTOS!$D$5:$D$417="jabas")*(MOVIMIENTOS!$A$5:$A$417&lt;&gt;"")*(MOVIMIENTOS!$A$5:$A$417&lt;=$A53)*MOVIMIENTOS!$E$5:$E$417))</f>
        <v/>
      </c>
      <c r="F53" s="56" t="str">
        <f>IF($A53="","",SUMPRODUCT((MOVIMIENTOS!$B$5:$B$417="SALDO INICIAL")*(MOVIMIENTOS!$C$5:$C$417="Chancho")*(MOVIMIENTOS!$D$5:$D$417="sacos")*(MOVIMIENTOS!$A$5:$A$417&lt;&gt;"")*(MOVIMIENTOS!$A$5:$A$417&lt;=$A53)*MOVIMIENTOS!$E$5:$E$417)+SUMPRODUCT((MOVIMIENTOS!$B$5:$B$417="PROCESO")*(MOVIMIENTOS!$C$5:$C$417="Chancho")*(MOVIMIENTOS!$D$5:$D$417="sacos")*(MOVIMIENTOS!$A$5:$A$417&lt;&gt;"")*(MOVIMIENTOS!$A$5:$A$417&lt;=$A53)*MOVIMIENTOS!$E$5:$E$417)-SUMPRODUCT((MOVIMIENTOS!$B$5:$B$417="VENTA CHANCHO")*(MOVIMIENTOS!$C$5:$C$417="Chancho")*(MOVIMIENTOS!$D$5:$D$417="sacos")*(MOVIMIENTOS!$A$5:$A$417&lt;&gt;"")*(MOVIMIENTOS!$A$5:$A$417&lt;=$A53)*MOVIMIENTOS!$E$5:$E$417)-SUMPRODUCT((MOVIMIENTOS!$B$5:$B$417="REGALO")*(MOVIMIENTOS!$C$5:$C$417="Chancho")*(MOVIMIENTOS!$D$5:$D$417="sacos")*(MOVIMIENTOS!$A$5:$A$417&lt;&gt;"")*(MOVIMIENTOS!$A$5:$A$417&lt;=$A53)*MOVIMIENTOS!$E$5:$E$417)-SUMPRODUCT((MOVIMIENTOS!$B$5:$B$417="VENTA")*(MOVIMIENTOS!$C$5:$C$417="Chancho")*(MOVIMIENTOS!$D$5:$D$417="sacos")*(MOVIMIENTOS!$A$5:$A$417&lt;&gt;"")*(MOVIMIENTOS!$A$5:$A$417&lt;=$A53)*MOVIMIENTOS!$E$5:$E$417)+SUMPRODUCT((MOVIMIENTOS!$B$5:$B$417="AJUSTE")*(MOVIMIENTOS!$C$5:$C$417="Chancho")*(MOVIMIENTOS!$D$5:$D$417="sacos")*(MOVIMIENTOS!$A$5:$A$417&lt;&gt;"")*(MOVIMIENTOS!$A$5:$A$417&lt;=$A53)*MOVIMIENTOS!$E$5:$E$417))</f>
        <v/>
      </c>
      <c r="G53" s="56" t="str">
        <f t="shared" si="3"/>
        <v/>
      </c>
      <c r="H53" s="56" t="str">
        <f>IF($A53="","",SUMPRODUCT((((MOVIMIENTOS!$B$5:$B$417="SALDO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53)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53)*MOVIMIENTOS!$I$5:$I$417))</f>
        <v/>
      </c>
      <c r="I53" s="54"/>
      <c r="J53" s="54" t="str">
        <f>IF(AND(MOVIMIENTOS!$A53&lt;&gt;"",COUNTIF(MOVIMIENTOS!$A$5:$A52,MOVIMIENTOS!$A53)=0),COUNT(J$4:J52)+1,"")</f>
        <v/>
      </c>
      <c r="K53" s="57">
        <f>MOVIMIENTOS!$A53</f>
        <v>46219</v>
      </c>
      <c r="L53" s="54"/>
      <c r="M53" s="54"/>
      <c r="N53" s="54"/>
    </row>
    <row r="54" spans="1:14" ht="15" customHeight="1" x14ac:dyDescent="0.2">
      <c r="A54" s="55" t="str">
        <f t="shared" si="2"/>
        <v/>
      </c>
      <c r="B54" s="56" t="str">
        <f>IF($A54="","",SUMPRODUCT((MOVIMIENTOS!$B$5:$B$417="SALDO INICIAL")*(MOVIMIENTOS!$C$5:$C$417="A")*(MOVIMIENTOS!$D$5:$D$417="jabas")*(MOVIMIENTOS!$A$5:$A$417&lt;&gt;"")*(MOVIMIENTOS!$A$5:$A$417&lt;=$A54)*MOVIMIENTOS!$E$5:$E$417)+SUMPRODUCT((MOVIMIENTOS!$B$5:$B$417="PROCESO")*(MOVIMIENTOS!$C$5:$C$417="A")*(MOVIMIENTOS!$D$5:$D$417="jabas")*(MOVIMIENTOS!$A$5:$A$417&lt;&gt;"")*(MOVIMIENTOS!$A$5:$A$417&lt;=$A54)*MOVIMIENTOS!$E$5:$E$417)-SUMPRODUCT((MOVIMIENTOS!$B$5:$B$417="ENVÍO A SUPESA")*(MOVIMIENTOS!$C$5:$C$417="A")*(MOVIMIENTOS!$D$5:$D$417="jabas")*(MOVIMIENTOS!$A$5:$A$417&lt;&gt;"")*(MOVIMIENTOS!$A$5:$A$417&lt;=$A54)*MOVIMIENTOS!$E$5:$E$417)+SUMPRODUCT((MOVIMIENTOS!$B$5:$B$417="DEVOLUCIÓN")*(MOVIMIENTOS!$C$5:$C$417="A")*(MOVIMIENTOS!$D$5:$D$417="jabas")*(MOVIMIENTOS!$A$5:$A$417&lt;&gt;"")*(MOVIMIENTOS!$A$5:$A$417&lt;=$A54)*MOVIMIENTOS!$E$5:$E$417)-SUMPRODUCT((MOVIMIENTOS!$B$5:$B$417="TRASIEGO")*(MOVIMIENTOS!$C$5:$C$417="A")*(MOVIMIENTOS!$D$5:$D$417="jabas")*(MOVIMIENTOS!$A$5:$A$417&lt;&gt;"")*(MOVIMIENTOS!$A$5:$A$417&lt;=$A54)*MOVIMIENTOS!$E$5:$E$417)-SUMPRODUCT((MOVIMIENTOS!$B$5:$B$417="REGALO")*(MOVIMIENTOS!$C$5:$C$417="A")*(MOVIMIENTOS!$D$5:$D$417="jabas")*(MOVIMIENTOS!$A$5:$A$417&lt;&gt;"")*(MOVIMIENTOS!$A$5:$A$417&lt;=$A54)*MOVIMIENTOS!$E$5:$E$417)-SUMPRODUCT((MOVIMIENTOS!$B$5:$B$417="VENTA")*(MOVIMIENTOS!$C$5:$C$417="A")*(MOVIMIENTOS!$D$5:$D$417="jabas")*(MOVIMIENTOS!$A$5:$A$417&lt;&gt;"")*(MOVIMIENTOS!$A$5:$A$417&lt;=$A54)*MOVIMIENTOS!$E$5:$E$417)+SUMPRODUCT((MOVIMIENTOS!$B$5:$B$417="AJUSTE")*(MOVIMIENTOS!$C$5:$C$417="A")*(MOVIMIENTOS!$D$5:$D$417="jabas")*(MOVIMIENTOS!$A$5:$A$417&lt;&gt;"")*(MOVIMIENTOS!$A$5:$A$417&lt;=$A54)*MOVIMIENTOS!$E$5:$E$417))</f>
        <v/>
      </c>
      <c r="C54" s="56" t="str">
        <f>IF($A54="","",SUMPRODUCT((MOVIMIENTOS!$B$5:$B$417="SALDO INICIAL")*(MOVIMIENTOS!$C$5:$C$417="P")*(MOVIMIENTOS!$D$5:$D$417="jabas")*(MOVIMIENTOS!$A$5:$A$417&lt;&gt;"")*(MOVIMIENTOS!$A$5:$A$417&lt;=$A54)*MOVIMIENTOS!$E$5:$E$417)+SUMPRODUCT((MOVIMIENTOS!$B$5:$B$417="PROCESO")*(MOVIMIENTOS!$C$5:$C$417="P")*(MOVIMIENTOS!$D$5:$D$417="jabas")*(MOVIMIENTOS!$A$5:$A$417&lt;&gt;"")*(MOVIMIENTOS!$A$5:$A$417&lt;=$A54)*MOVIMIENTOS!$E$5:$E$417)-SUMPRODUCT((MOVIMIENTOS!$B$5:$B$417="ENVÍO A SUPESA")*(MOVIMIENTOS!$C$5:$C$417="P")*(MOVIMIENTOS!$D$5:$D$417="jabas")*(MOVIMIENTOS!$A$5:$A$417&lt;&gt;"")*(MOVIMIENTOS!$A$5:$A$417&lt;=$A54)*MOVIMIENTOS!$E$5:$E$417)+SUMPRODUCT((MOVIMIENTOS!$B$5:$B$417="DEVOLUCIÓN")*(MOVIMIENTOS!$C$5:$C$417="P")*(MOVIMIENTOS!$D$5:$D$417="jabas")*(MOVIMIENTOS!$A$5:$A$417&lt;&gt;"")*(MOVIMIENTOS!$A$5:$A$417&lt;=$A54)*MOVIMIENTOS!$E$5:$E$417)-SUMPRODUCT((MOVIMIENTOS!$B$5:$B$417="TRASIEGO")*(MOVIMIENTOS!$C$5:$C$417="P")*(MOVIMIENTOS!$D$5:$D$417="jabas")*(MOVIMIENTOS!$A$5:$A$417&lt;&gt;"")*(MOVIMIENTOS!$A$5:$A$417&lt;=$A54)*MOVIMIENTOS!$E$5:$E$417)-SUMPRODUCT((MOVIMIENTOS!$B$5:$B$417="REGALO")*(MOVIMIENTOS!$C$5:$C$417="P")*(MOVIMIENTOS!$D$5:$D$417="jabas")*(MOVIMIENTOS!$A$5:$A$417&lt;&gt;"")*(MOVIMIENTOS!$A$5:$A$417&lt;=$A54)*MOVIMIENTOS!$E$5:$E$417)-SUMPRODUCT((MOVIMIENTOS!$B$5:$B$417="VENTA")*(MOVIMIENTOS!$C$5:$C$417="P")*(MOVIMIENTOS!$D$5:$D$417="jabas")*(MOVIMIENTOS!$A$5:$A$417&lt;&gt;"")*(MOVIMIENTOS!$A$5:$A$417&lt;=$A54)*MOVIMIENTOS!$E$5:$E$417)+SUMPRODUCT((MOVIMIENTOS!$B$5:$B$417="AJUSTE")*(MOVIMIENTOS!$C$5:$C$417="P")*(MOVIMIENTOS!$D$5:$D$417="jabas")*(MOVIMIENTOS!$A$5:$A$417&lt;&gt;"")*(MOVIMIENTOS!$A$5:$A$417&lt;=$A54)*MOVIMIENTOS!$E$5:$E$417))</f>
        <v/>
      </c>
      <c r="D54" s="56" t="str">
        <f>IF($A54="","",SUMPRODUCT((MOVIMIENTOS!$B$5:$B$417="SALDO INICIAL")*(MOVIMIENTOS!$C$5:$C$417="C")*(MOVIMIENTOS!$D$5:$D$417="jabas")*(MOVIMIENTOS!$A$5:$A$417&lt;&gt;"")*(MOVIMIENTOS!$A$5:$A$417&lt;=$A54)*MOVIMIENTOS!$E$5:$E$417)+SUMPRODUCT((MOVIMIENTOS!$B$5:$B$417="PROCESO")*(MOVIMIENTOS!$C$5:$C$417="C")*(MOVIMIENTOS!$D$5:$D$417="jabas")*(MOVIMIENTOS!$A$5:$A$417&lt;&gt;"")*(MOVIMIENTOS!$A$5:$A$417&lt;=$A54)*MOVIMIENTOS!$E$5:$E$417)-SUMPRODUCT((MOVIMIENTOS!$B$5:$B$417="ENVÍO A SUPESA")*(MOVIMIENTOS!$C$5:$C$417="C")*(MOVIMIENTOS!$D$5:$D$417="jabas")*(MOVIMIENTOS!$A$5:$A$417&lt;&gt;"")*(MOVIMIENTOS!$A$5:$A$417&lt;=$A54)*MOVIMIENTOS!$E$5:$E$417)+SUMPRODUCT((MOVIMIENTOS!$B$5:$B$417="DEVOLUCIÓN")*(MOVIMIENTOS!$C$5:$C$417="C")*(MOVIMIENTOS!$D$5:$D$417="jabas")*(MOVIMIENTOS!$A$5:$A$417&lt;&gt;"")*(MOVIMIENTOS!$A$5:$A$417&lt;=$A54)*MOVIMIENTOS!$E$5:$E$417)-SUMPRODUCT((MOVIMIENTOS!$B$5:$B$417="TRASIEGO")*(MOVIMIENTOS!$C$5:$C$417="C")*(MOVIMIENTOS!$D$5:$D$417="jabas")*(MOVIMIENTOS!$A$5:$A$417&lt;&gt;"")*(MOVIMIENTOS!$A$5:$A$417&lt;=$A54)*MOVIMIENTOS!$E$5:$E$417)-SUMPRODUCT((MOVIMIENTOS!$B$5:$B$417="REGALO")*(MOVIMIENTOS!$C$5:$C$417="C")*(MOVIMIENTOS!$D$5:$D$417="jabas")*(MOVIMIENTOS!$A$5:$A$417&lt;&gt;"")*(MOVIMIENTOS!$A$5:$A$417&lt;=$A54)*MOVIMIENTOS!$E$5:$E$417)-SUMPRODUCT((MOVIMIENTOS!$B$5:$B$417="VENTA")*(MOVIMIENTOS!$C$5:$C$417="C")*(MOVIMIENTOS!$D$5:$D$417="jabas")*(MOVIMIENTOS!$A$5:$A$417&lt;&gt;"")*(MOVIMIENTOS!$A$5:$A$417&lt;=$A54)*MOVIMIENTOS!$E$5:$E$417)+SUMPRODUCT((MOVIMIENTOS!$B$5:$B$417="AJUSTE")*(MOVIMIENTOS!$C$5:$C$417="C")*(MOVIMIENTOS!$D$5:$D$417="jabas")*(MOVIMIENTOS!$A$5:$A$417&lt;&gt;"")*(MOVIMIENTOS!$A$5:$A$417&lt;=$A54)*MOVIMIENTOS!$E$5:$E$417))</f>
        <v/>
      </c>
      <c r="E54" s="56" t="str">
        <f>IF($A54="","",SUMPRODUCT((MOVIMIENTOS!$B$5:$B$417="SALDO INICIAL")*(MOVIMIENTOS!$C$5:$C$417="M")*(MOVIMIENTOS!$D$5:$D$417="jabas")*(MOVIMIENTOS!$A$5:$A$417&lt;&gt;"")*(MOVIMIENTOS!$A$5:$A$417&lt;=$A54)*MOVIMIENTOS!$E$5:$E$417)+SUMPRODUCT((MOVIMIENTOS!$B$5:$B$417="PROCESO")*(MOVIMIENTOS!$C$5:$C$417="M")*(MOVIMIENTOS!$D$5:$D$417="jabas")*(MOVIMIENTOS!$A$5:$A$417&lt;&gt;"")*(MOVIMIENTOS!$A$5:$A$417&lt;=$A54)*MOVIMIENTOS!$E$5:$E$417)-SUMPRODUCT((MOVIMIENTOS!$B$5:$B$417="ENVÍO A SUPESA")*(MOVIMIENTOS!$C$5:$C$417="M")*(MOVIMIENTOS!$D$5:$D$417="jabas")*(MOVIMIENTOS!$A$5:$A$417&lt;&gt;"")*(MOVIMIENTOS!$A$5:$A$417&lt;=$A54)*MOVIMIENTOS!$E$5:$E$417)+SUMPRODUCT((MOVIMIENTOS!$B$5:$B$417="DEVOLUCIÓN")*(MOVIMIENTOS!$C$5:$C$417="M")*(MOVIMIENTOS!$D$5:$D$417="jabas")*(MOVIMIENTOS!$A$5:$A$417&lt;&gt;"")*(MOVIMIENTOS!$A$5:$A$417&lt;=$A54)*MOVIMIENTOS!$E$5:$E$417)-SUMPRODUCT((MOVIMIENTOS!$B$5:$B$417="TRASIEGO")*(MOVIMIENTOS!$C$5:$C$417="M")*(MOVIMIENTOS!$D$5:$D$417="jabas")*(MOVIMIENTOS!$A$5:$A$417&lt;&gt;"")*(MOVIMIENTOS!$A$5:$A$417&lt;=$A54)*MOVIMIENTOS!$E$5:$E$417)-SUMPRODUCT((MOVIMIENTOS!$B$5:$B$417="REGALO")*(MOVIMIENTOS!$C$5:$C$417="M")*(MOVIMIENTOS!$D$5:$D$417="jabas")*(MOVIMIENTOS!$A$5:$A$417&lt;&gt;"")*(MOVIMIENTOS!$A$5:$A$417&lt;=$A54)*MOVIMIENTOS!$E$5:$E$417)-SUMPRODUCT((MOVIMIENTOS!$B$5:$B$417="VENTA")*(MOVIMIENTOS!$C$5:$C$417="M")*(MOVIMIENTOS!$D$5:$D$417="jabas")*(MOVIMIENTOS!$A$5:$A$417&lt;&gt;"")*(MOVIMIENTOS!$A$5:$A$417&lt;=$A54)*MOVIMIENTOS!$E$5:$E$417)+SUMPRODUCT((MOVIMIENTOS!$B$5:$B$417="AJUSTE")*(MOVIMIENTOS!$C$5:$C$417="M")*(MOVIMIENTOS!$D$5:$D$417="jabas")*(MOVIMIENTOS!$A$5:$A$417&lt;&gt;"")*(MOVIMIENTOS!$A$5:$A$417&lt;=$A54)*MOVIMIENTOS!$E$5:$E$417))</f>
        <v/>
      </c>
      <c r="F54" s="56" t="str">
        <f>IF($A54="","",SUMPRODUCT((MOVIMIENTOS!$B$5:$B$417="SALDO INICIAL")*(MOVIMIENTOS!$C$5:$C$417="Chancho")*(MOVIMIENTOS!$D$5:$D$417="sacos")*(MOVIMIENTOS!$A$5:$A$417&lt;&gt;"")*(MOVIMIENTOS!$A$5:$A$417&lt;=$A54)*MOVIMIENTOS!$E$5:$E$417)+SUMPRODUCT((MOVIMIENTOS!$B$5:$B$417="PROCESO")*(MOVIMIENTOS!$C$5:$C$417="Chancho")*(MOVIMIENTOS!$D$5:$D$417="sacos")*(MOVIMIENTOS!$A$5:$A$417&lt;&gt;"")*(MOVIMIENTOS!$A$5:$A$417&lt;=$A54)*MOVIMIENTOS!$E$5:$E$417)-SUMPRODUCT((MOVIMIENTOS!$B$5:$B$417="VENTA CHANCHO")*(MOVIMIENTOS!$C$5:$C$417="Chancho")*(MOVIMIENTOS!$D$5:$D$417="sacos")*(MOVIMIENTOS!$A$5:$A$417&lt;&gt;"")*(MOVIMIENTOS!$A$5:$A$417&lt;=$A54)*MOVIMIENTOS!$E$5:$E$417)-SUMPRODUCT((MOVIMIENTOS!$B$5:$B$417="REGALO")*(MOVIMIENTOS!$C$5:$C$417="Chancho")*(MOVIMIENTOS!$D$5:$D$417="sacos")*(MOVIMIENTOS!$A$5:$A$417&lt;&gt;"")*(MOVIMIENTOS!$A$5:$A$417&lt;=$A54)*MOVIMIENTOS!$E$5:$E$417)-SUMPRODUCT((MOVIMIENTOS!$B$5:$B$417="VENTA")*(MOVIMIENTOS!$C$5:$C$417="Chancho")*(MOVIMIENTOS!$D$5:$D$417="sacos")*(MOVIMIENTOS!$A$5:$A$417&lt;&gt;"")*(MOVIMIENTOS!$A$5:$A$417&lt;=$A54)*MOVIMIENTOS!$E$5:$E$417)+SUMPRODUCT((MOVIMIENTOS!$B$5:$B$417="AJUSTE")*(MOVIMIENTOS!$C$5:$C$417="Chancho")*(MOVIMIENTOS!$D$5:$D$417="sacos")*(MOVIMIENTOS!$A$5:$A$417&lt;&gt;"")*(MOVIMIENTOS!$A$5:$A$417&lt;=$A54)*MOVIMIENTOS!$E$5:$E$417))</f>
        <v/>
      </c>
      <c r="G54" s="56" t="str">
        <f t="shared" si="3"/>
        <v/>
      </c>
      <c r="H54" s="56" t="str">
        <f>IF($A54="","",SUMPRODUCT((((MOVIMIENTOS!$B$5:$B$417="SALDO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54)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54)*MOVIMIENTOS!$I$5:$I$417))</f>
        <v/>
      </c>
      <c r="I54" s="54"/>
      <c r="J54" s="54" t="str">
        <f>IF(AND(MOVIMIENTOS!$A54&lt;&gt;"",COUNTIF(MOVIMIENTOS!$A$5:$A53,MOVIMIENTOS!$A54)=0),COUNT(J$4:J53)+1,"")</f>
        <v/>
      </c>
      <c r="K54" s="57">
        <f>MOVIMIENTOS!$A54</f>
        <v>46219</v>
      </c>
      <c r="L54" s="54"/>
      <c r="M54" s="54"/>
      <c r="N54" s="54"/>
    </row>
    <row r="55" spans="1:14" ht="15" customHeight="1" x14ac:dyDescent="0.2">
      <c r="A55" s="55" t="str">
        <f t="shared" si="2"/>
        <v/>
      </c>
      <c r="B55" s="56" t="str">
        <f>IF($A55="","",SUMPRODUCT((MOVIMIENTOS!$B$5:$B$417="SALDO INICIAL")*(MOVIMIENTOS!$C$5:$C$417="A")*(MOVIMIENTOS!$D$5:$D$417="jabas")*(MOVIMIENTOS!$A$5:$A$417&lt;&gt;"")*(MOVIMIENTOS!$A$5:$A$417&lt;=$A55)*MOVIMIENTOS!$E$5:$E$417)+SUMPRODUCT((MOVIMIENTOS!$B$5:$B$417="PROCESO")*(MOVIMIENTOS!$C$5:$C$417="A")*(MOVIMIENTOS!$D$5:$D$417="jabas")*(MOVIMIENTOS!$A$5:$A$417&lt;&gt;"")*(MOVIMIENTOS!$A$5:$A$417&lt;=$A55)*MOVIMIENTOS!$E$5:$E$417)-SUMPRODUCT((MOVIMIENTOS!$B$5:$B$417="ENVÍO A SUPESA")*(MOVIMIENTOS!$C$5:$C$417="A")*(MOVIMIENTOS!$D$5:$D$417="jabas")*(MOVIMIENTOS!$A$5:$A$417&lt;&gt;"")*(MOVIMIENTOS!$A$5:$A$417&lt;=$A55)*MOVIMIENTOS!$E$5:$E$417)+SUMPRODUCT((MOVIMIENTOS!$B$5:$B$417="DEVOLUCIÓN")*(MOVIMIENTOS!$C$5:$C$417="A")*(MOVIMIENTOS!$D$5:$D$417="jabas")*(MOVIMIENTOS!$A$5:$A$417&lt;&gt;"")*(MOVIMIENTOS!$A$5:$A$417&lt;=$A55)*MOVIMIENTOS!$E$5:$E$417)-SUMPRODUCT((MOVIMIENTOS!$B$5:$B$417="TRASIEGO")*(MOVIMIENTOS!$C$5:$C$417="A")*(MOVIMIENTOS!$D$5:$D$417="jabas")*(MOVIMIENTOS!$A$5:$A$417&lt;&gt;"")*(MOVIMIENTOS!$A$5:$A$417&lt;=$A55)*MOVIMIENTOS!$E$5:$E$417)-SUMPRODUCT((MOVIMIENTOS!$B$5:$B$417="REGALO")*(MOVIMIENTOS!$C$5:$C$417="A")*(MOVIMIENTOS!$D$5:$D$417="jabas")*(MOVIMIENTOS!$A$5:$A$417&lt;&gt;"")*(MOVIMIENTOS!$A$5:$A$417&lt;=$A55)*MOVIMIENTOS!$E$5:$E$417)-SUMPRODUCT((MOVIMIENTOS!$B$5:$B$417="VENTA")*(MOVIMIENTOS!$C$5:$C$417="A")*(MOVIMIENTOS!$D$5:$D$417="jabas")*(MOVIMIENTOS!$A$5:$A$417&lt;&gt;"")*(MOVIMIENTOS!$A$5:$A$417&lt;=$A55)*MOVIMIENTOS!$E$5:$E$417)+SUMPRODUCT((MOVIMIENTOS!$B$5:$B$417="AJUSTE")*(MOVIMIENTOS!$C$5:$C$417="A")*(MOVIMIENTOS!$D$5:$D$417="jabas")*(MOVIMIENTOS!$A$5:$A$417&lt;&gt;"")*(MOVIMIENTOS!$A$5:$A$417&lt;=$A55)*MOVIMIENTOS!$E$5:$E$417))</f>
        <v/>
      </c>
      <c r="C55" s="56" t="str">
        <f>IF($A55="","",SUMPRODUCT((MOVIMIENTOS!$B$5:$B$417="SALDO INICIAL")*(MOVIMIENTOS!$C$5:$C$417="P")*(MOVIMIENTOS!$D$5:$D$417="jabas")*(MOVIMIENTOS!$A$5:$A$417&lt;&gt;"")*(MOVIMIENTOS!$A$5:$A$417&lt;=$A55)*MOVIMIENTOS!$E$5:$E$417)+SUMPRODUCT((MOVIMIENTOS!$B$5:$B$417="PROCESO")*(MOVIMIENTOS!$C$5:$C$417="P")*(MOVIMIENTOS!$D$5:$D$417="jabas")*(MOVIMIENTOS!$A$5:$A$417&lt;&gt;"")*(MOVIMIENTOS!$A$5:$A$417&lt;=$A55)*MOVIMIENTOS!$E$5:$E$417)-SUMPRODUCT((MOVIMIENTOS!$B$5:$B$417="ENVÍO A SUPESA")*(MOVIMIENTOS!$C$5:$C$417="P")*(MOVIMIENTOS!$D$5:$D$417="jabas")*(MOVIMIENTOS!$A$5:$A$417&lt;&gt;"")*(MOVIMIENTOS!$A$5:$A$417&lt;=$A55)*MOVIMIENTOS!$E$5:$E$417)+SUMPRODUCT((MOVIMIENTOS!$B$5:$B$417="DEVOLUCIÓN")*(MOVIMIENTOS!$C$5:$C$417="P")*(MOVIMIENTOS!$D$5:$D$417="jabas")*(MOVIMIENTOS!$A$5:$A$417&lt;&gt;"")*(MOVIMIENTOS!$A$5:$A$417&lt;=$A55)*MOVIMIENTOS!$E$5:$E$417)-SUMPRODUCT((MOVIMIENTOS!$B$5:$B$417="TRASIEGO")*(MOVIMIENTOS!$C$5:$C$417="P")*(MOVIMIENTOS!$D$5:$D$417="jabas")*(MOVIMIENTOS!$A$5:$A$417&lt;&gt;"")*(MOVIMIENTOS!$A$5:$A$417&lt;=$A55)*MOVIMIENTOS!$E$5:$E$417)-SUMPRODUCT((MOVIMIENTOS!$B$5:$B$417="REGALO")*(MOVIMIENTOS!$C$5:$C$417="P")*(MOVIMIENTOS!$D$5:$D$417="jabas")*(MOVIMIENTOS!$A$5:$A$417&lt;&gt;"")*(MOVIMIENTOS!$A$5:$A$417&lt;=$A55)*MOVIMIENTOS!$E$5:$E$417)-SUMPRODUCT((MOVIMIENTOS!$B$5:$B$417="VENTA")*(MOVIMIENTOS!$C$5:$C$417="P")*(MOVIMIENTOS!$D$5:$D$417="jabas")*(MOVIMIENTOS!$A$5:$A$417&lt;&gt;"")*(MOVIMIENTOS!$A$5:$A$417&lt;=$A55)*MOVIMIENTOS!$E$5:$E$417)+SUMPRODUCT((MOVIMIENTOS!$B$5:$B$417="AJUSTE")*(MOVIMIENTOS!$C$5:$C$417="P")*(MOVIMIENTOS!$D$5:$D$417="jabas")*(MOVIMIENTOS!$A$5:$A$417&lt;&gt;"")*(MOVIMIENTOS!$A$5:$A$417&lt;=$A55)*MOVIMIENTOS!$E$5:$E$417))</f>
        <v/>
      </c>
      <c r="D55" s="56" t="str">
        <f>IF($A55="","",SUMPRODUCT((MOVIMIENTOS!$B$5:$B$417="SALDO INICIAL")*(MOVIMIENTOS!$C$5:$C$417="C")*(MOVIMIENTOS!$D$5:$D$417="jabas")*(MOVIMIENTOS!$A$5:$A$417&lt;&gt;"")*(MOVIMIENTOS!$A$5:$A$417&lt;=$A55)*MOVIMIENTOS!$E$5:$E$417)+SUMPRODUCT((MOVIMIENTOS!$B$5:$B$417="PROCESO")*(MOVIMIENTOS!$C$5:$C$417="C")*(MOVIMIENTOS!$D$5:$D$417="jabas")*(MOVIMIENTOS!$A$5:$A$417&lt;&gt;"")*(MOVIMIENTOS!$A$5:$A$417&lt;=$A55)*MOVIMIENTOS!$E$5:$E$417)-SUMPRODUCT((MOVIMIENTOS!$B$5:$B$417="ENVÍO A SUPESA")*(MOVIMIENTOS!$C$5:$C$417="C")*(MOVIMIENTOS!$D$5:$D$417="jabas")*(MOVIMIENTOS!$A$5:$A$417&lt;&gt;"")*(MOVIMIENTOS!$A$5:$A$417&lt;=$A55)*MOVIMIENTOS!$E$5:$E$417)+SUMPRODUCT((MOVIMIENTOS!$B$5:$B$417="DEVOLUCIÓN")*(MOVIMIENTOS!$C$5:$C$417="C")*(MOVIMIENTOS!$D$5:$D$417="jabas")*(MOVIMIENTOS!$A$5:$A$417&lt;&gt;"")*(MOVIMIENTOS!$A$5:$A$417&lt;=$A55)*MOVIMIENTOS!$E$5:$E$417)-SUMPRODUCT((MOVIMIENTOS!$B$5:$B$417="TRASIEGO")*(MOVIMIENTOS!$C$5:$C$417="C")*(MOVIMIENTOS!$D$5:$D$417="jabas")*(MOVIMIENTOS!$A$5:$A$417&lt;&gt;"")*(MOVIMIENTOS!$A$5:$A$417&lt;=$A55)*MOVIMIENTOS!$E$5:$E$417)-SUMPRODUCT((MOVIMIENTOS!$B$5:$B$417="REGALO")*(MOVIMIENTOS!$C$5:$C$417="C")*(MOVIMIENTOS!$D$5:$D$417="jabas")*(MOVIMIENTOS!$A$5:$A$417&lt;&gt;"")*(MOVIMIENTOS!$A$5:$A$417&lt;=$A55)*MOVIMIENTOS!$E$5:$E$417)-SUMPRODUCT((MOVIMIENTOS!$B$5:$B$417="VENTA")*(MOVIMIENTOS!$C$5:$C$417="C")*(MOVIMIENTOS!$D$5:$D$417="jabas")*(MOVIMIENTOS!$A$5:$A$417&lt;&gt;"")*(MOVIMIENTOS!$A$5:$A$417&lt;=$A55)*MOVIMIENTOS!$E$5:$E$417)+SUMPRODUCT((MOVIMIENTOS!$B$5:$B$417="AJUSTE")*(MOVIMIENTOS!$C$5:$C$417="C")*(MOVIMIENTOS!$D$5:$D$417="jabas")*(MOVIMIENTOS!$A$5:$A$417&lt;&gt;"")*(MOVIMIENTOS!$A$5:$A$417&lt;=$A55)*MOVIMIENTOS!$E$5:$E$417))</f>
        <v/>
      </c>
      <c r="E55" s="56" t="str">
        <f>IF($A55="","",SUMPRODUCT((MOVIMIENTOS!$B$5:$B$417="SALDO INICIAL")*(MOVIMIENTOS!$C$5:$C$417="M")*(MOVIMIENTOS!$D$5:$D$417="jabas")*(MOVIMIENTOS!$A$5:$A$417&lt;&gt;"")*(MOVIMIENTOS!$A$5:$A$417&lt;=$A55)*MOVIMIENTOS!$E$5:$E$417)+SUMPRODUCT((MOVIMIENTOS!$B$5:$B$417="PROCESO")*(MOVIMIENTOS!$C$5:$C$417="M")*(MOVIMIENTOS!$D$5:$D$417="jabas")*(MOVIMIENTOS!$A$5:$A$417&lt;&gt;"")*(MOVIMIENTOS!$A$5:$A$417&lt;=$A55)*MOVIMIENTOS!$E$5:$E$417)-SUMPRODUCT((MOVIMIENTOS!$B$5:$B$417="ENVÍO A SUPESA")*(MOVIMIENTOS!$C$5:$C$417="M")*(MOVIMIENTOS!$D$5:$D$417="jabas")*(MOVIMIENTOS!$A$5:$A$417&lt;&gt;"")*(MOVIMIENTOS!$A$5:$A$417&lt;=$A55)*MOVIMIENTOS!$E$5:$E$417)+SUMPRODUCT((MOVIMIENTOS!$B$5:$B$417="DEVOLUCIÓN")*(MOVIMIENTOS!$C$5:$C$417="M")*(MOVIMIENTOS!$D$5:$D$417="jabas")*(MOVIMIENTOS!$A$5:$A$417&lt;&gt;"")*(MOVIMIENTOS!$A$5:$A$417&lt;=$A55)*MOVIMIENTOS!$E$5:$E$417)-SUMPRODUCT((MOVIMIENTOS!$B$5:$B$417="TRASIEGO")*(MOVIMIENTOS!$C$5:$C$417="M")*(MOVIMIENTOS!$D$5:$D$417="jabas")*(MOVIMIENTOS!$A$5:$A$417&lt;&gt;"")*(MOVIMIENTOS!$A$5:$A$417&lt;=$A55)*MOVIMIENTOS!$E$5:$E$417)-SUMPRODUCT((MOVIMIENTOS!$B$5:$B$417="REGALO")*(MOVIMIENTOS!$C$5:$C$417="M")*(MOVIMIENTOS!$D$5:$D$417="jabas")*(MOVIMIENTOS!$A$5:$A$417&lt;&gt;"")*(MOVIMIENTOS!$A$5:$A$417&lt;=$A55)*MOVIMIENTOS!$E$5:$E$417)-SUMPRODUCT((MOVIMIENTOS!$B$5:$B$417="VENTA")*(MOVIMIENTOS!$C$5:$C$417="M")*(MOVIMIENTOS!$D$5:$D$417="jabas")*(MOVIMIENTOS!$A$5:$A$417&lt;&gt;"")*(MOVIMIENTOS!$A$5:$A$417&lt;=$A55)*MOVIMIENTOS!$E$5:$E$417)+SUMPRODUCT((MOVIMIENTOS!$B$5:$B$417="AJUSTE")*(MOVIMIENTOS!$C$5:$C$417="M")*(MOVIMIENTOS!$D$5:$D$417="jabas")*(MOVIMIENTOS!$A$5:$A$417&lt;&gt;"")*(MOVIMIENTOS!$A$5:$A$417&lt;=$A55)*MOVIMIENTOS!$E$5:$E$417))</f>
        <v/>
      </c>
      <c r="F55" s="56" t="str">
        <f>IF($A55="","",SUMPRODUCT((MOVIMIENTOS!$B$5:$B$417="SALDO INICIAL")*(MOVIMIENTOS!$C$5:$C$417="Chancho")*(MOVIMIENTOS!$D$5:$D$417="sacos")*(MOVIMIENTOS!$A$5:$A$417&lt;&gt;"")*(MOVIMIENTOS!$A$5:$A$417&lt;=$A55)*MOVIMIENTOS!$E$5:$E$417)+SUMPRODUCT((MOVIMIENTOS!$B$5:$B$417="PROCESO")*(MOVIMIENTOS!$C$5:$C$417="Chancho")*(MOVIMIENTOS!$D$5:$D$417="sacos")*(MOVIMIENTOS!$A$5:$A$417&lt;&gt;"")*(MOVIMIENTOS!$A$5:$A$417&lt;=$A55)*MOVIMIENTOS!$E$5:$E$417)-SUMPRODUCT((MOVIMIENTOS!$B$5:$B$417="VENTA CHANCHO")*(MOVIMIENTOS!$C$5:$C$417="Chancho")*(MOVIMIENTOS!$D$5:$D$417="sacos")*(MOVIMIENTOS!$A$5:$A$417&lt;&gt;"")*(MOVIMIENTOS!$A$5:$A$417&lt;=$A55)*MOVIMIENTOS!$E$5:$E$417)-SUMPRODUCT((MOVIMIENTOS!$B$5:$B$417="REGALO")*(MOVIMIENTOS!$C$5:$C$417="Chancho")*(MOVIMIENTOS!$D$5:$D$417="sacos")*(MOVIMIENTOS!$A$5:$A$417&lt;&gt;"")*(MOVIMIENTOS!$A$5:$A$417&lt;=$A55)*MOVIMIENTOS!$E$5:$E$417)-SUMPRODUCT((MOVIMIENTOS!$B$5:$B$417="VENTA")*(MOVIMIENTOS!$C$5:$C$417="Chancho")*(MOVIMIENTOS!$D$5:$D$417="sacos")*(MOVIMIENTOS!$A$5:$A$417&lt;&gt;"")*(MOVIMIENTOS!$A$5:$A$417&lt;=$A55)*MOVIMIENTOS!$E$5:$E$417)+SUMPRODUCT((MOVIMIENTOS!$B$5:$B$417="AJUSTE")*(MOVIMIENTOS!$C$5:$C$417="Chancho")*(MOVIMIENTOS!$D$5:$D$417="sacos")*(MOVIMIENTOS!$A$5:$A$417&lt;&gt;"")*(MOVIMIENTOS!$A$5:$A$417&lt;=$A55)*MOVIMIENTOS!$E$5:$E$417))</f>
        <v/>
      </c>
      <c r="G55" s="56" t="str">
        <f t="shared" si="3"/>
        <v/>
      </c>
      <c r="H55" s="56" t="str">
        <f>IF($A55="","",SUMPRODUCT((((MOVIMIENTOS!$B$5:$B$417="SALDO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55)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55)*MOVIMIENTOS!$I$5:$I$417))</f>
        <v/>
      </c>
      <c r="I55" s="54"/>
      <c r="J55" s="54" t="str">
        <f>IF(AND(MOVIMIENTOS!$A55&lt;&gt;"",COUNTIF(MOVIMIENTOS!$A$5:$A54,MOVIMIENTOS!$A55)=0),COUNT(J$4:J54)+1,"")</f>
        <v/>
      </c>
      <c r="K55" s="57">
        <f>MOVIMIENTOS!$A55</f>
        <v>46219</v>
      </c>
      <c r="L55" s="54"/>
      <c r="M55" s="54"/>
      <c r="N55" s="54"/>
    </row>
    <row r="56" spans="1:14" ht="15" customHeight="1" x14ac:dyDescent="0.2">
      <c r="A56" s="55" t="str">
        <f t="shared" si="2"/>
        <v/>
      </c>
      <c r="B56" s="56" t="str">
        <f>IF($A56="","",SUMPRODUCT((MOVIMIENTOS!$B$5:$B$417="SALDO INICIAL")*(MOVIMIENTOS!$C$5:$C$417="A")*(MOVIMIENTOS!$D$5:$D$417="jabas")*(MOVIMIENTOS!$A$5:$A$417&lt;&gt;"")*(MOVIMIENTOS!$A$5:$A$417&lt;=$A56)*MOVIMIENTOS!$E$5:$E$417)+SUMPRODUCT((MOVIMIENTOS!$B$5:$B$417="PROCESO")*(MOVIMIENTOS!$C$5:$C$417="A")*(MOVIMIENTOS!$D$5:$D$417="jabas")*(MOVIMIENTOS!$A$5:$A$417&lt;&gt;"")*(MOVIMIENTOS!$A$5:$A$417&lt;=$A56)*MOVIMIENTOS!$E$5:$E$417)-SUMPRODUCT((MOVIMIENTOS!$B$5:$B$417="ENVÍO A SUPESA")*(MOVIMIENTOS!$C$5:$C$417="A")*(MOVIMIENTOS!$D$5:$D$417="jabas")*(MOVIMIENTOS!$A$5:$A$417&lt;&gt;"")*(MOVIMIENTOS!$A$5:$A$417&lt;=$A56)*MOVIMIENTOS!$E$5:$E$417)+SUMPRODUCT((MOVIMIENTOS!$B$5:$B$417="DEVOLUCIÓN")*(MOVIMIENTOS!$C$5:$C$417="A")*(MOVIMIENTOS!$D$5:$D$417="jabas")*(MOVIMIENTOS!$A$5:$A$417&lt;&gt;"")*(MOVIMIENTOS!$A$5:$A$417&lt;=$A56)*MOVIMIENTOS!$E$5:$E$417)-SUMPRODUCT((MOVIMIENTOS!$B$5:$B$417="TRASIEGO")*(MOVIMIENTOS!$C$5:$C$417="A")*(MOVIMIENTOS!$D$5:$D$417="jabas")*(MOVIMIENTOS!$A$5:$A$417&lt;&gt;"")*(MOVIMIENTOS!$A$5:$A$417&lt;=$A56)*MOVIMIENTOS!$E$5:$E$417)-SUMPRODUCT((MOVIMIENTOS!$B$5:$B$417="REGALO")*(MOVIMIENTOS!$C$5:$C$417="A")*(MOVIMIENTOS!$D$5:$D$417="jabas")*(MOVIMIENTOS!$A$5:$A$417&lt;&gt;"")*(MOVIMIENTOS!$A$5:$A$417&lt;=$A56)*MOVIMIENTOS!$E$5:$E$417)-SUMPRODUCT((MOVIMIENTOS!$B$5:$B$417="VENTA")*(MOVIMIENTOS!$C$5:$C$417="A")*(MOVIMIENTOS!$D$5:$D$417="jabas")*(MOVIMIENTOS!$A$5:$A$417&lt;&gt;"")*(MOVIMIENTOS!$A$5:$A$417&lt;=$A56)*MOVIMIENTOS!$E$5:$E$417)+SUMPRODUCT((MOVIMIENTOS!$B$5:$B$417="AJUSTE")*(MOVIMIENTOS!$C$5:$C$417="A")*(MOVIMIENTOS!$D$5:$D$417="jabas")*(MOVIMIENTOS!$A$5:$A$417&lt;&gt;"")*(MOVIMIENTOS!$A$5:$A$417&lt;=$A56)*MOVIMIENTOS!$E$5:$E$417))</f>
        <v/>
      </c>
      <c r="C56" s="56" t="str">
        <f>IF($A56="","",SUMPRODUCT((MOVIMIENTOS!$B$5:$B$417="SALDO INICIAL")*(MOVIMIENTOS!$C$5:$C$417="P")*(MOVIMIENTOS!$D$5:$D$417="jabas")*(MOVIMIENTOS!$A$5:$A$417&lt;&gt;"")*(MOVIMIENTOS!$A$5:$A$417&lt;=$A56)*MOVIMIENTOS!$E$5:$E$417)+SUMPRODUCT((MOVIMIENTOS!$B$5:$B$417="PROCESO")*(MOVIMIENTOS!$C$5:$C$417="P")*(MOVIMIENTOS!$D$5:$D$417="jabas")*(MOVIMIENTOS!$A$5:$A$417&lt;&gt;"")*(MOVIMIENTOS!$A$5:$A$417&lt;=$A56)*MOVIMIENTOS!$E$5:$E$417)-SUMPRODUCT((MOVIMIENTOS!$B$5:$B$417="ENVÍO A SUPESA")*(MOVIMIENTOS!$C$5:$C$417="P")*(MOVIMIENTOS!$D$5:$D$417="jabas")*(MOVIMIENTOS!$A$5:$A$417&lt;&gt;"")*(MOVIMIENTOS!$A$5:$A$417&lt;=$A56)*MOVIMIENTOS!$E$5:$E$417)+SUMPRODUCT((MOVIMIENTOS!$B$5:$B$417="DEVOLUCIÓN")*(MOVIMIENTOS!$C$5:$C$417="P")*(MOVIMIENTOS!$D$5:$D$417="jabas")*(MOVIMIENTOS!$A$5:$A$417&lt;&gt;"")*(MOVIMIENTOS!$A$5:$A$417&lt;=$A56)*MOVIMIENTOS!$E$5:$E$417)-SUMPRODUCT((MOVIMIENTOS!$B$5:$B$417="TRASIEGO")*(MOVIMIENTOS!$C$5:$C$417="P")*(MOVIMIENTOS!$D$5:$D$417="jabas")*(MOVIMIENTOS!$A$5:$A$417&lt;&gt;"")*(MOVIMIENTOS!$A$5:$A$417&lt;=$A56)*MOVIMIENTOS!$E$5:$E$417)-SUMPRODUCT((MOVIMIENTOS!$B$5:$B$417="REGALO")*(MOVIMIENTOS!$C$5:$C$417="P")*(MOVIMIENTOS!$D$5:$D$417="jabas")*(MOVIMIENTOS!$A$5:$A$417&lt;&gt;"")*(MOVIMIENTOS!$A$5:$A$417&lt;=$A56)*MOVIMIENTOS!$E$5:$E$417)-SUMPRODUCT((MOVIMIENTOS!$B$5:$B$417="VENTA")*(MOVIMIENTOS!$C$5:$C$417="P")*(MOVIMIENTOS!$D$5:$D$417="jabas")*(MOVIMIENTOS!$A$5:$A$417&lt;&gt;"")*(MOVIMIENTOS!$A$5:$A$417&lt;=$A56)*MOVIMIENTOS!$E$5:$E$417)+SUMPRODUCT((MOVIMIENTOS!$B$5:$B$417="AJUSTE")*(MOVIMIENTOS!$C$5:$C$417="P")*(MOVIMIENTOS!$D$5:$D$417="jabas")*(MOVIMIENTOS!$A$5:$A$417&lt;&gt;"")*(MOVIMIENTOS!$A$5:$A$417&lt;=$A56)*MOVIMIENTOS!$E$5:$E$417))</f>
        <v/>
      </c>
      <c r="D56" s="56" t="str">
        <f>IF($A56="","",SUMPRODUCT((MOVIMIENTOS!$B$5:$B$417="SALDO INICIAL")*(MOVIMIENTOS!$C$5:$C$417="C")*(MOVIMIENTOS!$D$5:$D$417="jabas")*(MOVIMIENTOS!$A$5:$A$417&lt;&gt;"")*(MOVIMIENTOS!$A$5:$A$417&lt;=$A56)*MOVIMIENTOS!$E$5:$E$417)+SUMPRODUCT((MOVIMIENTOS!$B$5:$B$417="PROCESO")*(MOVIMIENTOS!$C$5:$C$417="C")*(MOVIMIENTOS!$D$5:$D$417="jabas")*(MOVIMIENTOS!$A$5:$A$417&lt;&gt;"")*(MOVIMIENTOS!$A$5:$A$417&lt;=$A56)*MOVIMIENTOS!$E$5:$E$417)-SUMPRODUCT((MOVIMIENTOS!$B$5:$B$417="ENVÍO A SUPESA")*(MOVIMIENTOS!$C$5:$C$417="C")*(MOVIMIENTOS!$D$5:$D$417="jabas")*(MOVIMIENTOS!$A$5:$A$417&lt;&gt;"")*(MOVIMIENTOS!$A$5:$A$417&lt;=$A56)*MOVIMIENTOS!$E$5:$E$417)+SUMPRODUCT((MOVIMIENTOS!$B$5:$B$417="DEVOLUCIÓN")*(MOVIMIENTOS!$C$5:$C$417="C")*(MOVIMIENTOS!$D$5:$D$417="jabas")*(MOVIMIENTOS!$A$5:$A$417&lt;&gt;"")*(MOVIMIENTOS!$A$5:$A$417&lt;=$A56)*MOVIMIENTOS!$E$5:$E$417)-SUMPRODUCT((MOVIMIENTOS!$B$5:$B$417="TRASIEGO")*(MOVIMIENTOS!$C$5:$C$417="C")*(MOVIMIENTOS!$D$5:$D$417="jabas")*(MOVIMIENTOS!$A$5:$A$417&lt;&gt;"")*(MOVIMIENTOS!$A$5:$A$417&lt;=$A56)*MOVIMIENTOS!$E$5:$E$417)-SUMPRODUCT((MOVIMIENTOS!$B$5:$B$417="REGALO")*(MOVIMIENTOS!$C$5:$C$417="C")*(MOVIMIENTOS!$D$5:$D$417="jabas")*(MOVIMIENTOS!$A$5:$A$417&lt;&gt;"")*(MOVIMIENTOS!$A$5:$A$417&lt;=$A56)*MOVIMIENTOS!$E$5:$E$417)-SUMPRODUCT((MOVIMIENTOS!$B$5:$B$417="VENTA")*(MOVIMIENTOS!$C$5:$C$417="C")*(MOVIMIENTOS!$D$5:$D$417="jabas")*(MOVIMIENTOS!$A$5:$A$417&lt;&gt;"")*(MOVIMIENTOS!$A$5:$A$417&lt;=$A56)*MOVIMIENTOS!$E$5:$E$417)+SUMPRODUCT((MOVIMIENTOS!$B$5:$B$417="AJUSTE")*(MOVIMIENTOS!$C$5:$C$417="C")*(MOVIMIENTOS!$D$5:$D$417="jabas")*(MOVIMIENTOS!$A$5:$A$417&lt;&gt;"")*(MOVIMIENTOS!$A$5:$A$417&lt;=$A56)*MOVIMIENTOS!$E$5:$E$417))</f>
        <v/>
      </c>
      <c r="E56" s="56" t="str">
        <f>IF($A56="","",SUMPRODUCT((MOVIMIENTOS!$B$5:$B$417="SALDO INICIAL")*(MOVIMIENTOS!$C$5:$C$417="M")*(MOVIMIENTOS!$D$5:$D$417="jabas")*(MOVIMIENTOS!$A$5:$A$417&lt;&gt;"")*(MOVIMIENTOS!$A$5:$A$417&lt;=$A56)*MOVIMIENTOS!$E$5:$E$417)+SUMPRODUCT((MOVIMIENTOS!$B$5:$B$417="PROCESO")*(MOVIMIENTOS!$C$5:$C$417="M")*(MOVIMIENTOS!$D$5:$D$417="jabas")*(MOVIMIENTOS!$A$5:$A$417&lt;&gt;"")*(MOVIMIENTOS!$A$5:$A$417&lt;=$A56)*MOVIMIENTOS!$E$5:$E$417)-SUMPRODUCT((MOVIMIENTOS!$B$5:$B$417="ENVÍO A SUPESA")*(MOVIMIENTOS!$C$5:$C$417="M")*(MOVIMIENTOS!$D$5:$D$417="jabas")*(MOVIMIENTOS!$A$5:$A$417&lt;&gt;"")*(MOVIMIENTOS!$A$5:$A$417&lt;=$A56)*MOVIMIENTOS!$E$5:$E$417)+SUMPRODUCT((MOVIMIENTOS!$B$5:$B$417="DEVOLUCIÓN")*(MOVIMIENTOS!$C$5:$C$417="M")*(MOVIMIENTOS!$D$5:$D$417="jabas")*(MOVIMIENTOS!$A$5:$A$417&lt;&gt;"")*(MOVIMIENTOS!$A$5:$A$417&lt;=$A56)*MOVIMIENTOS!$E$5:$E$417)-SUMPRODUCT((MOVIMIENTOS!$B$5:$B$417="TRASIEGO")*(MOVIMIENTOS!$C$5:$C$417="M")*(MOVIMIENTOS!$D$5:$D$417="jabas")*(MOVIMIENTOS!$A$5:$A$417&lt;&gt;"")*(MOVIMIENTOS!$A$5:$A$417&lt;=$A56)*MOVIMIENTOS!$E$5:$E$417)-SUMPRODUCT((MOVIMIENTOS!$B$5:$B$417="REGALO")*(MOVIMIENTOS!$C$5:$C$417="M")*(MOVIMIENTOS!$D$5:$D$417="jabas")*(MOVIMIENTOS!$A$5:$A$417&lt;&gt;"")*(MOVIMIENTOS!$A$5:$A$417&lt;=$A56)*MOVIMIENTOS!$E$5:$E$417)-SUMPRODUCT((MOVIMIENTOS!$B$5:$B$417="VENTA")*(MOVIMIENTOS!$C$5:$C$417="M")*(MOVIMIENTOS!$D$5:$D$417="jabas")*(MOVIMIENTOS!$A$5:$A$417&lt;&gt;"")*(MOVIMIENTOS!$A$5:$A$417&lt;=$A56)*MOVIMIENTOS!$E$5:$E$417)+SUMPRODUCT((MOVIMIENTOS!$B$5:$B$417="AJUSTE")*(MOVIMIENTOS!$C$5:$C$417="M")*(MOVIMIENTOS!$D$5:$D$417="jabas")*(MOVIMIENTOS!$A$5:$A$417&lt;&gt;"")*(MOVIMIENTOS!$A$5:$A$417&lt;=$A56)*MOVIMIENTOS!$E$5:$E$417))</f>
        <v/>
      </c>
      <c r="F56" s="56" t="str">
        <f>IF($A56="","",SUMPRODUCT((MOVIMIENTOS!$B$5:$B$417="SALDO INICIAL")*(MOVIMIENTOS!$C$5:$C$417="Chancho")*(MOVIMIENTOS!$D$5:$D$417="sacos")*(MOVIMIENTOS!$A$5:$A$417&lt;&gt;"")*(MOVIMIENTOS!$A$5:$A$417&lt;=$A56)*MOVIMIENTOS!$E$5:$E$417)+SUMPRODUCT((MOVIMIENTOS!$B$5:$B$417="PROCESO")*(MOVIMIENTOS!$C$5:$C$417="Chancho")*(MOVIMIENTOS!$D$5:$D$417="sacos")*(MOVIMIENTOS!$A$5:$A$417&lt;&gt;"")*(MOVIMIENTOS!$A$5:$A$417&lt;=$A56)*MOVIMIENTOS!$E$5:$E$417)-SUMPRODUCT((MOVIMIENTOS!$B$5:$B$417="VENTA CHANCHO")*(MOVIMIENTOS!$C$5:$C$417="Chancho")*(MOVIMIENTOS!$D$5:$D$417="sacos")*(MOVIMIENTOS!$A$5:$A$417&lt;&gt;"")*(MOVIMIENTOS!$A$5:$A$417&lt;=$A56)*MOVIMIENTOS!$E$5:$E$417)-SUMPRODUCT((MOVIMIENTOS!$B$5:$B$417="REGALO")*(MOVIMIENTOS!$C$5:$C$417="Chancho")*(MOVIMIENTOS!$D$5:$D$417="sacos")*(MOVIMIENTOS!$A$5:$A$417&lt;&gt;"")*(MOVIMIENTOS!$A$5:$A$417&lt;=$A56)*MOVIMIENTOS!$E$5:$E$417)-SUMPRODUCT((MOVIMIENTOS!$B$5:$B$417="VENTA")*(MOVIMIENTOS!$C$5:$C$417="Chancho")*(MOVIMIENTOS!$D$5:$D$417="sacos")*(MOVIMIENTOS!$A$5:$A$417&lt;&gt;"")*(MOVIMIENTOS!$A$5:$A$417&lt;=$A56)*MOVIMIENTOS!$E$5:$E$417)+SUMPRODUCT((MOVIMIENTOS!$B$5:$B$417="AJUSTE")*(MOVIMIENTOS!$C$5:$C$417="Chancho")*(MOVIMIENTOS!$D$5:$D$417="sacos")*(MOVIMIENTOS!$A$5:$A$417&lt;&gt;"")*(MOVIMIENTOS!$A$5:$A$417&lt;=$A56)*MOVIMIENTOS!$E$5:$E$417))</f>
        <v/>
      </c>
      <c r="G56" s="56" t="str">
        <f t="shared" si="3"/>
        <v/>
      </c>
      <c r="H56" s="56" t="str">
        <f>IF($A56="","",SUMPRODUCT((((MOVIMIENTOS!$B$5:$B$417="SALDO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56)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56)*MOVIMIENTOS!$I$5:$I$417))</f>
        <v/>
      </c>
      <c r="I56" s="54"/>
      <c r="J56" s="54" t="str">
        <f>IF(AND(MOVIMIENTOS!$A56&lt;&gt;"",COUNTIF(MOVIMIENTOS!$A$5:$A55,MOVIMIENTOS!$A56)=0),COUNT(J$4:J55)+1,"")</f>
        <v/>
      </c>
      <c r="K56" s="57">
        <f>MOVIMIENTOS!$A56</f>
        <v>46219</v>
      </c>
      <c r="L56" s="54"/>
      <c r="M56" s="54"/>
      <c r="N56" s="54"/>
    </row>
    <row r="57" spans="1:14" ht="15" customHeight="1" x14ac:dyDescent="0.2">
      <c r="A57" s="55" t="str">
        <f t="shared" si="2"/>
        <v/>
      </c>
      <c r="B57" s="56" t="str">
        <f>IF($A57="","",SUMPRODUCT((MOVIMIENTOS!$B$5:$B$417="SALDO INICIAL")*(MOVIMIENTOS!$C$5:$C$417="A")*(MOVIMIENTOS!$D$5:$D$417="jabas")*(MOVIMIENTOS!$A$5:$A$417&lt;&gt;"")*(MOVIMIENTOS!$A$5:$A$417&lt;=$A57)*MOVIMIENTOS!$E$5:$E$417)+SUMPRODUCT((MOVIMIENTOS!$B$5:$B$417="PROCESO")*(MOVIMIENTOS!$C$5:$C$417="A")*(MOVIMIENTOS!$D$5:$D$417="jabas")*(MOVIMIENTOS!$A$5:$A$417&lt;&gt;"")*(MOVIMIENTOS!$A$5:$A$417&lt;=$A57)*MOVIMIENTOS!$E$5:$E$417)-SUMPRODUCT((MOVIMIENTOS!$B$5:$B$417="ENVÍO A SUPESA")*(MOVIMIENTOS!$C$5:$C$417="A")*(MOVIMIENTOS!$D$5:$D$417="jabas")*(MOVIMIENTOS!$A$5:$A$417&lt;&gt;"")*(MOVIMIENTOS!$A$5:$A$417&lt;=$A57)*MOVIMIENTOS!$E$5:$E$417)+SUMPRODUCT((MOVIMIENTOS!$B$5:$B$417="DEVOLUCIÓN")*(MOVIMIENTOS!$C$5:$C$417="A")*(MOVIMIENTOS!$D$5:$D$417="jabas")*(MOVIMIENTOS!$A$5:$A$417&lt;&gt;"")*(MOVIMIENTOS!$A$5:$A$417&lt;=$A57)*MOVIMIENTOS!$E$5:$E$417)-SUMPRODUCT((MOVIMIENTOS!$B$5:$B$417="TRASIEGO")*(MOVIMIENTOS!$C$5:$C$417="A")*(MOVIMIENTOS!$D$5:$D$417="jabas")*(MOVIMIENTOS!$A$5:$A$417&lt;&gt;"")*(MOVIMIENTOS!$A$5:$A$417&lt;=$A57)*MOVIMIENTOS!$E$5:$E$417)-SUMPRODUCT((MOVIMIENTOS!$B$5:$B$417="REGALO")*(MOVIMIENTOS!$C$5:$C$417="A")*(MOVIMIENTOS!$D$5:$D$417="jabas")*(MOVIMIENTOS!$A$5:$A$417&lt;&gt;"")*(MOVIMIENTOS!$A$5:$A$417&lt;=$A57)*MOVIMIENTOS!$E$5:$E$417)-SUMPRODUCT((MOVIMIENTOS!$B$5:$B$417="VENTA")*(MOVIMIENTOS!$C$5:$C$417="A")*(MOVIMIENTOS!$D$5:$D$417="jabas")*(MOVIMIENTOS!$A$5:$A$417&lt;&gt;"")*(MOVIMIENTOS!$A$5:$A$417&lt;=$A57)*MOVIMIENTOS!$E$5:$E$417)+SUMPRODUCT((MOVIMIENTOS!$B$5:$B$417="AJUSTE")*(MOVIMIENTOS!$C$5:$C$417="A")*(MOVIMIENTOS!$D$5:$D$417="jabas")*(MOVIMIENTOS!$A$5:$A$417&lt;&gt;"")*(MOVIMIENTOS!$A$5:$A$417&lt;=$A57)*MOVIMIENTOS!$E$5:$E$417))</f>
        <v/>
      </c>
      <c r="C57" s="56" t="str">
        <f>IF($A57="","",SUMPRODUCT((MOVIMIENTOS!$B$5:$B$417="SALDO INICIAL")*(MOVIMIENTOS!$C$5:$C$417="P")*(MOVIMIENTOS!$D$5:$D$417="jabas")*(MOVIMIENTOS!$A$5:$A$417&lt;&gt;"")*(MOVIMIENTOS!$A$5:$A$417&lt;=$A57)*MOVIMIENTOS!$E$5:$E$417)+SUMPRODUCT((MOVIMIENTOS!$B$5:$B$417="PROCESO")*(MOVIMIENTOS!$C$5:$C$417="P")*(MOVIMIENTOS!$D$5:$D$417="jabas")*(MOVIMIENTOS!$A$5:$A$417&lt;&gt;"")*(MOVIMIENTOS!$A$5:$A$417&lt;=$A57)*MOVIMIENTOS!$E$5:$E$417)-SUMPRODUCT((MOVIMIENTOS!$B$5:$B$417="ENVÍO A SUPESA")*(MOVIMIENTOS!$C$5:$C$417="P")*(MOVIMIENTOS!$D$5:$D$417="jabas")*(MOVIMIENTOS!$A$5:$A$417&lt;&gt;"")*(MOVIMIENTOS!$A$5:$A$417&lt;=$A57)*MOVIMIENTOS!$E$5:$E$417)+SUMPRODUCT((MOVIMIENTOS!$B$5:$B$417="DEVOLUCIÓN")*(MOVIMIENTOS!$C$5:$C$417="P")*(MOVIMIENTOS!$D$5:$D$417="jabas")*(MOVIMIENTOS!$A$5:$A$417&lt;&gt;"")*(MOVIMIENTOS!$A$5:$A$417&lt;=$A57)*MOVIMIENTOS!$E$5:$E$417)-SUMPRODUCT((MOVIMIENTOS!$B$5:$B$417="TRASIEGO")*(MOVIMIENTOS!$C$5:$C$417="P")*(MOVIMIENTOS!$D$5:$D$417="jabas")*(MOVIMIENTOS!$A$5:$A$417&lt;&gt;"")*(MOVIMIENTOS!$A$5:$A$417&lt;=$A57)*MOVIMIENTOS!$E$5:$E$417)-SUMPRODUCT((MOVIMIENTOS!$B$5:$B$417="REGALO")*(MOVIMIENTOS!$C$5:$C$417="P")*(MOVIMIENTOS!$D$5:$D$417="jabas")*(MOVIMIENTOS!$A$5:$A$417&lt;&gt;"")*(MOVIMIENTOS!$A$5:$A$417&lt;=$A57)*MOVIMIENTOS!$E$5:$E$417)-SUMPRODUCT((MOVIMIENTOS!$B$5:$B$417="VENTA")*(MOVIMIENTOS!$C$5:$C$417="P")*(MOVIMIENTOS!$D$5:$D$417="jabas")*(MOVIMIENTOS!$A$5:$A$417&lt;&gt;"")*(MOVIMIENTOS!$A$5:$A$417&lt;=$A57)*MOVIMIENTOS!$E$5:$E$417)+SUMPRODUCT((MOVIMIENTOS!$B$5:$B$417="AJUSTE")*(MOVIMIENTOS!$C$5:$C$417="P")*(MOVIMIENTOS!$D$5:$D$417="jabas")*(MOVIMIENTOS!$A$5:$A$417&lt;&gt;"")*(MOVIMIENTOS!$A$5:$A$417&lt;=$A57)*MOVIMIENTOS!$E$5:$E$417))</f>
        <v/>
      </c>
      <c r="D57" s="56" t="str">
        <f>IF($A57="","",SUMPRODUCT((MOVIMIENTOS!$B$5:$B$417="SALDO INICIAL")*(MOVIMIENTOS!$C$5:$C$417="C")*(MOVIMIENTOS!$D$5:$D$417="jabas")*(MOVIMIENTOS!$A$5:$A$417&lt;&gt;"")*(MOVIMIENTOS!$A$5:$A$417&lt;=$A57)*MOVIMIENTOS!$E$5:$E$417)+SUMPRODUCT((MOVIMIENTOS!$B$5:$B$417="PROCESO")*(MOVIMIENTOS!$C$5:$C$417="C")*(MOVIMIENTOS!$D$5:$D$417="jabas")*(MOVIMIENTOS!$A$5:$A$417&lt;&gt;"")*(MOVIMIENTOS!$A$5:$A$417&lt;=$A57)*MOVIMIENTOS!$E$5:$E$417)-SUMPRODUCT((MOVIMIENTOS!$B$5:$B$417="ENVÍO A SUPESA")*(MOVIMIENTOS!$C$5:$C$417="C")*(MOVIMIENTOS!$D$5:$D$417="jabas")*(MOVIMIENTOS!$A$5:$A$417&lt;&gt;"")*(MOVIMIENTOS!$A$5:$A$417&lt;=$A57)*MOVIMIENTOS!$E$5:$E$417)+SUMPRODUCT((MOVIMIENTOS!$B$5:$B$417="DEVOLUCIÓN")*(MOVIMIENTOS!$C$5:$C$417="C")*(MOVIMIENTOS!$D$5:$D$417="jabas")*(MOVIMIENTOS!$A$5:$A$417&lt;&gt;"")*(MOVIMIENTOS!$A$5:$A$417&lt;=$A57)*MOVIMIENTOS!$E$5:$E$417)-SUMPRODUCT((MOVIMIENTOS!$B$5:$B$417="TRASIEGO")*(MOVIMIENTOS!$C$5:$C$417="C")*(MOVIMIENTOS!$D$5:$D$417="jabas")*(MOVIMIENTOS!$A$5:$A$417&lt;&gt;"")*(MOVIMIENTOS!$A$5:$A$417&lt;=$A57)*MOVIMIENTOS!$E$5:$E$417)-SUMPRODUCT((MOVIMIENTOS!$B$5:$B$417="REGALO")*(MOVIMIENTOS!$C$5:$C$417="C")*(MOVIMIENTOS!$D$5:$D$417="jabas")*(MOVIMIENTOS!$A$5:$A$417&lt;&gt;"")*(MOVIMIENTOS!$A$5:$A$417&lt;=$A57)*MOVIMIENTOS!$E$5:$E$417)-SUMPRODUCT((MOVIMIENTOS!$B$5:$B$417="VENTA")*(MOVIMIENTOS!$C$5:$C$417="C")*(MOVIMIENTOS!$D$5:$D$417="jabas")*(MOVIMIENTOS!$A$5:$A$417&lt;&gt;"")*(MOVIMIENTOS!$A$5:$A$417&lt;=$A57)*MOVIMIENTOS!$E$5:$E$417)+SUMPRODUCT((MOVIMIENTOS!$B$5:$B$417="AJUSTE")*(MOVIMIENTOS!$C$5:$C$417="C")*(MOVIMIENTOS!$D$5:$D$417="jabas")*(MOVIMIENTOS!$A$5:$A$417&lt;&gt;"")*(MOVIMIENTOS!$A$5:$A$417&lt;=$A57)*MOVIMIENTOS!$E$5:$E$417))</f>
        <v/>
      </c>
      <c r="E57" s="56" t="str">
        <f>IF($A57="","",SUMPRODUCT((MOVIMIENTOS!$B$5:$B$417="SALDO INICIAL")*(MOVIMIENTOS!$C$5:$C$417="M")*(MOVIMIENTOS!$D$5:$D$417="jabas")*(MOVIMIENTOS!$A$5:$A$417&lt;&gt;"")*(MOVIMIENTOS!$A$5:$A$417&lt;=$A57)*MOVIMIENTOS!$E$5:$E$417)+SUMPRODUCT((MOVIMIENTOS!$B$5:$B$417="PROCESO")*(MOVIMIENTOS!$C$5:$C$417="M")*(MOVIMIENTOS!$D$5:$D$417="jabas")*(MOVIMIENTOS!$A$5:$A$417&lt;&gt;"")*(MOVIMIENTOS!$A$5:$A$417&lt;=$A57)*MOVIMIENTOS!$E$5:$E$417)-SUMPRODUCT((MOVIMIENTOS!$B$5:$B$417="ENVÍO A SUPESA")*(MOVIMIENTOS!$C$5:$C$417="M")*(MOVIMIENTOS!$D$5:$D$417="jabas")*(MOVIMIENTOS!$A$5:$A$417&lt;&gt;"")*(MOVIMIENTOS!$A$5:$A$417&lt;=$A57)*MOVIMIENTOS!$E$5:$E$417)+SUMPRODUCT((MOVIMIENTOS!$B$5:$B$417="DEVOLUCIÓN")*(MOVIMIENTOS!$C$5:$C$417="M")*(MOVIMIENTOS!$D$5:$D$417="jabas")*(MOVIMIENTOS!$A$5:$A$417&lt;&gt;"")*(MOVIMIENTOS!$A$5:$A$417&lt;=$A57)*MOVIMIENTOS!$E$5:$E$417)-SUMPRODUCT((MOVIMIENTOS!$B$5:$B$417="TRASIEGO")*(MOVIMIENTOS!$C$5:$C$417="M")*(MOVIMIENTOS!$D$5:$D$417="jabas")*(MOVIMIENTOS!$A$5:$A$417&lt;&gt;"")*(MOVIMIENTOS!$A$5:$A$417&lt;=$A57)*MOVIMIENTOS!$E$5:$E$417)-SUMPRODUCT((MOVIMIENTOS!$B$5:$B$417="REGALO")*(MOVIMIENTOS!$C$5:$C$417="M")*(MOVIMIENTOS!$D$5:$D$417="jabas")*(MOVIMIENTOS!$A$5:$A$417&lt;&gt;"")*(MOVIMIENTOS!$A$5:$A$417&lt;=$A57)*MOVIMIENTOS!$E$5:$E$417)-SUMPRODUCT((MOVIMIENTOS!$B$5:$B$417="VENTA")*(MOVIMIENTOS!$C$5:$C$417="M")*(MOVIMIENTOS!$D$5:$D$417="jabas")*(MOVIMIENTOS!$A$5:$A$417&lt;&gt;"")*(MOVIMIENTOS!$A$5:$A$417&lt;=$A57)*MOVIMIENTOS!$E$5:$E$417)+SUMPRODUCT((MOVIMIENTOS!$B$5:$B$417="AJUSTE")*(MOVIMIENTOS!$C$5:$C$417="M")*(MOVIMIENTOS!$D$5:$D$417="jabas")*(MOVIMIENTOS!$A$5:$A$417&lt;&gt;"")*(MOVIMIENTOS!$A$5:$A$417&lt;=$A57)*MOVIMIENTOS!$E$5:$E$417))</f>
        <v/>
      </c>
      <c r="F57" s="56" t="str">
        <f>IF($A57="","",SUMPRODUCT((MOVIMIENTOS!$B$5:$B$417="SALDO INICIAL")*(MOVIMIENTOS!$C$5:$C$417="Chancho")*(MOVIMIENTOS!$D$5:$D$417="sacos")*(MOVIMIENTOS!$A$5:$A$417&lt;&gt;"")*(MOVIMIENTOS!$A$5:$A$417&lt;=$A57)*MOVIMIENTOS!$E$5:$E$417)+SUMPRODUCT((MOVIMIENTOS!$B$5:$B$417="PROCESO")*(MOVIMIENTOS!$C$5:$C$417="Chancho")*(MOVIMIENTOS!$D$5:$D$417="sacos")*(MOVIMIENTOS!$A$5:$A$417&lt;&gt;"")*(MOVIMIENTOS!$A$5:$A$417&lt;=$A57)*MOVIMIENTOS!$E$5:$E$417)-SUMPRODUCT((MOVIMIENTOS!$B$5:$B$417="VENTA CHANCHO")*(MOVIMIENTOS!$C$5:$C$417="Chancho")*(MOVIMIENTOS!$D$5:$D$417="sacos")*(MOVIMIENTOS!$A$5:$A$417&lt;&gt;"")*(MOVIMIENTOS!$A$5:$A$417&lt;=$A57)*MOVIMIENTOS!$E$5:$E$417)-SUMPRODUCT((MOVIMIENTOS!$B$5:$B$417="REGALO")*(MOVIMIENTOS!$C$5:$C$417="Chancho")*(MOVIMIENTOS!$D$5:$D$417="sacos")*(MOVIMIENTOS!$A$5:$A$417&lt;&gt;"")*(MOVIMIENTOS!$A$5:$A$417&lt;=$A57)*MOVIMIENTOS!$E$5:$E$417)-SUMPRODUCT((MOVIMIENTOS!$B$5:$B$417="VENTA")*(MOVIMIENTOS!$C$5:$C$417="Chancho")*(MOVIMIENTOS!$D$5:$D$417="sacos")*(MOVIMIENTOS!$A$5:$A$417&lt;&gt;"")*(MOVIMIENTOS!$A$5:$A$417&lt;=$A57)*MOVIMIENTOS!$E$5:$E$417)+SUMPRODUCT((MOVIMIENTOS!$B$5:$B$417="AJUSTE")*(MOVIMIENTOS!$C$5:$C$417="Chancho")*(MOVIMIENTOS!$D$5:$D$417="sacos")*(MOVIMIENTOS!$A$5:$A$417&lt;&gt;"")*(MOVIMIENTOS!$A$5:$A$417&lt;=$A57)*MOVIMIENTOS!$E$5:$E$417))</f>
        <v/>
      </c>
      <c r="G57" s="56" t="str">
        <f t="shared" si="3"/>
        <v/>
      </c>
      <c r="H57" s="56" t="str">
        <f>IF($A57="","",SUMPRODUCT((((MOVIMIENTOS!$B$5:$B$417="SALDO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57)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57)*MOVIMIENTOS!$I$5:$I$417))</f>
        <v/>
      </c>
      <c r="I57" s="54"/>
      <c r="J57" s="54" t="str">
        <f>IF(AND(MOVIMIENTOS!$A57&lt;&gt;"",COUNTIF(MOVIMIENTOS!$A$5:$A56,MOVIMIENTOS!$A57)=0),COUNT(J$4:J56)+1,"")</f>
        <v/>
      </c>
      <c r="K57" s="57">
        <f>MOVIMIENTOS!$A57</f>
        <v>46219</v>
      </c>
      <c r="L57" s="54"/>
      <c r="M57" s="54"/>
      <c r="N57" s="54"/>
    </row>
    <row r="58" spans="1:14" ht="15" customHeight="1" x14ac:dyDescent="0.2">
      <c r="A58" s="55" t="str">
        <f t="shared" si="2"/>
        <v/>
      </c>
      <c r="B58" s="56" t="str">
        <f>IF($A58="","",SUMPRODUCT((MOVIMIENTOS!$B$5:$B$417="SALDO INICIAL")*(MOVIMIENTOS!$C$5:$C$417="A")*(MOVIMIENTOS!$D$5:$D$417="jabas")*(MOVIMIENTOS!$A$5:$A$417&lt;&gt;"")*(MOVIMIENTOS!$A$5:$A$417&lt;=$A58)*MOVIMIENTOS!$E$5:$E$417)+SUMPRODUCT((MOVIMIENTOS!$B$5:$B$417="PROCESO")*(MOVIMIENTOS!$C$5:$C$417="A")*(MOVIMIENTOS!$D$5:$D$417="jabas")*(MOVIMIENTOS!$A$5:$A$417&lt;&gt;"")*(MOVIMIENTOS!$A$5:$A$417&lt;=$A58)*MOVIMIENTOS!$E$5:$E$417)-SUMPRODUCT((MOVIMIENTOS!$B$5:$B$417="ENVÍO A SUPESA")*(MOVIMIENTOS!$C$5:$C$417="A")*(MOVIMIENTOS!$D$5:$D$417="jabas")*(MOVIMIENTOS!$A$5:$A$417&lt;&gt;"")*(MOVIMIENTOS!$A$5:$A$417&lt;=$A58)*MOVIMIENTOS!$E$5:$E$417)+SUMPRODUCT((MOVIMIENTOS!$B$5:$B$417="DEVOLUCIÓN")*(MOVIMIENTOS!$C$5:$C$417="A")*(MOVIMIENTOS!$D$5:$D$417="jabas")*(MOVIMIENTOS!$A$5:$A$417&lt;&gt;"")*(MOVIMIENTOS!$A$5:$A$417&lt;=$A58)*MOVIMIENTOS!$E$5:$E$417)-SUMPRODUCT((MOVIMIENTOS!$B$5:$B$417="TRASIEGO")*(MOVIMIENTOS!$C$5:$C$417="A")*(MOVIMIENTOS!$D$5:$D$417="jabas")*(MOVIMIENTOS!$A$5:$A$417&lt;&gt;"")*(MOVIMIENTOS!$A$5:$A$417&lt;=$A58)*MOVIMIENTOS!$E$5:$E$417)-SUMPRODUCT((MOVIMIENTOS!$B$5:$B$417="REGALO")*(MOVIMIENTOS!$C$5:$C$417="A")*(MOVIMIENTOS!$D$5:$D$417="jabas")*(MOVIMIENTOS!$A$5:$A$417&lt;&gt;"")*(MOVIMIENTOS!$A$5:$A$417&lt;=$A58)*MOVIMIENTOS!$E$5:$E$417)-SUMPRODUCT((MOVIMIENTOS!$B$5:$B$417="VENTA")*(MOVIMIENTOS!$C$5:$C$417="A")*(MOVIMIENTOS!$D$5:$D$417="jabas")*(MOVIMIENTOS!$A$5:$A$417&lt;&gt;"")*(MOVIMIENTOS!$A$5:$A$417&lt;=$A58)*MOVIMIENTOS!$E$5:$E$417)+SUMPRODUCT((MOVIMIENTOS!$B$5:$B$417="AJUSTE")*(MOVIMIENTOS!$C$5:$C$417="A")*(MOVIMIENTOS!$D$5:$D$417="jabas")*(MOVIMIENTOS!$A$5:$A$417&lt;&gt;"")*(MOVIMIENTOS!$A$5:$A$417&lt;=$A58)*MOVIMIENTOS!$E$5:$E$417))</f>
        <v/>
      </c>
      <c r="C58" s="56" t="str">
        <f>IF($A58="","",SUMPRODUCT((MOVIMIENTOS!$B$5:$B$417="SALDO INICIAL")*(MOVIMIENTOS!$C$5:$C$417="P")*(MOVIMIENTOS!$D$5:$D$417="jabas")*(MOVIMIENTOS!$A$5:$A$417&lt;&gt;"")*(MOVIMIENTOS!$A$5:$A$417&lt;=$A58)*MOVIMIENTOS!$E$5:$E$417)+SUMPRODUCT((MOVIMIENTOS!$B$5:$B$417="PROCESO")*(MOVIMIENTOS!$C$5:$C$417="P")*(MOVIMIENTOS!$D$5:$D$417="jabas")*(MOVIMIENTOS!$A$5:$A$417&lt;&gt;"")*(MOVIMIENTOS!$A$5:$A$417&lt;=$A58)*MOVIMIENTOS!$E$5:$E$417)-SUMPRODUCT((MOVIMIENTOS!$B$5:$B$417="ENVÍO A SUPESA")*(MOVIMIENTOS!$C$5:$C$417="P")*(MOVIMIENTOS!$D$5:$D$417="jabas")*(MOVIMIENTOS!$A$5:$A$417&lt;&gt;"")*(MOVIMIENTOS!$A$5:$A$417&lt;=$A58)*MOVIMIENTOS!$E$5:$E$417)+SUMPRODUCT((MOVIMIENTOS!$B$5:$B$417="DEVOLUCIÓN")*(MOVIMIENTOS!$C$5:$C$417="P")*(MOVIMIENTOS!$D$5:$D$417="jabas")*(MOVIMIENTOS!$A$5:$A$417&lt;&gt;"")*(MOVIMIENTOS!$A$5:$A$417&lt;=$A58)*MOVIMIENTOS!$E$5:$E$417)-SUMPRODUCT((MOVIMIENTOS!$B$5:$B$417="TRASIEGO")*(MOVIMIENTOS!$C$5:$C$417="P")*(MOVIMIENTOS!$D$5:$D$417="jabas")*(MOVIMIENTOS!$A$5:$A$417&lt;&gt;"")*(MOVIMIENTOS!$A$5:$A$417&lt;=$A58)*MOVIMIENTOS!$E$5:$E$417)-SUMPRODUCT((MOVIMIENTOS!$B$5:$B$417="REGALO")*(MOVIMIENTOS!$C$5:$C$417="P")*(MOVIMIENTOS!$D$5:$D$417="jabas")*(MOVIMIENTOS!$A$5:$A$417&lt;&gt;"")*(MOVIMIENTOS!$A$5:$A$417&lt;=$A58)*MOVIMIENTOS!$E$5:$E$417)-SUMPRODUCT((MOVIMIENTOS!$B$5:$B$417="VENTA")*(MOVIMIENTOS!$C$5:$C$417="P")*(MOVIMIENTOS!$D$5:$D$417="jabas")*(MOVIMIENTOS!$A$5:$A$417&lt;&gt;"")*(MOVIMIENTOS!$A$5:$A$417&lt;=$A58)*MOVIMIENTOS!$E$5:$E$417)+SUMPRODUCT((MOVIMIENTOS!$B$5:$B$417="AJUSTE")*(MOVIMIENTOS!$C$5:$C$417="P")*(MOVIMIENTOS!$D$5:$D$417="jabas")*(MOVIMIENTOS!$A$5:$A$417&lt;&gt;"")*(MOVIMIENTOS!$A$5:$A$417&lt;=$A58)*MOVIMIENTOS!$E$5:$E$417))</f>
        <v/>
      </c>
      <c r="D58" s="56" t="str">
        <f>IF($A58="","",SUMPRODUCT((MOVIMIENTOS!$B$5:$B$417="SALDO INICIAL")*(MOVIMIENTOS!$C$5:$C$417="C")*(MOVIMIENTOS!$D$5:$D$417="jabas")*(MOVIMIENTOS!$A$5:$A$417&lt;&gt;"")*(MOVIMIENTOS!$A$5:$A$417&lt;=$A58)*MOVIMIENTOS!$E$5:$E$417)+SUMPRODUCT((MOVIMIENTOS!$B$5:$B$417="PROCESO")*(MOVIMIENTOS!$C$5:$C$417="C")*(MOVIMIENTOS!$D$5:$D$417="jabas")*(MOVIMIENTOS!$A$5:$A$417&lt;&gt;"")*(MOVIMIENTOS!$A$5:$A$417&lt;=$A58)*MOVIMIENTOS!$E$5:$E$417)-SUMPRODUCT((MOVIMIENTOS!$B$5:$B$417="ENVÍO A SUPESA")*(MOVIMIENTOS!$C$5:$C$417="C")*(MOVIMIENTOS!$D$5:$D$417="jabas")*(MOVIMIENTOS!$A$5:$A$417&lt;&gt;"")*(MOVIMIENTOS!$A$5:$A$417&lt;=$A58)*MOVIMIENTOS!$E$5:$E$417)+SUMPRODUCT((MOVIMIENTOS!$B$5:$B$417="DEVOLUCIÓN")*(MOVIMIENTOS!$C$5:$C$417="C")*(MOVIMIENTOS!$D$5:$D$417="jabas")*(MOVIMIENTOS!$A$5:$A$417&lt;&gt;"")*(MOVIMIENTOS!$A$5:$A$417&lt;=$A58)*MOVIMIENTOS!$E$5:$E$417)-SUMPRODUCT((MOVIMIENTOS!$B$5:$B$417="TRASIEGO")*(MOVIMIENTOS!$C$5:$C$417="C")*(MOVIMIENTOS!$D$5:$D$417="jabas")*(MOVIMIENTOS!$A$5:$A$417&lt;&gt;"")*(MOVIMIENTOS!$A$5:$A$417&lt;=$A58)*MOVIMIENTOS!$E$5:$E$417)-SUMPRODUCT((MOVIMIENTOS!$B$5:$B$417="REGALO")*(MOVIMIENTOS!$C$5:$C$417="C")*(MOVIMIENTOS!$D$5:$D$417="jabas")*(MOVIMIENTOS!$A$5:$A$417&lt;&gt;"")*(MOVIMIENTOS!$A$5:$A$417&lt;=$A58)*MOVIMIENTOS!$E$5:$E$417)-SUMPRODUCT((MOVIMIENTOS!$B$5:$B$417="VENTA")*(MOVIMIENTOS!$C$5:$C$417="C")*(MOVIMIENTOS!$D$5:$D$417="jabas")*(MOVIMIENTOS!$A$5:$A$417&lt;&gt;"")*(MOVIMIENTOS!$A$5:$A$417&lt;=$A58)*MOVIMIENTOS!$E$5:$E$417)+SUMPRODUCT((MOVIMIENTOS!$B$5:$B$417="AJUSTE")*(MOVIMIENTOS!$C$5:$C$417="C")*(MOVIMIENTOS!$D$5:$D$417="jabas")*(MOVIMIENTOS!$A$5:$A$417&lt;&gt;"")*(MOVIMIENTOS!$A$5:$A$417&lt;=$A58)*MOVIMIENTOS!$E$5:$E$417))</f>
        <v/>
      </c>
      <c r="E58" s="56" t="str">
        <f>IF($A58="","",SUMPRODUCT((MOVIMIENTOS!$B$5:$B$417="SALDO INICIAL")*(MOVIMIENTOS!$C$5:$C$417="M")*(MOVIMIENTOS!$D$5:$D$417="jabas")*(MOVIMIENTOS!$A$5:$A$417&lt;&gt;"")*(MOVIMIENTOS!$A$5:$A$417&lt;=$A58)*MOVIMIENTOS!$E$5:$E$417)+SUMPRODUCT((MOVIMIENTOS!$B$5:$B$417="PROCESO")*(MOVIMIENTOS!$C$5:$C$417="M")*(MOVIMIENTOS!$D$5:$D$417="jabas")*(MOVIMIENTOS!$A$5:$A$417&lt;&gt;"")*(MOVIMIENTOS!$A$5:$A$417&lt;=$A58)*MOVIMIENTOS!$E$5:$E$417)-SUMPRODUCT((MOVIMIENTOS!$B$5:$B$417="ENVÍO A SUPESA")*(MOVIMIENTOS!$C$5:$C$417="M")*(MOVIMIENTOS!$D$5:$D$417="jabas")*(MOVIMIENTOS!$A$5:$A$417&lt;&gt;"")*(MOVIMIENTOS!$A$5:$A$417&lt;=$A58)*MOVIMIENTOS!$E$5:$E$417)+SUMPRODUCT((MOVIMIENTOS!$B$5:$B$417="DEVOLUCIÓN")*(MOVIMIENTOS!$C$5:$C$417="M")*(MOVIMIENTOS!$D$5:$D$417="jabas")*(MOVIMIENTOS!$A$5:$A$417&lt;&gt;"")*(MOVIMIENTOS!$A$5:$A$417&lt;=$A58)*MOVIMIENTOS!$E$5:$E$417)-SUMPRODUCT((MOVIMIENTOS!$B$5:$B$417="TRASIEGO")*(MOVIMIENTOS!$C$5:$C$417="M")*(MOVIMIENTOS!$D$5:$D$417="jabas")*(MOVIMIENTOS!$A$5:$A$417&lt;&gt;"")*(MOVIMIENTOS!$A$5:$A$417&lt;=$A58)*MOVIMIENTOS!$E$5:$E$417)-SUMPRODUCT((MOVIMIENTOS!$B$5:$B$417="REGALO")*(MOVIMIENTOS!$C$5:$C$417="M")*(MOVIMIENTOS!$D$5:$D$417="jabas")*(MOVIMIENTOS!$A$5:$A$417&lt;&gt;"")*(MOVIMIENTOS!$A$5:$A$417&lt;=$A58)*MOVIMIENTOS!$E$5:$E$417)-SUMPRODUCT((MOVIMIENTOS!$B$5:$B$417="VENTA")*(MOVIMIENTOS!$C$5:$C$417="M")*(MOVIMIENTOS!$D$5:$D$417="jabas")*(MOVIMIENTOS!$A$5:$A$417&lt;&gt;"")*(MOVIMIENTOS!$A$5:$A$417&lt;=$A58)*MOVIMIENTOS!$E$5:$E$417)+SUMPRODUCT((MOVIMIENTOS!$B$5:$B$417="AJUSTE")*(MOVIMIENTOS!$C$5:$C$417="M")*(MOVIMIENTOS!$D$5:$D$417="jabas")*(MOVIMIENTOS!$A$5:$A$417&lt;&gt;"")*(MOVIMIENTOS!$A$5:$A$417&lt;=$A58)*MOVIMIENTOS!$E$5:$E$417))</f>
        <v/>
      </c>
      <c r="F58" s="56" t="str">
        <f>IF($A58="","",SUMPRODUCT((MOVIMIENTOS!$B$5:$B$417="SALDO INICIAL")*(MOVIMIENTOS!$C$5:$C$417="Chancho")*(MOVIMIENTOS!$D$5:$D$417="sacos")*(MOVIMIENTOS!$A$5:$A$417&lt;&gt;"")*(MOVIMIENTOS!$A$5:$A$417&lt;=$A58)*MOVIMIENTOS!$E$5:$E$417)+SUMPRODUCT((MOVIMIENTOS!$B$5:$B$417="PROCESO")*(MOVIMIENTOS!$C$5:$C$417="Chancho")*(MOVIMIENTOS!$D$5:$D$417="sacos")*(MOVIMIENTOS!$A$5:$A$417&lt;&gt;"")*(MOVIMIENTOS!$A$5:$A$417&lt;=$A58)*MOVIMIENTOS!$E$5:$E$417)-SUMPRODUCT((MOVIMIENTOS!$B$5:$B$417="VENTA CHANCHO")*(MOVIMIENTOS!$C$5:$C$417="Chancho")*(MOVIMIENTOS!$D$5:$D$417="sacos")*(MOVIMIENTOS!$A$5:$A$417&lt;&gt;"")*(MOVIMIENTOS!$A$5:$A$417&lt;=$A58)*MOVIMIENTOS!$E$5:$E$417)-SUMPRODUCT((MOVIMIENTOS!$B$5:$B$417="REGALO")*(MOVIMIENTOS!$C$5:$C$417="Chancho")*(MOVIMIENTOS!$D$5:$D$417="sacos")*(MOVIMIENTOS!$A$5:$A$417&lt;&gt;"")*(MOVIMIENTOS!$A$5:$A$417&lt;=$A58)*MOVIMIENTOS!$E$5:$E$417)-SUMPRODUCT((MOVIMIENTOS!$B$5:$B$417="VENTA")*(MOVIMIENTOS!$C$5:$C$417="Chancho")*(MOVIMIENTOS!$D$5:$D$417="sacos")*(MOVIMIENTOS!$A$5:$A$417&lt;&gt;"")*(MOVIMIENTOS!$A$5:$A$417&lt;=$A58)*MOVIMIENTOS!$E$5:$E$417)+SUMPRODUCT((MOVIMIENTOS!$B$5:$B$417="AJUSTE")*(MOVIMIENTOS!$C$5:$C$417="Chancho")*(MOVIMIENTOS!$D$5:$D$417="sacos")*(MOVIMIENTOS!$A$5:$A$417&lt;&gt;"")*(MOVIMIENTOS!$A$5:$A$417&lt;=$A58)*MOVIMIENTOS!$E$5:$E$417))</f>
        <v/>
      </c>
      <c r="G58" s="56" t="str">
        <f t="shared" si="3"/>
        <v/>
      </c>
      <c r="H58" s="56" t="str">
        <f>IF($A58="","",SUMPRODUCT((((MOVIMIENTOS!$B$5:$B$417="SALDO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58)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58)*MOVIMIENTOS!$I$5:$I$417))</f>
        <v/>
      </c>
      <c r="I58" s="54"/>
      <c r="J58" s="54" t="str">
        <f>IF(AND(MOVIMIENTOS!$A58&lt;&gt;"",COUNTIF(MOVIMIENTOS!$A$5:$A57,MOVIMIENTOS!$A58)=0),COUNT(J$4:J57)+1,"")</f>
        <v/>
      </c>
      <c r="K58" s="57">
        <f>MOVIMIENTOS!$A58</f>
        <v>46219</v>
      </c>
      <c r="L58" s="54"/>
      <c r="M58" s="54"/>
      <c r="N58" s="54"/>
    </row>
    <row r="59" spans="1:14" ht="15" customHeight="1" x14ac:dyDescent="0.2">
      <c r="A59" s="55" t="str">
        <f t="shared" si="2"/>
        <v/>
      </c>
      <c r="B59" s="56" t="str">
        <f>IF($A59="","",SUMPRODUCT((MOVIMIENTOS!$B$5:$B$417="SALDO INICIAL")*(MOVIMIENTOS!$C$5:$C$417="A")*(MOVIMIENTOS!$D$5:$D$417="jabas")*(MOVIMIENTOS!$A$5:$A$417&lt;&gt;"")*(MOVIMIENTOS!$A$5:$A$417&lt;=$A59)*MOVIMIENTOS!$E$5:$E$417)+SUMPRODUCT((MOVIMIENTOS!$B$5:$B$417="PROCESO")*(MOVIMIENTOS!$C$5:$C$417="A")*(MOVIMIENTOS!$D$5:$D$417="jabas")*(MOVIMIENTOS!$A$5:$A$417&lt;&gt;"")*(MOVIMIENTOS!$A$5:$A$417&lt;=$A59)*MOVIMIENTOS!$E$5:$E$417)-SUMPRODUCT((MOVIMIENTOS!$B$5:$B$417="ENVÍO A SUPESA")*(MOVIMIENTOS!$C$5:$C$417="A")*(MOVIMIENTOS!$D$5:$D$417="jabas")*(MOVIMIENTOS!$A$5:$A$417&lt;&gt;"")*(MOVIMIENTOS!$A$5:$A$417&lt;=$A59)*MOVIMIENTOS!$E$5:$E$417)+SUMPRODUCT((MOVIMIENTOS!$B$5:$B$417="DEVOLUCIÓN")*(MOVIMIENTOS!$C$5:$C$417="A")*(MOVIMIENTOS!$D$5:$D$417="jabas")*(MOVIMIENTOS!$A$5:$A$417&lt;&gt;"")*(MOVIMIENTOS!$A$5:$A$417&lt;=$A59)*MOVIMIENTOS!$E$5:$E$417)-SUMPRODUCT((MOVIMIENTOS!$B$5:$B$417="TRASIEGO")*(MOVIMIENTOS!$C$5:$C$417="A")*(MOVIMIENTOS!$D$5:$D$417="jabas")*(MOVIMIENTOS!$A$5:$A$417&lt;&gt;"")*(MOVIMIENTOS!$A$5:$A$417&lt;=$A59)*MOVIMIENTOS!$E$5:$E$417)-SUMPRODUCT((MOVIMIENTOS!$B$5:$B$417="REGALO")*(MOVIMIENTOS!$C$5:$C$417="A")*(MOVIMIENTOS!$D$5:$D$417="jabas")*(MOVIMIENTOS!$A$5:$A$417&lt;&gt;"")*(MOVIMIENTOS!$A$5:$A$417&lt;=$A59)*MOVIMIENTOS!$E$5:$E$417)-SUMPRODUCT((MOVIMIENTOS!$B$5:$B$417="VENTA")*(MOVIMIENTOS!$C$5:$C$417="A")*(MOVIMIENTOS!$D$5:$D$417="jabas")*(MOVIMIENTOS!$A$5:$A$417&lt;&gt;"")*(MOVIMIENTOS!$A$5:$A$417&lt;=$A59)*MOVIMIENTOS!$E$5:$E$417)+SUMPRODUCT((MOVIMIENTOS!$B$5:$B$417="AJUSTE")*(MOVIMIENTOS!$C$5:$C$417="A")*(MOVIMIENTOS!$D$5:$D$417="jabas")*(MOVIMIENTOS!$A$5:$A$417&lt;&gt;"")*(MOVIMIENTOS!$A$5:$A$417&lt;=$A59)*MOVIMIENTOS!$E$5:$E$417))</f>
        <v/>
      </c>
      <c r="C59" s="56" t="str">
        <f>IF($A59="","",SUMPRODUCT((MOVIMIENTOS!$B$5:$B$417="SALDO INICIAL")*(MOVIMIENTOS!$C$5:$C$417="P")*(MOVIMIENTOS!$D$5:$D$417="jabas")*(MOVIMIENTOS!$A$5:$A$417&lt;&gt;"")*(MOVIMIENTOS!$A$5:$A$417&lt;=$A59)*MOVIMIENTOS!$E$5:$E$417)+SUMPRODUCT((MOVIMIENTOS!$B$5:$B$417="PROCESO")*(MOVIMIENTOS!$C$5:$C$417="P")*(MOVIMIENTOS!$D$5:$D$417="jabas")*(MOVIMIENTOS!$A$5:$A$417&lt;&gt;"")*(MOVIMIENTOS!$A$5:$A$417&lt;=$A59)*MOVIMIENTOS!$E$5:$E$417)-SUMPRODUCT((MOVIMIENTOS!$B$5:$B$417="ENVÍO A SUPESA")*(MOVIMIENTOS!$C$5:$C$417="P")*(MOVIMIENTOS!$D$5:$D$417="jabas")*(MOVIMIENTOS!$A$5:$A$417&lt;&gt;"")*(MOVIMIENTOS!$A$5:$A$417&lt;=$A59)*MOVIMIENTOS!$E$5:$E$417)+SUMPRODUCT((MOVIMIENTOS!$B$5:$B$417="DEVOLUCIÓN")*(MOVIMIENTOS!$C$5:$C$417="P")*(MOVIMIENTOS!$D$5:$D$417="jabas")*(MOVIMIENTOS!$A$5:$A$417&lt;&gt;"")*(MOVIMIENTOS!$A$5:$A$417&lt;=$A59)*MOVIMIENTOS!$E$5:$E$417)-SUMPRODUCT((MOVIMIENTOS!$B$5:$B$417="TRASIEGO")*(MOVIMIENTOS!$C$5:$C$417="P")*(MOVIMIENTOS!$D$5:$D$417="jabas")*(MOVIMIENTOS!$A$5:$A$417&lt;&gt;"")*(MOVIMIENTOS!$A$5:$A$417&lt;=$A59)*MOVIMIENTOS!$E$5:$E$417)-SUMPRODUCT((MOVIMIENTOS!$B$5:$B$417="REGALO")*(MOVIMIENTOS!$C$5:$C$417="P")*(MOVIMIENTOS!$D$5:$D$417="jabas")*(MOVIMIENTOS!$A$5:$A$417&lt;&gt;"")*(MOVIMIENTOS!$A$5:$A$417&lt;=$A59)*MOVIMIENTOS!$E$5:$E$417)-SUMPRODUCT((MOVIMIENTOS!$B$5:$B$417="VENTA")*(MOVIMIENTOS!$C$5:$C$417="P")*(MOVIMIENTOS!$D$5:$D$417="jabas")*(MOVIMIENTOS!$A$5:$A$417&lt;&gt;"")*(MOVIMIENTOS!$A$5:$A$417&lt;=$A59)*MOVIMIENTOS!$E$5:$E$417)+SUMPRODUCT((MOVIMIENTOS!$B$5:$B$417="AJUSTE")*(MOVIMIENTOS!$C$5:$C$417="P")*(MOVIMIENTOS!$D$5:$D$417="jabas")*(MOVIMIENTOS!$A$5:$A$417&lt;&gt;"")*(MOVIMIENTOS!$A$5:$A$417&lt;=$A59)*MOVIMIENTOS!$E$5:$E$417))</f>
        <v/>
      </c>
      <c r="D59" s="56" t="str">
        <f>IF($A59="","",SUMPRODUCT((MOVIMIENTOS!$B$5:$B$417="SALDO INICIAL")*(MOVIMIENTOS!$C$5:$C$417="C")*(MOVIMIENTOS!$D$5:$D$417="jabas")*(MOVIMIENTOS!$A$5:$A$417&lt;&gt;"")*(MOVIMIENTOS!$A$5:$A$417&lt;=$A59)*MOVIMIENTOS!$E$5:$E$417)+SUMPRODUCT((MOVIMIENTOS!$B$5:$B$417="PROCESO")*(MOVIMIENTOS!$C$5:$C$417="C")*(MOVIMIENTOS!$D$5:$D$417="jabas")*(MOVIMIENTOS!$A$5:$A$417&lt;&gt;"")*(MOVIMIENTOS!$A$5:$A$417&lt;=$A59)*MOVIMIENTOS!$E$5:$E$417)-SUMPRODUCT((MOVIMIENTOS!$B$5:$B$417="ENVÍO A SUPESA")*(MOVIMIENTOS!$C$5:$C$417="C")*(MOVIMIENTOS!$D$5:$D$417="jabas")*(MOVIMIENTOS!$A$5:$A$417&lt;&gt;"")*(MOVIMIENTOS!$A$5:$A$417&lt;=$A59)*MOVIMIENTOS!$E$5:$E$417)+SUMPRODUCT((MOVIMIENTOS!$B$5:$B$417="DEVOLUCIÓN")*(MOVIMIENTOS!$C$5:$C$417="C")*(MOVIMIENTOS!$D$5:$D$417="jabas")*(MOVIMIENTOS!$A$5:$A$417&lt;&gt;"")*(MOVIMIENTOS!$A$5:$A$417&lt;=$A59)*MOVIMIENTOS!$E$5:$E$417)-SUMPRODUCT((MOVIMIENTOS!$B$5:$B$417="TRASIEGO")*(MOVIMIENTOS!$C$5:$C$417="C")*(MOVIMIENTOS!$D$5:$D$417="jabas")*(MOVIMIENTOS!$A$5:$A$417&lt;&gt;"")*(MOVIMIENTOS!$A$5:$A$417&lt;=$A59)*MOVIMIENTOS!$E$5:$E$417)-SUMPRODUCT((MOVIMIENTOS!$B$5:$B$417="REGALO")*(MOVIMIENTOS!$C$5:$C$417="C")*(MOVIMIENTOS!$D$5:$D$417="jabas")*(MOVIMIENTOS!$A$5:$A$417&lt;&gt;"")*(MOVIMIENTOS!$A$5:$A$417&lt;=$A59)*MOVIMIENTOS!$E$5:$E$417)-SUMPRODUCT((MOVIMIENTOS!$B$5:$B$417="VENTA")*(MOVIMIENTOS!$C$5:$C$417="C")*(MOVIMIENTOS!$D$5:$D$417="jabas")*(MOVIMIENTOS!$A$5:$A$417&lt;&gt;"")*(MOVIMIENTOS!$A$5:$A$417&lt;=$A59)*MOVIMIENTOS!$E$5:$E$417)+SUMPRODUCT((MOVIMIENTOS!$B$5:$B$417="AJUSTE")*(MOVIMIENTOS!$C$5:$C$417="C")*(MOVIMIENTOS!$D$5:$D$417="jabas")*(MOVIMIENTOS!$A$5:$A$417&lt;&gt;"")*(MOVIMIENTOS!$A$5:$A$417&lt;=$A59)*MOVIMIENTOS!$E$5:$E$417))</f>
        <v/>
      </c>
      <c r="E59" s="56" t="str">
        <f>IF($A59="","",SUMPRODUCT((MOVIMIENTOS!$B$5:$B$417="SALDO INICIAL")*(MOVIMIENTOS!$C$5:$C$417="M")*(MOVIMIENTOS!$D$5:$D$417="jabas")*(MOVIMIENTOS!$A$5:$A$417&lt;&gt;"")*(MOVIMIENTOS!$A$5:$A$417&lt;=$A59)*MOVIMIENTOS!$E$5:$E$417)+SUMPRODUCT((MOVIMIENTOS!$B$5:$B$417="PROCESO")*(MOVIMIENTOS!$C$5:$C$417="M")*(MOVIMIENTOS!$D$5:$D$417="jabas")*(MOVIMIENTOS!$A$5:$A$417&lt;&gt;"")*(MOVIMIENTOS!$A$5:$A$417&lt;=$A59)*MOVIMIENTOS!$E$5:$E$417)-SUMPRODUCT((MOVIMIENTOS!$B$5:$B$417="ENVÍO A SUPESA")*(MOVIMIENTOS!$C$5:$C$417="M")*(MOVIMIENTOS!$D$5:$D$417="jabas")*(MOVIMIENTOS!$A$5:$A$417&lt;&gt;"")*(MOVIMIENTOS!$A$5:$A$417&lt;=$A59)*MOVIMIENTOS!$E$5:$E$417)+SUMPRODUCT((MOVIMIENTOS!$B$5:$B$417="DEVOLUCIÓN")*(MOVIMIENTOS!$C$5:$C$417="M")*(MOVIMIENTOS!$D$5:$D$417="jabas")*(MOVIMIENTOS!$A$5:$A$417&lt;&gt;"")*(MOVIMIENTOS!$A$5:$A$417&lt;=$A59)*MOVIMIENTOS!$E$5:$E$417)-SUMPRODUCT((MOVIMIENTOS!$B$5:$B$417="TRASIEGO")*(MOVIMIENTOS!$C$5:$C$417="M")*(MOVIMIENTOS!$D$5:$D$417="jabas")*(MOVIMIENTOS!$A$5:$A$417&lt;&gt;"")*(MOVIMIENTOS!$A$5:$A$417&lt;=$A59)*MOVIMIENTOS!$E$5:$E$417)-SUMPRODUCT((MOVIMIENTOS!$B$5:$B$417="REGALO")*(MOVIMIENTOS!$C$5:$C$417="M")*(MOVIMIENTOS!$D$5:$D$417="jabas")*(MOVIMIENTOS!$A$5:$A$417&lt;&gt;"")*(MOVIMIENTOS!$A$5:$A$417&lt;=$A59)*MOVIMIENTOS!$E$5:$E$417)-SUMPRODUCT((MOVIMIENTOS!$B$5:$B$417="VENTA")*(MOVIMIENTOS!$C$5:$C$417="M")*(MOVIMIENTOS!$D$5:$D$417="jabas")*(MOVIMIENTOS!$A$5:$A$417&lt;&gt;"")*(MOVIMIENTOS!$A$5:$A$417&lt;=$A59)*MOVIMIENTOS!$E$5:$E$417)+SUMPRODUCT((MOVIMIENTOS!$B$5:$B$417="AJUSTE")*(MOVIMIENTOS!$C$5:$C$417="M")*(MOVIMIENTOS!$D$5:$D$417="jabas")*(MOVIMIENTOS!$A$5:$A$417&lt;&gt;"")*(MOVIMIENTOS!$A$5:$A$417&lt;=$A59)*MOVIMIENTOS!$E$5:$E$417))</f>
        <v/>
      </c>
      <c r="F59" s="56" t="str">
        <f>IF($A59="","",SUMPRODUCT((MOVIMIENTOS!$B$5:$B$417="SALDO INICIAL")*(MOVIMIENTOS!$C$5:$C$417="Chancho")*(MOVIMIENTOS!$D$5:$D$417="sacos")*(MOVIMIENTOS!$A$5:$A$417&lt;&gt;"")*(MOVIMIENTOS!$A$5:$A$417&lt;=$A59)*MOVIMIENTOS!$E$5:$E$417)+SUMPRODUCT((MOVIMIENTOS!$B$5:$B$417="PROCESO")*(MOVIMIENTOS!$C$5:$C$417="Chancho")*(MOVIMIENTOS!$D$5:$D$417="sacos")*(MOVIMIENTOS!$A$5:$A$417&lt;&gt;"")*(MOVIMIENTOS!$A$5:$A$417&lt;=$A59)*MOVIMIENTOS!$E$5:$E$417)-SUMPRODUCT((MOVIMIENTOS!$B$5:$B$417="VENTA CHANCHO")*(MOVIMIENTOS!$C$5:$C$417="Chancho")*(MOVIMIENTOS!$D$5:$D$417="sacos")*(MOVIMIENTOS!$A$5:$A$417&lt;&gt;"")*(MOVIMIENTOS!$A$5:$A$417&lt;=$A59)*MOVIMIENTOS!$E$5:$E$417)-SUMPRODUCT((MOVIMIENTOS!$B$5:$B$417="REGALO")*(MOVIMIENTOS!$C$5:$C$417="Chancho")*(MOVIMIENTOS!$D$5:$D$417="sacos")*(MOVIMIENTOS!$A$5:$A$417&lt;&gt;"")*(MOVIMIENTOS!$A$5:$A$417&lt;=$A59)*MOVIMIENTOS!$E$5:$E$417)-SUMPRODUCT((MOVIMIENTOS!$B$5:$B$417="VENTA")*(MOVIMIENTOS!$C$5:$C$417="Chancho")*(MOVIMIENTOS!$D$5:$D$417="sacos")*(MOVIMIENTOS!$A$5:$A$417&lt;&gt;"")*(MOVIMIENTOS!$A$5:$A$417&lt;=$A59)*MOVIMIENTOS!$E$5:$E$417)+SUMPRODUCT((MOVIMIENTOS!$B$5:$B$417="AJUSTE")*(MOVIMIENTOS!$C$5:$C$417="Chancho")*(MOVIMIENTOS!$D$5:$D$417="sacos")*(MOVIMIENTOS!$A$5:$A$417&lt;&gt;"")*(MOVIMIENTOS!$A$5:$A$417&lt;=$A59)*MOVIMIENTOS!$E$5:$E$417))</f>
        <v/>
      </c>
      <c r="G59" s="56" t="str">
        <f t="shared" si="3"/>
        <v/>
      </c>
      <c r="H59" s="56" t="str">
        <f>IF($A59="","",SUMPRODUCT((((MOVIMIENTOS!$B$5:$B$417="SALDO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59)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59)*MOVIMIENTOS!$I$5:$I$417))</f>
        <v/>
      </c>
      <c r="I59" s="54"/>
      <c r="J59" s="54" t="str">
        <f>IF(AND(MOVIMIENTOS!$A59&lt;&gt;"",COUNTIF(MOVIMIENTOS!$A$5:$A58,MOVIMIENTOS!$A59)=0),COUNT(J$4:J58)+1,"")</f>
        <v/>
      </c>
      <c r="K59" s="57">
        <f>MOVIMIENTOS!$A59</f>
        <v>46219</v>
      </c>
      <c r="L59" s="54"/>
      <c r="M59" s="54"/>
      <c r="N59" s="54"/>
    </row>
    <row r="60" spans="1:14" ht="15" customHeight="1" x14ac:dyDescent="0.2">
      <c r="A60" s="55" t="str">
        <f t="shared" si="2"/>
        <v/>
      </c>
      <c r="B60" s="56" t="str">
        <f>IF($A60="","",SUMPRODUCT((MOVIMIENTOS!$B$5:$B$417="SALDO INICIAL")*(MOVIMIENTOS!$C$5:$C$417="A")*(MOVIMIENTOS!$D$5:$D$417="jabas")*(MOVIMIENTOS!$A$5:$A$417&lt;&gt;"")*(MOVIMIENTOS!$A$5:$A$417&lt;=$A60)*MOVIMIENTOS!$E$5:$E$417)+SUMPRODUCT((MOVIMIENTOS!$B$5:$B$417="PROCESO")*(MOVIMIENTOS!$C$5:$C$417="A")*(MOVIMIENTOS!$D$5:$D$417="jabas")*(MOVIMIENTOS!$A$5:$A$417&lt;&gt;"")*(MOVIMIENTOS!$A$5:$A$417&lt;=$A60)*MOVIMIENTOS!$E$5:$E$417)-SUMPRODUCT((MOVIMIENTOS!$B$5:$B$417="ENVÍO A SUPESA")*(MOVIMIENTOS!$C$5:$C$417="A")*(MOVIMIENTOS!$D$5:$D$417="jabas")*(MOVIMIENTOS!$A$5:$A$417&lt;&gt;"")*(MOVIMIENTOS!$A$5:$A$417&lt;=$A60)*MOVIMIENTOS!$E$5:$E$417)+SUMPRODUCT((MOVIMIENTOS!$B$5:$B$417="DEVOLUCIÓN")*(MOVIMIENTOS!$C$5:$C$417="A")*(MOVIMIENTOS!$D$5:$D$417="jabas")*(MOVIMIENTOS!$A$5:$A$417&lt;&gt;"")*(MOVIMIENTOS!$A$5:$A$417&lt;=$A60)*MOVIMIENTOS!$E$5:$E$417)-SUMPRODUCT((MOVIMIENTOS!$B$5:$B$417="TRASIEGO")*(MOVIMIENTOS!$C$5:$C$417="A")*(MOVIMIENTOS!$D$5:$D$417="jabas")*(MOVIMIENTOS!$A$5:$A$417&lt;&gt;"")*(MOVIMIENTOS!$A$5:$A$417&lt;=$A60)*MOVIMIENTOS!$E$5:$E$417)-SUMPRODUCT((MOVIMIENTOS!$B$5:$B$417="REGALO")*(MOVIMIENTOS!$C$5:$C$417="A")*(MOVIMIENTOS!$D$5:$D$417="jabas")*(MOVIMIENTOS!$A$5:$A$417&lt;&gt;"")*(MOVIMIENTOS!$A$5:$A$417&lt;=$A60)*MOVIMIENTOS!$E$5:$E$417)-SUMPRODUCT((MOVIMIENTOS!$B$5:$B$417="VENTA")*(MOVIMIENTOS!$C$5:$C$417="A")*(MOVIMIENTOS!$D$5:$D$417="jabas")*(MOVIMIENTOS!$A$5:$A$417&lt;&gt;"")*(MOVIMIENTOS!$A$5:$A$417&lt;=$A60)*MOVIMIENTOS!$E$5:$E$417)+SUMPRODUCT((MOVIMIENTOS!$B$5:$B$417="AJUSTE")*(MOVIMIENTOS!$C$5:$C$417="A")*(MOVIMIENTOS!$D$5:$D$417="jabas")*(MOVIMIENTOS!$A$5:$A$417&lt;&gt;"")*(MOVIMIENTOS!$A$5:$A$417&lt;=$A60)*MOVIMIENTOS!$E$5:$E$417))</f>
        <v/>
      </c>
      <c r="C60" s="56" t="str">
        <f>IF($A60="","",SUMPRODUCT((MOVIMIENTOS!$B$5:$B$417="SALDO INICIAL")*(MOVIMIENTOS!$C$5:$C$417="P")*(MOVIMIENTOS!$D$5:$D$417="jabas")*(MOVIMIENTOS!$A$5:$A$417&lt;&gt;"")*(MOVIMIENTOS!$A$5:$A$417&lt;=$A60)*MOVIMIENTOS!$E$5:$E$417)+SUMPRODUCT((MOVIMIENTOS!$B$5:$B$417="PROCESO")*(MOVIMIENTOS!$C$5:$C$417="P")*(MOVIMIENTOS!$D$5:$D$417="jabas")*(MOVIMIENTOS!$A$5:$A$417&lt;&gt;"")*(MOVIMIENTOS!$A$5:$A$417&lt;=$A60)*MOVIMIENTOS!$E$5:$E$417)-SUMPRODUCT((MOVIMIENTOS!$B$5:$B$417="ENVÍO A SUPESA")*(MOVIMIENTOS!$C$5:$C$417="P")*(MOVIMIENTOS!$D$5:$D$417="jabas")*(MOVIMIENTOS!$A$5:$A$417&lt;&gt;"")*(MOVIMIENTOS!$A$5:$A$417&lt;=$A60)*MOVIMIENTOS!$E$5:$E$417)+SUMPRODUCT((MOVIMIENTOS!$B$5:$B$417="DEVOLUCIÓN")*(MOVIMIENTOS!$C$5:$C$417="P")*(MOVIMIENTOS!$D$5:$D$417="jabas")*(MOVIMIENTOS!$A$5:$A$417&lt;&gt;"")*(MOVIMIENTOS!$A$5:$A$417&lt;=$A60)*MOVIMIENTOS!$E$5:$E$417)-SUMPRODUCT((MOVIMIENTOS!$B$5:$B$417="TRASIEGO")*(MOVIMIENTOS!$C$5:$C$417="P")*(MOVIMIENTOS!$D$5:$D$417="jabas")*(MOVIMIENTOS!$A$5:$A$417&lt;&gt;"")*(MOVIMIENTOS!$A$5:$A$417&lt;=$A60)*MOVIMIENTOS!$E$5:$E$417)-SUMPRODUCT((MOVIMIENTOS!$B$5:$B$417="REGALO")*(MOVIMIENTOS!$C$5:$C$417="P")*(MOVIMIENTOS!$D$5:$D$417="jabas")*(MOVIMIENTOS!$A$5:$A$417&lt;&gt;"")*(MOVIMIENTOS!$A$5:$A$417&lt;=$A60)*MOVIMIENTOS!$E$5:$E$417)-SUMPRODUCT((MOVIMIENTOS!$B$5:$B$417="VENTA")*(MOVIMIENTOS!$C$5:$C$417="P")*(MOVIMIENTOS!$D$5:$D$417="jabas")*(MOVIMIENTOS!$A$5:$A$417&lt;&gt;"")*(MOVIMIENTOS!$A$5:$A$417&lt;=$A60)*MOVIMIENTOS!$E$5:$E$417)+SUMPRODUCT((MOVIMIENTOS!$B$5:$B$417="AJUSTE")*(MOVIMIENTOS!$C$5:$C$417="P")*(MOVIMIENTOS!$D$5:$D$417="jabas")*(MOVIMIENTOS!$A$5:$A$417&lt;&gt;"")*(MOVIMIENTOS!$A$5:$A$417&lt;=$A60)*MOVIMIENTOS!$E$5:$E$417))</f>
        <v/>
      </c>
      <c r="D60" s="56" t="str">
        <f>IF($A60="","",SUMPRODUCT((MOVIMIENTOS!$B$5:$B$417="SALDO INICIAL")*(MOVIMIENTOS!$C$5:$C$417="C")*(MOVIMIENTOS!$D$5:$D$417="jabas")*(MOVIMIENTOS!$A$5:$A$417&lt;&gt;"")*(MOVIMIENTOS!$A$5:$A$417&lt;=$A60)*MOVIMIENTOS!$E$5:$E$417)+SUMPRODUCT((MOVIMIENTOS!$B$5:$B$417="PROCESO")*(MOVIMIENTOS!$C$5:$C$417="C")*(MOVIMIENTOS!$D$5:$D$417="jabas")*(MOVIMIENTOS!$A$5:$A$417&lt;&gt;"")*(MOVIMIENTOS!$A$5:$A$417&lt;=$A60)*MOVIMIENTOS!$E$5:$E$417)-SUMPRODUCT((MOVIMIENTOS!$B$5:$B$417="ENVÍO A SUPESA")*(MOVIMIENTOS!$C$5:$C$417="C")*(MOVIMIENTOS!$D$5:$D$417="jabas")*(MOVIMIENTOS!$A$5:$A$417&lt;&gt;"")*(MOVIMIENTOS!$A$5:$A$417&lt;=$A60)*MOVIMIENTOS!$E$5:$E$417)+SUMPRODUCT((MOVIMIENTOS!$B$5:$B$417="DEVOLUCIÓN")*(MOVIMIENTOS!$C$5:$C$417="C")*(MOVIMIENTOS!$D$5:$D$417="jabas")*(MOVIMIENTOS!$A$5:$A$417&lt;&gt;"")*(MOVIMIENTOS!$A$5:$A$417&lt;=$A60)*MOVIMIENTOS!$E$5:$E$417)-SUMPRODUCT((MOVIMIENTOS!$B$5:$B$417="TRASIEGO")*(MOVIMIENTOS!$C$5:$C$417="C")*(MOVIMIENTOS!$D$5:$D$417="jabas")*(MOVIMIENTOS!$A$5:$A$417&lt;&gt;"")*(MOVIMIENTOS!$A$5:$A$417&lt;=$A60)*MOVIMIENTOS!$E$5:$E$417)-SUMPRODUCT((MOVIMIENTOS!$B$5:$B$417="REGALO")*(MOVIMIENTOS!$C$5:$C$417="C")*(MOVIMIENTOS!$D$5:$D$417="jabas")*(MOVIMIENTOS!$A$5:$A$417&lt;&gt;"")*(MOVIMIENTOS!$A$5:$A$417&lt;=$A60)*MOVIMIENTOS!$E$5:$E$417)-SUMPRODUCT((MOVIMIENTOS!$B$5:$B$417="VENTA")*(MOVIMIENTOS!$C$5:$C$417="C")*(MOVIMIENTOS!$D$5:$D$417="jabas")*(MOVIMIENTOS!$A$5:$A$417&lt;&gt;"")*(MOVIMIENTOS!$A$5:$A$417&lt;=$A60)*MOVIMIENTOS!$E$5:$E$417)+SUMPRODUCT((MOVIMIENTOS!$B$5:$B$417="AJUSTE")*(MOVIMIENTOS!$C$5:$C$417="C")*(MOVIMIENTOS!$D$5:$D$417="jabas")*(MOVIMIENTOS!$A$5:$A$417&lt;&gt;"")*(MOVIMIENTOS!$A$5:$A$417&lt;=$A60)*MOVIMIENTOS!$E$5:$E$417))</f>
        <v/>
      </c>
      <c r="E60" s="56" t="str">
        <f>IF($A60="","",SUMPRODUCT((MOVIMIENTOS!$B$5:$B$417="SALDO INICIAL")*(MOVIMIENTOS!$C$5:$C$417="M")*(MOVIMIENTOS!$D$5:$D$417="jabas")*(MOVIMIENTOS!$A$5:$A$417&lt;&gt;"")*(MOVIMIENTOS!$A$5:$A$417&lt;=$A60)*MOVIMIENTOS!$E$5:$E$417)+SUMPRODUCT((MOVIMIENTOS!$B$5:$B$417="PROCESO")*(MOVIMIENTOS!$C$5:$C$417="M")*(MOVIMIENTOS!$D$5:$D$417="jabas")*(MOVIMIENTOS!$A$5:$A$417&lt;&gt;"")*(MOVIMIENTOS!$A$5:$A$417&lt;=$A60)*MOVIMIENTOS!$E$5:$E$417)-SUMPRODUCT((MOVIMIENTOS!$B$5:$B$417="ENVÍO A SUPESA")*(MOVIMIENTOS!$C$5:$C$417="M")*(MOVIMIENTOS!$D$5:$D$417="jabas")*(MOVIMIENTOS!$A$5:$A$417&lt;&gt;"")*(MOVIMIENTOS!$A$5:$A$417&lt;=$A60)*MOVIMIENTOS!$E$5:$E$417)+SUMPRODUCT((MOVIMIENTOS!$B$5:$B$417="DEVOLUCIÓN")*(MOVIMIENTOS!$C$5:$C$417="M")*(MOVIMIENTOS!$D$5:$D$417="jabas")*(MOVIMIENTOS!$A$5:$A$417&lt;&gt;"")*(MOVIMIENTOS!$A$5:$A$417&lt;=$A60)*MOVIMIENTOS!$E$5:$E$417)-SUMPRODUCT((MOVIMIENTOS!$B$5:$B$417="TRASIEGO")*(MOVIMIENTOS!$C$5:$C$417="M")*(MOVIMIENTOS!$D$5:$D$417="jabas")*(MOVIMIENTOS!$A$5:$A$417&lt;&gt;"")*(MOVIMIENTOS!$A$5:$A$417&lt;=$A60)*MOVIMIENTOS!$E$5:$E$417)-SUMPRODUCT((MOVIMIENTOS!$B$5:$B$417="REGALO")*(MOVIMIENTOS!$C$5:$C$417="M")*(MOVIMIENTOS!$D$5:$D$417="jabas")*(MOVIMIENTOS!$A$5:$A$417&lt;&gt;"")*(MOVIMIENTOS!$A$5:$A$417&lt;=$A60)*MOVIMIENTOS!$E$5:$E$417)-SUMPRODUCT((MOVIMIENTOS!$B$5:$B$417="VENTA")*(MOVIMIENTOS!$C$5:$C$417="M")*(MOVIMIENTOS!$D$5:$D$417="jabas")*(MOVIMIENTOS!$A$5:$A$417&lt;&gt;"")*(MOVIMIENTOS!$A$5:$A$417&lt;=$A60)*MOVIMIENTOS!$E$5:$E$417)+SUMPRODUCT((MOVIMIENTOS!$B$5:$B$417="AJUSTE")*(MOVIMIENTOS!$C$5:$C$417="M")*(MOVIMIENTOS!$D$5:$D$417="jabas")*(MOVIMIENTOS!$A$5:$A$417&lt;&gt;"")*(MOVIMIENTOS!$A$5:$A$417&lt;=$A60)*MOVIMIENTOS!$E$5:$E$417))</f>
        <v/>
      </c>
      <c r="F60" s="56" t="str">
        <f>IF($A60="","",SUMPRODUCT((MOVIMIENTOS!$B$5:$B$417="SALDO INICIAL")*(MOVIMIENTOS!$C$5:$C$417="Chancho")*(MOVIMIENTOS!$D$5:$D$417="sacos")*(MOVIMIENTOS!$A$5:$A$417&lt;&gt;"")*(MOVIMIENTOS!$A$5:$A$417&lt;=$A60)*MOVIMIENTOS!$E$5:$E$417)+SUMPRODUCT((MOVIMIENTOS!$B$5:$B$417="PROCESO")*(MOVIMIENTOS!$C$5:$C$417="Chancho")*(MOVIMIENTOS!$D$5:$D$417="sacos")*(MOVIMIENTOS!$A$5:$A$417&lt;&gt;"")*(MOVIMIENTOS!$A$5:$A$417&lt;=$A60)*MOVIMIENTOS!$E$5:$E$417)-SUMPRODUCT((MOVIMIENTOS!$B$5:$B$417="VENTA CHANCHO")*(MOVIMIENTOS!$C$5:$C$417="Chancho")*(MOVIMIENTOS!$D$5:$D$417="sacos")*(MOVIMIENTOS!$A$5:$A$417&lt;&gt;"")*(MOVIMIENTOS!$A$5:$A$417&lt;=$A60)*MOVIMIENTOS!$E$5:$E$417)-SUMPRODUCT((MOVIMIENTOS!$B$5:$B$417="REGALO")*(MOVIMIENTOS!$C$5:$C$417="Chancho")*(MOVIMIENTOS!$D$5:$D$417="sacos")*(MOVIMIENTOS!$A$5:$A$417&lt;&gt;"")*(MOVIMIENTOS!$A$5:$A$417&lt;=$A60)*MOVIMIENTOS!$E$5:$E$417)-SUMPRODUCT((MOVIMIENTOS!$B$5:$B$417="VENTA")*(MOVIMIENTOS!$C$5:$C$417="Chancho")*(MOVIMIENTOS!$D$5:$D$417="sacos")*(MOVIMIENTOS!$A$5:$A$417&lt;&gt;"")*(MOVIMIENTOS!$A$5:$A$417&lt;=$A60)*MOVIMIENTOS!$E$5:$E$417)+SUMPRODUCT((MOVIMIENTOS!$B$5:$B$417="AJUSTE")*(MOVIMIENTOS!$C$5:$C$417="Chancho")*(MOVIMIENTOS!$D$5:$D$417="sacos")*(MOVIMIENTOS!$A$5:$A$417&lt;&gt;"")*(MOVIMIENTOS!$A$5:$A$417&lt;=$A60)*MOVIMIENTOS!$E$5:$E$417))</f>
        <v/>
      </c>
      <c r="G60" s="56" t="str">
        <f t="shared" si="3"/>
        <v/>
      </c>
      <c r="H60" s="56" t="str">
        <f>IF($A60="","",SUMPRODUCT((((MOVIMIENTOS!$B$5:$B$417="SALDO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60)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60)*MOVIMIENTOS!$I$5:$I$417))</f>
        <v/>
      </c>
      <c r="I60" s="54"/>
      <c r="J60" s="54">
        <f>IF(AND(MOVIMIENTOS!$A60&lt;&gt;"",COUNTIF(MOVIMIENTOS!$A$5:$A59,MOVIMIENTOS!$A60)=0),COUNT(J$4:J59)+1,"")</f>
        <v>7</v>
      </c>
      <c r="K60" s="57">
        <f>MOVIMIENTOS!$A60</f>
        <v>46220</v>
      </c>
      <c r="L60" s="54"/>
      <c r="M60" s="54"/>
      <c r="N60" s="54"/>
    </row>
    <row r="61" spans="1:14" ht="15" customHeight="1" x14ac:dyDescent="0.2">
      <c r="A61" s="55" t="str">
        <f t="shared" si="2"/>
        <v/>
      </c>
      <c r="B61" s="56" t="str">
        <f>IF($A61="","",SUMPRODUCT((MOVIMIENTOS!$B$5:$B$417="SALDO INICIAL")*(MOVIMIENTOS!$C$5:$C$417="A")*(MOVIMIENTOS!$D$5:$D$417="jabas")*(MOVIMIENTOS!$A$5:$A$417&lt;&gt;"")*(MOVIMIENTOS!$A$5:$A$417&lt;=$A61)*MOVIMIENTOS!$E$5:$E$417)+SUMPRODUCT((MOVIMIENTOS!$B$5:$B$417="PROCESO")*(MOVIMIENTOS!$C$5:$C$417="A")*(MOVIMIENTOS!$D$5:$D$417="jabas")*(MOVIMIENTOS!$A$5:$A$417&lt;&gt;"")*(MOVIMIENTOS!$A$5:$A$417&lt;=$A61)*MOVIMIENTOS!$E$5:$E$417)-SUMPRODUCT((MOVIMIENTOS!$B$5:$B$417="ENVÍO A SUPESA")*(MOVIMIENTOS!$C$5:$C$417="A")*(MOVIMIENTOS!$D$5:$D$417="jabas")*(MOVIMIENTOS!$A$5:$A$417&lt;&gt;"")*(MOVIMIENTOS!$A$5:$A$417&lt;=$A61)*MOVIMIENTOS!$E$5:$E$417)+SUMPRODUCT((MOVIMIENTOS!$B$5:$B$417="DEVOLUCIÓN")*(MOVIMIENTOS!$C$5:$C$417="A")*(MOVIMIENTOS!$D$5:$D$417="jabas")*(MOVIMIENTOS!$A$5:$A$417&lt;&gt;"")*(MOVIMIENTOS!$A$5:$A$417&lt;=$A61)*MOVIMIENTOS!$E$5:$E$417)-SUMPRODUCT((MOVIMIENTOS!$B$5:$B$417="TRASIEGO")*(MOVIMIENTOS!$C$5:$C$417="A")*(MOVIMIENTOS!$D$5:$D$417="jabas")*(MOVIMIENTOS!$A$5:$A$417&lt;&gt;"")*(MOVIMIENTOS!$A$5:$A$417&lt;=$A61)*MOVIMIENTOS!$E$5:$E$417)-SUMPRODUCT((MOVIMIENTOS!$B$5:$B$417="REGALO")*(MOVIMIENTOS!$C$5:$C$417="A")*(MOVIMIENTOS!$D$5:$D$417="jabas")*(MOVIMIENTOS!$A$5:$A$417&lt;&gt;"")*(MOVIMIENTOS!$A$5:$A$417&lt;=$A61)*MOVIMIENTOS!$E$5:$E$417)-SUMPRODUCT((MOVIMIENTOS!$B$5:$B$417="VENTA")*(MOVIMIENTOS!$C$5:$C$417="A")*(MOVIMIENTOS!$D$5:$D$417="jabas")*(MOVIMIENTOS!$A$5:$A$417&lt;&gt;"")*(MOVIMIENTOS!$A$5:$A$417&lt;=$A61)*MOVIMIENTOS!$E$5:$E$417)+SUMPRODUCT((MOVIMIENTOS!$B$5:$B$417="AJUSTE")*(MOVIMIENTOS!$C$5:$C$417="A")*(MOVIMIENTOS!$D$5:$D$417="jabas")*(MOVIMIENTOS!$A$5:$A$417&lt;&gt;"")*(MOVIMIENTOS!$A$5:$A$417&lt;=$A61)*MOVIMIENTOS!$E$5:$E$417))</f>
        <v/>
      </c>
      <c r="C61" s="56" t="str">
        <f>IF($A61="","",SUMPRODUCT((MOVIMIENTOS!$B$5:$B$417="SALDO INICIAL")*(MOVIMIENTOS!$C$5:$C$417="P")*(MOVIMIENTOS!$D$5:$D$417="jabas")*(MOVIMIENTOS!$A$5:$A$417&lt;&gt;"")*(MOVIMIENTOS!$A$5:$A$417&lt;=$A61)*MOVIMIENTOS!$E$5:$E$417)+SUMPRODUCT((MOVIMIENTOS!$B$5:$B$417="PROCESO")*(MOVIMIENTOS!$C$5:$C$417="P")*(MOVIMIENTOS!$D$5:$D$417="jabas")*(MOVIMIENTOS!$A$5:$A$417&lt;&gt;"")*(MOVIMIENTOS!$A$5:$A$417&lt;=$A61)*MOVIMIENTOS!$E$5:$E$417)-SUMPRODUCT((MOVIMIENTOS!$B$5:$B$417="ENVÍO A SUPESA")*(MOVIMIENTOS!$C$5:$C$417="P")*(MOVIMIENTOS!$D$5:$D$417="jabas")*(MOVIMIENTOS!$A$5:$A$417&lt;&gt;"")*(MOVIMIENTOS!$A$5:$A$417&lt;=$A61)*MOVIMIENTOS!$E$5:$E$417)+SUMPRODUCT((MOVIMIENTOS!$B$5:$B$417="DEVOLUCIÓN")*(MOVIMIENTOS!$C$5:$C$417="P")*(MOVIMIENTOS!$D$5:$D$417="jabas")*(MOVIMIENTOS!$A$5:$A$417&lt;&gt;"")*(MOVIMIENTOS!$A$5:$A$417&lt;=$A61)*MOVIMIENTOS!$E$5:$E$417)-SUMPRODUCT((MOVIMIENTOS!$B$5:$B$417="TRASIEGO")*(MOVIMIENTOS!$C$5:$C$417="P")*(MOVIMIENTOS!$D$5:$D$417="jabas")*(MOVIMIENTOS!$A$5:$A$417&lt;&gt;"")*(MOVIMIENTOS!$A$5:$A$417&lt;=$A61)*MOVIMIENTOS!$E$5:$E$417)-SUMPRODUCT((MOVIMIENTOS!$B$5:$B$417="REGALO")*(MOVIMIENTOS!$C$5:$C$417="P")*(MOVIMIENTOS!$D$5:$D$417="jabas")*(MOVIMIENTOS!$A$5:$A$417&lt;&gt;"")*(MOVIMIENTOS!$A$5:$A$417&lt;=$A61)*MOVIMIENTOS!$E$5:$E$417)-SUMPRODUCT((MOVIMIENTOS!$B$5:$B$417="VENTA")*(MOVIMIENTOS!$C$5:$C$417="P")*(MOVIMIENTOS!$D$5:$D$417="jabas")*(MOVIMIENTOS!$A$5:$A$417&lt;&gt;"")*(MOVIMIENTOS!$A$5:$A$417&lt;=$A61)*MOVIMIENTOS!$E$5:$E$417)+SUMPRODUCT((MOVIMIENTOS!$B$5:$B$417="AJUSTE")*(MOVIMIENTOS!$C$5:$C$417="P")*(MOVIMIENTOS!$D$5:$D$417="jabas")*(MOVIMIENTOS!$A$5:$A$417&lt;&gt;"")*(MOVIMIENTOS!$A$5:$A$417&lt;=$A61)*MOVIMIENTOS!$E$5:$E$417))</f>
        <v/>
      </c>
      <c r="D61" s="56" t="str">
        <f>IF($A61="","",SUMPRODUCT((MOVIMIENTOS!$B$5:$B$417="SALDO INICIAL")*(MOVIMIENTOS!$C$5:$C$417="C")*(MOVIMIENTOS!$D$5:$D$417="jabas")*(MOVIMIENTOS!$A$5:$A$417&lt;&gt;"")*(MOVIMIENTOS!$A$5:$A$417&lt;=$A61)*MOVIMIENTOS!$E$5:$E$417)+SUMPRODUCT((MOVIMIENTOS!$B$5:$B$417="PROCESO")*(MOVIMIENTOS!$C$5:$C$417="C")*(MOVIMIENTOS!$D$5:$D$417="jabas")*(MOVIMIENTOS!$A$5:$A$417&lt;&gt;"")*(MOVIMIENTOS!$A$5:$A$417&lt;=$A61)*MOVIMIENTOS!$E$5:$E$417)-SUMPRODUCT((MOVIMIENTOS!$B$5:$B$417="ENVÍO A SUPESA")*(MOVIMIENTOS!$C$5:$C$417="C")*(MOVIMIENTOS!$D$5:$D$417="jabas")*(MOVIMIENTOS!$A$5:$A$417&lt;&gt;"")*(MOVIMIENTOS!$A$5:$A$417&lt;=$A61)*MOVIMIENTOS!$E$5:$E$417)+SUMPRODUCT((MOVIMIENTOS!$B$5:$B$417="DEVOLUCIÓN")*(MOVIMIENTOS!$C$5:$C$417="C")*(MOVIMIENTOS!$D$5:$D$417="jabas")*(MOVIMIENTOS!$A$5:$A$417&lt;&gt;"")*(MOVIMIENTOS!$A$5:$A$417&lt;=$A61)*MOVIMIENTOS!$E$5:$E$417)-SUMPRODUCT((MOVIMIENTOS!$B$5:$B$417="TRASIEGO")*(MOVIMIENTOS!$C$5:$C$417="C")*(MOVIMIENTOS!$D$5:$D$417="jabas")*(MOVIMIENTOS!$A$5:$A$417&lt;&gt;"")*(MOVIMIENTOS!$A$5:$A$417&lt;=$A61)*MOVIMIENTOS!$E$5:$E$417)-SUMPRODUCT((MOVIMIENTOS!$B$5:$B$417="REGALO")*(MOVIMIENTOS!$C$5:$C$417="C")*(MOVIMIENTOS!$D$5:$D$417="jabas")*(MOVIMIENTOS!$A$5:$A$417&lt;&gt;"")*(MOVIMIENTOS!$A$5:$A$417&lt;=$A61)*MOVIMIENTOS!$E$5:$E$417)-SUMPRODUCT((MOVIMIENTOS!$B$5:$B$417="VENTA")*(MOVIMIENTOS!$C$5:$C$417="C")*(MOVIMIENTOS!$D$5:$D$417="jabas")*(MOVIMIENTOS!$A$5:$A$417&lt;&gt;"")*(MOVIMIENTOS!$A$5:$A$417&lt;=$A61)*MOVIMIENTOS!$E$5:$E$417)+SUMPRODUCT((MOVIMIENTOS!$B$5:$B$417="AJUSTE")*(MOVIMIENTOS!$C$5:$C$417="C")*(MOVIMIENTOS!$D$5:$D$417="jabas")*(MOVIMIENTOS!$A$5:$A$417&lt;&gt;"")*(MOVIMIENTOS!$A$5:$A$417&lt;=$A61)*MOVIMIENTOS!$E$5:$E$417))</f>
        <v/>
      </c>
      <c r="E61" s="56" t="str">
        <f>IF($A61="","",SUMPRODUCT((MOVIMIENTOS!$B$5:$B$417="SALDO INICIAL")*(MOVIMIENTOS!$C$5:$C$417="M")*(MOVIMIENTOS!$D$5:$D$417="jabas")*(MOVIMIENTOS!$A$5:$A$417&lt;&gt;"")*(MOVIMIENTOS!$A$5:$A$417&lt;=$A61)*MOVIMIENTOS!$E$5:$E$417)+SUMPRODUCT((MOVIMIENTOS!$B$5:$B$417="PROCESO")*(MOVIMIENTOS!$C$5:$C$417="M")*(MOVIMIENTOS!$D$5:$D$417="jabas")*(MOVIMIENTOS!$A$5:$A$417&lt;&gt;"")*(MOVIMIENTOS!$A$5:$A$417&lt;=$A61)*MOVIMIENTOS!$E$5:$E$417)-SUMPRODUCT((MOVIMIENTOS!$B$5:$B$417="ENVÍO A SUPESA")*(MOVIMIENTOS!$C$5:$C$417="M")*(MOVIMIENTOS!$D$5:$D$417="jabas")*(MOVIMIENTOS!$A$5:$A$417&lt;&gt;"")*(MOVIMIENTOS!$A$5:$A$417&lt;=$A61)*MOVIMIENTOS!$E$5:$E$417)+SUMPRODUCT((MOVIMIENTOS!$B$5:$B$417="DEVOLUCIÓN")*(MOVIMIENTOS!$C$5:$C$417="M")*(MOVIMIENTOS!$D$5:$D$417="jabas")*(MOVIMIENTOS!$A$5:$A$417&lt;&gt;"")*(MOVIMIENTOS!$A$5:$A$417&lt;=$A61)*MOVIMIENTOS!$E$5:$E$417)-SUMPRODUCT((MOVIMIENTOS!$B$5:$B$417="TRASIEGO")*(MOVIMIENTOS!$C$5:$C$417="M")*(MOVIMIENTOS!$D$5:$D$417="jabas")*(MOVIMIENTOS!$A$5:$A$417&lt;&gt;"")*(MOVIMIENTOS!$A$5:$A$417&lt;=$A61)*MOVIMIENTOS!$E$5:$E$417)-SUMPRODUCT((MOVIMIENTOS!$B$5:$B$417="REGALO")*(MOVIMIENTOS!$C$5:$C$417="M")*(MOVIMIENTOS!$D$5:$D$417="jabas")*(MOVIMIENTOS!$A$5:$A$417&lt;&gt;"")*(MOVIMIENTOS!$A$5:$A$417&lt;=$A61)*MOVIMIENTOS!$E$5:$E$417)-SUMPRODUCT((MOVIMIENTOS!$B$5:$B$417="VENTA")*(MOVIMIENTOS!$C$5:$C$417="M")*(MOVIMIENTOS!$D$5:$D$417="jabas")*(MOVIMIENTOS!$A$5:$A$417&lt;&gt;"")*(MOVIMIENTOS!$A$5:$A$417&lt;=$A61)*MOVIMIENTOS!$E$5:$E$417)+SUMPRODUCT((MOVIMIENTOS!$B$5:$B$417="AJUSTE")*(MOVIMIENTOS!$C$5:$C$417="M")*(MOVIMIENTOS!$D$5:$D$417="jabas")*(MOVIMIENTOS!$A$5:$A$417&lt;&gt;"")*(MOVIMIENTOS!$A$5:$A$417&lt;=$A61)*MOVIMIENTOS!$E$5:$E$417))</f>
        <v/>
      </c>
      <c r="F61" s="56" t="str">
        <f>IF($A61="","",SUMPRODUCT((MOVIMIENTOS!$B$5:$B$417="SALDO INICIAL")*(MOVIMIENTOS!$C$5:$C$417="Chancho")*(MOVIMIENTOS!$D$5:$D$417="sacos")*(MOVIMIENTOS!$A$5:$A$417&lt;&gt;"")*(MOVIMIENTOS!$A$5:$A$417&lt;=$A61)*MOVIMIENTOS!$E$5:$E$417)+SUMPRODUCT((MOVIMIENTOS!$B$5:$B$417="PROCESO")*(MOVIMIENTOS!$C$5:$C$417="Chancho")*(MOVIMIENTOS!$D$5:$D$417="sacos")*(MOVIMIENTOS!$A$5:$A$417&lt;&gt;"")*(MOVIMIENTOS!$A$5:$A$417&lt;=$A61)*MOVIMIENTOS!$E$5:$E$417)-SUMPRODUCT((MOVIMIENTOS!$B$5:$B$417="VENTA CHANCHO")*(MOVIMIENTOS!$C$5:$C$417="Chancho")*(MOVIMIENTOS!$D$5:$D$417="sacos")*(MOVIMIENTOS!$A$5:$A$417&lt;&gt;"")*(MOVIMIENTOS!$A$5:$A$417&lt;=$A61)*MOVIMIENTOS!$E$5:$E$417)-SUMPRODUCT((MOVIMIENTOS!$B$5:$B$417="REGALO")*(MOVIMIENTOS!$C$5:$C$417="Chancho")*(MOVIMIENTOS!$D$5:$D$417="sacos")*(MOVIMIENTOS!$A$5:$A$417&lt;&gt;"")*(MOVIMIENTOS!$A$5:$A$417&lt;=$A61)*MOVIMIENTOS!$E$5:$E$417)-SUMPRODUCT((MOVIMIENTOS!$B$5:$B$417="VENTA")*(MOVIMIENTOS!$C$5:$C$417="Chancho")*(MOVIMIENTOS!$D$5:$D$417="sacos")*(MOVIMIENTOS!$A$5:$A$417&lt;&gt;"")*(MOVIMIENTOS!$A$5:$A$417&lt;=$A61)*MOVIMIENTOS!$E$5:$E$417)+SUMPRODUCT((MOVIMIENTOS!$B$5:$B$417="AJUSTE")*(MOVIMIENTOS!$C$5:$C$417="Chancho")*(MOVIMIENTOS!$D$5:$D$417="sacos")*(MOVIMIENTOS!$A$5:$A$417&lt;&gt;"")*(MOVIMIENTOS!$A$5:$A$417&lt;=$A61)*MOVIMIENTOS!$E$5:$E$417))</f>
        <v/>
      </c>
      <c r="G61" s="56" t="str">
        <f t="shared" si="3"/>
        <v/>
      </c>
      <c r="H61" s="56" t="str">
        <f>IF($A61="","",SUMPRODUCT((((MOVIMIENTOS!$B$5:$B$417="SALDO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61)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61)*MOVIMIENTOS!$I$5:$I$417))</f>
        <v/>
      </c>
      <c r="I61" s="54"/>
      <c r="J61" s="54" t="str">
        <f>IF(AND(MOVIMIENTOS!$A61&lt;&gt;"",COUNTIF(MOVIMIENTOS!$A$5:$A60,MOVIMIENTOS!$A61)=0),COUNT(J$4:J60)+1,"")</f>
        <v/>
      </c>
      <c r="K61" s="57">
        <f>MOVIMIENTOS!$A61</f>
        <v>46220</v>
      </c>
      <c r="L61" s="54"/>
      <c r="M61" s="54"/>
      <c r="N61" s="54"/>
    </row>
    <row r="62" spans="1:14" ht="15" customHeight="1" x14ac:dyDescent="0.2">
      <c r="A62" s="55" t="str">
        <f t="shared" si="2"/>
        <v/>
      </c>
      <c r="B62" s="56" t="str">
        <f>IF($A62="","",SUMPRODUCT((MOVIMIENTOS!$B$5:$B$417="SALDO INICIAL")*(MOVIMIENTOS!$C$5:$C$417="A")*(MOVIMIENTOS!$D$5:$D$417="jabas")*(MOVIMIENTOS!$A$5:$A$417&lt;&gt;"")*(MOVIMIENTOS!$A$5:$A$417&lt;=$A62)*MOVIMIENTOS!$E$5:$E$417)+SUMPRODUCT((MOVIMIENTOS!$B$5:$B$417="PROCESO")*(MOVIMIENTOS!$C$5:$C$417="A")*(MOVIMIENTOS!$D$5:$D$417="jabas")*(MOVIMIENTOS!$A$5:$A$417&lt;&gt;"")*(MOVIMIENTOS!$A$5:$A$417&lt;=$A62)*MOVIMIENTOS!$E$5:$E$417)-SUMPRODUCT((MOVIMIENTOS!$B$5:$B$417="ENVÍO A SUPESA")*(MOVIMIENTOS!$C$5:$C$417="A")*(MOVIMIENTOS!$D$5:$D$417="jabas")*(MOVIMIENTOS!$A$5:$A$417&lt;&gt;"")*(MOVIMIENTOS!$A$5:$A$417&lt;=$A62)*MOVIMIENTOS!$E$5:$E$417)+SUMPRODUCT((MOVIMIENTOS!$B$5:$B$417="DEVOLUCIÓN")*(MOVIMIENTOS!$C$5:$C$417="A")*(MOVIMIENTOS!$D$5:$D$417="jabas")*(MOVIMIENTOS!$A$5:$A$417&lt;&gt;"")*(MOVIMIENTOS!$A$5:$A$417&lt;=$A62)*MOVIMIENTOS!$E$5:$E$417)-SUMPRODUCT((MOVIMIENTOS!$B$5:$B$417="TRASIEGO")*(MOVIMIENTOS!$C$5:$C$417="A")*(MOVIMIENTOS!$D$5:$D$417="jabas")*(MOVIMIENTOS!$A$5:$A$417&lt;&gt;"")*(MOVIMIENTOS!$A$5:$A$417&lt;=$A62)*MOVIMIENTOS!$E$5:$E$417)-SUMPRODUCT((MOVIMIENTOS!$B$5:$B$417="REGALO")*(MOVIMIENTOS!$C$5:$C$417="A")*(MOVIMIENTOS!$D$5:$D$417="jabas")*(MOVIMIENTOS!$A$5:$A$417&lt;&gt;"")*(MOVIMIENTOS!$A$5:$A$417&lt;=$A62)*MOVIMIENTOS!$E$5:$E$417)-SUMPRODUCT((MOVIMIENTOS!$B$5:$B$417="VENTA")*(MOVIMIENTOS!$C$5:$C$417="A")*(MOVIMIENTOS!$D$5:$D$417="jabas")*(MOVIMIENTOS!$A$5:$A$417&lt;&gt;"")*(MOVIMIENTOS!$A$5:$A$417&lt;=$A62)*MOVIMIENTOS!$E$5:$E$417)+SUMPRODUCT((MOVIMIENTOS!$B$5:$B$417="AJUSTE")*(MOVIMIENTOS!$C$5:$C$417="A")*(MOVIMIENTOS!$D$5:$D$417="jabas")*(MOVIMIENTOS!$A$5:$A$417&lt;&gt;"")*(MOVIMIENTOS!$A$5:$A$417&lt;=$A62)*MOVIMIENTOS!$E$5:$E$417))</f>
        <v/>
      </c>
      <c r="C62" s="56" t="str">
        <f>IF($A62="","",SUMPRODUCT((MOVIMIENTOS!$B$5:$B$417="SALDO INICIAL")*(MOVIMIENTOS!$C$5:$C$417="P")*(MOVIMIENTOS!$D$5:$D$417="jabas")*(MOVIMIENTOS!$A$5:$A$417&lt;&gt;"")*(MOVIMIENTOS!$A$5:$A$417&lt;=$A62)*MOVIMIENTOS!$E$5:$E$417)+SUMPRODUCT((MOVIMIENTOS!$B$5:$B$417="PROCESO")*(MOVIMIENTOS!$C$5:$C$417="P")*(MOVIMIENTOS!$D$5:$D$417="jabas")*(MOVIMIENTOS!$A$5:$A$417&lt;&gt;"")*(MOVIMIENTOS!$A$5:$A$417&lt;=$A62)*MOVIMIENTOS!$E$5:$E$417)-SUMPRODUCT((MOVIMIENTOS!$B$5:$B$417="ENVÍO A SUPESA")*(MOVIMIENTOS!$C$5:$C$417="P")*(MOVIMIENTOS!$D$5:$D$417="jabas")*(MOVIMIENTOS!$A$5:$A$417&lt;&gt;"")*(MOVIMIENTOS!$A$5:$A$417&lt;=$A62)*MOVIMIENTOS!$E$5:$E$417)+SUMPRODUCT((MOVIMIENTOS!$B$5:$B$417="DEVOLUCIÓN")*(MOVIMIENTOS!$C$5:$C$417="P")*(MOVIMIENTOS!$D$5:$D$417="jabas")*(MOVIMIENTOS!$A$5:$A$417&lt;&gt;"")*(MOVIMIENTOS!$A$5:$A$417&lt;=$A62)*MOVIMIENTOS!$E$5:$E$417)-SUMPRODUCT((MOVIMIENTOS!$B$5:$B$417="TRASIEGO")*(MOVIMIENTOS!$C$5:$C$417="P")*(MOVIMIENTOS!$D$5:$D$417="jabas")*(MOVIMIENTOS!$A$5:$A$417&lt;&gt;"")*(MOVIMIENTOS!$A$5:$A$417&lt;=$A62)*MOVIMIENTOS!$E$5:$E$417)-SUMPRODUCT((MOVIMIENTOS!$B$5:$B$417="REGALO")*(MOVIMIENTOS!$C$5:$C$417="P")*(MOVIMIENTOS!$D$5:$D$417="jabas")*(MOVIMIENTOS!$A$5:$A$417&lt;&gt;"")*(MOVIMIENTOS!$A$5:$A$417&lt;=$A62)*MOVIMIENTOS!$E$5:$E$417)-SUMPRODUCT((MOVIMIENTOS!$B$5:$B$417="VENTA")*(MOVIMIENTOS!$C$5:$C$417="P")*(MOVIMIENTOS!$D$5:$D$417="jabas")*(MOVIMIENTOS!$A$5:$A$417&lt;&gt;"")*(MOVIMIENTOS!$A$5:$A$417&lt;=$A62)*MOVIMIENTOS!$E$5:$E$417)+SUMPRODUCT((MOVIMIENTOS!$B$5:$B$417="AJUSTE")*(MOVIMIENTOS!$C$5:$C$417="P")*(MOVIMIENTOS!$D$5:$D$417="jabas")*(MOVIMIENTOS!$A$5:$A$417&lt;&gt;"")*(MOVIMIENTOS!$A$5:$A$417&lt;=$A62)*MOVIMIENTOS!$E$5:$E$417))</f>
        <v/>
      </c>
      <c r="D62" s="56" t="str">
        <f>IF($A62="","",SUMPRODUCT((MOVIMIENTOS!$B$5:$B$417="SALDO INICIAL")*(MOVIMIENTOS!$C$5:$C$417="C")*(MOVIMIENTOS!$D$5:$D$417="jabas")*(MOVIMIENTOS!$A$5:$A$417&lt;&gt;"")*(MOVIMIENTOS!$A$5:$A$417&lt;=$A62)*MOVIMIENTOS!$E$5:$E$417)+SUMPRODUCT((MOVIMIENTOS!$B$5:$B$417="PROCESO")*(MOVIMIENTOS!$C$5:$C$417="C")*(MOVIMIENTOS!$D$5:$D$417="jabas")*(MOVIMIENTOS!$A$5:$A$417&lt;&gt;"")*(MOVIMIENTOS!$A$5:$A$417&lt;=$A62)*MOVIMIENTOS!$E$5:$E$417)-SUMPRODUCT((MOVIMIENTOS!$B$5:$B$417="ENVÍO A SUPESA")*(MOVIMIENTOS!$C$5:$C$417="C")*(MOVIMIENTOS!$D$5:$D$417="jabas")*(MOVIMIENTOS!$A$5:$A$417&lt;&gt;"")*(MOVIMIENTOS!$A$5:$A$417&lt;=$A62)*MOVIMIENTOS!$E$5:$E$417)+SUMPRODUCT((MOVIMIENTOS!$B$5:$B$417="DEVOLUCIÓN")*(MOVIMIENTOS!$C$5:$C$417="C")*(MOVIMIENTOS!$D$5:$D$417="jabas")*(MOVIMIENTOS!$A$5:$A$417&lt;&gt;"")*(MOVIMIENTOS!$A$5:$A$417&lt;=$A62)*MOVIMIENTOS!$E$5:$E$417)-SUMPRODUCT((MOVIMIENTOS!$B$5:$B$417="TRASIEGO")*(MOVIMIENTOS!$C$5:$C$417="C")*(MOVIMIENTOS!$D$5:$D$417="jabas")*(MOVIMIENTOS!$A$5:$A$417&lt;&gt;"")*(MOVIMIENTOS!$A$5:$A$417&lt;=$A62)*MOVIMIENTOS!$E$5:$E$417)-SUMPRODUCT((MOVIMIENTOS!$B$5:$B$417="REGALO")*(MOVIMIENTOS!$C$5:$C$417="C")*(MOVIMIENTOS!$D$5:$D$417="jabas")*(MOVIMIENTOS!$A$5:$A$417&lt;&gt;"")*(MOVIMIENTOS!$A$5:$A$417&lt;=$A62)*MOVIMIENTOS!$E$5:$E$417)-SUMPRODUCT((MOVIMIENTOS!$B$5:$B$417="VENTA")*(MOVIMIENTOS!$C$5:$C$417="C")*(MOVIMIENTOS!$D$5:$D$417="jabas")*(MOVIMIENTOS!$A$5:$A$417&lt;&gt;"")*(MOVIMIENTOS!$A$5:$A$417&lt;=$A62)*MOVIMIENTOS!$E$5:$E$417)+SUMPRODUCT((MOVIMIENTOS!$B$5:$B$417="AJUSTE")*(MOVIMIENTOS!$C$5:$C$417="C")*(MOVIMIENTOS!$D$5:$D$417="jabas")*(MOVIMIENTOS!$A$5:$A$417&lt;&gt;"")*(MOVIMIENTOS!$A$5:$A$417&lt;=$A62)*MOVIMIENTOS!$E$5:$E$417))</f>
        <v/>
      </c>
      <c r="E62" s="56" t="str">
        <f>IF($A62="","",SUMPRODUCT((MOVIMIENTOS!$B$5:$B$417="SALDO INICIAL")*(MOVIMIENTOS!$C$5:$C$417="M")*(MOVIMIENTOS!$D$5:$D$417="jabas")*(MOVIMIENTOS!$A$5:$A$417&lt;&gt;"")*(MOVIMIENTOS!$A$5:$A$417&lt;=$A62)*MOVIMIENTOS!$E$5:$E$417)+SUMPRODUCT((MOVIMIENTOS!$B$5:$B$417="PROCESO")*(MOVIMIENTOS!$C$5:$C$417="M")*(MOVIMIENTOS!$D$5:$D$417="jabas")*(MOVIMIENTOS!$A$5:$A$417&lt;&gt;"")*(MOVIMIENTOS!$A$5:$A$417&lt;=$A62)*MOVIMIENTOS!$E$5:$E$417)-SUMPRODUCT((MOVIMIENTOS!$B$5:$B$417="ENVÍO A SUPESA")*(MOVIMIENTOS!$C$5:$C$417="M")*(MOVIMIENTOS!$D$5:$D$417="jabas")*(MOVIMIENTOS!$A$5:$A$417&lt;&gt;"")*(MOVIMIENTOS!$A$5:$A$417&lt;=$A62)*MOVIMIENTOS!$E$5:$E$417)+SUMPRODUCT((MOVIMIENTOS!$B$5:$B$417="DEVOLUCIÓN")*(MOVIMIENTOS!$C$5:$C$417="M")*(MOVIMIENTOS!$D$5:$D$417="jabas")*(MOVIMIENTOS!$A$5:$A$417&lt;&gt;"")*(MOVIMIENTOS!$A$5:$A$417&lt;=$A62)*MOVIMIENTOS!$E$5:$E$417)-SUMPRODUCT((MOVIMIENTOS!$B$5:$B$417="TRASIEGO")*(MOVIMIENTOS!$C$5:$C$417="M")*(MOVIMIENTOS!$D$5:$D$417="jabas")*(MOVIMIENTOS!$A$5:$A$417&lt;&gt;"")*(MOVIMIENTOS!$A$5:$A$417&lt;=$A62)*MOVIMIENTOS!$E$5:$E$417)-SUMPRODUCT((MOVIMIENTOS!$B$5:$B$417="REGALO")*(MOVIMIENTOS!$C$5:$C$417="M")*(MOVIMIENTOS!$D$5:$D$417="jabas")*(MOVIMIENTOS!$A$5:$A$417&lt;&gt;"")*(MOVIMIENTOS!$A$5:$A$417&lt;=$A62)*MOVIMIENTOS!$E$5:$E$417)-SUMPRODUCT((MOVIMIENTOS!$B$5:$B$417="VENTA")*(MOVIMIENTOS!$C$5:$C$417="M")*(MOVIMIENTOS!$D$5:$D$417="jabas")*(MOVIMIENTOS!$A$5:$A$417&lt;&gt;"")*(MOVIMIENTOS!$A$5:$A$417&lt;=$A62)*MOVIMIENTOS!$E$5:$E$417)+SUMPRODUCT((MOVIMIENTOS!$B$5:$B$417="AJUSTE")*(MOVIMIENTOS!$C$5:$C$417="M")*(MOVIMIENTOS!$D$5:$D$417="jabas")*(MOVIMIENTOS!$A$5:$A$417&lt;&gt;"")*(MOVIMIENTOS!$A$5:$A$417&lt;=$A62)*MOVIMIENTOS!$E$5:$E$417))</f>
        <v/>
      </c>
      <c r="F62" s="56" t="str">
        <f>IF($A62="","",SUMPRODUCT((MOVIMIENTOS!$B$5:$B$417="SALDO INICIAL")*(MOVIMIENTOS!$C$5:$C$417="Chancho")*(MOVIMIENTOS!$D$5:$D$417="sacos")*(MOVIMIENTOS!$A$5:$A$417&lt;&gt;"")*(MOVIMIENTOS!$A$5:$A$417&lt;=$A62)*MOVIMIENTOS!$E$5:$E$417)+SUMPRODUCT((MOVIMIENTOS!$B$5:$B$417="PROCESO")*(MOVIMIENTOS!$C$5:$C$417="Chancho")*(MOVIMIENTOS!$D$5:$D$417="sacos")*(MOVIMIENTOS!$A$5:$A$417&lt;&gt;"")*(MOVIMIENTOS!$A$5:$A$417&lt;=$A62)*MOVIMIENTOS!$E$5:$E$417)-SUMPRODUCT((MOVIMIENTOS!$B$5:$B$417="VENTA CHANCHO")*(MOVIMIENTOS!$C$5:$C$417="Chancho")*(MOVIMIENTOS!$D$5:$D$417="sacos")*(MOVIMIENTOS!$A$5:$A$417&lt;&gt;"")*(MOVIMIENTOS!$A$5:$A$417&lt;=$A62)*MOVIMIENTOS!$E$5:$E$417)-SUMPRODUCT((MOVIMIENTOS!$B$5:$B$417="REGALO")*(MOVIMIENTOS!$C$5:$C$417="Chancho")*(MOVIMIENTOS!$D$5:$D$417="sacos")*(MOVIMIENTOS!$A$5:$A$417&lt;&gt;"")*(MOVIMIENTOS!$A$5:$A$417&lt;=$A62)*MOVIMIENTOS!$E$5:$E$417)-SUMPRODUCT((MOVIMIENTOS!$B$5:$B$417="VENTA")*(MOVIMIENTOS!$C$5:$C$417="Chancho")*(MOVIMIENTOS!$D$5:$D$417="sacos")*(MOVIMIENTOS!$A$5:$A$417&lt;&gt;"")*(MOVIMIENTOS!$A$5:$A$417&lt;=$A62)*MOVIMIENTOS!$E$5:$E$417)+SUMPRODUCT((MOVIMIENTOS!$B$5:$B$417="AJUSTE")*(MOVIMIENTOS!$C$5:$C$417="Chancho")*(MOVIMIENTOS!$D$5:$D$417="sacos")*(MOVIMIENTOS!$A$5:$A$417&lt;&gt;"")*(MOVIMIENTOS!$A$5:$A$417&lt;=$A62)*MOVIMIENTOS!$E$5:$E$417))</f>
        <v/>
      </c>
      <c r="G62" s="56" t="str">
        <f t="shared" si="3"/>
        <v/>
      </c>
      <c r="H62" s="56" t="str">
        <f>IF($A62="","",SUMPRODUCT((((MOVIMIENTOS!$B$5:$B$417="SALDO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62)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62)*MOVIMIENTOS!$I$5:$I$417))</f>
        <v/>
      </c>
      <c r="I62" s="54"/>
      <c r="J62" s="54" t="str">
        <f>IF(AND(MOVIMIENTOS!$A62&lt;&gt;"",COUNTIF(MOVIMIENTOS!$A$5:$A61,MOVIMIENTOS!$A62)=0),COUNT(J$4:J61)+1,"")</f>
        <v/>
      </c>
      <c r="K62" s="57">
        <f>MOVIMIENTOS!$A62</f>
        <v>46220</v>
      </c>
      <c r="L62" s="54"/>
      <c r="M62" s="54"/>
      <c r="N62" s="54"/>
    </row>
    <row r="63" spans="1:14" ht="15" customHeight="1" x14ac:dyDescent="0.2">
      <c r="A63" s="55" t="str">
        <f t="shared" si="2"/>
        <v/>
      </c>
      <c r="B63" s="56" t="str">
        <f>IF($A63="","",SUMPRODUCT((MOVIMIENTOS!$B$5:$B$417="SALDO INICIAL")*(MOVIMIENTOS!$C$5:$C$417="A")*(MOVIMIENTOS!$D$5:$D$417="jabas")*(MOVIMIENTOS!$A$5:$A$417&lt;&gt;"")*(MOVIMIENTOS!$A$5:$A$417&lt;=$A63)*MOVIMIENTOS!$E$5:$E$417)+SUMPRODUCT((MOVIMIENTOS!$B$5:$B$417="PROCESO")*(MOVIMIENTOS!$C$5:$C$417="A")*(MOVIMIENTOS!$D$5:$D$417="jabas")*(MOVIMIENTOS!$A$5:$A$417&lt;&gt;"")*(MOVIMIENTOS!$A$5:$A$417&lt;=$A63)*MOVIMIENTOS!$E$5:$E$417)-SUMPRODUCT((MOVIMIENTOS!$B$5:$B$417="ENVÍO A SUPESA")*(MOVIMIENTOS!$C$5:$C$417="A")*(MOVIMIENTOS!$D$5:$D$417="jabas")*(MOVIMIENTOS!$A$5:$A$417&lt;&gt;"")*(MOVIMIENTOS!$A$5:$A$417&lt;=$A63)*MOVIMIENTOS!$E$5:$E$417)+SUMPRODUCT((MOVIMIENTOS!$B$5:$B$417="DEVOLUCIÓN")*(MOVIMIENTOS!$C$5:$C$417="A")*(MOVIMIENTOS!$D$5:$D$417="jabas")*(MOVIMIENTOS!$A$5:$A$417&lt;&gt;"")*(MOVIMIENTOS!$A$5:$A$417&lt;=$A63)*MOVIMIENTOS!$E$5:$E$417)-SUMPRODUCT((MOVIMIENTOS!$B$5:$B$417="TRASIEGO")*(MOVIMIENTOS!$C$5:$C$417="A")*(MOVIMIENTOS!$D$5:$D$417="jabas")*(MOVIMIENTOS!$A$5:$A$417&lt;&gt;"")*(MOVIMIENTOS!$A$5:$A$417&lt;=$A63)*MOVIMIENTOS!$E$5:$E$417)-SUMPRODUCT((MOVIMIENTOS!$B$5:$B$417="REGALO")*(MOVIMIENTOS!$C$5:$C$417="A")*(MOVIMIENTOS!$D$5:$D$417="jabas")*(MOVIMIENTOS!$A$5:$A$417&lt;&gt;"")*(MOVIMIENTOS!$A$5:$A$417&lt;=$A63)*MOVIMIENTOS!$E$5:$E$417)-SUMPRODUCT((MOVIMIENTOS!$B$5:$B$417="VENTA")*(MOVIMIENTOS!$C$5:$C$417="A")*(MOVIMIENTOS!$D$5:$D$417="jabas")*(MOVIMIENTOS!$A$5:$A$417&lt;&gt;"")*(MOVIMIENTOS!$A$5:$A$417&lt;=$A63)*MOVIMIENTOS!$E$5:$E$417)+SUMPRODUCT((MOVIMIENTOS!$B$5:$B$417="AJUSTE")*(MOVIMIENTOS!$C$5:$C$417="A")*(MOVIMIENTOS!$D$5:$D$417="jabas")*(MOVIMIENTOS!$A$5:$A$417&lt;&gt;"")*(MOVIMIENTOS!$A$5:$A$417&lt;=$A63)*MOVIMIENTOS!$E$5:$E$417))</f>
        <v/>
      </c>
      <c r="C63" s="56" t="str">
        <f>IF($A63="","",SUMPRODUCT((MOVIMIENTOS!$B$5:$B$417="SALDO INICIAL")*(MOVIMIENTOS!$C$5:$C$417="P")*(MOVIMIENTOS!$D$5:$D$417="jabas")*(MOVIMIENTOS!$A$5:$A$417&lt;&gt;"")*(MOVIMIENTOS!$A$5:$A$417&lt;=$A63)*MOVIMIENTOS!$E$5:$E$417)+SUMPRODUCT((MOVIMIENTOS!$B$5:$B$417="PROCESO")*(MOVIMIENTOS!$C$5:$C$417="P")*(MOVIMIENTOS!$D$5:$D$417="jabas")*(MOVIMIENTOS!$A$5:$A$417&lt;&gt;"")*(MOVIMIENTOS!$A$5:$A$417&lt;=$A63)*MOVIMIENTOS!$E$5:$E$417)-SUMPRODUCT((MOVIMIENTOS!$B$5:$B$417="ENVÍO A SUPESA")*(MOVIMIENTOS!$C$5:$C$417="P")*(MOVIMIENTOS!$D$5:$D$417="jabas")*(MOVIMIENTOS!$A$5:$A$417&lt;&gt;"")*(MOVIMIENTOS!$A$5:$A$417&lt;=$A63)*MOVIMIENTOS!$E$5:$E$417)+SUMPRODUCT((MOVIMIENTOS!$B$5:$B$417="DEVOLUCIÓN")*(MOVIMIENTOS!$C$5:$C$417="P")*(MOVIMIENTOS!$D$5:$D$417="jabas")*(MOVIMIENTOS!$A$5:$A$417&lt;&gt;"")*(MOVIMIENTOS!$A$5:$A$417&lt;=$A63)*MOVIMIENTOS!$E$5:$E$417)-SUMPRODUCT((MOVIMIENTOS!$B$5:$B$417="TRASIEGO")*(MOVIMIENTOS!$C$5:$C$417="P")*(MOVIMIENTOS!$D$5:$D$417="jabas")*(MOVIMIENTOS!$A$5:$A$417&lt;&gt;"")*(MOVIMIENTOS!$A$5:$A$417&lt;=$A63)*MOVIMIENTOS!$E$5:$E$417)-SUMPRODUCT((MOVIMIENTOS!$B$5:$B$417="REGALO")*(MOVIMIENTOS!$C$5:$C$417="P")*(MOVIMIENTOS!$D$5:$D$417="jabas")*(MOVIMIENTOS!$A$5:$A$417&lt;&gt;"")*(MOVIMIENTOS!$A$5:$A$417&lt;=$A63)*MOVIMIENTOS!$E$5:$E$417)-SUMPRODUCT((MOVIMIENTOS!$B$5:$B$417="VENTA")*(MOVIMIENTOS!$C$5:$C$417="P")*(MOVIMIENTOS!$D$5:$D$417="jabas")*(MOVIMIENTOS!$A$5:$A$417&lt;&gt;"")*(MOVIMIENTOS!$A$5:$A$417&lt;=$A63)*MOVIMIENTOS!$E$5:$E$417)+SUMPRODUCT((MOVIMIENTOS!$B$5:$B$417="AJUSTE")*(MOVIMIENTOS!$C$5:$C$417="P")*(MOVIMIENTOS!$D$5:$D$417="jabas")*(MOVIMIENTOS!$A$5:$A$417&lt;&gt;"")*(MOVIMIENTOS!$A$5:$A$417&lt;=$A63)*MOVIMIENTOS!$E$5:$E$417))</f>
        <v/>
      </c>
      <c r="D63" s="56" t="str">
        <f>IF($A63="","",SUMPRODUCT((MOVIMIENTOS!$B$5:$B$417="SALDO INICIAL")*(MOVIMIENTOS!$C$5:$C$417="C")*(MOVIMIENTOS!$D$5:$D$417="jabas")*(MOVIMIENTOS!$A$5:$A$417&lt;&gt;"")*(MOVIMIENTOS!$A$5:$A$417&lt;=$A63)*MOVIMIENTOS!$E$5:$E$417)+SUMPRODUCT((MOVIMIENTOS!$B$5:$B$417="PROCESO")*(MOVIMIENTOS!$C$5:$C$417="C")*(MOVIMIENTOS!$D$5:$D$417="jabas")*(MOVIMIENTOS!$A$5:$A$417&lt;&gt;"")*(MOVIMIENTOS!$A$5:$A$417&lt;=$A63)*MOVIMIENTOS!$E$5:$E$417)-SUMPRODUCT((MOVIMIENTOS!$B$5:$B$417="ENVÍO A SUPESA")*(MOVIMIENTOS!$C$5:$C$417="C")*(MOVIMIENTOS!$D$5:$D$417="jabas")*(MOVIMIENTOS!$A$5:$A$417&lt;&gt;"")*(MOVIMIENTOS!$A$5:$A$417&lt;=$A63)*MOVIMIENTOS!$E$5:$E$417)+SUMPRODUCT((MOVIMIENTOS!$B$5:$B$417="DEVOLUCIÓN")*(MOVIMIENTOS!$C$5:$C$417="C")*(MOVIMIENTOS!$D$5:$D$417="jabas")*(MOVIMIENTOS!$A$5:$A$417&lt;&gt;"")*(MOVIMIENTOS!$A$5:$A$417&lt;=$A63)*MOVIMIENTOS!$E$5:$E$417)-SUMPRODUCT((MOVIMIENTOS!$B$5:$B$417="TRASIEGO")*(MOVIMIENTOS!$C$5:$C$417="C")*(MOVIMIENTOS!$D$5:$D$417="jabas")*(MOVIMIENTOS!$A$5:$A$417&lt;&gt;"")*(MOVIMIENTOS!$A$5:$A$417&lt;=$A63)*MOVIMIENTOS!$E$5:$E$417)-SUMPRODUCT((MOVIMIENTOS!$B$5:$B$417="REGALO")*(MOVIMIENTOS!$C$5:$C$417="C")*(MOVIMIENTOS!$D$5:$D$417="jabas")*(MOVIMIENTOS!$A$5:$A$417&lt;&gt;"")*(MOVIMIENTOS!$A$5:$A$417&lt;=$A63)*MOVIMIENTOS!$E$5:$E$417)-SUMPRODUCT((MOVIMIENTOS!$B$5:$B$417="VENTA")*(MOVIMIENTOS!$C$5:$C$417="C")*(MOVIMIENTOS!$D$5:$D$417="jabas")*(MOVIMIENTOS!$A$5:$A$417&lt;&gt;"")*(MOVIMIENTOS!$A$5:$A$417&lt;=$A63)*MOVIMIENTOS!$E$5:$E$417)+SUMPRODUCT((MOVIMIENTOS!$B$5:$B$417="AJUSTE")*(MOVIMIENTOS!$C$5:$C$417="C")*(MOVIMIENTOS!$D$5:$D$417="jabas")*(MOVIMIENTOS!$A$5:$A$417&lt;&gt;"")*(MOVIMIENTOS!$A$5:$A$417&lt;=$A63)*MOVIMIENTOS!$E$5:$E$417))</f>
        <v/>
      </c>
      <c r="E63" s="56" t="str">
        <f>IF($A63="","",SUMPRODUCT((MOVIMIENTOS!$B$5:$B$417="SALDO INICIAL")*(MOVIMIENTOS!$C$5:$C$417="M")*(MOVIMIENTOS!$D$5:$D$417="jabas")*(MOVIMIENTOS!$A$5:$A$417&lt;&gt;"")*(MOVIMIENTOS!$A$5:$A$417&lt;=$A63)*MOVIMIENTOS!$E$5:$E$417)+SUMPRODUCT((MOVIMIENTOS!$B$5:$B$417="PROCESO")*(MOVIMIENTOS!$C$5:$C$417="M")*(MOVIMIENTOS!$D$5:$D$417="jabas")*(MOVIMIENTOS!$A$5:$A$417&lt;&gt;"")*(MOVIMIENTOS!$A$5:$A$417&lt;=$A63)*MOVIMIENTOS!$E$5:$E$417)-SUMPRODUCT((MOVIMIENTOS!$B$5:$B$417="ENVÍO A SUPESA")*(MOVIMIENTOS!$C$5:$C$417="M")*(MOVIMIENTOS!$D$5:$D$417="jabas")*(MOVIMIENTOS!$A$5:$A$417&lt;&gt;"")*(MOVIMIENTOS!$A$5:$A$417&lt;=$A63)*MOVIMIENTOS!$E$5:$E$417)+SUMPRODUCT((MOVIMIENTOS!$B$5:$B$417="DEVOLUCIÓN")*(MOVIMIENTOS!$C$5:$C$417="M")*(MOVIMIENTOS!$D$5:$D$417="jabas")*(MOVIMIENTOS!$A$5:$A$417&lt;&gt;"")*(MOVIMIENTOS!$A$5:$A$417&lt;=$A63)*MOVIMIENTOS!$E$5:$E$417)-SUMPRODUCT((MOVIMIENTOS!$B$5:$B$417="TRASIEGO")*(MOVIMIENTOS!$C$5:$C$417="M")*(MOVIMIENTOS!$D$5:$D$417="jabas")*(MOVIMIENTOS!$A$5:$A$417&lt;&gt;"")*(MOVIMIENTOS!$A$5:$A$417&lt;=$A63)*MOVIMIENTOS!$E$5:$E$417)-SUMPRODUCT((MOVIMIENTOS!$B$5:$B$417="REGALO")*(MOVIMIENTOS!$C$5:$C$417="M")*(MOVIMIENTOS!$D$5:$D$417="jabas")*(MOVIMIENTOS!$A$5:$A$417&lt;&gt;"")*(MOVIMIENTOS!$A$5:$A$417&lt;=$A63)*MOVIMIENTOS!$E$5:$E$417)-SUMPRODUCT((MOVIMIENTOS!$B$5:$B$417="VENTA")*(MOVIMIENTOS!$C$5:$C$417="M")*(MOVIMIENTOS!$D$5:$D$417="jabas")*(MOVIMIENTOS!$A$5:$A$417&lt;&gt;"")*(MOVIMIENTOS!$A$5:$A$417&lt;=$A63)*MOVIMIENTOS!$E$5:$E$417)+SUMPRODUCT((MOVIMIENTOS!$B$5:$B$417="AJUSTE")*(MOVIMIENTOS!$C$5:$C$417="M")*(MOVIMIENTOS!$D$5:$D$417="jabas")*(MOVIMIENTOS!$A$5:$A$417&lt;&gt;"")*(MOVIMIENTOS!$A$5:$A$417&lt;=$A63)*MOVIMIENTOS!$E$5:$E$417))</f>
        <v/>
      </c>
      <c r="F63" s="56" t="str">
        <f>IF($A63="","",SUMPRODUCT((MOVIMIENTOS!$B$5:$B$417="SALDO INICIAL")*(MOVIMIENTOS!$C$5:$C$417="Chancho")*(MOVIMIENTOS!$D$5:$D$417="sacos")*(MOVIMIENTOS!$A$5:$A$417&lt;&gt;"")*(MOVIMIENTOS!$A$5:$A$417&lt;=$A63)*MOVIMIENTOS!$E$5:$E$417)+SUMPRODUCT((MOVIMIENTOS!$B$5:$B$417="PROCESO")*(MOVIMIENTOS!$C$5:$C$417="Chancho")*(MOVIMIENTOS!$D$5:$D$417="sacos")*(MOVIMIENTOS!$A$5:$A$417&lt;&gt;"")*(MOVIMIENTOS!$A$5:$A$417&lt;=$A63)*MOVIMIENTOS!$E$5:$E$417)-SUMPRODUCT((MOVIMIENTOS!$B$5:$B$417="VENTA CHANCHO")*(MOVIMIENTOS!$C$5:$C$417="Chancho")*(MOVIMIENTOS!$D$5:$D$417="sacos")*(MOVIMIENTOS!$A$5:$A$417&lt;&gt;"")*(MOVIMIENTOS!$A$5:$A$417&lt;=$A63)*MOVIMIENTOS!$E$5:$E$417)-SUMPRODUCT((MOVIMIENTOS!$B$5:$B$417="REGALO")*(MOVIMIENTOS!$C$5:$C$417="Chancho")*(MOVIMIENTOS!$D$5:$D$417="sacos")*(MOVIMIENTOS!$A$5:$A$417&lt;&gt;"")*(MOVIMIENTOS!$A$5:$A$417&lt;=$A63)*MOVIMIENTOS!$E$5:$E$417)-SUMPRODUCT((MOVIMIENTOS!$B$5:$B$417="VENTA")*(MOVIMIENTOS!$C$5:$C$417="Chancho")*(MOVIMIENTOS!$D$5:$D$417="sacos")*(MOVIMIENTOS!$A$5:$A$417&lt;&gt;"")*(MOVIMIENTOS!$A$5:$A$417&lt;=$A63)*MOVIMIENTOS!$E$5:$E$417)+SUMPRODUCT((MOVIMIENTOS!$B$5:$B$417="AJUSTE")*(MOVIMIENTOS!$C$5:$C$417="Chancho")*(MOVIMIENTOS!$D$5:$D$417="sacos")*(MOVIMIENTOS!$A$5:$A$417&lt;&gt;"")*(MOVIMIENTOS!$A$5:$A$417&lt;=$A63)*MOVIMIENTOS!$E$5:$E$417))</f>
        <v/>
      </c>
      <c r="G63" s="56" t="str">
        <f t="shared" si="3"/>
        <v/>
      </c>
      <c r="H63" s="56" t="str">
        <f>IF($A63="","",SUMPRODUCT((((MOVIMIENTOS!$B$5:$B$417="SALDO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63)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63)*MOVIMIENTOS!$I$5:$I$417))</f>
        <v/>
      </c>
      <c r="I63" s="54"/>
      <c r="J63" s="54" t="str">
        <f>IF(AND(MOVIMIENTOS!$A63&lt;&gt;"",COUNTIF(MOVIMIENTOS!$A$5:$A62,MOVIMIENTOS!$A63)=0),COUNT(J$4:J62)+1,"")</f>
        <v/>
      </c>
      <c r="K63" s="57">
        <f>MOVIMIENTOS!$A63</f>
        <v>46220</v>
      </c>
      <c r="L63" s="54"/>
      <c r="M63" s="54"/>
      <c r="N63" s="54"/>
    </row>
    <row r="64" spans="1:14" ht="15" customHeight="1" x14ac:dyDescent="0.2">
      <c r="A64" s="55" t="str">
        <f t="shared" si="2"/>
        <v/>
      </c>
      <c r="B64" s="56" t="str">
        <f>IF($A64="","",SUMPRODUCT((MOVIMIENTOS!$B$5:$B$417="SALDO INICIAL")*(MOVIMIENTOS!$C$5:$C$417="A")*(MOVIMIENTOS!$D$5:$D$417="jabas")*(MOVIMIENTOS!$A$5:$A$417&lt;&gt;"")*(MOVIMIENTOS!$A$5:$A$417&lt;=$A64)*MOVIMIENTOS!$E$5:$E$417)+SUMPRODUCT((MOVIMIENTOS!$B$5:$B$417="PROCESO")*(MOVIMIENTOS!$C$5:$C$417="A")*(MOVIMIENTOS!$D$5:$D$417="jabas")*(MOVIMIENTOS!$A$5:$A$417&lt;&gt;"")*(MOVIMIENTOS!$A$5:$A$417&lt;=$A64)*MOVIMIENTOS!$E$5:$E$417)-SUMPRODUCT((MOVIMIENTOS!$B$5:$B$417="ENVÍO A SUPESA")*(MOVIMIENTOS!$C$5:$C$417="A")*(MOVIMIENTOS!$D$5:$D$417="jabas")*(MOVIMIENTOS!$A$5:$A$417&lt;&gt;"")*(MOVIMIENTOS!$A$5:$A$417&lt;=$A64)*MOVIMIENTOS!$E$5:$E$417)+SUMPRODUCT((MOVIMIENTOS!$B$5:$B$417="DEVOLUCIÓN")*(MOVIMIENTOS!$C$5:$C$417="A")*(MOVIMIENTOS!$D$5:$D$417="jabas")*(MOVIMIENTOS!$A$5:$A$417&lt;&gt;"")*(MOVIMIENTOS!$A$5:$A$417&lt;=$A64)*MOVIMIENTOS!$E$5:$E$417)-SUMPRODUCT((MOVIMIENTOS!$B$5:$B$417="TRASIEGO")*(MOVIMIENTOS!$C$5:$C$417="A")*(MOVIMIENTOS!$D$5:$D$417="jabas")*(MOVIMIENTOS!$A$5:$A$417&lt;&gt;"")*(MOVIMIENTOS!$A$5:$A$417&lt;=$A64)*MOVIMIENTOS!$E$5:$E$417)-SUMPRODUCT((MOVIMIENTOS!$B$5:$B$417="REGALO")*(MOVIMIENTOS!$C$5:$C$417="A")*(MOVIMIENTOS!$D$5:$D$417="jabas")*(MOVIMIENTOS!$A$5:$A$417&lt;&gt;"")*(MOVIMIENTOS!$A$5:$A$417&lt;=$A64)*MOVIMIENTOS!$E$5:$E$417)-SUMPRODUCT((MOVIMIENTOS!$B$5:$B$417="VENTA")*(MOVIMIENTOS!$C$5:$C$417="A")*(MOVIMIENTOS!$D$5:$D$417="jabas")*(MOVIMIENTOS!$A$5:$A$417&lt;&gt;"")*(MOVIMIENTOS!$A$5:$A$417&lt;=$A64)*MOVIMIENTOS!$E$5:$E$417)+SUMPRODUCT((MOVIMIENTOS!$B$5:$B$417="AJUSTE")*(MOVIMIENTOS!$C$5:$C$417="A")*(MOVIMIENTOS!$D$5:$D$417="jabas")*(MOVIMIENTOS!$A$5:$A$417&lt;&gt;"")*(MOVIMIENTOS!$A$5:$A$417&lt;=$A64)*MOVIMIENTOS!$E$5:$E$417))</f>
        <v/>
      </c>
      <c r="C64" s="56" t="str">
        <f>IF($A64="","",SUMPRODUCT((MOVIMIENTOS!$B$5:$B$417="SALDO INICIAL")*(MOVIMIENTOS!$C$5:$C$417="P")*(MOVIMIENTOS!$D$5:$D$417="jabas")*(MOVIMIENTOS!$A$5:$A$417&lt;&gt;"")*(MOVIMIENTOS!$A$5:$A$417&lt;=$A64)*MOVIMIENTOS!$E$5:$E$417)+SUMPRODUCT((MOVIMIENTOS!$B$5:$B$417="PROCESO")*(MOVIMIENTOS!$C$5:$C$417="P")*(MOVIMIENTOS!$D$5:$D$417="jabas")*(MOVIMIENTOS!$A$5:$A$417&lt;&gt;"")*(MOVIMIENTOS!$A$5:$A$417&lt;=$A64)*MOVIMIENTOS!$E$5:$E$417)-SUMPRODUCT((MOVIMIENTOS!$B$5:$B$417="ENVÍO A SUPESA")*(MOVIMIENTOS!$C$5:$C$417="P")*(MOVIMIENTOS!$D$5:$D$417="jabas")*(MOVIMIENTOS!$A$5:$A$417&lt;&gt;"")*(MOVIMIENTOS!$A$5:$A$417&lt;=$A64)*MOVIMIENTOS!$E$5:$E$417)+SUMPRODUCT((MOVIMIENTOS!$B$5:$B$417="DEVOLUCIÓN")*(MOVIMIENTOS!$C$5:$C$417="P")*(MOVIMIENTOS!$D$5:$D$417="jabas")*(MOVIMIENTOS!$A$5:$A$417&lt;&gt;"")*(MOVIMIENTOS!$A$5:$A$417&lt;=$A64)*MOVIMIENTOS!$E$5:$E$417)-SUMPRODUCT((MOVIMIENTOS!$B$5:$B$417="TRASIEGO")*(MOVIMIENTOS!$C$5:$C$417="P")*(MOVIMIENTOS!$D$5:$D$417="jabas")*(MOVIMIENTOS!$A$5:$A$417&lt;&gt;"")*(MOVIMIENTOS!$A$5:$A$417&lt;=$A64)*MOVIMIENTOS!$E$5:$E$417)-SUMPRODUCT((MOVIMIENTOS!$B$5:$B$417="REGALO")*(MOVIMIENTOS!$C$5:$C$417="P")*(MOVIMIENTOS!$D$5:$D$417="jabas")*(MOVIMIENTOS!$A$5:$A$417&lt;&gt;"")*(MOVIMIENTOS!$A$5:$A$417&lt;=$A64)*MOVIMIENTOS!$E$5:$E$417)-SUMPRODUCT((MOVIMIENTOS!$B$5:$B$417="VENTA")*(MOVIMIENTOS!$C$5:$C$417="P")*(MOVIMIENTOS!$D$5:$D$417="jabas")*(MOVIMIENTOS!$A$5:$A$417&lt;&gt;"")*(MOVIMIENTOS!$A$5:$A$417&lt;=$A64)*MOVIMIENTOS!$E$5:$E$417)+SUMPRODUCT((MOVIMIENTOS!$B$5:$B$417="AJUSTE")*(MOVIMIENTOS!$C$5:$C$417="P")*(MOVIMIENTOS!$D$5:$D$417="jabas")*(MOVIMIENTOS!$A$5:$A$417&lt;&gt;"")*(MOVIMIENTOS!$A$5:$A$417&lt;=$A64)*MOVIMIENTOS!$E$5:$E$417))</f>
        <v/>
      </c>
      <c r="D64" s="56" t="str">
        <f>IF($A64="","",SUMPRODUCT((MOVIMIENTOS!$B$5:$B$417="SALDO INICIAL")*(MOVIMIENTOS!$C$5:$C$417="C")*(MOVIMIENTOS!$D$5:$D$417="jabas")*(MOVIMIENTOS!$A$5:$A$417&lt;&gt;"")*(MOVIMIENTOS!$A$5:$A$417&lt;=$A64)*MOVIMIENTOS!$E$5:$E$417)+SUMPRODUCT((MOVIMIENTOS!$B$5:$B$417="PROCESO")*(MOVIMIENTOS!$C$5:$C$417="C")*(MOVIMIENTOS!$D$5:$D$417="jabas")*(MOVIMIENTOS!$A$5:$A$417&lt;&gt;"")*(MOVIMIENTOS!$A$5:$A$417&lt;=$A64)*MOVIMIENTOS!$E$5:$E$417)-SUMPRODUCT((MOVIMIENTOS!$B$5:$B$417="ENVÍO A SUPESA")*(MOVIMIENTOS!$C$5:$C$417="C")*(MOVIMIENTOS!$D$5:$D$417="jabas")*(MOVIMIENTOS!$A$5:$A$417&lt;&gt;"")*(MOVIMIENTOS!$A$5:$A$417&lt;=$A64)*MOVIMIENTOS!$E$5:$E$417)+SUMPRODUCT((MOVIMIENTOS!$B$5:$B$417="DEVOLUCIÓN")*(MOVIMIENTOS!$C$5:$C$417="C")*(MOVIMIENTOS!$D$5:$D$417="jabas")*(MOVIMIENTOS!$A$5:$A$417&lt;&gt;"")*(MOVIMIENTOS!$A$5:$A$417&lt;=$A64)*MOVIMIENTOS!$E$5:$E$417)-SUMPRODUCT((MOVIMIENTOS!$B$5:$B$417="TRASIEGO")*(MOVIMIENTOS!$C$5:$C$417="C")*(MOVIMIENTOS!$D$5:$D$417="jabas")*(MOVIMIENTOS!$A$5:$A$417&lt;&gt;"")*(MOVIMIENTOS!$A$5:$A$417&lt;=$A64)*MOVIMIENTOS!$E$5:$E$417)-SUMPRODUCT((MOVIMIENTOS!$B$5:$B$417="REGALO")*(MOVIMIENTOS!$C$5:$C$417="C")*(MOVIMIENTOS!$D$5:$D$417="jabas")*(MOVIMIENTOS!$A$5:$A$417&lt;&gt;"")*(MOVIMIENTOS!$A$5:$A$417&lt;=$A64)*MOVIMIENTOS!$E$5:$E$417)-SUMPRODUCT((MOVIMIENTOS!$B$5:$B$417="VENTA")*(MOVIMIENTOS!$C$5:$C$417="C")*(MOVIMIENTOS!$D$5:$D$417="jabas")*(MOVIMIENTOS!$A$5:$A$417&lt;&gt;"")*(MOVIMIENTOS!$A$5:$A$417&lt;=$A64)*MOVIMIENTOS!$E$5:$E$417)+SUMPRODUCT((MOVIMIENTOS!$B$5:$B$417="AJUSTE")*(MOVIMIENTOS!$C$5:$C$417="C")*(MOVIMIENTOS!$D$5:$D$417="jabas")*(MOVIMIENTOS!$A$5:$A$417&lt;&gt;"")*(MOVIMIENTOS!$A$5:$A$417&lt;=$A64)*MOVIMIENTOS!$E$5:$E$417))</f>
        <v/>
      </c>
      <c r="E64" s="56" t="str">
        <f>IF($A64="","",SUMPRODUCT((MOVIMIENTOS!$B$5:$B$417="SALDO INICIAL")*(MOVIMIENTOS!$C$5:$C$417="M")*(MOVIMIENTOS!$D$5:$D$417="jabas")*(MOVIMIENTOS!$A$5:$A$417&lt;&gt;"")*(MOVIMIENTOS!$A$5:$A$417&lt;=$A64)*MOVIMIENTOS!$E$5:$E$417)+SUMPRODUCT((MOVIMIENTOS!$B$5:$B$417="PROCESO")*(MOVIMIENTOS!$C$5:$C$417="M")*(MOVIMIENTOS!$D$5:$D$417="jabas")*(MOVIMIENTOS!$A$5:$A$417&lt;&gt;"")*(MOVIMIENTOS!$A$5:$A$417&lt;=$A64)*MOVIMIENTOS!$E$5:$E$417)-SUMPRODUCT((MOVIMIENTOS!$B$5:$B$417="ENVÍO A SUPESA")*(MOVIMIENTOS!$C$5:$C$417="M")*(MOVIMIENTOS!$D$5:$D$417="jabas")*(MOVIMIENTOS!$A$5:$A$417&lt;&gt;"")*(MOVIMIENTOS!$A$5:$A$417&lt;=$A64)*MOVIMIENTOS!$E$5:$E$417)+SUMPRODUCT((MOVIMIENTOS!$B$5:$B$417="DEVOLUCIÓN")*(MOVIMIENTOS!$C$5:$C$417="M")*(MOVIMIENTOS!$D$5:$D$417="jabas")*(MOVIMIENTOS!$A$5:$A$417&lt;&gt;"")*(MOVIMIENTOS!$A$5:$A$417&lt;=$A64)*MOVIMIENTOS!$E$5:$E$417)-SUMPRODUCT((MOVIMIENTOS!$B$5:$B$417="TRASIEGO")*(MOVIMIENTOS!$C$5:$C$417="M")*(MOVIMIENTOS!$D$5:$D$417="jabas")*(MOVIMIENTOS!$A$5:$A$417&lt;&gt;"")*(MOVIMIENTOS!$A$5:$A$417&lt;=$A64)*MOVIMIENTOS!$E$5:$E$417)-SUMPRODUCT((MOVIMIENTOS!$B$5:$B$417="REGALO")*(MOVIMIENTOS!$C$5:$C$417="M")*(MOVIMIENTOS!$D$5:$D$417="jabas")*(MOVIMIENTOS!$A$5:$A$417&lt;&gt;"")*(MOVIMIENTOS!$A$5:$A$417&lt;=$A64)*MOVIMIENTOS!$E$5:$E$417)-SUMPRODUCT((MOVIMIENTOS!$B$5:$B$417="VENTA")*(MOVIMIENTOS!$C$5:$C$417="M")*(MOVIMIENTOS!$D$5:$D$417="jabas")*(MOVIMIENTOS!$A$5:$A$417&lt;&gt;"")*(MOVIMIENTOS!$A$5:$A$417&lt;=$A64)*MOVIMIENTOS!$E$5:$E$417)+SUMPRODUCT((MOVIMIENTOS!$B$5:$B$417="AJUSTE")*(MOVIMIENTOS!$C$5:$C$417="M")*(MOVIMIENTOS!$D$5:$D$417="jabas")*(MOVIMIENTOS!$A$5:$A$417&lt;&gt;"")*(MOVIMIENTOS!$A$5:$A$417&lt;=$A64)*MOVIMIENTOS!$E$5:$E$417))</f>
        <v/>
      </c>
      <c r="F64" s="56" t="str">
        <f>IF($A64="","",SUMPRODUCT((MOVIMIENTOS!$B$5:$B$417="SALDO INICIAL")*(MOVIMIENTOS!$C$5:$C$417="Chancho")*(MOVIMIENTOS!$D$5:$D$417="sacos")*(MOVIMIENTOS!$A$5:$A$417&lt;&gt;"")*(MOVIMIENTOS!$A$5:$A$417&lt;=$A64)*MOVIMIENTOS!$E$5:$E$417)+SUMPRODUCT((MOVIMIENTOS!$B$5:$B$417="PROCESO")*(MOVIMIENTOS!$C$5:$C$417="Chancho")*(MOVIMIENTOS!$D$5:$D$417="sacos")*(MOVIMIENTOS!$A$5:$A$417&lt;&gt;"")*(MOVIMIENTOS!$A$5:$A$417&lt;=$A64)*MOVIMIENTOS!$E$5:$E$417)-SUMPRODUCT((MOVIMIENTOS!$B$5:$B$417="VENTA CHANCHO")*(MOVIMIENTOS!$C$5:$C$417="Chancho")*(MOVIMIENTOS!$D$5:$D$417="sacos")*(MOVIMIENTOS!$A$5:$A$417&lt;&gt;"")*(MOVIMIENTOS!$A$5:$A$417&lt;=$A64)*MOVIMIENTOS!$E$5:$E$417)-SUMPRODUCT((MOVIMIENTOS!$B$5:$B$417="REGALO")*(MOVIMIENTOS!$C$5:$C$417="Chancho")*(MOVIMIENTOS!$D$5:$D$417="sacos")*(MOVIMIENTOS!$A$5:$A$417&lt;&gt;"")*(MOVIMIENTOS!$A$5:$A$417&lt;=$A64)*MOVIMIENTOS!$E$5:$E$417)-SUMPRODUCT((MOVIMIENTOS!$B$5:$B$417="VENTA")*(MOVIMIENTOS!$C$5:$C$417="Chancho")*(MOVIMIENTOS!$D$5:$D$417="sacos")*(MOVIMIENTOS!$A$5:$A$417&lt;&gt;"")*(MOVIMIENTOS!$A$5:$A$417&lt;=$A64)*MOVIMIENTOS!$E$5:$E$417)+SUMPRODUCT((MOVIMIENTOS!$B$5:$B$417="AJUSTE")*(MOVIMIENTOS!$C$5:$C$417="Chancho")*(MOVIMIENTOS!$D$5:$D$417="sacos")*(MOVIMIENTOS!$A$5:$A$417&lt;&gt;"")*(MOVIMIENTOS!$A$5:$A$417&lt;=$A64)*MOVIMIENTOS!$E$5:$E$417))</f>
        <v/>
      </c>
      <c r="G64" s="56" t="str">
        <f t="shared" si="3"/>
        <v/>
      </c>
      <c r="H64" s="56" t="str">
        <f>IF($A64="","",SUMPRODUCT((((MOVIMIENTOS!$B$5:$B$417="SALDO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64)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64)*MOVIMIENTOS!$I$5:$I$417))</f>
        <v/>
      </c>
      <c r="I64" s="54"/>
      <c r="J64" s="54" t="str">
        <f>IF(AND(MOVIMIENTOS!$A64&lt;&gt;"",COUNTIF(MOVIMIENTOS!$A$5:$A63,MOVIMIENTOS!$A64)=0),COUNT(J$4:J63)+1,"")</f>
        <v/>
      </c>
      <c r="K64" s="57">
        <f>MOVIMIENTOS!$A64</f>
        <v>46220</v>
      </c>
      <c r="L64" s="54"/>
      <c r="M64" s="54"/>
      <c r="N64" s="54"/>
    </row>
    <row r="65" spans="1:14" ht="15" customHeight="1" x14ac:dyDescent="0.2">
      <c r="A65" s="55" t="str">
        <f t="shared" si="2"/>
        <v/>
      </c>
      <c r="B65" s="56" t="str">
        <f>IF($A65="","",SUMPRODUCT((MOVIMIENTOS!$B$5:$B$417="SALDO INICIAL")*(MOVIMIENTOS!$C$5:$C$417="A")*(MOVIMIENTOS!$D$5:$D$417="jabas")*(MOVIMIENTOS!$A$5:$A$417&lt;&gt;"")*(MOVIMIENTOS!$A$5:$A$417&lt;=$A65)*MOVIMIENTOS!$E$5:$E$417)+SUMPRODUCT((MOVIMIENTOS!$B$5:$B$417="PROCESO")*(MOVIMIENTOS!$C$5:$C$417="A")*(MOVIMIENTOS!$D$5:$D$417="jabas")*(MOVIMIENTOS!$A$5:$A$417&lt;&gt;"")*(MOVIMIENTOS!$A$5:$A$417&lt;=$A65)*MOVIMIENTOS!$E$5:$E$417)-SUMPRODUCT((MOVIMIENTOS!$B$5:$B$417="ENVÍO A SUPESA")*(MOVIMIENTOS!$C$5:$C$417="A")*(MOVIMIENTOS!$D$5:$D$417="jabas")*(MOVIMIENTOS!$A$5:$A$417&lt;&gt;"")*(MOVIMIENTOS!$A$5:$A$417&lt;=$A65)*MOVIMIENTOS!$E$5:$E$417)+SUMPRODUCT((MOVIMIENTOS!$B$5:$B$417="DEVOLUCIÓN")*(MOVIMIENTOS!$C$5:$C$417="A")*(MOVIMIENTOS!$D$5:$D$417="jabas")*(MOVIMIENTOS!$A$5:$A$417&lt;&gt;"")*(MOVIMIENTOS!$A$5:$A$417&lt;=$A65)*MOVIMIENTOS!$E$5:$E$417)-SUMPRODUCT((MOVIMIENTOS!$B$5:$B$417="TRASIEGO")*(MOVIMIENTOS!$C$5:$C$417="A")*(MOVIMIENTOS!$D$5:$D$417="jabas")*(MOVIMIENTOS!$A$5:$A$417&lt;&gt;"")*(MOVIMIENTOS!$A$5:$A$417&lt;=$A65)*MOVIMIENTOS!$E$5:$E$417)-SUMPRODUCT((MOVIMIENTOS!$B$5:$B$417="REGALO")*(MOVIMIENTOS!$C$5:$C$417="A")*(MOVIMIENTOS!$D$5:$D$417="jabas")*(MOVIMIENTOS!$A$5:$A$417&lt;&gt;"")*(MOVIMIENTOS!$A$5:$A$417&lt;=$A65)*MOVIMIENTOS!$E$5:$E$417)-SUMPRODUCT((MOVIMIENTOS!$B$5:$B$417="VENTA")*(MOVIMIENTOS!$C$5:$C$417="A")*(MOVIMIENTOS!$D$5:$D$417="jabas")*(MOVIMIENTOS!$A$5:$A$417&lt;&gt;"")*(MOVIMIENTOS!$A$5:$A$417&lt;=$A65)*MOVIMIENTOS!$E$5:$E$417)+SUMPRODUCT((MOVIMIENTOS!$B$5:$B$417="AJUSTE")*(MOVIMIENTOS!$C$5:$C$417="A")*(MOVIMIENTOS!$D$5:$D$417="jabas")*(MOVIMIENTOS!$A$5:$A$417&lt;&gt;"")*(MOVIMIENTOS!$A$5:$A$417&lt;=$A65)*MOVIMIENTOS!$E$5:$E$417))</f>
        <v/>
      </c>
      <c r="C65" s="56" t="str">
        <f>IF($A65="","",SUMPRODUCT((MOVIMIENTOS!$B$5:$B$417="SALDO INICIAL")*(MOVIMIENTOS!$C$5:$C$417="P")*(MOVIMIENTOS!$D$5:$D$417="jabas")*(MOVIMIENTOS!$A$5:$A$417&lt;&gt;"")*(MOVIMIENTOS!$A$5:$A$417&lt;=$A65)*MOVIMIENTOS!$E$5:$E$417)+SUMPRODUCT((MOVIMIENTOS!$B$5:$B$417="PROCESO")*(MOVIMIENTOS!$C$5:$C$417="P")*(MOVIMIENTOS!$D$5:$D$417="jabas")*(MOVIMIENTOS!$A$5:$A$417&lt;&gt;"")*(MOVIMIENTOS!$A$5:$A$417&lt;=$A65)*MOVIMIENTOS!$E$5:$E$417)-SUMPRODUCT((MOVIMIENTOS!$B$5:$B$417="ENVÍO A SUPESA")*(MOVIMIENTOS!$C$5:$C$417="P")*(MOVIMIENTOS!$D$5:$D$417="jabas")*(MOVIMIENTOS!$A$5:$A$417&lt;&gt;"")*(MOVIMIENTOS!$A$5:$A$417&lt;=$A65)*MOVIMIENTOS!$E$5:$E$417)+SUMPRODUCT((MOVIMIENTOS!$B$5:$B$417="DEVOLUCIÓN")*(MOVIMIENTOS!$C$5:$C$417="P")*(MOVIMIENTOS!$D$5:$D$417="jabas")*(MOVIMIENTOS!$A$5:$A$417&lt;&gt;"")*(MOVIMIENTOS!$A$5:$A$417&lt;=$A65)*MOVIMIENTOS!$E$5:$E$417)-SUMPRODUCT((MOVIMIENTOS!$B$5:$B$417="TRASIEGO")*(MOVIMIENTOS!$C$5:$C$417="P")*(MOVIMIENTOS!$D$5:$D$417="jabas")*(MOVIMIENTOS!$A$5:$A$417&lt;&gt;"")*(MOVIMIENTOS!$A$5:$A$417&lt;=$A65)*MOVIMIENTOS!$E$5:$E$417)-SUMPRODUCT((MOVIMIENTOS!$B$5:$B$417="REGALO")*(MOVIMIENTOS!$C$5:$C$417="P")*(MOVIMIENTOS!$D$5:$D$417="jabas")*(MOVIMIENTOS!$A$5:$A$417&lt;&gt;"")*(MOVIMIENTOS!$A$5:$A$417&lt;=$A65)*MOVIMIENTOS!$E$5:$E$417)-SUMPRODUCT((MOVIMIENTOS!$B$5:$B$417="VENTA")*(MOVIMIENTOS!$C$5:$C$417="P")*(MOVIMIENTOS!$D$5:$D$417="jabas")*(MOVIMIENTOS!$A$5:$A$417&lt;&gt;"")*(MOVIMIENTOS!$A$5:$A$417&lt;=$A65)*MOVIMIENTOS!$E$5:$E$417)+SUMPRODUCT((MOVIMIENTOS!$B$5:$B$417="AJUSTE")*(MOVIMIENTOS!$C$5:$C$417="P")*(MOVIMIENTOS!$D$5:$D$417="jabas")*(MOVIMIENTOS!$A$5:$A$417&lt;&gt;"")*(MOVIMIENTOS!$A$5:$A$417&lt;=$A65)*MOVIMIENTOS!$E$5:$E$417))</f>
        <v/>
      </c>
      <c r="D65" s="56" t="str">
        <f>IF($A65="","",SUMPRODUCT((MOVIMIENTOS!$B$5:$B$417="SALDO INICIAL")*(MOVIMIENTOS!$C$5:$C$417="C")*(MOVIMIENTOS!$D$5:$D$417="jabas")*(MOVIMIENTOS!$A$5:$A$417&lt;&gt;"")*(MOVIMIENTOS!$A$5:$A$417&lt;=$A65)*MOVIMIENTOS!$E$5:$E$417)+SUMPRODUCT((MOVIMIENTOS!$B$5:$B$417="PROCESO")*(MOVIMIENTOS!$C$5:$C$417="C")*(MOVIMIENTOS!$D$5:$D$417="jabas")*(MOVIMIENTOS!$A$5:$A$417&lt;&gt;"")*(MOVIMIENTOS!$A$5:$A$417&lt;=$A65)*MOVIMIENTOS!$E$5:$E$417)-SUMPRODUCT((MOVIMIENTOS!$B$5:$B$417="ENVÍO A SUPESA")*(MOVIMIENTOS!$C$5:$C$417="C")*(MOVIMIENTOS!$D$5:$D$417="jabas")*(MOVIMIENTOS!$A$5:$A$417&lt;&gt;"")*(MOVIMIENTOS!$A$5:$A$417&lt;=$A65)*MOVIMIENTOS!$E$5:$E$417)+SUMPRODUCT((MOVIMIENTOS!$B$5:$B$417="DEVOLUCIÓN")*(MOVIMIENTOS!$C$5:$C$417="C")*(MOVIMIENTOS!$D$5:$D$417="jabas")*(MOVIMIENTOS!$A$5:$A$417&lt;&gt;"")*(MOVIMIENTOS!$A$5:$A$417&lt;=$A65)*MOVIMIENTOS!$E$5:$E$417)-SUMPRODUCT((MOVIMIENTOS!$B$5:$B$417="TRASIEGO")*(MOVIMIENTOS!$C$5:$C$417="C")*(MOVIMIENTOS!$D$5:$D$417="jabas")*(MOVIMIENTOS!$A$5:$A$417&lt;&gt;"")*(MOVIMIENTOS!$A$5:$A$417&lt;=$A65)*MOVIMIENTOS!$E$5:$E$417)-SUMPRODUCT((MOVIMIENTOS!$B$5:$B$417="REGALO")*(MOVIMIENTOS!$C$5:$C$417="C")*(MOVIMIENTOS!$D$5:$D$417="jabas")*(MOVIMIENTOS!$A$5:$A$417&lt;&gt;"")*(MOVIMIENTOS!$A$5:$A$417&lt;=$A65)*MOVIMIENTOS!$E$5:$E$417)-SUMPRODUCT((MOVIMIENTOS!$B$5:$B$417="VENTA")*(MOVIMIENTOS!$C$5:$C$417="C")*(MOVIMIENTOS!$D$5:$D$417="jabas")*(MOVIMIENTOS!$A$5:$A$417&lt;&gt;"")*(MOVIMIENTOS!$A$5:$A$417&lt;=$A65)*MOVIMIENTOS!$E$5:$E$417)+SUMPRODUCT((MOVIMIENTOS!$B$5:$B$417="AJUSTE")*(MOVIMIENTOS!$C$5:$C$417="C")*(MOVIMIENTOS!$D$5:$D$417="jabas")*(MOVIMIENTOS!$A$5:$A$417&lt;&gt;"")*(MOVIMIENTOS!$A$5:$A$417&lt;=$A65)*MOVIMIENTOS!$E$5:$E$417))</f>
        <v/>
      </c>
      <c r="E65" s="56" t="str">
        <f>IF($A65="","",SUMPRODUCT((MOVIMIENTOS!$B$5:$B$417="SALDO INICIAL")*(MOVIMIENTOS!$C$5:$C$417="M")*(MOVIMIENTOS!$D$5:$D$417="jabas")*(MOVIMIENTOS!$A$5:$A$417&lt;&gt;"")*(MOVIMIENTOS!$A$5:$A$417&lt;=$A65)*MOVIMIENTOS!$E$5:$E$417)+SUMPRODUCT((MOVIMIENTOS!$B$5:$B$417="PROCESO")*(MOVIMIENTOS!$C$5:$C$417="M")*(MOVIMIENTOS!$D$5:$D$417="jabas")*(MOVIMIENTOS!$A$5:$A$417&lt;&gt;"")*(MOVIMIENTOS!$A$5:$A$417&lt;=$A65)*MOVIMIENTOS!$E$5:$E$417)-SUMPRODUCT((MOVIMIENTOS!$B$5:$B$417="ENVÍO A SUPESA")*(MOVIMIENTOS!$C$5:$C$417="M")*(MOVIMIENTOS!$D$5:$D$417="jabas")*(MOVIMIENTOS!$A$5:$A$417&lt;&gt;"")*(MOVIMIENTOS!$A$5:$A$417&lt;=$A65)*MOVIMIENTOS!$E$5:$E$417)+SUMPRODUCT((MOVIMIENTOS!$B$5:$B$417="DEVOLUCIÓN")*(MOVIMIENTOS!$C$5:$C$417="M")*(MOVIMIENTOS!$D$5:$D$417="jabas")*(MOVIMIENTOS!$A$5:$A$417&lt;&gt;"")*(MOVIMIENTOS!$A$5:$A$417&lt;=$A65)*MOVIMIENTOS!$E$5:$E$417)-SUMPRODUCT((MOVIMIENTOS!$B$5:$B$417="TRASIEGO")*(MOVIMIENTOS!$C$5:$C$417="M")*(MOVIMIENTOS!$D$5:$D$417="jabas")*(MOVIMIENTOS!$A$5:$A$417&lt;&gt;"")*(MOVIMIENTOS!$A$5:$A$417&lt;=$A65)*MOVIMIENTOS!$E$5:$E$417)-SUMPRODUCT((MOVIMIENTOS!$B$5:$B$417="REGALO")*(MOVIMIENTOS!$C$5:$C$417="M")*(MOVIMIENTOS!$D$5:$D$417="jabas")*(MOVIMIENTOS!$A$5:$A$417&lt;&gt;"")*(MOVIMIENTOS!$A$5:$A$417&lt;=$A65)*MOVIMIENTOS!$E$5:$E$417)-SUMPRODUCT((MOVIMIENTOS!$B$5:$B$417="VENTA")*(MOVIMIENTOS!$C$5:$C$417="M")*(MOVIMIENTOS!$D$5:$D$417="jabas")*(MOVIMIENTOS!$A$5:$A$417&lt;&gt;"")*(MOVIMIENTOS!$A$5:$A$417&lt;=$A65)*MOVIMIENTOS!$E$5:$E$417)+SUMPRODUCT((MOVIMIENTOS!$B$5:$B$417="AJUSTE")*(MOVIMIENTOS!$C$5:$C$417="M")*(MOVIMIENTOS!$D$5:$D$417="jabas")*(MOVIMIENTOS!$A$5:$A$417&lt;&gt;"")*(MOVIMIENTOS!$A$5:$A$417&lt;=$A65)*MOVIMIENTOS!$E$5:$E$417))</f>
        <v/>
      </c>
      <c r="F65" s="56" t="str">
        <f>IF($A65="","",SUMPRODUCT((MOVIMIENTOS!$B$5:$B$417="SALDO INICIAL")*(MOVIMIENTOS!$C$5:$C$417="Chancho")*(MOVIMIENTOS!$D$5:$D$417="sacos")*(MOVIMIENTOS!$A$5:$A$417&lt;&gt;"")*(MOVIMIENTOS!$A$5:$A$417&lt;=$A65)*MOVIMIENTOS!$E$5:$E$417)+SUMPRODUCT((MOVIMIENTOS!$B$5:$B$417="PROCESO")*(MOVIMIENTOS!$C$5:$C$417="Chancho")*(MOVIMIENTOS!$D$5:$D$417="sacos")*(MOVIMIENTOS!$A$5:$A$417&lt;&gt;"")*(MOVIMIENTOS!$A$5:$A$417&lt;=$A65)*MOVIMIENTOS!$E$5:$E$417)-SUMPRODUCT((MOVIMIENTOS!$B$5:$B$417="VENTA CHANCHO")*(MOVIMIENTOS!$C$5:$C$417="Chancho")*(MOVIMIENTOS!$D$5:$D$417="sacos")*(MOVIMIENTOS!$A$5:$A$417&lt;&gt;"")*(MOVIMIENTOS!$A$5:$A$417&lt;=$A65)*MOVIMIENTOS!$E$5:$E$417)-SUMPRODUCT((MOVIMIENTOS!$B$5:$B$417="REGALO")*(MOVIMIENTOS!$C$5:$C$417="Chancho")*(MOVIMIENTOS!$D$5:$D$417="sacos")*(MOVIMIENTOS!$A$5:$A$417&lt;&gt;"")*(MOVIMIENTOS!$A$5:$A$417&lt;=$A65)*MOVIMIENTOS!$E$5:$E$417)-SUMPRODUCT((MOVIMIENTOS!$B$5:$B$417="VENTA")*(MOVIMIENTOS!$C$5:$C$417="Chancho")*(MOVIMIENTOS!$D$5:$D$417="sacos")*(MOVIMIENTOS!$A$5:$A$417&lt;&gt;"")*(MOVIMIENTOS!$A$5:$A$417&lt;=$A65)*MOVIMIENTOS!$E$5:$E$417)+SUMPRODUCT((MOVIMIENTOS!$B$5:$B$417="AJUSTE")*(MOVIMIENTOS!$C$5:$C$417="Chancho")*(MOVIMIENTOS!$D$5:$D$417="sacos")*(MOVIMIENTOS!$A$5:$A$417&lt;&gt;"")*(MOVIMIENTOS!$A$5:$A$417&lt;=$A65)*MOVIMIENTOS!$E$5:$E$417))</f>
        <v/>
      </c>
      <c r="G65" s="56" t="str">
        <f t="shared" si="3"/>
        <v/>
      </c>
      <c r="H65" s="56" t="str">
        <f>IF($A65="","",SUMPRODUCT((((MOVIMIENTOS!$B$5:$B$417="SALDO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65)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65)*MOVIMIENTOS!$I$5:$I$417))</f>
        <v/>
      </c>
      <c r="I65" s="54"/>
      <c r="J65" s="54" t="str">
        <f>IF(AND(MOVIMIENTOS!$A65&lt;&gt;"",COUNTIF(MOVIMIENTOS!$A$5:$A64,MOVIMIENTOS!$A65)=0),COUNT(J$4:J64)+1,"")</f>
        <v/>
      </c>
      <c r="K65" s="57">
        <f>MOVIMIENTOS!$A65</f>
        <v>46220</v>
      </c>
      <c r="L65" s="54"/>
      <c r="M65" s="54"/>
      <c r="N65" s="54"/>
    </row>
    <row r="66" spans="1:14" ht="15" customHeight="1" x14ac:dyDescent="0.2">
      <c r="A66" s="55" t="str">
        <f t="shared" si="2"/>
        <v/>
      </c>
      <c r="B66" s="56" t="str">
        <f>IF($A66="","",SUMPRODUCT((MOVIMIENTOS!$B$5:$B$417="SALDO INICIAL")*(MOVIMIENTOS!$C$5:$C$417="A")*(MOVIMIENTOS!$D$5:$D$417="jabas")*(MOVIMIENTOS!$A$5:$A$417&lt;&gt;"")*(MOVIMIENTOS!$A$5:$A$417&lt;=$A66)*MOVIMIENTOS!$E$5:$E$417)+SUMPRODUCT((MOVIMIENTOS!$B$5:$B$417="PROCESO")*(MOVIMIENTOS!$C$5:$C$417="A")*(MOVIMIENTOS!$D$5:$D$417="jabas")*(MOVIMIENTOS!$A$5:$A$417&lt;&gt;"")*(MOVIMIENTOS!$A$5:$A$417&lt;=$A66)*MOVIMIENTOS!$E$5:$E$417)-SUMPRODUCT((MOVIMIENTOS!$B$5:$B$417="ENVÍO A SUPESA")*(MOVIMIENTOS!$C$5:$C$417="A")*(MOVIMIENTOS!$D$5:$D$417="jabas")*(MOVIMIENTOS!$A$5:$A$417&lt;&gt;"")*(MOVIMIENTOS!$A$5:$A$417&lt;=$A66)*MOVIMIENTOS!$E$5:$E$417)+SUMPRODUCT((MOVIMIENTOS!$B$5:$B$417="DEVOLUCIÓN")*(MOVIMIENTOS!$C$5:$C$417="A")*(MOVIMIENTOS!$D$5:$D$417="jabas")*(MOVIMIENTOS!$A$5:$A$417&lt;&gt;"")*(MOVIMIENTOS!$A$5:$A$417&lt;=$A66)*MOVIMIENTOS!$E$5:$E$417)-SUMPRODUCT((MOVIMIENTOS!$B$5:$B$417="TRASIEGO")*(MOVIMIENTOS!$C$5:$C$417="A")*(MOVIMIENTOS!$D$5:$D$417="jabas")*(MOVIMIENTOS!$A$5:$A$417&lt;&gt;"")*(MOVIMIENTOS!$A$5:$A$417&lt;=$A66)*MOVIMIENTOS!$E$5:$E$417)-SUMPRODUCT((MOVIMIENTOS!$B$5:$B$417="REGALO")*(MOVIMIENTOS!$C$5:$C$417="A")*(MOVIMIENTOS!$D$5:$D$417="jabas")*(MOVIMIENTOS!$A$5:$A$417&lt;&gt;"")*(MOVIMIENTOS!$A$5:$A$417&lt;=$A66)*MOVIMIENTOS!$E$5:$E$417)-SUMPRODUCT((MOVIMIENTOS!$B$5:$B$417="VENTA")*(MOVIMIENTOS!$C$5:$C$417="A")*(MOVIMIENTOS!$D$5:$D$417="jabas")*(MOVIMIENTOS!$A$5:$A$417&lt;&gt;"")*(MOVIMIENTOS!$A$5:$A$417&lt;=$A66)*MOVIMIENTOS!$E$5:$E$417)+SUMPRODUCT((MOVIMIENTOS!$B$5:$B$417="AJUSTE")*(MOVIMIENTOS!$C$5:$C$417="A")*(MOVIMIENTOS!$D$5:$D$417="jabas")*(MOVIMIENTOS!$A$5:$A$417&lt;&gt;"")*(MOVIMIENTOS!$A$5:$A$417&lt;=$A66)*MOVIMIENTOS!$E$5:$E$417))</f>
        <v/>
      </c>
      <c r="C66" s="56" t="str">
        <f>IF($A66="","",SUMPRODUCT((MOVIMIENTOS!$B$5:$B$417="SALDO INICIAL")*(MOVIMIENTOS!$C$5:$C$417="P")*(MOVIMIENTOS!$D$5:$D$417="jabas")*(MOVIMIENTOS!$A$5:$A$417&lt;&gt;"")*(MOVIMIENTOS!$A$5:$A$417&lt;=$A66)*MOVIMIENTOS!$E$5:$E$417)+SUMPRODUCT((MOVIMIENTOS!$B$5:$B$417="PROCESO")*(MOVIMIENTOS!$C$5:$C$417="P")*(MOVIMIENTOS!$D$5:$D$417="jabas")*(MOVIMIENTOS!$A$5:$A$417&lt;&gt;"")*(MOVIMIENTOS!$A$5:$A$417&lt;=$A66)*MOVIMIENTOS!$E$5:$E$417)-SUMPRODUCT((MOVIMIENTOS!$B$5:$B$417="ENVÍO A SUPESA")*(MOVIMIENTOS!$C$5:$C$417="P")*(MOVIMIENTOS!$D$5:$D$417="jabas")*(MOVIMIENTOS!$A$5:$A$417&lt;&gt;"")*(MOVIMIENTOS!$A$5:$A$417&lt;=$A66)*MOVIMIENTOS!$E$5:$E$417)+SUMPRODUCT((MOVIMIENTOS!$B$5:$B$417="DEVOLUCIÓN")*(MOVIMIENTOS!$C$5:$C$417="P")*(MOVIMIENTOS!$D$5:$D$417="jabas")*(MOVIMIENTOS!$A$5:$A$417&lt;&gt;"")*(MOVIMIENTOS!$A$5:$A$417&lt;=$A66)*MOVIMIENTOS!$E$5:$E$417)-SUMPRODUCT((MOVIMIENTOS!$B$5:$B$417="TRASIEGO")*(MOVIMIENTOS!$C$5:$C$417="P")*(MOVIMIENTOS!$D$5:$D$417="jabas")*(MOVIMIENTOS!$A$5:$A$417&lt;&gt;"")*(MOVIMIENTOS!$A$5:$A$417&lt;=$A66)*MOVIMIENTOS!$E$5:$E$417)-SUMPRODUCT((MOVIMIENTOS!$B$5:$B$417="REGALO")*(MOVIMIENTOS!$C$5:$C$417="P")*(MOVIMIENTOS!$D$5:$D$417="jabas")*(MOVIMIENTOS!$A$5:$A$417&lt;&gt;"")*(MOVIMIENTOS!$A$5:$A$417&lt;=$A66)*MOVIMIENTOS!$E$5:$E$417)-SUMPRODUCT((MOVIMIENTOS!$B$5:$B$417="VENTA")*(MOVIMIENTOS!$C$5:$C$417="P")*(MOVIMIENTOS!$D$5:$D$417="jabas")*(MOVIMIENTOS!$A$5:$A$417&lt;&gt;"")*(MOVIMIENTOS!$A$5:$A$417&lt;=$A66)*MOVIMIENTOS!$E$5:$E$417)+SUMPRODUCT((MOVIMIENTOS!$B$5:$B$417="AJUSTE")*(MOVIMIENTOS!$C$5:$C$417="P")*(MOVIMIENTOS!$D$5:$D$417="jabas")*(MOVIMIENTOS!$A$5:$A$417&lt;&gt;"")*(MOVIMIENTOS!$A$5:$A$417&lt;=$A66)*MOVIMIENTOS!$E$5:$E$417))</f>
        <v/>
      </c>
      <c r="D66" s="56" t="str">
        <f>IF($A66="","",SUMPRODUCT((MOVIMIENTOS!$B$5:$B$417="SALDO INICIAL")*(MOVIMIENTOS!$C$5:$C$417="C")*(MOVIMIENTOS!$D$5:$D$417="jabas")*(MOVIMIENTOS!$A$5:$A$417&lt;&gt;"")*(MOVIMIENTOS!$A$5:$A$417&lt;=$A66)*MOVIMIENTOS!$E$5:$E$417)+SUMPRODUCT((MOVIMIENTOS!$B$5:$B$417="PROCESO")*(MOVIMIENTOS!$C$5:$C$417="C")*(MOVIMIENTOS!$D$5:$D$417="jabas")*(MOVIMIENTOS!$A$5:$A$417&lt;&gt;"")*(MOVIMIENTOS!$A$5:$A$417&lt;=$A66)*MOVIMIENTOS!$E$5:$E$417)-SUMPRODUCT((MOVIMIENTOS!$B$5:$B$417="ENVÍO A SUPESA")*(MOVIMIENTOS!$C$5:$C$417="C")*(MOVIMIENTOS!$D$5:$D$417="jabas")*(MOVIMIENTOS!$A$5:$A$417&lt;&gt;"")*(MOVIMIENTOS!$A$5:$A$417&lt;=$A66)*MOVIMIENTOS!$E$5:$E$417)+SUMPRODUCT((MOVIMIENTOS!$B$5:$B$417="DEVOLUCIÓN")*(MOVIMIENTOS!$C$5:$C$417="C")*(MOVIMIENTOS!$D$5:$D$417="jabas")*(MOVIMIENTOS!$A$5:$A$417&lt;&gt;"")*(MOVIMIENTOS!$A$5:$A$417&lt;=$A66)*MOVIMIENTOS!$E$5:$E$417)-SUMPRODUCT((MOVIMIENTOS!$B$5:$B$417="TRASIEGO")*(MOVIMIENTOS!$C$5:$C$417="C")*(MOVIMIENTOS!$D$5:$D$417="jabas")*(MOVIMIENTOS!$A$5:$A$417&lt;&gt;"")*(MOVIMIENTOS!$A$5:$A$417&lt;=$A66)*MOVIMIENTOS!$E$5:$E$417)-SUMPRODUCT((MOVIMIENTOS!$B$5:$B$417="REGALO")*(MOVIMIENTOS!$C$5:$C$417="C")*(MOVIMIENTOS!$D$5:$D$417="jabas")*(MOVIMIENTOS!$A$5:$A$417&lt;&gt;"")*(MOVIMIENTOS!$A$5:$A$417&lt;=$A66)*MOVIMIENTOS!$E$5:$E$417)-SUMPRODUCT((MOVIMIENTOS!$B$5:$B$417="VENTA")*(MOVIMIENTOS!$C$5:$C$417="C")*(MOVIMIENTOS!$D$5:$D$417="jabas")*(MOVIMIENTOS!$A$5:$A$417&lt;&gt;"")*(MOVIMIENTOS!$A$5:$A$417&lt;=$A66)*MOVIMIENTOS!$E$5:$E$417)+SUMPRODUCT((MOVIMIENTOS!$B$5:$B$417="AJUSTE")*(MOVIMIENTOS!$C$5:$C$417="C")*(MOVIMIENTOS!$D$5:$D$417="jabas")*(MOVIMIENTOS!$A$5:$A$417&lt;&gt;"")*(MOVIMIENTOS!$A$5:$A$417&lt;=$A66)*MOVIMIENTOS!$E$5:$E$417))</f>
        <v/>
      </c>
      <c r="E66" s="56" t="str">
        <f>IF($A66="","",SUMPRODUCT((MOVIMIENTOS!$B$5:$B$417="SALDO INICIAL")*(MOVIMIENTOS!$C$5:$C$417="M")*(MOVIMIENTOS!$D$5:$D$417="jabas")*(MOVIMIENTOS!$A$5:$A$417&lt;&gt;"")*(MOVIMIENTOS!$A$5:$A$417&lt;=$A66)*MOVIMIENTOS!$E$5:$E$417)+SUMPRODUCT((MOVIMIENTOS!$B$5:$B$417="PROCESO")*(MOVIMIENTOS!$C$5:$C$417="M")*(MOVIMIENTOS!$D$5:$D$417="jabas")*(MOVIMIENTOS!$A$5:$A$417&lt;&gt;"")*(MOVIMIENTOS!$A$5:$A$417&lt;=$A66)*MOVIMIENTOS!$E$5:$E$417)-SUMPRODUCT((MOVIMIENTOS!$B$5:$B$417="ENVÍO A SUPESA")*(MOVIMIENTOS!$C$5:$C$417="M")*(MOVIMIENTOS!$D$5:$D$417="jabas")*(MOVIMIENTOS!$A$5:$A$417&lt;&gt;"")*(MOVIMIENTOS!$A$5:$A$417&lt;=$A66)*MOVIMIENTOS!$E$5:$E$417)+SUMPRODUCT((MOVIMIENTOS!$B$5:$B$417="DEVOLUCIÓN")*(MOVIMIENTOS!$C$5:$C$417="M")*(MOVIMIENTOS!$D$5:$D$417="jabas")*(MOVIMIENTOS!$A$5:$A$417&lt;&gt;"")*(MOVIMIENTOS!$A$5:$A$417&lt;=$A66)*MOVIMIENTOS!$E$5:$E$417)-SUMPRODUCT((MOVIMIENTOS!$B$5:$B$417="TRASIEGO")*(MOVIMIENTOS!$C$5:$C$417="M")*(MOVIMIENTOS!$D$5:$D$417="jabas")*(MOVIMIENTOS!$A$5:$A$417&lt;&gt;"")*(MOVIMIENTOS!$A$5:$A$417&lt;=$A66)*MOVIMIENTOS!$E$5:$E$417)-SUMPRODUCT((MOVIMIENTOS!$B$5:$B$417="REGALO")*(MOVIMIENTOS!$C$5:$C$417="M")*(MOVIMIENTOS!$D$5:$D$417="jabas")*(MOVIMIENTOS!$A$5:$A$417&lt;&gt;"")*(MOVIMIENTOS!$A$5:$A$417&lt;=$A66)*MOVIMIENTOS!$E$5:$E$417)-SUMPRODUCT((MOVIMIENTOS!$B$5:$B$417="VENTA")*(MOVIMIENTOS!$C$5:$C$417="M")*(MOVIMIENTOS!$D$5:$D$417="jabas")*(MOVIMIENTOS!$A$5:$A$417&lt;&gt;"")*(MOVIMIENTOS!$A$5:$A$417&lt;=$A66)*MOVIMIENTOS!$E$5:$E$417)+SUMPRODUCT((MOVIMIENTOS!$B$5:$B$417="AJUSTE")*(MOVIMIENTOS!$C$5:$C$417="M")*(MOVIMIENTOS!$D$5:$D$417="jabas")*(MOVIMIENTOS!$A$5:$A$417&lt;&gt;"")*(MOVIMIENTOS!$A$5:$A$417&lt;=$A66)*MOVIMIENTOS!$E$5:$E$417))</f>
        <v/>
      </c>
      <c r="F66" s="56" t="str">
        <f>IF($A66="","",SUMPRODUCT((MOVIMIENTOS!$B$5:$B$417="SALDO INICIAL")*(MOVIMIENTOS!$C$5:$C$417="Chancho")*(MOVIMIENTOS!$D$5:$D$417="sacos")*(MOVIMIENTOS!$A$5:$A$417&lt;&gt;"")*(MOVIMIENTOS!$A$5:$A$417&lt;=$A66)*MOVIMIENTOS!$E$5:$E$417)+SUMPRODUCT((MOVIMIENTOS!$B$5:$B$417="PROCESO")*(MOVIMIENTOS!$C$5:$C$417="Chancho")*(MOVIMIENTOS!$D$5:$D$417="sacos")*(MOVIMIENTOS!$A$5:$A$417&lt;&gt;"")*(MOVIMIENTOS!$A$5:$A$417&lt;=$A66)*MOVIMIENTOS!$E$5:$E$417)-SUMPRODUCT((MOVIMIENTOS!$B$5:$B$417="VENTA CHANCHO")*(MOVIMIENTOS!$C$5:$C$417="Chancho")*(MOVIMIENTOS!$D$5:$D$417="sacos")*(MOVIMIENTOS!$A$5:$A$417&lt;&gt;"")*(MOVIMIENTOS!$A$5:$A$417&lt;=$A66)*MOVIMIENTOS!$E$5:$E$417)-SUMPRODUCT((MOVIMIENTOS!$B$5:$B$417="REGALO")*(MOVIMIENTOS!$C$5:$C$417="Chancho")*(MOVIMIENTOS!$D$5:$D$417="sacos")*(MOVIMIENTOS!$A$5:$A$417&lt;&gt;"")*(MOVIMIENTOS!$A$5:$A$417&lt;=$A66)*MOVIMIENTOS!$E$5:$E$417)-SUMPRODUCT((MOVIMIENTOS!$B$5:$B$417="VENTA")*(MOVIMIENTOS!$C$5:$C$417="Chancho")*(MOVIMIENTOS!$D$5:$D$417="sacos")*(MOVIMIENTOS!$A$5:$A$417&lt;&gt;"")*(MOVIMIENTOS!$A$5:$A$417&lt;=$A66)*MOVIMIENTOS!$E$5:$E$417)+SUMPRODUCT((MOVIMIENTOS!$B$5:$B$417="AJUSTE")*(MOVIMIENTOS!$C$5:$C$417="Chancho")*(MOVIMIENTOS!$D$5:$D$417="sacos")*(MOVIMIENTOS!$A$5:$A$417&lt;&gt;"")*(MOVIMIENTOS!$A$5:$A$417&lt;=$A66)*MOVIMIENTOS!$E$5:$E$417))</f>
        <v/>
      </c>
      <c r="G66" s="56" t="str">
        <f t="shared" si="3"/>
        <v/>
      </c>
      <c r="H66" s="56" t="str">
        <f>IF($A66="","",SUMPRODUCT((((MOVIMIENTOS!$B$5:$B$417="SALDO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66)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66)*MOVIMIENTOS!$I$5:$I$417))</f>
        <v/>
      </c>
      <c r="I66" s="54"/>
      <c r="J66" s="54" t="str">
        <f>IF(AND(MOVIMIENTOS!$A66&lt;&gt;"",COUNTIF(MOVIMIENTOS!$A$5:$A65,MOVIMIENTOS!$A66)=0),COUNT(J$4:J65)+1,"")</f>
        <v/>
      </c>
      <c r="K66" s="57">
        <f>MOVIMIENTOS!$A66</f>
        <v>46220</v>
      </c>
      <c r="L66" s="54"/>
      <c r="M66" s="54"/>
      <c r="N66" s="54"/>
    </row>
    <row r="67" spans="1:14" ht="15" customHeight="1" x14ac:dyDescent="0.2">
      <c r="A67" s="55" t="str">
        <f t="shared" si="2"/>
        <v/>
      </c>
      <c r="B67" s="56" t="str">
        <f>IF($A67="","",SUMPRODUCT((MOVIMIENTOS!$B$5:$B$417="SALDO INICIAL")*(MOVIMIENTOS!$C$5:$C$417="A")*(MOVIMIENTOS!$D$5:$D$417="jabas")*(MOVIMIENTOS!$A$5:$A$417&lt;&gt;"")*(MOVIMIENTOS!$A$5:$A$417&lt;=$A67)*MOVIMIENTOS!$E$5:$E$417)+SUMPRODUCT((MOVIMIENTOS!$B$5:$B$417="PROCESO")*(MOVIMIENTOS!$C$5:$C$417="A")*(MOVIMIENTOS!$D$5:$D$417="jabas")*(MOVIMIENTOS!$A$5:$A$417&lt;&gt;"")*(MOVIMIENTOS!$A$5:$A$417&lt;=$A67)*MOVIMIENTOS!$E$5:$E$417)-SUMPRODUCT((MOVIMIENTOS!$B$5:$B$417="ENVÍO A SUPESA")*(MOVIMIENTOS!$C$5:$C$417="A")*(MOVIMIENTOS!$D$5:$D$417="jabas")*(MOVIMIENTOS!$A$5:$A$417&lt;&gt;"")*(MOVIMIENTOS!$A$5:$A$417&lt;=$A67)*MOVIMIENTOS!$E$5:$E$417)+SUMPRODUCT((MOVIMIENTOS!$B$5:$B$417="DEVOLUCIÓN")*(MOVIMIENTOS!$C$5:$C$417="A")*(MOVIMIENTOS!$D$5:$D$417="jabas")*(MOVIMIENTOS!$A$5:$A$417&lt;&gt;"")*(MOVIMIENTOS!$A$5:$A$417&lt;=$A67)*MOVIMIENTOS!$E$5:$E$417)-SUMPRODUCT((MOVIMIENTOS!$B$5:$B$417="TRASIEGO")*(MOVIMIENTOS!$C$5:$C$417="A")*(MOVIMIENTOS!$D$5:$D$417="jabas")*(MOVIMIENTOS!$A$5:$A$417&lt;&gt;"")*(MOVIMIENTOS!$A$5:$A$417&lt;=$A67)*MOVIMIENTOS!$E$5:$E$417)-SUMPRODUCT((MOVIMIENTOS!$B$5:$B$417="REGALO")*(MOVIMIENTOS!$C$5:$C$417="A")*(MOVIMIENTOS!$D$5:$D$417="jabas")*(MOVIMIENTOS!$A$5:$A$417&lt;&gt;"")*(MOVIMIENTOS!$A$5:$A$417&lt;=$A67)*MOVIMIENTOS!$E$5:$E$417)-SUMPRODUCT((MOVIMIENTOS!$B$5:$B$417="VENTA")*(MOVIMIENTOS!$C$5:$C$417="A")*(MOVIMIENTOS!$D$5:$D$417="jabas")*(MOVIMIENTOS!$A$5:$A$417&lt;&gt;"")*(MOVIMIENTOS!$A$5:$A$417&lt;=$A67)*MOVIMIENTOS!$E$5:$E$417)+SUMPRODUCT((MOVIMIENTOS!$B$5:$B$417="AJUSTE")*(MOVIMIENTOS!$C$5:$C$417="A")*(MOVIMIENTOS!$D$5:$D$417="jabas")*(MOVIMIENTOS!$A$5:$A$417&lt;&gt;"")*(MOVIMIENTOS!$A$5:$A$417&lt;=$A67)*MOVIMIENTOS!$E$5:$E$417))</f>
        <v/>
      </c>
      <c r="C67" s="56" t="str">
        <f>IF($A67="","",SUMPRODUCT((MOVIMIENTOS!$B$5:$B$417="SALDO INICIAL")*(MOVIMIENTOS!$C$5:$C$417="P")*(MOVIMIENTOS!$D$5:$D$417="jabas")*(MOVIMIENTOS!$A$5:$A$417&lt;&gt;"")*(MOVIMIENTOS!$A$5:$A$417&lt;=$A67)*MOVIMIENTOS!$E$5:$E$417)+SUMPRODUCT((MOVIMIENTOS!$B$5:$B$417="PROCESO")*(MOVIMIENTOS!$C$5:$C$417="P")*(MOVIMIENTOS!$D$5:$D$417="jabas")*(MOVIMIENTOS!$A$5:$A$417&lt;&gt;"")*(MOVIMIENTOS!$A$5:$A$417&lt;=$A67)*MOVIMIENTOS!$E$5:$E$417)-SUMPRODUCT((MOVIMIENTOS!$B$5:$B$417="ENVÍO A SUPESA")*(MOVIMIENTOS!$C$5:$C$417="P")*(MOVIMIENTOS!$D$5:$D$417="jabas")*(MOVIMIENTOS!$A$5:$A$417&lt;&gt;"")*(MOVIMIENTOS!$A$5:$A$417&lt;=$A67)*MOVIMIENTOS!$E$5:$E$417)+SUMPRODUCT((MOVIMIENTOS!$B$5:$B$417="DEVOLUCIÓN")*(MOVIMIENTOS!$C$5:$C$417="P")*(MOVIMIENTOS!$D$5:$D$417="jabas")*(MOVIMIENTOS!$A$5:$A$417&lt;&gt;"")*(MOVIMIENTOS!$A$5:$A$417&lt;=$A67)*MOVIMIENTOS!$E$5:$E$417)-SUMPRODUCT((MOVIMIENTOS!$B$5:$B$417="TRASIEGO")*(MOVIMIENTOS!$C$5:$C$417="P")*(MOVIMIENTOS!$D$5:$D$417="jabas")*(MOVIMIENTOS!$A$5:$A$417&lt;&gt;"")*(MOVIMIENTOS!$A$5:$A$417&lt;=$A67)*MOVIMIENTOS!$E$5:$E$417)-SUMPRODUCT((MOVIMIENTOS!$B$5:$B$417="REGALO")*(MOVIMIENTOS!$C$5:$C$417="P")*(MOVIMIENTOS!$D$5:$D$417="jabas")*(MOVIMIENTOS!$A$5:$A$417&lt;&gt;"")*(MOVIMIENTOS!$A$5:$A$417&lt;=$A67)*MOVIMIENTOS!$E$5:$E$417)-SUMPRODUCT((MOVIMIENTOS!$B$5:$B$417="VENTA")*(MOVIMIENTOS!$C$5:$C$417="P")*(MOVIMIENTOS!$D$5:$D$417="jabas")*(MOVIMIENTOS!$A$5:$A$417&lt;&gt;"")*(MOVIMIENTOS!$A$5:$A$417&lt;=$A67)*MOVIMIENTOS!$E$5:$E$417)+SUMPRODUCT((MOVIMIENTOS!$B$5:$B$417="AJUSTE")*(MOVIMIENTOS!$C$5:$C$417="P")*(MOVIMIENTOS!$D$5:$D$417="jabas")*(MOVIMIENTOS!$A$5:$A$417&lt;&gt;"")*(MOVIMIENTOS!$A$5:$A$417&lt;=$A67)*MOVIMIENTOS!$E$5:$E$417))</f>
        <v/>
      </c>
      <c r="D67" s="56" t="str">
        <f>IF($A67="","",SUMPRODUCT((MOVIMIENTOS!$B$5:$B$417="SALDO INICIAL")*(MOVIMIENTOS!$C$5:$C$417="C")*(MOVIMIENTOS!$D$5:$D$417="jabas")*(MOVIMIENTOS!$A$5:$A$417&lt;&gt;"")*(MOVIMIENTOS!$A$5:$A$417&lt;=$A67)*MOVIMIENTOS!$E$5:$E$417)+SUMPRODUCT((MOVIMIENTOS!$B$5:$B$417="PROCESO")*(MOVIMIENTOS!$C$5:$C$417="C")*(MOVIMIENTOS!$D$5:$D$417="jabas")*(MOVIMIENTOS!$A$5:$A$417&lt;&gt;"")*(MOVIMIENTOS!$A$5:$A$417&lt;=$A67)*MOVIMIENTOS!$E$5:$E$417)-SUMPRODUCT((MOVIMIENTOS!$B$5:$B$417="ENVÍO A SUPESA")*(MOVIMIENTOS!$C$5:$C$417="C")*(MOVIMIENTOS!$D$5:$D$417="jabas")*(MOVIMIENTOS!$A$5:$A$417&lt;&gt;"")*(MOVIMIENTOS!$A$5:$A$417&lt;=$A67)*MOVIMIENTOS!$E$5:$E$417)+SUMPRODUCT((MOVIMIENTOS!$B$5:$B$417="DEVOLUCIÓN")*(MOVIMIENTOS!$C$5:$C$417="C")*(MOVIMIENTOS!$D$5:$D$417="jabas")*(MOVIMIENTOS!$A$5:$A$417&lt;&gt;"")*(MOVIMIENTOS!$A$5:$A$417&lt;=$A67)*MOVIMIENTOS!$E$5:$E$417)-SUMPRODUCT((MOVIMIENTOS!$B$5:$B$417="TRASIEGO")*(MOVIMIENTOS!$C$5:$C$417="C")*(MOVIMIENTOS!$D$5:$D$417="jabas")*(MOVIMIENTOS!$A$5:$A$417&lt;&gt;"")*(MOVIMIENTOS!$A$5:$A$417&lt;=$A67)*MOVIMIENTOS!$E$5:$E$417)-SUMPRODUCT((MOVIMIENTOS!$B$5:$B$417="REGALO")*(MOVIMIENTOS!$C$5:$C$417="C")*(MOVIMIENTOS!$D$5:$D$417="jabas")*(MOVIMIENTOS!$A$5:$A$417&lt;&gt;"")*(MOVIMIENTOS!$A$5:$A$417&lt;=$A67)*MOVIMIENTOS!$E$5:$E$417)-SUMPRODUCT((MOVIMIENTOS!$B$5:$B$417="VENTA")*(MOVIMIENTOS!$C$5:$C$417="C")*(MOVIMIENTOS!$D$5:$D$417="jabas")*(MOVIMIENTOS!$A$5:$A$417&lt;&gt;"")*(MOVIMIENTOS!$A$5:$A$417&lt;=$A67)*MOVIMIENTOS!$E$5:$E$417)+SUMPRODUCT((MOVIMIENTOS!$B$5:$B$417="AJUSTE")*(MOVIMIENTOS!$C$5:$C$417="C")*(MOVIMIENTOS!$D$5:$D$417="jabas")*(MOVIMIENTOS!$A$5:$A$417&lt;&gt;"")*(MOVIMIENTOS!$A$5:$A$417&lt;=$A67)*MOVIMIENTOS!$E$5:$E$417))</f>
        <v/>
      </c>
      <c r="E67" s="56" t="str">
        <f>IF($A67="","",SUMPRODUCT((MOVIMIENTOS!$B$5:$B$417="SALDO INICIAL")*(MOVIMIENTOS!$C$5:$C$417="M")*(MOVIMIENTOS!$D$5:$D$417="jabas")*(MOVIMIENTOS!$A$5:$A$417&lt;&gt;"")*(MOVIMIENTOS!$A$5:$A$417&lt;=$A67)*MOVIMIENTOS!$E$5:$E$417)+SUMPRODUCT((MOVIMIENTOS!$B$5:$B$417="PROCESO")*(MOVIMIENTOS!$C$5:$C$417="M")*(MOVIMIENTOS!$D$5:$D$417="jabas")*(MOVIMIENTOS!$A$5:$A$417&lt;&gt;"")*(MOVIMIENTOS!$A$5:$A$417&lt;=$A67)*MOVIMIENTOS!$E$5:$E$417)-SUMPRODUCT((MOVIMIENTOS!$B$5:$B$417="ENVÍO A SUPESA")*(MOVIMIENTOS!$C$5:$C$417="M")*(MOVIMIENTOS!$D$5:$D$417="jabas")*(MOVIMIENTOS!$A$5:$A$417&lt;&gt;"")*(MOVIMIENTOS!$A$5:$A$417&lt;=$A67)*MOVIMIENTOS!$E$5:$E$417)+SUMPRODUCT((MOVIMIENTOS!$B$5:$B$417="DEVOLUCIÓN")*(MOVIMIENTOS!$C$5:$C$417="M")*(MOVIMIENTOS!$D$5:$D$417="jabas")*(MOVIMIENTOS!$A$5:$A$417&lt;&gt;"")*(MOVIMIENTOS!$A$5:$A$417&lt;=$A67)*MOVIMIENTOS!$E$5:$E$417)-SUMPRODUCT((MOVIMIENTOS!$B$5:$B$417="TRASIEGO")*(MOVIMIENTOS!$C$5:$C$417="M")*(MOVIMIENTOS!$D$5:$D$417="jabas")*(MOVIMIENTOS!$A$5:$A$417&lt;&gt;"")*(MOVIMIENTOS!$A$5:$A$417&lt;=$A67)*MOVIMIENTOS!$E$5:$E$417)-SUMPRODUCT((MOVIMIENTOS!$B$5:$B$417="REGALO")*(MOVIMIENTOS!$C$5:$C$417="M")*(MOVIMIENTOS!$D$5:$D$417="jabas")*(MOVIMIENTOS!$A$5:$A$417&lt;&gt;"")*(MOVIMIENTOS!$A$5:$A$417&lt;=$A67)*MOVIMIENTOS!$E$5:$E$417)-SUMPRODUCT((MOVIMIENTOS!$B$5:$B$417="VENTA")*(MOVIMIENTOS!$C$5:$C$417="M")*(MOVIMIENTOS!$D$5:$D$417="jabas")*(MOVIMIENTOS!$A$5:$A$417&lt;&gt;"")*(MOVIMIENTOS!$A$5:$A$417&lt;=$A67)*MOVIMIENTOS!$E$5:$E$417)+SUMPRODUCT((MOVIMIENTOS!$B$5:$B$417="AJUSTE")*(MOVIMIENTOS!$C$5:$C$417="M")*(MOVIMIENTOS!$D$5:$D$417="jabas")*(MOVIMIENTOS!$A$5:$A$417&lt;&gt;"")*(MOVIMIENTOS!$A$5:$A$417&lt;=$A67)*MOVIMIENTOS!$E$5:$E$417))</f>
        <v/>
      </c>
      <c r="F67" s="56" t="str">
        <f>IF($A67="","",SUMPRODUCT((MOVIMIENTOS!$B$5:$B$417="SALDO INICIAL")*(MOVIMIENTOS!$C$5:$C$417="Chancho")*(MOVIMIENTOS!$D$5:$D$417="sacos")*(MOVIMIENTOS!$A$5:$A$417&lt;&gt;"")*(MOVIMIENTOS!$A$5:$A$417&lt;=$A67)*MOVIMIENTOS!$E$5:$E$417)+SUMPRODUCT((MOVIMIENTOS!$B$5:$B$417="PROCESO")*(MOVIMIENTOS!$C$5:$C$417="Chancho")*(MOVIMIENTOS!$D$5:$D$417="sacos")*(MOVIMIENTOS!$A$5:$A$417&lt;&gt;"")*(MOVIMIENTOS!$A$5:$A$417&lt;=$A67)*MOVIMIENTOS!$E$5:$E$417)-SUMPRODUCT((MOVIMIENTOS!$B$5:$B$417="VENTA CHANCHO")*(MOVIMIENTOS!$C$5:$C$417="Chancho")*(MOVIMIENTOS!$D$5:$D$417="sacos")*(MOVIMIENTOS!$A$5:$A$417&lt;&gt;"")*(MOVIMIENTOS!$A$5:$A$417&lt;=$A67)*MOVIMIENTOS!$E$5:$E$417)-SUMPRODUCT((MOVIMIENTOS!$B$5:$B$417="REGALO")*(MOVIMIENTOS!$C$5:$C$417="Chancho")*(MOVIMIENTOS!$D$5:$D$417="sacos")*(MOVIMIENTOS!$A$5:$A$417&lt;&gt;"")*(MOVIMIENTOS!$A$5:$A$417&lt;=$A67)*MOVIMIENTOS!$E$5:$E$417)-SUMPRODUCT((MOVIMIENTOS!$B$5:$B$417="VENTA")*(MOVIMIENTOS!$C$5:$C$417="Chancho")*(MOVIMIENTOS!$D$5:$D$417="sacos")*(MOVIMIENTOS!$A$5:$A$417&lt;&gt;"")*(MOVIMIENTOS!$A$5:$A$417&lt;=$A67)*MOVIMIENTOS!$E$5:$E$417)+SUMPRODUCT((MOVIMIENTOS!$B$5:$B$417="AJUSTE")*(MOVIMIENTOS!$C$5:$C$417="Chancho")*(MOVIMIENTOS!$D$5:$D$417="sacos")*(MOVIMIENTOS!$A$5:$A$417&lt;&gt;"")*(MOVIMIENTOS!$A$5:$A$417&lt;=$A67)*MOVIMIENTOS!$E$5:$E$417))</f>
        <v/>
      </c>
      <c r="G67" s="56" t="str">
        <f t="shared" si="3"/>
        <v/>
      </c>
      <c r="H67" s="56" t="str">
        <f>IF($A67="","",SUMPRODUCT((((MOVIMIENTOS!$B$5:$B$417="SALDO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67)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67)*MOVIMIENTOS!$I$5:$I$417))</f>
        <v/>
      </c>
      <c r="I67" s="54"/>
      <c r="J67" s="54" t="str">
        <f>IF(AND(MOVIMIENTOS!$A67&lt;&gt;"",COUNTIF(MOVIMIENTOS!$A$5:$A66,MOVIMIENTOS!$A67)=0),COUNT(J$4:J66)+1,"")</f>
        <v/>
      </c>
      <c r="K67" s="57">
        <f>MOVIMIENTOS!$A67</f>
        <v>46220</v>
      </c>
      <c r="L67" s="54"/>
      <c r="M67" s="54"/>
      <c r="N67" s="54"/>
    </row>
    <row r="68" spans="1:14" ht="15" customHeight="1" x14ac:dyDescent="0.2">
      <c r="A68" s="55" t="str">
        <f t="shared" si="2"/>
        <v/>
      </c>
      <c r="B68" s="56" t="str">
        <f>IF($A68="","",SUMPRODUCT((MOVIMIENTOS!$B$5:$B$417="SALDO INICIAL")*(MOVIMIENTOS!$C$5:$C$417="A")*(MOVIMIENTOS!$D$5:$D$417="jabas")*(MOVIMIENTOS!$A$5:$A$417&lt;&gt;"")*(MOVIMIENTOS!$A$5:$A$417&lt;=$A68)*MOVIMIENTOS!$E$5:$E$417)+SUMPRODUCT((MOVIMIENTOS!$B$5:$B$417="PROCESO")*(MOVIMIENTOS!$C$5:$C$417="A")*(MOVIMIENTOS!$D$5:$D$417="jabas")*(MOVIMIENTOS!$A$5:$A$417&lt;&gt;"")*(MOVIMIENTOS!$A$5:$A$417&lt;=$A68)*MOVIMIENTOS!$E$5:$E$417)-SUMPRODUCT((MOVIMIENTOS!$B$5:$B$417="ENVÍO A SUPESA")*(MOVIMIENTOS!$C$5:$C$417="A")*(MOVIMIENTOS!$D$5:$D$417="jabas")*(MOVIMIENTOS!$A$5:$A$417&lt;&gt;"")*(MOVIMIENTOS!$A$5:$A$417&lt;=$A68)*MOVIMIENTOS!$E$5:$E$417)+SUMPRODUCT((MOVIMIENTOS!$B$5:$B$417="DEVOLUCIÓN")*(MOVIMIENTOS!$C$5:$C$417="A")*(MOVIMIENTOS!$D$5:$D$417="jabas")*(MOVIMIENTOS!$A$5:$A$417&lt;&gt;"")*(MOVIMIENTOS!$A$5:$A$417&lt;=$A68)*MOVIMIENTOS!$E$5:$E$417)-SUMPRODUCT((MOVIMIENTOS!$B$5:$B$417="TRASIEGO")*(MOVIMIENTOS!$C$5:$C$417="A")*(MOVIMIENTOS!$D$5:$D$417="jabas")*(MOVIMIENTOS!$A$5:$A$417&lt;&gt;"")*(MOVIMIENTOS!$A$5:$A$417&lt;=$A68)*MOVIMIENTOS!$E$5:$E$417)-SUMPRODUCT((MOVIMIENTOS!$B$5:$B$417="REGALO")*(MOVIMIENTOS!$C$5:$C$417="A")*(MOVIMIENTOS!$D$5:$D$417="jabas")*(MOVIMIENTOS!$A$5:$A$417&lt;&gt;"")*(MOVIMIENTOS!$A$5:$A$417&lt;=$A68)*MOVIMIENTOS!$E$5:$E$417)-SUMPRODUCT((MOVIMIENTOS!$B$5:$B$417="VENTA")*(MOVIMIENTOS!$C$5:$C$417="A")*(MOVIMIENTOS!$D$5:$D$417="jabas")*(MOVIMIENTOS!$A$5:$A$417&lt;&gt;"")*(MOVIMIENTOS!$A$5:$A$417&lt;=$A68)*MOVIMIENTOS!$E$5:$E$417)+SUMPRODUCT((MOVIMIENTOS!$B$5:$B$417="AJUSTE")*(MOVIMIENTOS!$C$5:$C$417="A")*(MOVIMIENTOS!$D$5:$D$417="jabas")*(MOVIMIENTOS!$A$5:$A$417&lt;&gt;"")*(MOVIMIENTOS!$A$5:$A$417&lt;=$A68)*MOVIMIENTOS!$E$5:$E$417))</f>
        <v/>
      </c>
      <c r="C68" s="56" t="str">
        <f>IF($A68="","",SUMPRODUCT((MOVIMIENTOS!$B$5:$B$417="SALDO INICIAL")*(MOVIMIENTOS!$C$5:$C$417="P")*(MOVIMIENTOS!$D$5:$D$417="jabas")*(MOVIMIENTOS!$A$5:$A$417&lt;&gt;"")*(MOVIMIENTOS!$A$5:$A$417&lt;=$A68)*MOVIMIENTOS!$E$5:$E$417)+SUMPRODUCT((MOVIMIENTOS!$B$5:$B$417="PROCESO")*(MOVIMIENTOS!$C$5:$C$417="P")*(MOVIMIENTOS!$D$5:$D$417="jabas")*(MOVIMIENTOS!$A$5:$A$417&lt;&gt;"")*(MOVIMIENTOS!$A$5:$A$417&lt;=$A68)*MOVIMIENTOS!$E$5:$E$417)-SUMPRODUCT((MOVIMIENTOS!$B$5:$B$417="ENVÍO A SUPESA")*(MOVIMIENTOS!$C$5:$C$417="P")*(MOVIMIENTOS!$D$5:$D$417="jabas")*(MOVIMIENTOS!$A$5:$A$417&lt;&gt;"")*(MOVIMIENTOS!$A$5:$A$417&lt;=$A68)*MOVIMIENTOS!$E$5:$E$417)+SUMPRODUCT((MOVIMIENTOS!$B$5:$B$417="DEVOLUCIÓN")*(MOVIMIENTOS!$C$5:$C$417="P")*(MOVIMIENTOS!$D$5:$D$417="jabas")*(MOVIMIENTOS!$A$5:$A$417&lt;&gt;"")*(MOVIMIENTOS!$A$5:$A$417&lt;=$A68)*MOVIMIENTOS!$E$5:$E$417)-SUMPRODUCT((MOVIMIENTOS!$B$5:$B$417="TRASIEGO")*(MOVIMIENTOS!$C$5:$C$417="P")*(MOVIMIENTOS!$D$5:$D$417="jabas")*(MOVIMIENTOS!$A$5:$A$417&lt;&gt;"")*(MOVIMIENTOS!$A$5:$A$417&lt;=$A68)*MOVIMIENTOS!$E$5:$E$417)-SUMPRODUCT((MOVIMIENTOS!$B$5:$B$417="REGALO")*(MOVIMIENTOS!$C$5:$C$417="P")*(MOVIMIENTOS!$D$5:$D$417="jabas")*(MOVIMIENTOS!$A$5:$A$417&lt;&gt;"")*(MOVIMIENTOS!$A$5:$A$417&lt;=$A68)*MOVIMIENTOS!$E$5:$E$417)-SUMPRODUCT((MOVIMIENTOS!$B$5:$B$417="VENTA")*(MOVIMIENTOS!$C$5:$C$417="P")*(MOVIMIENTOS!$D$5:$D$417="jabas")*(MOVIMIENTOS!$A$5:$A$417&lt;&gt;"")*(MOVIMIENTOS!$A$5:$A$417&lt;=$A68)*MOVIMIENTOS!$E$5:$E$417)+SUMPRODUCT((MOVIMIENTOS!$B$5:$B$417="AJUSTE")*(MOVIMIENTOS!$C$5:$C$417="P")*(MOVIMIENTOS!$D$5:$D$417="jabas")*(MOVIMIENTOS!$A$5:$A$417&lt;&gt;"")*(MOVIMIENTOS!$A$5:$A$417&lt;=$A68)*MOVIMIENTOS!$E$5:$E$417))</f>
        <v/>
      </c>
      <c r="D68" s="56" t="str">
        <f>IF($A68="","",SUMPRODUCT((MOVIMIENTOS!$B$5:$B$417="SALDO INICIAL")*(MOVIMIENTOS!$C$5:$C$417="C")*(MOVIMIENTOS!$D$5:$D$417="jabas")*(MOVIMIENTOS!$A$5:$A$417&lt;&gt;"")*(MOVIMIENTOS!$A$5:$A$417&lt;=$A68)*MOVIMIENTOS!$E$5:$E$417)+SUMPRODUCT((MOVIMIENTOS!$B$5:$B$417="PROCESO")*(MOVIMIENTOS!$C$5:$C$417="C")*(MOVIMIENTOS!$D$5:$D$417="jabas")*(MOVIMIENTOS!$A$5:$A$417&lt;&gt;"")*(MOVIMIENTOS!$A$5:$A$417&lt;=$A68)*MOVIMIENTOS!$E$5:$E$417)-SUMPRODUCT((MOVIMIENTOS!$B$5:$B$417="ENVÍO A SUPESA")*(MOVIMIENTOS!$C$5:$C$417="C")*(MOVIMIENTOS!$D$5:$D$417="jabas")*(MOVIMIENTOS!$A$5:$A$417&lt;&gt;"")*(MOVIMIENTOS!$A$5:$A$417&lt;=$A68)*MOVIMIENTOS!$E$5:$E$417)+SUMPRODUCT((MOVIMIENTOS!$B$5:$B$417="DEVOLUCIÓN")*(MOVIMIENTOS!$C$5:$C$417="C")*(MOVIMIENTOS!$D$5:$D$417="jabas")*(MOVIMIENTOS!$A$5:$A$417&lt;&gt;"")*(MOVIMIENTOS!$A$5:$A$417&lt;=$A68)*MOVIMIENTOS!$E$5:$E$417)-SUMPRODUCT((MOVIMIENTOS!$B$5:$B$417="TRASIEGO")*(MOVIMIENTOS!$C$5:$C$417="C")*(MOVIMIENTOS!$D$5:$D$417="jabas")*(MOVIMIENTOS!$A$5:$A$417&lt;&gt;"")*(MOVIMIENTOS!$A$5:$A$417&lt;=$A68)*MOVIMIENTOS!$E$5:$E$417)-SUMPRODUCT((MOVIMIENTOS!$B$5:$B$417="REGALO")*(MOVIMIENTOS!$C$5:$C$417="C")*(MOVIMIENTOS!$D$5:$D$417="jabas")*(MOVIMIENTOS!$A$5:$A$417&lt;&gt;"")*(MOVIMIENTOS!$A$5:$A$417&lt;=$A68)*MOVIMIENTOS!$E$5:$E$417)-SUMPRODUCT((MOVIMIENTOS!$B$5:$B$417="VENTA")*(MOVIMIENTOS!$C$5:$C$417="C")*(MOVIMIENTOS!$D$5:$D$417="jabas")*(MOVIMIENTOS!$A$5:$A$417&lt;&gt;"")*(MOVIMIENTOS!$A$5:$A$417&lt;=$A68)*MOVIMIENTOS!$E$5:$E$417)+SUMPRODUCT((MOVIMIENTOS!$B$5:$B$417="AJUSTE")*(MOVIMIENTOS!$C$5:$C$417="C")*(MOVIMIENTOS!$D$5:$D$417="jabas")*(MOVIMIENTOS!$A$5:$A$417&lt;&gt;"")*(MOVIMIENTOS!$A$5:$A$417&lt;=$A68)*MOVIMIENTOS!$E$5:$E$417))</f>
        <v/>
      </c>
      <c r="E68" s="56" t="str">
        <f>IF($A68="","",SUMPRODUCT((MOVIMIENTOS!$B$5:$B$417="SALDO INICIAL")*(MOVIMIENTOS!$C$5:$C$417="M")*(MOVIMIENTOS!$D$5:$D$417="jabas")*(MOVIMIENTOS!$A$5:$A$417&lt;&gt;"")*(MOVIMIENTOS!$A$5:$A$417&lt;=$A68)*MOVIMIENTOS!$E$5:$E$417)+SUMPRODUCT((MOVIMIENTOS!$B$5:$B$417="PROCESO")*(MOVIMIENTOS!$C$5:$C$417="M")*(MOVIMIENTOS!$D$5:$D$417="jabas")*(MOVIMIENTOS!$A$5:$A$417&lt;&gt;"")*(MOVIMIENTOS!$A$5:$A$417&lt;=$A68)*MOVIMIENTOS!$E$5:$E$417)-SUMPRODUCT((MOVIMIENTOS!$B$5:$B$417="ENVÍO A SUPESA")*(MOVIMIENTOS!$C$5:$C$417="M")*(MOVIMIENTOS!$D$5:$D$417="jabas")*(MOVIMIENTOS!$A$5:$A$417&lt;&gt;"")*(MOVIMIENTOS!$A$5:$A$417&lt;=$A68)*MOVIMIENTOS!$E$5:$E$417)+SUMPRODUCT((MOVIMIENTOS!$B$5:$B$417="DEVOLUCIÓN")*(MOVIMIENTOS!$C$5:$C$417="M")*(MOVIMIENTOS!$D$5:$D$417="jabas")*(MOVIMIENTOS!$A$5:$A$417&lt;&gt;"")*(MOVIMIENTOS!$A$5:$A$417&lt;=$A68)*MOVIMIENTOS!$E$5:$E$417)-SUMPRODUCT((MOVIMIENTOS!$B$5:$B$417="TRASIEGO")*(MOVIMIENTOS!$C$5:$C$417="M")*(MOVIMIENTOS!$D$5:$D$417="jabas")*(MOVIMIENTOS!$A$5:$A$417&lt;&gt;"")*(MOVIMIENTOS!$A$5:$A$417&lt;=$A68)*MOVIMIENTOS!$E$5:$E$417)-SUMPRODUCT((MOVIMIENTOS!$B$5:$B$417="REGALO")*(MOVIMIENTOS!$C$5:$C$417="M")*(MOVIMIENTOS!$D$5:$D$417="jabas")*(MOVIMIENTOS!$A$5:$A$417&lt;&gt;"")*(MOVIMIENTOS!$A$5:$A$417&lt;=$A68)*MOVIMIENTOS!$E$5:$E$417)-SUMPRODUCT((MOVIMIENTOS!$B$5:$B$417="VENTA")*(MOVIMIENTOS!$C$5:$C$417="M")*(MOVIMIENTOS!$D$5:$D$417="jabas")*(MOVIMIENTOS!$A$5:$A$417&lt;&gt;"")*(MOVIMIENTOS!$A$5:$A$417&lt;=$A68)*MOVIMIENTOS!$E$5:$E$417)+SUMPRODUCT((MOVIMIENTOS!$B$5:$B$417="AJUSTE")*(MOVIMIENTOS!$C$5:$C$417="M")*(MOVIMIENTOS!$D$5:$D$417="jabas")*(MOVIMIENTOS!$A$5:$A$417&lt;&gt;"")*(MOVIMIENTOS!$A$5:$A$417&lt;=$A68)*MOVIMIENTOS!$E$5:$E$417))</f>
        <v/>
      </c>
      <c r="F68" s="56" t="str">
        <f>IF($A68="","",SUMPRODUCT((MOVIMIENTOS!$B$5:$B$417="SALDO INICIAL")*(MOVIMIENTOS!$C$5:$C$417="Chancho")*(MOVIMIENTOS!$D$5:$D$417="sacos")*(MOVIMIENTOS!$A$5:$A$417&lt;&gt;"")*(MOVIMIENTOS!$A$5:$A$417&lt;=$A68)*MOVIMIENTOS!$E$5:$E$417)+SUMPRODUCT((MOVIMIENTOS!$B$5:$B$417="PROCESO")*(MOVIMIENTOS!$C$5:$C$417="Chancho")*(MOVIMIENTOS!$D$5:$D$417="sacos")*(MOVIMIENTOS!$A$5:$A$417&lt;&gt;"")*(MOVIMIENTOS!$A$5:$A$417&lt;=$A68)*MOVIMIENTOS!$E$5:$E$417)-SUMPRODUCT((MOVIMIENTOS!$B$5:$B$417="VENTA CHANCHO")*(MOVIMIENTOS!$C$5:$C$417="Chancho")*(MOVIMIENTOS!$D$5:$D$417="sacos")*(MOVIMIENTOS!$A$5:$A$417&lt;&gt;"")*(MOVIMIENTOS!$A$5:$A$417&lt;=$A68)*MOVIMIENTOS!$E$5:$E$417)-SUMPRODUCT((MOVIMIENTOS!$B$5:$B$417="REGALO")*(MOVIMIENTOS!$C$5:$C$417="Chancho")*(MOVIMIENTOS!$D$5:$D$417="sacos")*(MOVIMIENTOS!$A$5:$A$417&lt;&gt;"")*(MOVIMIENTOS!$A$5:$A$417&lt;=$A68)*MOVIMIENTOS!$E$5:$E$417)-SUMPRODUCT((MOVIMIENTOS!$B$5:$B$417="VENTA")*(MOVIMIENTOS!$C$5:$C$417="Chancho")*(MOVIMIENTOS!$D$5:$D$417="sacos")*(MOVIMIENTOS!$A$5:$A$417&lt;&gt;"")*(MOVIMIENTOS!$A$5:$A$417&lt;=$A68)*MOVIMIENTOS!$E$5:$E$417)+SUMPRODUCT((MOVIMIENTOS!$B$5:$B$417="AJUSTE")*(MOVIMIENTOS!$C$5:$C$417="Chancho")*(MOVIMIENTOS!$D$5:$D$417="sacos")*(MOVIMIENTOS!$A$5:$A$417&lt;&gt;"")*(MOVIMIENTOS!$A$5:$A$417&lt;=$A68)*MOVIMIENTOS!$E$5:$E$417))</f>
        <v/>
      </c>
      <c r="G68" s="56" t="str">
        <f t="shared" si="3"/>
        <v/>
      </c>
      <c r="H68" s="56" t="str">
        <f>IF($A68="","",SUMPRODUCT((((MOVIMIENTOS!$B$5:$B$417="SALDO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68)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68)*MOVIMIENTOS!$I$5:$I$417))</f>
        <v/>
      </c>
      <c r="I68" s="54"/>
      <c r="J68" s="54" t="str">
        <f>IF(AND(MOVIMIENTOS!$A68&lt;&gt;"",COUNTIF(MOVIMIENTOS!$A$5:$A67,MOVIMIENTOS!$A68)=0),COUNT(J$4:J67)+1,"")</f>
        <v/>
      </c>
      <c r="K68" s="57">
        <f>MOVIMIENTOS!$A68</f>
        <v>46220</v>
      </c>
      <c r="L68" s="54"/>
      <c r="M68" s="54"/>
      <c r="N68" s="54"/>
    </row>
    <row r="69" spans="1:14" ht="15" customHeight="1" x14ac:dyDescent="0.2">
      <c r="A69" s="55" t="str">
        <f t="shared" si="2"/>
        <v/>
      </c>
      <c r="B69" s="56" t="str">
        <f>IF($A69="","",SUMPRODUCT((MOVIMIENTOS!$B$5:$B$417="SALDO INICIAL")*(MOVIMIENTOS!$C$5:$C$417="A")*(MOVIMIENTOS!$D$5:$D$417="jabas")*(MOVIMIENTOS!$A$5:$A$417&lt;&gt;"")*(MOVIMIENTOS!$A$5:$A$417&lt;=$A69)*MOVIMIENTOS!$E$5:$E$417)+SUMPRODUCT((MOVIMIENTOS!$B$5:$B$417="PROCESO")*(MOVIMIENTOS!$C$5:$C$417="A")*(MOVIMIENTOS!$D$5:$D$417="jabas")*(MOVIMIENTOS!$A$5:$A$417&lt;&gt;"")*(MOVIMIENTOS!$A$5:$A$417&lt;=$A69)*MOVIMIENTOS!$E$5:$E$417)-SUMPRODUCT((MOVIMIENTOS!$B$5:$B$417="ENVÍO A SUPESA")*(MOVIMIENTOS!$C$5:$C$417="A")*(MOVIMIENTOS!$D$5:$D$417="jabas")*(MOVIMIENTOS!$A$5:$A$417&lt;&gt;"")*(MOVIMIENTOS!$A$5:$A$417&lt;=$A69)*MOVIMIENTOS!$E$5:$E$417)+SUMPRODUCT((MOVIMIENTOS!$B$5:$B$417="DEVOLUCIÓN")*(MOVIMIENTOS!$C$5:$C$417="A")*(MOVIMIENTOS!$D$5:$D$417="jabas")*(MOVIMIENTOS!$A$5:$A$417&lt;&gt;"")*(MOVIMIENTOS!$A$5:$A$417&lt;=$A69)*MOVIMIENTOS!$E$5:$E$417)-SUMPRODUCT((MOVIMIENTOS!$B$5:$B$417="TRASIEGO")*(MOVIMIENTOS!$C$5:$C$417="A")*(MOVIMIENTOS!$D$5:$D$417="jabas")*(MOVIMIENTOS!$A$5:$A$417&lt;&gt;"")*(MOVIMIENTOS!$A$5:$A$417&lt;=$A69)*MOVIMIENTOS!$E$5:$E$417)-SUMPRODUCT((MOVIMIENTOS!$B$5:$B$417="REGALO")*(MOVIMIENTOS!$C$5:$C$417="A")*(MOVIMIENTOS!$D$5:$D$417="jabas")*(MOVIMIENTOS!$A$5:$A$417&lt;&gt;"")*(MOVIMIENTOS!$A$5:$A$417&lt;=$A69)*MOVIMIENTOS!$E$5:$E$417)-SUMPRODUCT((MOVIMIENTOS!$B$5:$B$417="VENTA")*(MOVIMIENTOS!$C$5:$C$417="A")*(MOVIMIENTOS!$D$5:$D$417="jabas")*(MOVIMIENTOS!$A$5:$A$417&lt;&gt;"")*(MOVIMIENTOS!$A$5:$A$417&lt;=$A69)*MOVIMIENTOS!$E$5:$E$417)+SUMPRODUCT((MOVIMIENTOS!$B$5:$B$417="AJUSTE")*(MOVIMIENTOS!$C$5:$C$417="A")*(MOVIMIENTOS!$D$5:$D$417="jabas")*(MOVIMIENTOS!$A$5:$A$417&lt;&gt;"")*(MOVIMIENTOS!$A$5:$A$417&lt;=$A69)*MOVIMIENTOS!$E$5:$E$417))</f>
        <v/>
      </c>
      <c r="C69" s="56" t="str">
        <f>IF($A69="","",SUMPRODUCT((MOVIMIENTOS!$B$5:$B$417="SALDO INICIAL")*(MOVIMIENTOS!$C$5:$C$417="P")*(MOVIMIENTOS!$D$5:$D$417="jabas")*(MOVIMIENTOS!$A$5:$A$417&lt;&gt;"")*(MOVIMIENTOS!$A$5:$A$417&lt;=$A69)*MOVIMIENTOS!$E$5:$E$417)+SUMPRODUCT((MOVIMIENTOS!$B$5:$B$417="PROCESO")*(MOVIMIENTOS!$C$5:$C$417="P")*(MOVIMIENTOS!$D$5:$D$417="jabas")*(MOVIMIENTOS!$A$5:$A$417&lt;&gt;"")*(MOVIMIENTOS!$A$5:$A$417&lt;=$A69)*MOVIMIENTOS!$E$5:$E$417)-SUMPRODUCT((MOVIMIENTOS!$B$5:$B$417="ENVÍO A SUPESA")*(MOVIMIENTOS!$C$5:$C$417="P")*(MOVIMIENTOS!$D$5:$D$417="jabas")*(MOVIMIENTOS!$A$5:$A$417&lt;&gt;"")*(MOVIMIENTOS!$A$5:$A$417&lt;=$A69)*MOVIMIENTOS!$E$5:$E$417)+SUMPRODUCT((MOVIMIENTOS!$B$5:$B$417="DEVOLUCIÓN")*(MOVIMIENTOS!$C$5:$C$417="P")*(MOVIMIENTOS!$D$5:$D$417="jabas")*(MOVIMIENTOS!$A$5:$A$417&lt;&gt;"")*(MOVIMIENTOS!$A$5:$A$417&lt;=$A69)*MOVIMIENTOS!$E$5:$E$417)-SUMPRODUCT((MOVIMIENTOS!$B$5:$B$417="TRASIEGO")*(MOVIMIENTOS!$C$5:$C$417="P")*(MOVIMIENTOS!$D$5:$D$417="jabas")*(MOVIMIENTOS!$A$5:$A$417&lt;&gt;"")*(MOVIMIENTOS!$A$5:$A$417&lt;=$A69)*MOVIMIENTOS!$E$5:$E$417)-SUMPRODUCT((MOVIMIENTOS!$B$5:$B$417="REGALO")*(MOVIMIENTOS!$C$5:$C$417="P")*(MOVIMIENTOS!$D$5:$D$417="jabas")*(MOVIMIENTOS!$A$5:$A$417&lt;&gt;"")*(MOVIMIENTOS!$A$5:$A$417&lt;=$A69)*MOVIMIENTOS!$E$5:$E$417)-SUMPRODUCT((MOVIMIENTOS!$B$5:$B$417="VENTA")*(MOVIMIENTOS!$C$5:$C$417="P")*(MOVIMIENTOS!$D$5:$D$417="jabas")*(MOVIMIENTOS!$A$5:$A$417&lt;&gt;"")*(MOVIMIENTOS!$A$5:$A$417&lt;=$A69)*MOVIMIENTOS!$E$5:$E$417)+SUMPRODUCT((MOVIMIENTOS!$B$5:$B$417="AJUSTE")*(MOVIMIENTOS!$C$5:$C$417="P")*(MOVIMIENTOS!$D$5:$D$417="jabas")*(MOVIMIENTOS!$A$5:$A$417&lt;&gt;"")*(MOVIMIENTOS!$A$5:$A$417&lt;=$A69)*MOVIMIENTOS!$E$5:$E$417))</f>
        <v/>
      </c>
      <c r="D69" s="56" t="str">
        <f>IF($A69="","",SUMPRODUCT((MOVIMIENTOS!$B$5:$B$417="SALDO INICIAL")*(MOVIMIENTOS!$C$5:$C$417="C")*(MOVIMIENTOS!$D$5:$D$417="jabas")*(MOVIMIENTOS!$A$5:$A$417&lt;&gt;"")*(MOVIMIENTOS!$A$5:$A$417&lt;=$A69)*MOVIMIENTOS!$E$5:$E$417)+SUMPRODUCT((MOVIMIENTOS!$B$5:$B$417="PROCESO")*(MOVIMIENTOS!$C$5:$C$417="C")*(MOVIMIENTOS!$D$5:$D$417="jabas")*(MOVIMIENTOS!$A$5:$A$417&lt;&gt;"")*(MOVIMIENTOS!$A$5:$A$417&lt;=$A69)*MOVIMIENTOS!$E$5:$E$417)-SUMPRODUCT((MOVIMIENTOS!$B$5:$B$417="ENVÍO A SUPESA")*(MOVIMIENTOS!$C$5:$C$417="C")*(MOVIMIENTOS!$D$5:$D$417="jabas")*(MOVIMIENTOS!$A$5:$A$417&lt;&gt;"")*(MOVIMIENTOS!$A$5:$A$417&lt;=$A69)*MOVIMIENTOS!$E$5:$E$417)+SUMPRODUCT((MOVIMIENTOS!$B$5:$B$417="DEVOLUCIÓN")*(MOVIMIENTOS!$C$5:$C$417="C")*(MOVIMIENTOS!$D$5:$D$417="jabas")*(MOVIMIENTOS!$A$5:$A$417&lt;&gt;"")*(MOVIMIENTOS!$A$5:$A$417&lt;=$A69)*MOVIMIENTOS!$E$5:$E$417)-SUMPRODUCT((MOVIMIENTOS!$B$5:$B$417="TRASIEGO")*(MOVIMIENTOS!$C$5:$C$417="C")*(MOVIMIENTOS!$D$5:$D$417="jabas")*(MOVIMIENTOS!$A$5:$A$417&lt;&gt;"")*(MOVIMIENTOS!$A$5:$A$417&lt;=$A69)*MOVIMIENTOS!$E$5:$E$417)-SUMPRODUCT((MOVIMIENTOS!$B$5:$B$417="REGALO")*(MOVIMIENTOS!$C$5:$C$417="C")*(MOVIMIENTOS!$D$5:$D$417="jabas")*(MOVIMIENTOS!$A$5:$A$417&lt;&gt;"")*(MOVIMIENTOS!$A$5:$A$417&lt;=$A69)*MOVIMIENTOS!$E$5:$E$417)-SUMPRODUCT((MOVIMIENTOS!$B$5:$B$417="VENTA")*(MOVIMIENTOS!$C$5:$C$417="C")*(MOVIMIENTOS!$D$5:$D$417="jabas")*(MOVIMIENTOS!$A$5:$A$417&lt;&gt;"")*(MOVIMIENTOS!$A$5:$A$417&lt;=$A69)*MOVIMIENTOS!$E$5:$E$417)+SUMPRODUCT((MOVIMIENTOS!$B$5:$B$417="AJUSTE")*(MOVIMIENTOS!$C$5:$C$417="C")*(MOVIMIENTOS!$D$5:$D$417="jabas")*(MOVIMIENTOS!$A$5:$A$417&lt;&gt;"")*(MOVIMIENTOS!$A$5:$A$417&lt;=$A69)*MOVIMIENTOS!$E$5:$E$417))</f>
        <v/>
      </c>
      <c r="E69" s="56" t="str">
        <f>IF($A69="","",SUMPRODUCT((MOVIMIENTOS!$B$5:$B$417="SALDO INICIAL")*(MOVIMIENTOS!$C$5:$C$417="M")*(MOVIMIENTOS!$D$5:$D$417="jabas")*(MOVIMIENTOS!$A$5:$A$417&lt;&gt;"")*(MOVIMIENTOS!$A$5:$A$417&lt;=$A69)*MOVIMIENTOS!$E$5:$E$417)+SUMPRODUCT((MOVIMIENTOS!$B$5:$B$417="PROCESO")*(MOVIMIENTOS!$C$5:$C$417="M")*(MOVIMIENTOS!$D$5:$D$417="jabas")*(MOVIMIENTOS!$A$5:$A$417&lt;&gt;"")*(MOVIMIENTOS!$A$5:$A$417&lt;=$A69)*MOVIMIENTOS!$E$5:$E$417)-SUMPRODUCT((MOVIMIENTOS!$B$5:$B$417="ENVÍO A SUPESA")*(MOVIMIENTOS!$C$5:$C$417="M")*(MOVIMIENTOS!$D$5:$D$417="jabas")*(MOVIMIENTOS!$A$5:$A$417&lt;&gt;"")*(MOVIMIENTOS!$A$5:$A$417&lt;=$A69)*MOVIMIENTOS!$E$5:$E$417)+SUMPRODUCT((MOVIMIENTOS!$B$5:$B$417="DEVOLUCIÓN")*(MOVIMIENTOS!$C$5:$C$417="M")*(MOVIMIENTOS!$D$5:$D$417="jabas")*(MOVIMIENTOS!$A$5:$A$417&lt;&gt;"")*(MOVIMIENTOS!$A$5:$A$417&lt;=$A69)*MOVIMIENTOS!$E$5:$E$417)-SUMPRODUCT((MOVIMIENTOS!$B$5:$B$417="TRASIEGO")*(MOVIMIENTOS!$C$5:$C$417="M")*(MOVIMIENTOS!$D$5:$D$417="jabas")*(MOVIMIENTOS!$A$5:$A$417&lt;&gt;"")*(MOVIMIENTOS!$A$5:$A$417&lt;=$A69)*MOVIMIENTOS!$E$5:$E$417)-SUMPRODUCT((MOVIMIENTOS!$B$5:$B$417="REGALO")*(MOVIMIENTOS!$C$5:$C$417="M")*(MOVIMIENTOS!$D$5:$D$417="jabas")*(MOVIMIENTOS!$A$5:$A$417&lt;&gt;"")*(MOVIMIENTOS!$A$5:$A$417&lt;=$A69)*MOVIMIENTOS!$E$5:$E$417)-SUMPRODUCT((MOVIMIENTOS!$B$5:$B$417="VENTA")*(MOVIMIENTOS!$C$5:$C$417="M")*(MOVIMIENTOS!$D$5:$D$417="jabas")*(MOVIMIENTOS!$A$5:$A$417&lt;&gt;"")*(MOVIMIENTOS!$A$5:$A$417&lt;=$A69)*MOVIMIENTOS!$E$5:$E$417)+SUMPRODUCT((MOVIMIENTOS!$B$5:$B$417="AJUSTE")*(MOVIMIENTOS!$C$5:$C$417="M")*(MOVIMIENTOS!$D$5:$D$417="jabas")*(MOVIMIENTOS!$A$5:$A$417&lt;&gt;"")*(MOVIMIENTOS!$A$5:$A$417&lt;=$A69)*MOVIMIENTOS!$E$5:$E$417))</f>
        <v/>
      </c>
      <c r="F69" s="56" t="str">
        <f>IF($A69="","",SUMPRODUCT((MOVIMIENTOS!$B$5:$B$417="SALDO INICIAL")*(MOVIMIENTOS!$C$5:$C$417="Chancho")*(MOVIMIENTOS!$D$5:$D$417="sacos")*(MOVIMIENTOS!$A$5:$A$417&lt;&gt;"")*(MOVIMIENTOS!$A$5:$A$417&lt;=$A69)*MOVIMIENTOS!$E$5:$E$417)+SUMPRODUCT((MOVIMIENTOS!$B$5:$B$417="PROCESO")*(MOVIMIENTOS!$C$5:$C$417="Chancho")*(MOVIMIENTOS!$D$5:$D$417="sacos")*(MOVIMIENTOS!$A$5:$A$417&lt;&gt;"")*(MOVIMIENTOS!$A$5:$A$417&lt;=$A69)*MOVIMIENTOS!$E$5:$E$417)-SUMPRODUCT((MOVIMIENTOS!$B$5:$B$417="VENTA CHANCHO")*(MOVIMIENTOS!$C$5:$C$417="Chancho")*(MOVIMIENTOS!$D$5:$D$417="sacos")*(MOVIMIENTOS!$A$5:$A$417&lt;&gt;"")*(MOVIMIENTOS!$A$5:$A$417&lt;=$A69)*MOVIMIENTOS!$E$5:$E$417)-SUMPRODUCT((MOVIMIENTOS!$B$5:$B$417="REGALO")*(MOVIMIENTOS!$C$5:$C$417="Chancho")*(MOVIMIENTOS!$D$5:$D$417="sacos")*(MOVIMIENTOS!$A$5:$A$417&lt;&gt;"")*(MOVIMIENTOS!$A$5:$A$417&lt;=$A69)*MOVIMIENTOS!$E$5:$E$417)-SUMPRODUCT((MOVIMIENTOS!$B$5:$B$417="VENTA")*(MOVIMIENTOS!$C$5:$C$417="Chancho")*(MOVIMIENTOS!$D$5:$D$417="sacos")*(MOVIMIENTOS!$A$5:$A$417&lt;&gt;"")*(MOVIMIENTOS!$A$5:$A$417&lt;=$A69)*MOVIMIENTOS!$E$5:$E$417)+SUMPRODUCT((MOVIMIENTOS!$B$5:$B$417="AJUSTE")*(MOVIMIENTOS!$C$5:$C$417="Chancho")*(MOVIMIENTOS!$D$5:$D$417="sacos")*(MOVIMIENTOS!$A$5:$A$417&lt;&gt;"")*(MOVIMIENTOS!$A$5:$A$417&lt;=$A69)*MOVIMIENTOS!$E$5:$E$417))</f>
        <v/>
      </c>
      <c r="G69" s="56" t="str">
        <f t="shared" si="3"/>
        <v/>
      </c>
      <c r="H69" s="56" t="str">
        <f>IF($A69="","",SUMPRODUCT((((MOVIMIENTOS!$B$5:$B$417="SALDO INICIAL")*(MOVIMIENTOS!$C$5:$C$417&lt;&gt;"Chancho"))+(MOVIMIENTOS!$B$5:$B$417="COMPRA")+(MOVIMIENTOS!$B$5:$B$417="REPROCESO")+(MOVIMIENTOS!$B$5:$B$417="DEVOLUCIÓN")+((MOVIMIENTOS!$B$5:$B$417="AJUSTE")*(MOVIMIENTOS!$C$5:$C$417&lt;&gt;"Chancho")))*(MOVIMIENTOS!$A$5:$A$417&lt;&gt;"")*(MOVIMIENTOS!$A$5:$A$417&lt;=$A69)*MOVIMIENTOS!$I$5:$I$417)-SUMPRODUCT(((MOVIMIENTOS!$B$5:$B$417="ENVÍO A SUPESA")+(MOVIMIENTOS!$B$5:$B$417="ENVÍO A TOTTUS")+(MOVIMIENTOS!$B$5:$B$417="ENVIO A TOTTUS")+(MOVIMIENTOS!$B$5:$B$417="MALOGRADO")+(MOVIMIENTOS!$B$5:$B$417="OTRA SALIDA")+((MOVIMIENTOS!$B$5:$B$417="PROCESO")*(MOVIMIENTOS!$C$5:$C$417="Chancho"))+((MOVIMIENTOS!$B$5:$B$417="REGALO")*(MOVIMIENTOS!$C$5:$C$417&lt;&gt;"Chancho"))+((MOVIMIENTOS!$B$5:$B$417="VENTA")*(MOVIMIENTOS!$C$5:$C$417&lt;&gt;"Chancho")))*(MOVIMIENTOS!$A$5:$A$417&lt;&gt;"")*(MOVIMIENTOS!$A$5:$A$417&lt;=$A69)*MOVIMIENTOS!$I$5:$I$417))</f>
        <v/>
      </c>
      <c r="I69" s="54"/>
      <c r="J69" s="54" t="str">
        <f>IF(AND(MOVIMIENTOS!$A69&lt;&gt;"",COUNTIF(MOVIMIENTOS!$A$5:$A68,MOVIMIENTOS!$A69)=0),COUNT(J$4:J68)+1,"")</f>
        <v/>
      </c>
      <c r="K69" s="57">
        <f>MOVIMIENTOS!$A69</f>
        <v>46220</v>
      </c>
      <c r="L69" s="54"/>
      <c r="M69" s="54"/>
      <c r="N69" s="54"/>
    </row>
    <row r="70" spans="1:14" ht="15" customHeight="1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 t="str">
        <f>IF(AND(MOVIMIENTOS!$A70&lt;&gt;"",COUNTIF(MOVIMIENTOS!$A$5:$A69,MOVIMIENTOS!$A70)=0),COUNT(J$4:J69)+1,"")</f>
        <v/>
      </c>
      <c r="K70" s="57">
        <f>MOVIMIENTOS!$A70</f>
        <v>46220</v>
      </c>
      <c r="L70" s="54"/>
      <c r="M70" s="54"/>
      <c r="N70" s="54"/>
    </row>
    <row r="71" spans="1:14" ht="15" customHeight="1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 t="str">
        <f>IF(AND(MOVIMIENTOS!$A71&lt;&gt;"",COUNTIF(MOVIMIENTOS!$A$5:$A70,MOVIMIENTOS!$A71)=0),COUNT(J$4:J70)+1,"")</f>
        <v/>
      </c>
      <c r="K71" s="57">
        <f>MOVIMIENTOS!$A71</f>
        <v>46220</v>
      </c>
      <c r="L71" s="54"/>
      <c r="M71" s="54"/>
      <c r="N71" s="54"/>
    </row>
    <row r="72" spans="1:14" ht="15" customHeight="1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 t="str">
        <f>IF(AND(MOVIMIENTOS!$A72&lt;&gt;"",COUNTIF(MOVIMIENTOS!$A$5:$A71,MOVIMIENTOS!$A72)=0),COUNT(J$4:J71)+1,"")</f>
        <v/>
      </c>
      <c r="K72" s="57">
        <f>MOVIMIENTOS!$A72</f>
        <v>46220</v>
      </c>
      <c r="L72" s="54"/>
      <c r="M72" s="54"/>
      <c r="N72" s="54"/>
    </row>
    <row r="73" spans="1:14" ht="15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 t="str">
        <f>IF(AND(MOVIMIENTOS!$A73&lt;&gt;"",COUNTIF(MOVIMIENTOS!$A$5:$A72,MOVIMIENTOS!$A73)=0),COUNT(J$4:J72)+1,"")</f>
        <v/>
      </c>
      <c r="K73" s="57">
        <f>MOVIMIENTOS!$A73</f>
        <v>46220</v>
      </c>
      <c r="L73" s="54"/>
      <c r="M73" s="54"/>
      <c r="N73" s="54"/>
    </row>
    <row r="74" spans="1:14" ht="15" customHeight="1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 t="str">
        <f>IF(AND(MOVIMIENTOS!$A74&lt;&gt;"",COUNTIF(MOVIMIENTOS!$A$5:$A73,MOVIMIENTOS!$A74)=0),COUNT(J$4:J73)+1,"")</f>
        <v/>
      </c>
      <c r="K74" s="57">
        <f>MOVIMIENTOS!$A74</f>
        <v>46220</v>
      </c>
      <c r="L74" s="54"/>
      <c r="M74" s="54"/>
      <c r="N74" s="54"/>
    </row>
    <row r="75" spans="1:14" ht="15" customHeight="1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>
        <f>IF(AND(MOVIMIENTOS!$A75&lt;&gt;"",COUNTIF(MOVIMIENTOS!$A$5:$A74,MOVIMIENTOS!$A75)=0),COUNT(J$4:J74)+1,"")</f>
        <v>8</v>
      </c>
      <c r="K75" s="57">
        <f>MOVIMIENTOS!$A75</f>
        <v>46221</v>
      </c>
      <c r="L75" s="54"/>
      <c r="M75" s="54"/>
      <c r="N75" s="54"/>
    </row>
    <row r="76" spans="1:14" ht="15" customHeight="1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 t="str">
        <f>IF(AND(MOVIMIENTOS!$A76&lt;&gt;"",COUNTIF(MOVIMIENTOS!$A$5:$A75,MOVIMIENTOS!$A76)=0),COUNT(J$4:J75)+1,"")</f>
        <v/>
      </c>
      <c r="K76" s="57">
        <f>MOVIMIENTOS!$A76</f>
        <v>46221</v>
      </c>
      <c r="L76" s="54"/>
      <c r="M76" s="54"/>
      <c r="N76" s="54"/>
    </row>
    <row r="77" spans="1:14" ht="15" customHeight="1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 t="str">
        <f>IF(AND(MOVIMIENTOS!$A77&lt;&gt;"",COUNTIF(MOVIMIENTOS!$A$5:$A76,MOVIMIENTOS!$A77)=0),COUNT(J$4:J76)+1,"")</f>
        <v/>
      </c>
      <c r="K77" s="57">
        <f>MOVIMIENTOS!$A77</f>
        <v>46221</v>
      </c>
      <c r="L77" s="54"/>
      <c r="M77" s="54"/>
      <c r="N77" s="54"/>
    </row>
    <row r="78" spans="1:14" ht="15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 t="str">
        <f>IF(AND(MOVIMIENTOS!$A78&lt;&gt;"",COUNTIF(MOVIMIENTOS!$A$5:$A77,MOVIMIENTOS!$A78)=0),COUNT(J$4:J77)+1,"")</f>
        <v/>
      </c>
      <c r="K78" s="57">
        <f>MOVIMIENTOS!$A78</f>
        <v>46221</v>
      </c>
      <c r="L78" s="54"/>
      <c r="M78" s="54"/>
      <c r="N78" s="54"/>
    </row>
    <row r="79" spans="1:14" ht="15" customHeight="1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 t="str">
        <f>IF(AND(MOVIMIENTOS!$A79&lt;&gt;"",COUNTIF(MOVIMIENTOS!$A$5:$A78,MOVIMIENTOS!$A79)=0),COUNT(J$4:J78)+1,"")</f>
        <v/>
      </c>
      <c r="K79" s="57">
        <f>MOVIMIENTOS!$A79</f>
        <v>46221</v>
      </c>
      <c r="L79" s="54"/>
      <c r="M79" s="54"/>
      <c r="N79" s="54"/>
    </row>
    <row r="80" spans="1:14" ht="15" customHeight="1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 t="str">
        <f>IF(AND(MOVIMIENTOS!$A80&lt;&gt;"",COUNTIF(MOVIMIENTOS!$A$5:$A79,MOVIMIENTOS!$A80)=0),COUNT(J$4:J79)+1,"")</f>
        <v/>
      </c>
      <c r="K80" s="57">
        <f>MOVIMIENTOS!$A80</f>
        <v>46221</v>
      </c>
      <c r="L80" s="54"/>
      <c r="M80" s="54"/>
      <c r="N80" s="54"/>
    </row>
    <row r="81" spans="1:14" ht="15" customHeight="1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 t="str">
        <f>IF(AND(MOVIMIENTOS!$A81&lt;&gt;"",COUNTIF(MOVIMIENTOS!$A$5:$A80,MOVIMIENTOS!$A81)=0),COUNT(J$4:J80)+1,"")</f>
        <v/>
      </c>
      <c r="K81" s="57">
        <f>MOVIMIENTOS!$A81</f>
        <v>46221</v>
      </c>
      <c r="L81" s="54"/>
      <c r="M81" s="54"/>
      <c r="N81" s="54"/>
    </row>
    <row r="82" spans="1:14" ht="15" customHeight="1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 t="str">
        <f>IF(AND(MOVIMIENTOS!$A82&lt;&gt;"",COUNTIF(MOVIMIENTOS!$A$5:$A81,MOVIMIENTOS!$A82)=0),COUNT(J$4:J81)+1,"")</f>
        <v/>
      </c>
      <c r="K82" s="57">
        <f>MOVIMIENTOS!$A82</f>
        <v>46221</v>
      </c>
      <c r="L82" s="54"/>
      <c r="M82" s="54"/>
      <c r="N82" s="54"/>
    </row>
    <row r="83" spans="1:14" ht="15" customHeight="1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 t="str">
        <f>IF(AND(MOVIMIENTOS!$A83&lt;&gt;"",COUNTIF(MOVIMIENTOS!$A$5:$A82,MOVIMIENTOS!$A83)=0),COUNT(J$4:J82)+1,"")</f>
        <v/>
      </c>
      <c r="K83" s="57">
        <f>MOVIMIENTOS!$A83</f>
        <v>46221</v>
      </c>
      <c r="L83" s="54"/>
      <c r="M83" s="54"/>
      <c r="N83" s="54"/>
    </row>
    <row r="84" spans="1:14" ht="15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 t="str">
        <f>IF(AND(MOVIMIENTOS!$A84&lt;&gt;"",COUNTIF(MOVIMIENTOS!$A$5:$A83,MOVIMIENTOS!$A84)=0),COUNT(J$4:J83)+1,"")</f>
        <v/>
      </c>
      <c r="K84" s="57">
        <f>MOVIMIENTOS!$A84</f>
        <v>46221</v>
      </c>
      <c r="L84" s="54"/>
      <c r="M84" s="54"/>
      <c r="N84" s="54"/>
    </row>
    <row r="85" spans="1:14" ht="15" customHeight="1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 t="str">
        <f>IF(AND(MOVIMIENTOS!$A85&lt;&gt;"",COUNTIF(MOVIMIENTOS!$A$5:$A84,MOVIMIENTOS!$A85)=0),COUNT(J$4:J84)+1,"")</f>
        <v/>
      </c>
      <c r="K85" s="57">
        <f>MOVIMIENTOS!$A85</f>
        <v>46221</v>
      </c>
      <c r="L85" s="54"/>
      <c r="M85" s="54"/>
      <c r="N85" s="54"/>
    </row>
    <row r="86" spans="1:14" ht="15" customHeight="1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>
        <f>IF(AND(MOVIMIENTOS!$A86&lt;&gt;"",COUNTIF(MOVIMIENTOS!$A$5:$A85,MOVIMIENTOS!$A86)=0),COUNT(J$4:J85)+1,"")</f>
        <v>9</v>
      </c>
      <c r="K86" s="57">
        <f>MOVIMIENTOS!$A86</f>
        <v>46222</v>
      </c>
      <c r="L86" s="54"/>
      <c r="M86" s="54"/>
      <c r="N86" s="54"/>
    </row>
    <row r="87" spans="1:14" ht="15" customHeight="1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 t="str">
        <f>IF(AND(MOVIMIENTOS!$A87&lt;&gt;"",COUNTIF(MOVIMIENTOS!$A$5:$A86,MOVIMIENTOS!$A87)=0),COUNT(J$4:J86)+1,"")</f>
        <v/>
      </c>
      <c r="K87" s="57">
        <f>MOVIMIENTOS!$A87</f>
        <v>46222</v>
      </c>
      <c r="L87" s="54"/>
      <c r="M87" s="54"/>
      <c r="N87" s="54"/>
    </row>
    <row r="88" spans="1:14" ht="15" customHeight="1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 t="str">
        <f>IF(AND(MOVIMIENTOS!$A88&lt;&gt;"",COUNTIF(MOVIMIENTOS!$A$5:$A87,MOVIMIENTOS!$A88)=0),COUNT(J$4:J87)+1,"")</f>
        <v/>
      </c>
      <c r="K88" s="57">
        <f>MOVIMIENTOS!$A88</f>
        <v>46222</v>
      </c>
      <c r="L88" s="54"/>
      <c r="M88" s="54"/>
      <c r="N88" s="54"/>
    </row>
    <row r="89" spans="1:14" ht="15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 t="str">
        <f>IF(AND(MOVIMIENTOS!$A89&lt;&gt;"",COUNTIF(MOVIMIENTOS!$A$5:$A88,MOVIMIENTOS!$A89)=0),COUNT(J$4:J88)+1,"")</f>
        <v/>
      </c>
      <c r="K89" s="57">
        <f>MOVIMIENTOS!$A89</f>
        <v>46222</v>
      </c>
      <c r="L89" s="54"/>
      <c r="M89" s="54"/>
      <c r="N89" s="54"/>
    </row>
    <row r="90" spans="1:14" ht="15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 t="str">
        <f>IF(AND(MOVIMIENTOS!$A90&lt;&gt;"",COUNTIF(MOVIMIENTOS!$A$5:$A89,MOVIMIENTOS!$A90)=0),COUNT(J$4:J89)+1,"")</f>
        <v/>
      </c>
      <c r="K90" s="57">
        <f>MOVIMIENTOS!$A90</f>
        <v>46222</v>
      </c>
      <c r="L90" s="54"/>
      <c r="M90" s="54"/>
      <c r="N90" s="54"/>
    </row>
    <row r="91" spans="1:14" ht="15" customHeight="1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 t="str">
        <f>IF(AND(MOVIMIENTOS!$A91&lt;&gt;"",COUNTIF(MOVIMIENTOS!$A$5:$A90,MOVIMIENTOS!$A91)=0),COUNT(J$4:J90)+1,"")</f>
        <v/>
      </c>
      <c r="K91" s="57">
        <f>MOVIMIENTOS!$A91</f>
        <v>46222</v>
      </c>
      <c r="L91" s="54"/>
      <c r="M91" s="54"/>
      <c r="N91" s="54"/>
    </row>
    <row r="92" spans="1:14" ht="15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 t="str">
        <f>IF(AND(MOVIMIENTOS!$A92&lt;&gt;"",COUNTIF(MOVIMIENTOS!$A$5:$A91,MOVIMIENTOS!$A92)=0),COUNT(J$4:J91)+1,"")</f>
        <v/>
      </c>
      <c r="K92" s="57">
        <f>MOVIMIENTOS!$A92</f>
        <v>46222</v>
      </c>
      <c r="L92" s="54"/>
      <c r="M92" s="54"/>
      <c r="N92" s="54"/>
    </row>
    <row r="93" spans="1:14" ht="15" customHeight="1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 t="str">
        <f>IF(AND(MOVIMIENTOS!$A93&lt;&gt;"",COUNTIF(MOVIMIENTOS!$A$5:$A92,MOVIMIENTOS!$A93)=0),COUNT(J$4:J92)+1,"")</f>
        <v/>
      </c>
      <c r="K93" s="57">
        <f>MOVIMIENTOS!$A93</f>
        <v>46222</v>
      </c>
      <c r="L93" s="54"/>
      <c r="M93" s="54"/>
      <c r="N93" s="54"/>
    </row>
    <row r="94" spans="1:14" ht="15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 t="str">
        <f>IF(AND(MOVIMIENTOS!$A94&lt;&gt;"",COUNTIF(MOVIMIENTOS!$A$5:$A93,MOVIMIENTOS!$A94)=0),COUNT(J$4:J93)+1,"")</f>
        <v/>
      </c>
      <c r="K94" s="57">
        <f>MOVIMIENTOS!$A94</f>
        <v>46222</v>
      </c>
      <c r="L94" s="54"/>
      <c r="M94" s="54"/>
      <c r="N94" s="54"/>
    </row>
    <row r="95" spans="1:14" ht="15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 t="str">
        <f>IF(AND(MOVIMIENTOS!$A95&lt;&gt;"",COUNTIF(MOVIMIENTOS!$A$5:$A94,MOVIMIENTOS!$A95)=0),COUNT(J$4:J94)+1,"")</f>
        <v/>
      </c>
      <c r="K95" s="57">
        <f>MOVIMIENTOS!$A95</f>
        <v>46222</v>
      </c>
      <c r="L95" s="54"/>
      <c r="M95" s="54"/>
      <c r="N95" s="54"/>
    </row>
    <row r="96" spans="1:14" ht="15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>
        <f>IF(AND(MOVIMIENTOS!$A96&lt;&gt;"",COUNTIF(MOVIMIENTOS!$A$5:$A95,MOVIMIENTOS!$A96)=0),COUNT(J$4:J95)+1,"")</f>
        <v>10</v>
      </c>
      <c r="K96" s="57">
        <f>MOVIMIENTOS!$A96</f>
        <v>46223</v>
      </c>
      <c r="L96" s="54"/>
      <c r="M96" s="54"/>
      <c r="N96" s="54"/>
    </row>
    <row r="97" spans="1:14" ht="15" customHeight="1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 t="str">
        <f>IF(AND(MOVIMIENTOS!$A97&lt;&gt;"",COUNTIF(MOVIMIENTOS!$A$5:$A96,MOVIMIENTOS!$A97)=0),COUNT(J$4:J96)+1,"")</f>
        <v/>
      </c>
      <c r="K97" s="57">
        <f>MOVIMIENTOS!$A97</f>
        <v>46223</v>
      </c>
      <c r="L97" s="54"/>
      <c r="M97" s="54"/>
      <c r="N97" s="54"/>
    </row>
    <row r="98" spans="1:14" ht="1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 t="str">
        <f>IF(AND(MOVIMIENTOS!$A98&lt;&gt;"",COUNTIF(MOVIMIENTOS!$A$5:$A97,MOVIMIENTOS!$A98)=0),COUNT(J$4:J97)+1,"")</f>
        <v/>
      </c>
      <c r="K98" s="57">
        <f>MOVIMIENTOS!$A98</f>
        <v>46223</v>
      </c>
      <c r="L98" s="54"/>
      <c r="M98" s="54"/>
      <c r="N98" s="54"/>
    </row>
    <row r="99" spans="1:14" ht="15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 t="str">
        <f>IF(AND(MOVIMIENTOS!$A99&lt;&gt;"",COUNTIF(MOVIMIENTOS!$A$5:$A98,MOVIMIENTOS!$A99)=0),COUNT(J$4:J98)+1,"")</f>
        <v/>
      </c>
      <c r="K99" s="57">
        <f>MOVIMIENTOS!$A99</f>
        <v>46223</v>
      </c>
      <c r="L99" s="54"/>
      <c r="M99" s="54"/>
      <c r="N99" s="54"/>
    </row>
    <row r="100" spans="1:14" ht="15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 t="str">
        <f>IF(AND(MOVIMIENTOS!$A100&lt;&gt;"",COUNTIF(MOVIMIENTOS!$A$5:$A99,MOVIMIENTOS!$A100)=0),COUNT(J$4:J99)+1,"")</f>
        <v/>
      </c>
      <c r="K100" s="57">
        <f>MOVIMIENTOS!$A100</f>
        <v>46223</v>
      </c>
      <c r="L100" s="54"/>
      <c r="M100" s="54"/>
      <c r="N100" s="54"/>
    </row>
    <row r="101" spans="1:14" ht="15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 t="str">
        <f>IF(AND(MOVIMIENTOS!$A101&lt;&gt;"",COUNTIF(MOVIMIENTOS!$A$5:$A100,MOVIMIENTOS!$A101)=0),COUNT(J$4:J100)+1,"")</f>
        <v/>
      </c>
      <c r="K101" s="57">
        <f>MOVIMIENTOS!$A101</f>
        <v>46223</v>
      </c>
      <c r="L101" s="54"/>
      <c r="M101" s="54"/>
      <c r="N101" s="54"/>
    </row>
    <row r="102" spans="1:14" ht="15" customHeight="1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 t="str">
        <f>IF(AND(MOVIMIENTOS!$A102&lt;&gt;"",COUNTIF(MOVIMIENTOS!$A$5:$A101,MOVIMIENTOS!$A102)=0),COUNT(J$4:J101)+1,"")</f>
        <v/>
      </c>
      <c r="K102" s="57">
        <f>MOVIMIENTOS!$A102</f>
        <v>46223</v>
      </c>
      <c r="L102" s="54"/>
      <c r="M102" s="54"/>
      <c r="N102" s="54"/>
    </row>
    <row r="103" spans="1:14" ht="15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 t="str">
        <f>IF(AND(MOVIMIENTOS!$A103&lt;&gt;"",COUNTIF(MOVIMIENTOS!$A$5:$A102,MOVIMIENTOS!$A103)=0),COUNT(J$4:J102)+1,"")</f>
        <v/>
      </c>
      <c r="K103" s="57">
        <f>MOVIMIENTOS!$A103</f>
        <v>46223</v>
      </c>
      <c r="L103" s="54"/>
      <c r="M103" s="54"/>
      <c r="N103" s="54"/>
    </row>
    <row r="104" spans="1:14" ht="15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 t="str">
        <f>IF(AND(MOVIMIENTOS!$A104&lt;&gt;"",COUNTIF(MOVIMIENTOS!$A$5:$A103,MOVIMIENTOS!$A104)=0),COUNT(J$4:J103)+1,"")</f>
        <v/>
      </c>
      <c r="K104" s="57">
        <f>MOVIMIENTOS!$A104</f>
        <v>46223</v>
      </c>
      <c r="L104" s="54"/>
      <c r="M104" s="54"/>
      <c r="N104" s="54"/>
    </row>
    <row r="105" spans="1:14" ht="15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 t="str">
        <f>IF(AND(MOVIMIENTOS!$A105&lt;&gt;"",COUNTIF(MOVIMIENTOS!$A$5:$A104,MOVIMIENTOS!$A105)=0),COUNT(J$4:J104)+1,"")</f>
        <v/>
      </c>
      <c r="K105" s="57">
        <f>MOVIMIENTOS!$A105</f>
        <v>46223</v>
      </c>
      <c r="L105" s="54"/>
      <c r="M105" s="54"/>
      <c r="N105" s="54"/>
    </row>
    <row r="106" spans="1:14" ht="15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 t="str">
        <f>IF(AND(MOVIMIENTOS!$A106&lt;&gt;"",COUNTIF(MOVIMIENTOS!$A$5:$A105,MOVIMIENTOS!$A106)=0),COUNT(J$4:J105)+1,"")</f>
        <v/>
      </c>
      <c r="K106" s="57">
        <f>MOVIMIENTOS!$A106</f>
        <v>46223</v>
      </c>
      <c r="L106" s="54"/>
      <c r="M106" s="54"/>
      <c r="N106" s="54"/>
    </row>
    <row r="107" spans="1:14" ht="15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 t="str">
        <f>IF(AND(MOVIMIENTOS!$A107&lt;&gt;"",COUNTIF(MOVIMIENTOS!$A$5:$A106,MOVIMIENTOS!$A107)=0),COUNT(J$4:J106)+1,"")</f>
        <v/>
      </c>
      <c r="K107" s="57">
        <f>MOVIMIENTOS!$A107</f>
        <v>46223</v>
      </c>
      <c r="L107" s="54"/>
      <c r="M107" s="54"/>
      <c r="N107" s="54"/>
    </row>
    <row r="108" spans="1:14" ht="15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 t="str">
        <f>IF(AND(MOVIMIENTOS!$A108&lt;&gt;"",COUNTIF(MOVIMIENTOS!$A$5:$A107,MOVIMIENTOS!$A108)=0),COUNT(J$4:J107)+1,"")</f>
        <v/>
      </c>
      <c r="K108" s="57">
        <f>MOVIMIENTOS!$A108</f>
        <v>46223</v>
      </c>
      <c r="L108" s="54"/>
      <c r="M108" s="54"/>
      <c r="N108" s="54"/>
    </row>
    <row r="109" spans="1:14" ht="15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>
        <f>IF(AND(MOVIMIENTOS!$A109&lt;&gt;"",COUNTIF(MOVIMIENTOS!$A$5:$A108,MOVIMIENTOS!$A109)=0),COUNT(J$4:J108)+1,"")</f>
        <v>11</v>
      </c>
      <c r="K109" s="57">
        <f>MOVIMIENTOS!$A109</f>
        <v>46224</v>
      </c>
      <c r="L109" s="54"/>
      <c r="M109" s="54"/>
      <c r="N109" s="54"/>
    </row>
    <row r="110" spans="1:14" ht="15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 t="str">
        <f>IF(AND(MOVIMIENTOS!$A110&lt;&gt;"",COUNTIF(MOVIMIENTOS!$A$5:$A109,MOVIMIENTOS!$A110)=0),COUNT(J$4:J109)+1,"")</f>
        <v/>
      </c>
      <c r="K110" s="57">
        <f>MOVIMIENTOS!$A110</f>
        <v>46224</v>
      </c>
      <c r="L110" s="54"/>
      <c r="M110" s="54"/>
      <c r="N110" s="54"/>
    </row>
    <row r="111" spans="1:14" ht="15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 t="str">
        <f>IF(AND(MOVIMIENTOS!$A111&lt;&gt;"",COUNTIF(MOVIMIENTOS!$A$5:$A110,MOVIMIENTOS!$A111)=0),COUNT(J$4:J110)+1,"")</f>
        <v/>
      </c>
      <c r="K111" s="57">
        <f>MOVIMIENTOS!$A111</f>
        <v>46224</v>
      </c>
      <c r="L111" s="54"/>
      <c r="M111" s="54"/>
      <c r="N111" s="54"/>
    </row>
    <row r="112" spans="1:14" ht="15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 t="str">
        <f>IF(AND(MOVIMIENTOS!$A112&lt;&gt;"",COUNTIF(MOVIMIENTOS!$A$5:$A111,MOVIMIENTOS!$A112)=0),COUNT(J$4:J111)+1,"")</f>
        <v/>
      </c>
      <c r="K112" s="57">
        <f>MOVIMIENTOS!$A112</f>
        <v>46224</v>
      </c>
      <c r="L112" s="54"/>
      <c r="M112" s="54"/>
      <c r="N112" s="54"/>
    </row>
    <row r="113" spans="1:14" ht="15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 t="str">
        <f>IF(AND(MOVIMIENTOS!$A113&lt;&gt;"",COUNTIF(MOVIMIENTOS!$A$5:$A112,MOVIMIENTOS!$A113)=0),COUNT(J$4:J112)+1,"")</f>
        <v/>
      </c>
      <c r="K113" s="57">
        <f>MOVIMIENTOS!$A113</f>
        <v>46224</v>
      </c>
      <c r="L113" s="54"/>
      <c r="M113" s="54"/>
      <c r="N113" s="54"/>
    </row>
    <row r="114" spans="1:14" ht="15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 t="str">
        <f>IF(AND(MOVIMIENTOS!$A114&lt;&gt;"",COUNTIF(MOVIMIENTOS!$A$5:$A113,MOVIMIENTOS!$A114)=0),COUNT(J$4:J113)+1,"")</f>
        <v/>
      </c>
      <c r="K114" s="57">
        <f>MOVIMIENTOS!$A114</f>
        <v>46224</v>
      </c>
      <c r="L114" s="54"/>
      <c r="M114" s="54"/>
      <c r="N114" s="54"/>
    </row>
    <row r="115" spans="1:14" ht="15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 t="str">
        <f>IF(AND(MOVIMIENTOS!$A115&lt;&gt;"",COUNTIF(MOVIMIENTOS!$A$5:$A114,MOVIMIENTOS!$A115)=0),COUNT(J$4:J114)+1,"")</f>
        <v/>
      </c>
      <c r="K115" s="57">
        <f>MOVIMIENTOS!$A115</f>
        <v>46224</v>
      </c>
      <c r="L115" s="54"/>
      <c r="M115" s="54"/>
      <c r="N115" s="54"/>
    </row>
    <row r="116" spans="1:14" ht="15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 t="str">
        <f>IF(AND(MOVIMIENTOS!$A116&lt;&gt;"",COUNTIF(MOVIMIENTOS!$A$5:$A115,MOVIMIENTOS!$A116)=0),COUNT(J$4:J115)+1,"")</f>
        <v/>
      </c>
      <c r="K116" s="57">
        <f>MOVIMIENTOS!$A116</f>
        <v>46224</v>
      </c>
      <c r="L116" s="54"/>
      <c r="M116" s="54"/>
      <c r="N116" s="54"/>
    </row>
    <row r="117" spans="1:14" ht="15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 t="str">
        <f>IF(AND(MOVIMIENTOS!$A117&lt;&gt;"",COUNTIF(MOVIMIENTOS!$A$5:$A116,MOVIMIENTOS!$A117)=0),COUNT(J$4:J116)+1,"")</f>
        <v/>
      </c>
      <c r="K117" s="57">
        <f>MOVIMIENTOS!$A117</f>
        <v>46224</v>
      </c>
      <c r="L117" s="54"/>
      <c r="M117" s="54"/>
      <c r="N117" s="54"/>
    </row>
    <row r="118" spans="1:14" ht="15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 t="str">
        <f>IF(AND(MOVIMIENTOS!$A118&lt;&gt;"",COUNTIF(MOVIMIENTOS!$A$5:$A117,MOVIMIENTOS!$A118)=0),COUNT(J$4:J117)+1,"")</f>
        <v/>
      </c>
      <c r="K118" s="57">
        <f>MOVIMIENTOS!$A118</f>
        <v>46224</v>
      </c>
      <c r="L118" s="54"/>
      <c r="M118" s="54"/>
      <c r="N118" s="54"/>
    </row>
    <row r="119" spans="1:14" ht="15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 t="str">
        <f>IF(AND(MOVIMIENTOS!$A119&lt;&gt;"",COUNTIF(MOVIMIENTOS!$A$5:$A118,MOVIMIENTOS!$A119)=0),COUNT(J$4:J118)+1,"")</f>
        <v/>
      </c>
      <c r="K119" s="57">
        <f>MOVIMIENTOS!$A119</f>
        <v>46224</v>
      </c>
      <c r="L119" s="54"/>
      <c r="M119" s="54"/>
      <c r="N119" s="54"/>
    </row>
    <row r="120" spans="1:14" ht="15" customHeight="1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 t="str">
        <f>IF(AND(MOVIMIENTOS!$A120&lt;&gt;"",COUNTIF(MOVIMIENTOS!$A$5:$A119,MOVIMIENTOS!$A120)=0),COUNT(J$4:J119)+1,"")</f>
        <v/>
      </c>
      <c r="K120" s="57">
        <f>MOVIMIENTOS!$A120</f>
        <v>46224</v>
      </c>
      <c r="L120" s="54"/>
      <c r="M120" s="54"/>
      <c r="N120" s="54"/>
    </row>
    <row r="121" spans="1:14" ht="15" customHeight="1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 t="str">
        <f>IF(AND(MOVIMIENTOS!$A121&lt;&gt;"",COUNTIF(MOVIMIENTOS!$A$5:$A120,MOVIMIENTOS!$A121)=0),COUNT(J$4:J120)+1,"")</f>
        <v/>
      </c>
      <c r="K121" s="57">
        <f>MOVIMIENTOS!$A121</f>
        <v>46224</v>
      </c>
      <c r="L121" s="54"/>
      <c r="M121" s="54"/>
      <c r="N121" s="54"/>
    </row>
    <row r="122" spans="1:14" ht="15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 t="str">
        <f>IF(AND(MOVIMIENTOS!$A122&lt;&gt;"",COUNTIF(MOVIMIENTOS!$A$5:$A121,MOVIMIENTOS!$A122)=0),COUNT(J$4:J121)+1,"")</f>
        <v/>
      </c>
      <c r="K122" s="57">
        <f>MOVIMIENTOS!$A122</f>
        <v>46224</v>
      </c>
      <c r="L122" s="54"/>
      <c r="M122" s="54"/>
      <c r="N122" s="54"/>
    </row>
    <row r="123" spans="1:14" ht="15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 t="str">
        <f>IF(AND(MOVIMIENTOS!$A123&lt;&gt;"",COUNTIF(MOVIMIENTOS!$A$5:$A122,MOVIMIENTOS!$A123)=0),COUNT(J$4:J122)+1,"")</f>
        <v/>
      </c>
      <c r="K123" s="57">
        <f>MOVIMIENTOS!$A123</f>
        <v>46224</v>
      </c>
      <c r="L123" s="54"/>
      <c r="M123" s="54"/>
      <c r="N123" s="54"/>
    </row>
    <row r="124" spans="1:14" ht="15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 t="str">
        <f>IF(AND(MOVIMIENTOS!$A124&lt;&gt;"",COUNTIF(MOVIMIENTOS!$A$5:$A123,MOVIMIENTOS!$A124)=0),COUNT(J$4:J123)+1,"")</f>
        <v/>
      </c>
      <c r="K124" s="57">
        <f>MOVIMIENTOS!$A124</f>
        <v>46224</v>
      </c>
      <c r="L124" s="54"/>
      <c r="M124" s="54"/>
      <c r="N124" s="54"/>
    </row>
    <row r="125" spans="1:14" ht="15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 t="str">
        <f>IF(AND(MOVIMIENTOS!$A125&lt;&gt;"",COUNTIF(MOVIMIENTOS!$A$5:$A124,MOVIMIENTOS!$A125)=0),COUNT(J$4:J124)+1,"")</f>
        <v/>
      </c>
      <c r="K125" s="57">
        <f>MOVIMIENTOS!$A125</f>
        <v>46224</v>
      </c>
      <c r="L125" s="54"/>
      <c r="M125" s="54"/>
      <c r="N125" s="54"/>
    </row>
    <row r="126" spans="1:14" ht="15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 t="str">
        <f>IF(AND(MOVIMIENTOS!$A126&lt;&gt;"",COUNTIF(MOVIMIENTOS!$A$5:$A125,MOVIMIENTOS!$A126)=0),COUNT(J$4:J125)+1,"")</f>
        <v/>
      </c>
      <c r="K126" s="57">
        <f>MOVIMIENTOS!$A126</f>
        <v>46224</v>
      </c>
      <c r="L126" s="54"/>
      <c r="M126" s="54"/>
      <c r="N126" s="54"/>
    </row>
    <row r="127" spans="1:14" ht="15" customHeight="1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>
        <f>IF(AND(MOVIMIENTOS!$A127&lt;&gt;"",COUNTIF(MOVIMIENTOS!$A$5:$A126,MOVIMIENTOS!$A127)=0),COUNT(J$4:J126)+1,"")</f>
        <v>12</v>
      </c>
      <c r="K127" s="57">
        <f>MOVIMIENTOS!$A127</f>
        <v>46225</v>
      </c>
      <c r="L127" s="54"/>
      <c r="M127" s="54"/>
      <c r="N127" s="54"/>
    </row>
    <row r="128" spans="1:14" ht="15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 t="str">
        <f>IF(AND(MOVIMIENTOS!$A128&lt;&gt;"",COUNTIF(MOVIMIENTOS!$A$5:$A127,MOVIMIENTOS!$A128)=0),COUNT(J$4:J127)+1,"")</f>
        <v/>
      </c>
      <c r="K128" s="57">
        <f>MOVIMIENTOS!$A128</f>
        <v>46225</v>
      </c>
      <c r="L128" s="54"/>
      <c r="M128" s="54"/>
      <c r="N128" s="54"/>
    </row>
    <row r="129" spans="1:14" ht="15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 t="str">
        <f>IF(AND(MOVIMIENTOS!$A129&lt;&gt;"",COUNTIF(MOVIMIENTOS!$A$5:$A128,MOVIMIENTOS!$A129)=0),COUNT(J$4:J128)+1,"")</f>
        <v/>
      </c>
      <c r="K129" s="57">
        <f>MOVIMIENTOS!$A129</f>
        <v>46225</v>
      </c>
      <c r="L129" s="54"/>
      <c r="M129" s="54"/>
      <c r="N129" s="54"/>
    </row>
    <row r="130" spans="1:14" ht="15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 t="str">
        <f>IF(AND(MOVIMIENTOS!$A130&lt;&gt;"",COUNTIF(MOVIMIENTOS!$A$5:$A129,MOVIMIENTOS!$A130)=0),COUNT(J$4:J129)+1,"")</f>
        <v/>
      </c>
      <c r="K130" s="57">
        <f>MOVIMIENTOS!$A130</f>
        <v>46225</v>
      </c>
      <c r="L130" s="54"/>
      <c r="M130" s="54"/>
      <c r="N130" s="54"/>
    </row>
    <row r="131" spans="1:14" ht="15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 t="str">
        <f>IF(AND(MOVIMIENTOS!$A131&lt;&gt;"",COUNTIF(MOVIMIENTOS!$A$5:$A130,MOVIMIENTOS!$A131)=0),COUNT(J$4:J130)+1,"")</f>
        <v/>
      </c>
      <c r="K131" s="57">
        <f>MOVIMIENTOS!$A131</f>
        <v>46225</v>
      </c>
      <c r="L131" s="54"/>
      <c r="M131" s="54"/>
      <c r="N131" s="54"/>
    </row>
    <row r="132" spans="1:14" ht="15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 t="str">
        <f>IF(AND(MOVIMIENTOS!$A132&lt;&gt;"",COUNTIF(MOVIMIENTOS!$A$5:$A131,MOVIMIENTOS!$A132)=0),COUNT(J$4:J131)+1,"")</f>
        <v/>
      </c>
      <c r="K132" s="57">
        <f>MOVIMIENTOS!$A132</f>
        <v>46225</v>
      </c>
      <c r="L132" s="54"/>
      <c r="M132" s="54"/>
      <c r="N132" s="54"/>
    </row>
    <row r="133" spans="1:14" ht="15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 t="str">
        <f>IF(AND(MOVIMIENTOS!$A133&lt;&gt;"",COUNTIF(MOVIMIENTOS!$A$5:$A132,MOVIMIENTOS!$A133)=0),COUNT(J$4:J132)+1,"")</f>
        <v/>
      </c>
      <c r="K133" s="57">
        <f>MOVIMIENTOS!$A133</f>
        <v>46225</v>
      </c>
      <c r="L133" s="54"/>
      <c r="M133" s="54"/>
      <c r="N133" s="54"/>
    </row>
    <row r="134" spans="1:14" ht="15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 t="str">
        <f>IF(AND(MOVIMIENTOS!$A134&lt;&gt;"",COUNTIF(MOVIMIENTOS!$A$5:$A133,MOVIMIENTOS!$A134)=0),COUNT(J$4:J133)+1,"")</f>
        <v/>
      </c>
      <c r="K134" s="57">
        <f>MOVIMIENTOS!$A134</f>
        <v>46225</v>
      </c>
      <c r="L134" s="54"/>
      <c r="M134" s="54"/>
      <c r="N134" s="54"/>
    </row>
    <row r="135" spans="1:14" ht="15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 t="str">
        <f>IF(AND(MOVIMIENTOS!$A135&lt;&gt;"",COUNTIF(MOVIMIENTOS!$A$5:$A134,MOVIMIENTOS!$A135)=0),COUNT(J$4:J134)+1,"")</f>
        <v/>
      </c>
      <c r="K135" s="57">
        <f>MOVIMIENTOS!$A135</f>
        <v>46225</v>
      </c>
      <c r="L135" s="54"/>
      <c r="M135" s="54"/>
      <c r="N135" s="54"/>
    </row>
    <row r="136" spans="1:14" ht="15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 t="str">
        <f>IF(AND(MOVIMIENTOS!$A136&lt;&gt;"",COUNTIF(MOVIMIENTOS!$A$5:$A135,MOVIMIENTOS!$A136)=0),COUNT(J$4:J135)+1,"")</f>
        <v/>
      </c>
      <c r="K136" s="57">
        <f>MOVIMIENTOS!$A136</f>
        <v>46225</v>
      </c>
      <c r="L136" s="54"/>
      <c r="M136" s="54"/>
      <c r="N136" s="54"/>
    </row>
    <row r="137" spans="1:14" ht="15" customHeight="1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 t="str">
        <f>IF(AND(MOVIMIENTOS!$A137&lt;&gt;"",COUNTIF(MOVIMIENTOS!$A$5:$A136,MOVIMIENTOS!$A137)=0),COUNT(J$4:J136)+1,"")</f>
        <v/>
      </c>
      <c r="K137" s="57">
        <f>MOVIMIENTOS!$A137</f>
        <v>46225</v>
      </c>
      <c r="L137" s="54"/>
      <c r="M137" s="54"/>
      <c r="N137" s="54"/>
    </row>
    <row r="138" spans="1:14" ht="15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 t="str">
        <f>IF(AND(MOVIMIENTOS!$A138&lt;&gt;"",COUNTIF(MOVIMIENTOS!$A$5:$A137,MOVIMIENTOS!$A138)=0),COUNT(J$4:J137)+1,"")</f>
        <v/>
      </c>
      <c r="K138" s="57">
        <f>MOVIMIENTOS!$A138</f>
        <v>46225</v>
      </c>
      <c r="L138" s="54"/>
      <c r="M138" s="54"/>
      <c r="N138" s="54"/>
    </row>
    <row r="139" spans="1:14" ht="15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 t="str">
        <f>IF(AND(MOVIMIENTOS!$A139&lt;&gt;"",COUNTIF(MOVIMIENTOS!$A$5:$A138,MOVIMIENTOS!$A139)=0),COUNT(J$4:J138)+1,"")</f>
        <v/>
      </c>
      <c r="K139" s="57">
        <f>MOVIMIENTOS!$A139</f>
        <v>46225</v>
      </c>
      <c r="L139" s="54"/>
      <c r="M139" s="54"/>
      <c r="N139" s="54"/>
    </row>
    <row r="140" spans="1:14" ht="15" customHeight="1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 t="str">
        <f>IF(AND(MOVIMIENTOS!$A140&lt;&gt;"",COUNTIF(MOVIMIENTOS!$A$5:$A139,MOVIMIENTOS!$A140)=0),COUNT(J$4:J139)+1,"")</f>
        <v/>
      </c>
      <c r="K140" s="57">
        <f>MOVIMIENTOS!$A140</f>
        <v>46225</v>
      </c>
      <c r="L140" s="54"/>
      <c r="M140" s="54"/>
      <c r="N140" s="54"/>
    </row>
    <row r="141" spans="1:14" ht="15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 t="str">
        <f>IF(AND(MOVIMIENTOS!$A141&lt;&gt;"",COUNTIF(MOVIMIENTOS!$A$5:$A140,MOVIMIENTOS!$A141)=0),COUNT(J$4:J140)+1,"")</f>
        <v/>
      </c>
      <c r="K141" s="57">
        <f>MOVIMIENTOS!$A141</f>
        <v>46225</v>
      </c>
      <c r="L141" s="54"/>
      <c r="M141" s="54"/>
      <c r="N141" s="54"/>
    </row>
    <row r="142" spans="1:14" ht="15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 t="str">
        <f>IF(AND(MOVIMIENTOS!$A142&lt;&gt;"",COUNTIF(MOVIMIENTOS!$A$5:$A141,MOVIMIENTOS!$A142)=0),COUNT(J$4:J141)+1,"")</f>
        <v/>
      </c>
      <c r="K142" s="57">
        <f>MOVIMIENTOS!$A142</f>
        <v>46225</v>
      </c>
      <c r="L142" s="54"/>
      <c r="M142" s="54"/>
      <c r="N142" s="54"/>
    </row>
    <row r="143" spans="1:14" ht="15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>
        <f>IF(AND(MOVIMIENTOS!$A143&lt;&gt;"",COUNTIF(MOVIMIENTOS!$A$5:$A142,MOVIMIENTOS!$A143)=0),COUNT(J$4:J142)+1,"")</f>
        <v>13</v>
      </c>
      <c r="K143" s="57">
        <f>MOVIMIENTOS!$A143</f>
        <v>46226</v>
      </c>
      <c r="L143" s="54"/>
      <c r="M143" s="54"/>
      <c r="N143" s="54"/>
    </row>
    <row r="144" spans="1:14" ht="15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 t="str">
        <f>IF(AND(MOVIMIENTOS!$A144&lt;&gt;"",COUNTIF(MOVIMIENTOS!$A$5:$A143,MOVIMIENTOS!$A144)=0),COUNT(J$4:J143)+1,"")</f>
        <v/>
      </c>
      <c r="K144" s="57">
        <f>MOVIMIENTOS!$A144</f>
        <v>46226</v>
      </c>
      <c r="L144" s="54"/>
      <c r="M144" s="54"/>
      <c r="N144" s="54"/>
    </row>
    <row r="145" spans="1:14" ht="15" customHeight="1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 t="str">
        <f>IF(AND(MOVIMIENTOS!$A145&lt;&gt;"",COUNTIF(MOVIMIENTOS!$A$5:$A144,MOVIMIENTOS!$A145)=0),COUNT(J$4:J144)+1,"")</f>
        <v/>
      </c>
      <c r="K145" s="57">
        <f>MOVIMIENTOS!$A145</f>
        <v>46226</v>
      </c>
      <c r="L145" s="54"/>
      <c r="M145" s="54"/>
      <c r="N145" s="54"/>
    </row>
    <row r="146" spans="1:14" ht="15" customHeight="1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 t="str">
        <f>IF(AND(MOVIMIENTOS!$A146&lt;&gt;"",COUNTIF(MOVIMIENTOS!$A$5:$A145,MOVIMIENTOS!$A146)=0),COUNT(J$4:J145)+1,"")</f>
        <v/>
      </c>
      <c r="K146" s="57">
        <f>MOVIMIENTOS!$A146</f>
        <v>46226</v>
      </c>
      <c r="L146" s="54"/>
      <c r="M146" s="54"/>
      <c r="N146" s="54"/>
    </row>
    <row r="147" spans="1:14" ht="15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 t="str">
        <f>IF(AND(MOVIMIENTOS!$A147&lt;&gt;"",COUNTIF(MOVIMIENTOS!$A$5:$A146,MOVIMIENTOS!$A147)=0),COUNT(J$4:J146)+1,"")</f>
        <v/>
      </c>
      <c r="K147" s="57">
        <f>MOVIMIENTOS!$A147</f>
        <v>46226</v>
      </c>
      <c r="L147" s="54"/>
      <c r="M147" s="54"/>
      <c r="N147" s="54"/>
    </row>
    <row r="148" spans="1:14" ht="15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 t="str">
        <f>IF(AND(MOVIMIENTOS!$A148&lt;&gt;"",COUNTIF(MOVIMIENTOS!$A$5:$A147,MOVIMIENTOS!$A148)=0),COUNT(J$4:J147)+1,"")</f>
        <v/>
      </c>
      <c r="K148" s="57">
        <f>MOVIMIENTOS!$A148</f>
        <v>46226</v>
      </c>
      <c r="L148" s="54"/>
      <c r="M148" s="54"/>
      <c r="N148" s="54"/>
    </row>
    <row r="149" spans="1:14" ht="15" customHeight="1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 t="str">
        <f>IF(AND(MOVIMIENTOS!$A149&lt;&gt;"",COUNTIF(MOVIMIENTOS!$A$5:$A148,MOVIMIENTOS!$A149)=0),COUNT(J$4:J148)+1,"")</f>
        <v/>
      </c>
      <c r="K149" s="57">
        <f>MOVIMIENTOS!$A149</f>
        <v>46226</v>
      </c>
      <c r="L149" s="54"/>
      <c r="M149" s="54"/>
      <c r="N149" s="54"/>
    </row>
    <row r="150" spans="1:14" ht="15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 t="str">
        <f>IF(AND(MOVIMIENTOS!$A150&lt;&gt;"",COUNTIF(MOVIMIENTOS!$A$5:$A149,MOVIMIENTOS!$A150)=0),COUNT(J$4:J149)+1,"")</f>
        <v/>
      </c>
      <c r="K150" s="57">
        <f>MOVIMIENTOS!$A150</f>
        <v>46226</v>
      </c>
      <c r="L150" s="54"/>
      <c r="M150" s="54"/>
      <c r="N150" s="54"/>
    </row>
    <row r="151" spans="1:14" ht="15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 t="str">
        <f>IF(AND(MOVIMIENTOS!$A151&lt;&gt;"",COUNTIF(MOVIMIENTOS!$A$5:$A150,MOVIMIENTOS!$A151)=0),COUNT(J$4:J150)+1,"")</f>
        <v/>
      </c>
      <c r="K151" s="57">
        <f>MOVIMIENTOS!$A151</f>
        <v>46226</v>
      </c>
      <c r="L151" s="54"/>
      <c r="M151" s="54"/>
      <c r="N151" s="54"/>
    </row>
    <row r="152" spans="1:14" ht="15" customHeight="1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 t="str">
        <f>IF(AND(MOVIMIENTOS!$A152&lt;&gt;"",COUNTIF(MOVIMIENTOS!$A$5:$A151,MOVIMIENTOS!$A152)=0),COUNT(J$4:J151)+1,"")</f>
        <v/>
      </c>
      <c r="K152" s="57">
        <f>MOVIMIENTOS!$A152</f>
        <v>46226</v>
      </c>
      <c r="L152" s="54"/>
      <c r="M152" s="54"/>
      <c r="N152" s="54"/>
    </row>
    <row r="153" spans="1:14" ht="15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>
        <f>IF(AND(MOVIMIENTOS!$A153&lt;&gt;"",COUNTIF(MOVIMIENTOS!$A$5:$A152,MOVIMIENTOS!$A153)=0),COUNT(J$4:J152)+1,"")</f>
        <v>14</v>
      </c>
      <c r="K153" s="57">
        <f>MOVIMIENTOS!$A153</f>
        <v>46227</v>
      </c>
      <c r="L153" s="54"/>
      <c r="M153" s="54"/>
      <c r="N153" s="54"/>
    </row>
    <row r="154" spans="1:14" ht="15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 t="str">
        <f>IF(AND(MOVIMIENTOS!$A154&lt;&gt;"",COUNTIF(MOVIMIENTOS!$A$5:$A153,MOVIMIENTOS!$A154)=0),COUNT(J$4:J153)+1,"")</f>
        <v/>
      </c>
      <c r="K154" s="57">
        <f>MOVIMIENTOS!$A154</f>
        <v>46227</v>
      </c>
      <c r="L154" s="54"/>
      <c r="M154" s="54"/>
      <c r="N154" s="54"/>
    </row>
    <row r="155" spans="1:14" ht="15" customHeight="1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 t="str">
        <f>IF(AND(MOVIMIENTOS!$A155&lt;&gt;"",COUNTIF(MOVIMIENTOS!$A$5:$A154,MOVIMIENTOS!$A155)=0),COUNT(J$4:J154)+1,"")</f>
        <v/>
      </c>
      <c r="K155" s="57">
        <f>MOVIMIENTOS!$A155</f>
        <v>46227</v>
      </c>
      <c r="L155" s="54"/>
      <c r="M155" s="54"/>
      <c r="N155" s="54"/>
    </row>
    <row r="156" spans="1:14" ht="15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 t="str">
        <f>IF(AND(MOVIMIENTOS!$A156&lt;&gt;"",COUNTIF(MOVIMIENTOS!$A$5:$A155,MOVIMIENTOS!$A156)=0),COUNT(J$4:J155)+1,"")</f>
        <v/>
      </c>
      <c r="K156" s="57">
        <f>MOVIMIENTOS!$A156</f>
        <v>46227</v>
      </c>
      <c r="L156" s="54"/>
      <c r="M156" s="54"/>
      <c r="N156" s="54"/>
    </row>
    <row r="157" spans="1:14" ht="15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 t="str">
        <f>IF(AND(MOVIMIENTOS!$A157&lt;&gt;"",COUNTIF(MOVIMIENTOS!$A$5:$A156,MOVIMIENTOS!$A157)=0),COUNT(J$4:J156)+1,"")</f>
        <v/>
      </c>
      <c r="K157" s="57">
        <f>MOVIMIENTOS!$A157</f>
        <v>46227</v>
      </c>
      <c r="L157" s="54"/>
      <c r="M157" s="54"/>
      <c r="N157" s="54"/>
    </row>
    <row r="158" spans="1:14" ht="15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 t="str">
        <f>IF(AND(MOVIMIENTOS!$A158&lt;&gt;"",COUNTIF(MOVIMIENTOS!$A$5:$A157,MOVIMIENTOS!$A158)=0),COUNT(J$4:J157)+1,"")</f>
        <v/>
      </c>
      <c r="K158" s="57">
        <f>MOVIMIENTOS!$A158</f>
        <v>46227</v>
      </c>
      <c r="L158" s="54"/>
      <c r="M158" s="54"/>
      <c r="N158" s="54"/>
    </row>
    <row r="159" spans="1:14" ht="15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 t="str">
        <f>IF(AND(MOVIMIENTOS!$A159&lt;&gt;"",COUNTIF(MOVIMIENTOS!$A$5:$A158,MOVIMIENTOS!$A159)=0),COUNT(J$4:J158)+1,"")</f>
        <v/>
      </c>
      <c r="K159" s="57">
        <f>MOVIMIENTOS!$A159</f>
        <v>46227</v>
      </c>
      <c r="L159" s="54"/>
      <c r="M159" s="54"/>
      <c r="N159" s="54"/>
    </row>
    <row r="160" spans="1:14" ht="15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 t="str">
        <f>IF(AND(MOVIMIENTOS!$A160&lt;&gt;"",COUNTIF(MOVIMIENTOS!$A$5:$A159,MOVIMIENTOS!$A160)=0),COUNT(J$4:J159)+1,"")</f>
        <v/>
      </c>
      <c r="K160" s="57">
        <f>MOVIMIENTOS!$A160</f>
        <v>46227</v>
      </c>
      <c r="L160" s="54"/>
      <c r="M160" s="54"/>
      <c r="N160" s="54"/>
    </row>
    <row r="161" spans="1:14" ht="15" customHeight="1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 t="str">
        <f>IF(AND(MOVIMIENTOS!$A161&lt;&gt;"",COUNTIF(MOVIMIENTOS!$A$5:$A160,MOVIMIENTOS!$A161)=0),COUNT(J$4:J160)+1,"")</f>
        <v/>
      </c>
      <c r="K161" s="57">
        <f>MOVIMIENTOS!$A161</f>
        <v>46227</v>
      </c>
      <c r="L161" s="54"/>
      <c r="M161" s="54"/>
      <c r="N161" s="54"/>
    </row>
    <row r="162" spans="1:14" ht="15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 t="str">
        <f>IF(AND(MOVIMIENTOS!$A162&lt;&gt;"",COUNTIF(MOVIMIENTOS!$A$5:$A161,MOVIMIENTOS!$A162)=0),COUNT(J$4:J161)+1,"")</f>
        <v/>
      </c>
      <c r="K162" s="57">
        <f>MOVIMIENTOS!$A162</f>
        <v>46227</v>
      </c>
      <c r="L162" s="54"/>
      <c r="M162" s="54"/>
      <c r="N162" s="54"/>
    </row>
    <row r="163" spans="1:14" ht="15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 t="str">
        <f>IF(AND(MOVIMIENTOS!$A163&lt;&gt;"",COUNTIF(MOVIMIENTOS!$A$5:$A162,MOVIMIENTOS!$A163)=0),COUNT(J$4:J162)+1,"")</f>
        <v/>
      </c>
      <c r="K163" s="57">
        <f>MOVIMIENTOS!$A163</f>
        <v>46227</v>
      </c>
      <c r="L163" s="54"/>
      <c r="M163" s="54"/>
      <c r="N163" s="54"/>
    </row>
    <row r="164" spans="1:14" ht="15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 t="str">
        <f>IF(AND(MOVIMIENTOS!$A164&lt;&gt;"",COUNTIF(MOVIMIENTOS!$A$5:$A163,MOVIMIENTOS!$A164)=0),COUNT(J$4:J163)+1,"")</f>
        <v/>
      </c>
      <c r="K164" s="57">
        <f>MOVIMIENTOS!$A164</f>
        <v>46227</v>
      </c>
      <c r="L164" s="54"/>
      <c r="M164" s="54"/>
      <c r="N164" s="54"/>
    </row>
    <row r="165" spans="1:14" ht="15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 t="str">
        <f>IF(AND(MOVIMIENTOS!$A165&lt;&gt;"",COUNTIF(MOVIMIENTOS!$A$5:$A164,MOVIMIENTOS!$A165)=0),COUNT(J$4:J164)+1,"")</f>
        <v/>
      </c>
      <c r="K165" s="57">
        <f>MOVIMIENTOS!$A165</f>
        <v>46227</v>
      </c>
      <c r="L165" s="54"/>
      <c r="M165" s="54"/>
      <c r="N165" s="54"/>
    </row>
    <row r="166" spans="1:14" ht="15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 t="str">
        <f>IF(AND(MOVIMIENTOS!$A166&lt;&gt;"",COUNTIF(MOVIMIENTOS!$A$5:$A165,MOVIMIENTOS!$A166)=0),COUNT(J$4:J165)+1,"")</f>
        <v/>
      </c>
      <c r="K166" s="57">
        <f>MOVIMIENTOS!$A166</f>
        <v>46227</v>
      </c>
      <c r="L166" s="54"/>
      <c r="M166" s="54"/>
      <c r="N166" s="54"/>
    </row>
    <row r="167" spans="1:14" ht="15" customHeight="1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 t="str">
        <f>IF(AND(MOVIMIENTOS!$A167&lt;&gt;"",COUNTIF(MOVIMIENTOS!$A$5:$A166,MOVIMIENTOS!$A167)=0),COUNT(J$4:J166)+1,"")</f>
        <v/>
      </c>
      <c r="K167" s="57">
        <f>MOVIMIENTOS!$A167</f>
        <v>46227</v>
      </c>
      <c r="L167" s="54"/>
      <c r="M167" s="54"/>
      <c r="N167" s="54"/>
    </row>
    <row r="168" spans="1:14" ht="15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 t="str">
        <f>IF(AND(MOVIMIENTOS!$A168&lt;&gt;"",COUNTIF(MOVIMIENTOS!$A$5:$A167,MOVIMIENTOS!$A168)=0),COUNT(J$4:J167)+1,"")</f>
        <v/>
      </c>
      <c r="K168" s="57">
        <f>MOVIMIENTOS!$A168</f>
        <v>46227</v>
      </c>
      <c r="L168" s="54"/>
      <c r="M168" s="54"/>
      <c r="N168" s="54"/>
    </row>
    <row r="169" spans="1:14" ht="15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 t="str">
        <f>IF(AND(MOVIMIENTOS!$A169&lt;&gt;"",COUNTIF(MOVIMIENTOS!$A$5:$A168,MOVIMIENTOS!$A169)=0),COUNT(J$4:J168)+1,"")</f>
        <v/>
      </c>
      <c r="K169" s="57">
        <f>MOVIMIENTOS!$A169</f>
        <v>46227</v>
      </c>
      <c r="L169" s="54"/>
      <c r="M169" s="54"/>
      <c r="N169" s="54"/>
    </row>
    <row r="170" spans="1:14" ht="15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>
        <f>IF(AND(MOVIMIENTOS!$A170&lt;&gt;"",COUNTIF(MOVIMIENTOS!$A$5:$A169,MOVIMIENTOS!$A170)=0),COUNT(J$4:J169)+1,"")</f>
        <v>15</v>
      </c>
      <c r="K170" s="57">
        <f>MOVIMIENTOS!$A170</f>
        <v>46228</v>
      </c>
      <c r="L170" s="54"/>
      <c r="M170" s="54"/>
      <c r="N170" s="54"/>
    </row>
    <row r="171" spans="1:14" ht="15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 t="str">
        <f>IF(AND(MOVIMIENTOS!$A171&lt;&gt;"",COUNTIF(MOVIMIENTOS!$A$5:$A170,MOVIMIENTOS!$A171)=0),COUNT(J$4:J170)+1,"")</f>
        <v/>
      </c>
      <c r="K171" s="57">
        <f>MOVIMIENTOS!$A171</f>
        <v>46228</v>
      </c>
      <c r="L171" s="54"/>
      <c r="M171" s="54"/>
      <c r="N171" s="54"/>
    </row>
    <row r="172" spans="1:14" ht="15" customHeigh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 t="str">
        <f>IF(AND(MOVIMIENTOS!$A172&lt;&gt;"",COUNTIF(MOVIMIENTOS!$A$5:$A171,MOVIMIENTOS!$A172)=0),COUNT(J$4:J171)+1,"")</f>
        <v/>
      </c>
      <c r="K172" s="57">
        <f>MOVIMIENTOS!$A172</f>
        <v>46228</v>
      </c>
      <c r="L172" s="54"/>
      <c r="M172" s="54"/>
      <c r="N172" s="54"/>
    </row>
    <row r="173" spans="1:14" ht="15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 t="str">
        <f>IF(AND(MOVIMIENTOS!$A173&lt;&gt;"",COUNTIF(MOVIMIENTOS!$A$5:$A172,MOVIMIENTOS!$A173)=0),COUNT(J$4:J172)+1,"")</f>
        <v/>
      </c>
      <c r="K173" s="57">
        <f>MOVIMIENTOS!$A173</f>
        <v>46228</v>
      </c>
      <c r="L173" s="54"/>
      <c r="M173" s="54"/>
      <c r="N173" s="54"/>
    </row>
    <row r="174" spans="1:14" ht="15" customHeigh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 t="str">
        <f>IF(AND(MOVIMIENTOS!$A174&lt;&gt;"",COUNTIF(MOVIMIENTOS!$A$5:$A173,MOVIMIENTOS!$A174)=0),COUNT(J$4:J173)+1,"")</f>
        <v/>
      </c>
      <c r="K174" s="57">
        <f>MOVIMIENTOS!$A174</f>
        <v>46228</v>
      </c>
      <c r="L174" s="54"/>
      <c r="M174" s="54"/>
      <c r="N174" s="54"/>
    </row>
    <row r="175" spans="1:14" ht="1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 t="str">
        <f>IF(AND(MOVIMIENTOS!$A175&lt;&gt;"",COUNTIF(MOVIMIENTOS!$A$5:$A174,MOVIMIENTOS!$A175)=0),COUNT(J$4:J174)+1,"")</f>
        <v/>
      </c>
      <c r="K175" s="57">
        <f>MOVIMIENTOS!$A175</f>
        <v>46228</v>
      </c>
      <c r="L175" s="54"/>
      <c r="M175" s="54"/>
      <c r="N175" s="54"/>
    </row>
    <row r="176" spans="1:14" ht="1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 t="str">
        <f>IF(AND(MOVIMIENTOS!$A176&lt;&gt;"",COUNTIF(MOVIMIENTOS!$A$5:$A175,MOVIMIENTOS!$A176)=0),COUNT(J$4:J175)+1,"")</f>
        <v/>
      </c>
      <c r="K176" s="57">
        <f>MOVIMIENTOS!$A176</f>
        <v>46228</v>
      </c>
      <c r="L176" s="54"/>
      <c r="M176" s="54"/>
      <c r="N176" s="54"/>
    </row>
    <row r="177" spans="1:14" ht="1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 t="str">
        <f>IF(AND(MOVIMIENTOS!$A177&lt;&gt;"",COUNTIF(MOVIMIENTOS!$A$5:$A176,MOVIMIENTOS!$A177)=0),COUNT(J$4:J176)+1,"")</f>
        <v/>
      </c>
      <c r="K177" s="57">
        <f>MOVIMIENTOS!$A177</f>
        <v>46228</v>
      </c>
      <c r="L177" s="54"/>
      <c r="M177" s="54"/>
      <c r="N177" s="54"/>
    </row>
    <row r="178" spans="1:14" ht="1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 t="str">
        <f>IF(AND(MOVIMIENTOS!$A178&lt;&gt;"",COUNTIF(MOVIMIENTOS!$A$5:$A177,MOVIMIENTOS!$A178)=0),COUNT(J$4:J177)+1,"")</f>
        <v/>
      </c>
      <c r="K178" s="57">
        <f>MOVIMIENTOS!$A178</f>
        <v>46228</v>
      </c>
      <c r="L178" s="54"/>
      <c r="M178" s="54"/>
      <c r="N178" s="54"/>
    </row>
    <row r="179" spans="1:14" ht="1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 t="str">
        <f>IF(AND(MOVIMIENTOS!$A179&lt;&gt;"",COUNTIF(MOVIMIENTOS!$A$5:$A178,MOVIMIENTOS!$A179)=0),COUNT(J$4:J178)+1,"")</f>
        <v/>
      </c>
      <c r="K179" s="57">
        <f>MOVIMIENTOS!$A179</f>
        <v>46228</v>
      </c>
      <c r="L179" s="54"/>
      <c r="M179" s="54"/>
      <c r="N179" s="54"/>
    </row>
    <row r="180" spans="1:14" ht="1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>
        <f>IF(AND(MOVIMIENTOS!$A180&lt;&gt;"",COUNTIF(MOVIMIENTOS!$A$5:$A179,MOVIMIENTOS!$A180)=0),COUNT(J$4:J179)+1,"")</f>
        <v>16</v>
      </c>
      <c r="K180" s="57">
        <f>MOVIMIENTOS!$A180</f>
        <v>46229</v>
      </c>
      <c r="L180" s="54"/>
      <c r="M180" s="54"/>
      <c r="N180" s="54"/>
    </row>
    <row r="181" spans="1:14" ht="1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 t="str">
        <f>IF(AND(MOVIMIENTOS!$A181&lt;&gt;"",COUNTIF(MOVIMIENTOS!$A$5:$A180,MOVIMIENTOS!$A181)=0),COUNT(J$4:J180)+1,"")</f>
        <v/>
      </c>
      <c r="K181" s="57">
        <f>MOVIMIENTOS!$A181</f>
        <v>46229</v>
      </c>
      <c r="L181" s="54"/>
      <c r="M181" s="54"/>
      <c r="N181" s="54"/>
    </row>
    <row r="182" spans="1:14" ht="1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 t="str">
        <f>IF(AND(MOVIMIENTOS!$A182&lt;&gt;"",COUNTIF(MOVIMIENTOS!$A$5:$A181,MOVIMIENTOS!$A182)=0),COUNT(J$4:J181)+1,"")</f>
        <v/>
      </c>
      <c r="K182" s="57">
        <f>MOVIMIENTOS!$A182</f>
        <v>46229</v>
      </c>
      <c r="L182" s="54"/>
      <c r="M182" s="54"/>
      <c r="N182" s="54"/>
    </row>
    <row r="183" spans="1:14" ht="1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>
        <f>IF(AND(MOVIMIENTOS!$A183&lt;&gt;"",COUNTIF(MOVIMIENTOS!$A$5:$A182,MOVIMIENTOS!$A183)=0),COUNT(J$4:J182)+1,"")</f>
        <v>17</v>
      </c>
      <c r="K183" s="57">
        <f>MOVIMIENTOS!$A183</f>
        <v>46230</v>
      </c>
      <c r="L183" s="54"/>
      <c r="M183" s="54"/>
      <c r="N183" s="54"/>
    </row>
    <row r="184" spans="1:14" ht="1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 t="str">
        <f>IF(AND(MOVIMIENTOS!$A184&lt;&gt;"",COUNTIF(MOVIMIENTOS!$A$5:$A183,MOVIMIENTOS!$A184)=0),COUNT(J$4:J183)+1,"")</f>
        <v/>
      </c>
      <c r="K184" s="57">
        <f>MOVIMIENTOS!$A184</f>
        <v>46230</v>
      </c>
      <c r="L184" s="54"/>
      <c r="M184" s="54"/>
      <c r="N184" s="54"/>
    </row>
    <row r="185" spans="1:14" ht="1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 t="str">
        <f>IF(AND(MOVIMIENTOS!$A185&lt;&gt;"",COUNTIF(MOVIMIENTOS!$A$5:$A184,MOVIMIENTOS!$A185)=0),COUNT(J$4:J184)+1,"")</f>
        <v/>
      </c>
      <c r="K185" s="57">
        <f>MOVIMIENTOS!$A185</f>
        <v>46230</v>
      </c>
      <c r="L185" s="54"/>
      <c r="M185" s="54"/>
      <c r="N185" s="54"/>
    </row>
    <row r="186" spans="1:14" ht="1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 t="str">
        <f>IF(AND(MOVIMIENTOS!$A186&lt;&gt;"",COUNTIF(MOVIMIENTOS!$A$5:$A185,MOVIMIENTOS!$A186)=0),COUNT(J$4:J185)+1,"")</f>
        <v/>
      </c>
      <c r="K186" s="57">
        <f>MOVIMIENTOS!$A186</f>
        <v>46230</v>
      </c>
      <c r="L186" s="54"/>
      <c r="M186" s="54"/>
      <c r="N186" s="54"/>
    </row>
    <row r="187" spans="1:14" ht="1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 t="str">
        <f>IF(AND(MOVIMIENTOS!$A187&lt;&gt;"",COUNTIF(MOVIMIENTOS!$A$5:$A186,MOVIMIENTOS!$A187)=0),COUNT(J$4:J186)+1,"")</f>
        <v/>
      </c>
      <c r="K187" s="57">
        <f>MOVIMIENTOS!$A187</f>
        <v>46230</v>
      </c>
      <c r="L187" s="54"/>
      <c r="M187" s="54"/>
      <c r="N187" s="54"/>
    </row>
    <row r="188" spans="1:14" ht="1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 t="str">
        <f>IF(AND(MOVIMIENTOS!$A188&lt;&gt;"",COUNTIF(MOVIMIENTOS!$A$5:$A187,MOVIMIENTOS!$A188)=0),COUNT(J$4:J187)+1,"")</f>
        <v/>
      </c>
      <c r="K188" s="57">
        <f>MOVIMIENTOS!$A188</f>
        <v>46230</v>
      </c>
      <c r="L188" s="54"/>
      <c r="M188" s="54"/>
      <c r="N188" s="54"/>
    </row>
    <row r="189" spans="1:14" ht="1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 t="str">
        <f>IF(AND(MOVIMIENTOS!$A189&lt;&gt;"",COUNTIF(MOVIMIENTOS!$A$5:$A188,MOVIMIENTOS!$A189)=0),COUNT(J$4:J188)+1,"")</f>
        <v/>
      </c>
      <c r="K189" s="57">
        <f>MOVIMIENTOS!$A189</f>
        <v>46230</v>
      </c>
      <c r="L189" s="54"/>
      <c r="M189" s="54"/>
      <c r="N189" s="54"/>
    </row>
    <row r="190" spans="1:14" ht="1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 t="str">
        <f>IF(AND(MOVIMIENTOS!$A190&lt;&gt;"",COUNTIF(MOVIMIENTOS!$A$5:$A189,MOVIMIENTOS!$A190)=0),COUNT(J$4:J189)+1,"")</f>
        <v/>
      </c>
      <c r="K190" s="57">
        <f>MOVIMIENTOS!$A190</f>
        <v>46230</v>
      </c>
      <c r="L190" s="54"/>
      <c r="M190" s="54"/>
      <c r="N190" s="54"/>
    </row>
    <row r="191" spans="1:14" ht="1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 t="str">
        <f>IF(AND(MOVIMIENTOS!$A191&lt;&gt;"",COUNTIF(MOVIMIENTOS!$A$5:$A190,MOVIMIENTOS!$A191)=0),COUNT(J$4:J190)+1,"")</f>
        <v/>
      </c>
      <c r="K191" s="57">
        <f>MOVIMIENTOS!$A191</f>
        <v>46230</v>
      </c>
      <c r="L191" s="54"/>
      <c r="M191" s="54"/>
      <c r="N191" s="54"/>
    </row>
    <row r="192" spans="1:14" ht="1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 t="str">
        <f>IF(AND(MOVIMIENTOS!$A192&lt;&gt;"",COUNTIF(MOVIMIENTOS!$A$5:$A191,MOVIMIENTOS!$A192)=0),COUNT(J$4:J191)+1,"")</f>
        <v/>
      </c>
      <c r="K192" s="57">
        <f>MOVIMIENTOS!$A192</f>
        <v>46230</v>
      </c>
      <c r="L192" s="54"/>
      <c r="M192" s="54"/>
      <c r="N192" s="54"/>
    </row>
    <row r="193" spans="1:14" ht="1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 t="str">
        <f>IF(AND(MOVIMIENTOS!$A193&lt;&gt;"",COUNTIF(MOVIMIENTOS!$A$5:$A192,MOVIMIENTOS!$A193)=0),COUNT(J$4:J192)+1,"")</f>
        <v/>
      </c>
      <c r="K193" s="57">
        <f>MOVIMIENTOS!$A193</f>
        <v>46230</v>
      </c>
      <c r="L193" s="54"/>
      <c r="M193" s="54"/>
      <c r="N193" s="54"/>
    </row>
    <row r="194" spans="1:14" ht="1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 t="str">
        <f>IF(AND(MOVIMIENTOS!$A194&lt;&gt;"",COUNTIF(MOVIMIENTOS!$A$5:$A193,MOVIMIENTOS!$A194)=0),COUNT(J$4:J193)+1,"")</f>
        <v/>
      </c>
      <c r="K194" s="57">
        <f>MOVIMIENTOS!$A194</f>
        <v>46230</v>
      </c>
      <c r="L194" s="54"/>
      <c r="M194" s="54"/>
      <c r="N194" s="54"/>
    </row>
    <row r="195" spans="1:14" ht="1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 t="str">
        <f>IF(AND(MOVIMIENTOS!$A195&lt;&gt;"",COUNTIF(MOVIMIENTOS!$A$5:$A194,MOVIMIENTOS!$A195)=0),COUNT(J$4:J194)+1,"")</f>
        <v/>
      </c>
      <c r="K195" s="57">
        <f>MOVIMIENTOS!$A195</f>
        <v>46230</v>
      </c>
      <c r="L195" s="54"/>
      <c r="M195" s="54"/>
      <c r="N195" s="54"/>
    </row>
    <row r="196" spans="1:14" ht="1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 t="str">
        <f>IF(AND(MOVIMIENTOS!$A196&lt;&gt;"",COUNTIF(MOVIMIENTOS!$A$5:$A195,MOVIMIENTOS!$A196)=0),COUNT(J$4:J195)+1,"")</f>
        <v/>
      </c>
      <c r="K196" s="57">
        <f>MOVIMIENTOS!$A196</f>
        <v>46230</v>
      </c>
      <c r="L196" s="54"/>
      <c r="M196" s="54"/>
      <c r="N196" s="54"/>
    </row>
    <row r="197" spans="1:14" ht="1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>
        <f>IF(AND(MOVIMIENTOS!$A197&lt;&gt;"",COUNTIF(MOVIMIENTOS!$A$5:$A196,MOVIMIENTOS!$A197)=0),COUNT(J$4:J196)+1,"")</f>
        <v>18</v>
      </c>
      <c r="K197" s="57">
        <f>MOVIMIENTOS!$A197</f>
        <v>46231</v>
      </c>
      <c r="L197" s="54"/>
      <c r="M197" s="54"/>
      <c r="N197" s="54"/>
    </row>
    <row r="198" spans="1:14" ht="1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 t="str">
        <f>IF(AND(MOVIMIENTOS!$A198&lt;&gt;"",COUNTIF(MOVIMIENTOS!$A$5:$A197,MOVIMIENTOS!$A198)=0),COUNT(J$4:J197)+1,"")</f>
        <v/>
      </c>
      <c r="K198" s="57">
        <f>MOVIMIENTOS!$A198</f>
        <v>46231</v>
      </c>
      <c r="L198" s="54"/>
      <c r="M198" s="54"/>
      <c r="N198" s="54"/>
    </row>
    <row r="199" spans="1:14" ht="1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 t="str">
        <f>IF(AND(MOVIMIENTOS!$A199&lt;&gt;"",COUNTIF(MOVIMIENTOS!$A$5:$A198,MOVIMIENTOS!$A199)=0),COUNT(J$4:J198)+1,"")</f>
        <v/>
      </c>
      <c r="K199" s="57">
        <f>MOVIMIENTOS!$A199</f>
        <v>46231</v>
      </c>
      <c r="L199" s="54"/>
      <c r="M199" s="54"/>
      <c r="N199" s="54"/>
    </row>
    <row r="200" spans="1:14" ht="1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 t="str">
        <f>IF(AND(MOVIMIENTOS!$A200&lt;&gt;"",COUNTIF(MOVIMIENTOS!$A$5:$A199,MOVIMIENTOS!$A200)=0),COUNT(J$4:J199)+1,"")</f>
        <v/>
      </c>
      <c r="K200" s="57">
        <f>MOVIMIENTOS!$A200</f>
        <v>46231</v>
      </c>
      <c r="L200" s="54"/>
      <c r="M200" s="54"/>
      <c r="N200" s="54"/>
    </row>
    <row r="201" spans="1:14" ht="1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 t="str">
        <f>IF(AND(MOVIMIENTOS!$A201&lt;&gt;"",COUNTIF(MOVIMIENTOS!$A$5:$A200,MOVIMIENTOS!$A201)=0),COUNT(J$4:J200)+1,"")</f>
        <v/>
      </c>
      <c r="K201" s="57">
        <f>MOVIMIENTOS!$A201</f>
        <v>46231</v>
      </c>
      <c r="L201" s="54"/>
      <c r="M201" s="54"/>
      <c r="N201" s="54"/>
    </row>
    <row r="202" spans="1:14" ht="1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 t="str">
        <f>IF(AND(MOVIMIENTOS!$A202&lt;&gt;"",COUNTIF(MOVIMIENTOS!$A$5:$A201,MOVIMIENTOS!$A202)=0),COUNT(J$4:J201)+1,"")</f>
        <v/>
      </c>
      <c r="K202" s="57">
        <f>MOVIMIENTOS!$A202</f>
        <v>46231</v>
      </c>
      <c r="L202" s="54"/>
      <c r="M202" s="54"/>
      <c r="N202" s="54"/>
    </row>
    <row r="203" spans="1:14" ht="1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 t="str">
        <f>IF(AND(MOVIMIENTOS!$A203&lt;&gt;"",COUNTIF(MOVIMIENTOS!$A$5:$A202,MOVIMIENTOS!$A203)=0),COUNT(J$4:J202)+1,"")</f>
        <v/>
      </c>
      <c r="K203" s="57">
        <f>MOVIMIENTOS!$A203</f>
        <v>46231</v>
      </c>
      <c r="L203" s="54"/>
      <c r="M203" s="54"/>
      <c r="N203" s="54"/>
    </row>
    <row r="204" spans="1:14" ht="1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 t="str">
        <f>IF(AND(MOVIMIENTOS!$A204&lt;&gt;"",COUNTIF(MOVIMIENTOS!$A$5:$A203,MOVIMIENTOS!$A204)=0),COUNT(J$4:J203)+1,"")</f>
        <v/>
      </c>
      <c r="K204" s="57">
        <f>MOVIMIENTOS!$A204</f>
        <v>46231</v>
      </c>
      <c r="L204" s="54"/>
      <c r="M204" s="54"/>
      <c r="N204" s="54"/>
    </row>
    <row r="205" spans="1:14" ht="1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 t="str">
        <f>IF(AND(MOVIMIENTOS!$A205&lt;&gt;"",COUNTIF(MOVIMIENTOS!$A$5:$A204,MOVIMIENTOS!$A205)=0),COUNT(J$4:J204)+1,"")</f>
        <v/>
      </c>
      <c r="K205" s="57">
        <f>MOVIMIENTOS!$A205</f>
        <v>46231</v>
      </c>
      <c r="L205" s="54"/>
      <c r="M205" s="54"/>
      <c r="N205" s="54"/>
    </row>
    <row r="206" spans="1:14" ht="1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 t="str">
        <f>IF(AND(MOVIMIENTOS!$A206&lt;&gt;"",COUNTIF(MOVIMIENTOS!$A$5:$A205,MOVIMIENTOS!$A206)=0),COUNT(J$4:J205)+1,"")</f>
        <v/>
      </c>
      <c r="K206" s="57">
        <f>MOVIMIENTOS!$A206</f>
        <v>46231</v>
      </c>
      <c r="L206" s="54"/>
      <c r="M206" s="54"/>
      <c r="N206" s="54"/>
    </row>
    <row r="207" spans="1:14" ht="1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>
        <f>IF(AND(MOVIMIENTOS!$A207&lt;&gt;"",COUNTIF(MOVIMIENTOS!$A$5:$A206,MOVIMIENTOS!$A207)=0),COUNT(J$4:J206)+1,"")</f>
        <v>19</v>
      </c>
      <c r="K207" s="57">
        <f>MOVIMIENTOS!$A207</f>
        <v>46232</v>
      </c>
      <c r="L207" s="54"/>
      <c r="M207" s="54"/>
      <c r="N207" s="54"/>
    </row>
    <row r="208" spans="1:14" ht="1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 t="str">
        <f>IF(AND(MOVIMIENTOS!$A208&lt;&gt;"",COUNTIF(MOVIMIENTOS!$A$5:$A207,MOVIMIENTOS!$A208)=0),COUNT(J$4:J207)+1,"")</f>
        <v/>
      </c>
      <c r="K208" s="57">
        <f>MOVIMIENTOS!$A208</f>
        <v>46232</v>
      </c>
      <c r="L208" s="54"/>
      <c r="M208" s="54"/>
      <c r="N208" s="54"/>
    </row>
    <row r="209" spans="1:14" ht="1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 t="str">
        <f>IF(AND(MOVIMIENTOS!$A209&lt;&gt;"",COUNTIF(MOVIMIENTOS!$A$5:$A208,MOVIMIENTOS!$A209)=0),COUNT(J$4:J208)+1,"")</f>
        <v/>
      </c>
      <c r="K209" s="57">
        <f>MOVIMIENTOS!$A209</f>
        <v>46232</v>
      </c>
      <c r="L209" s="54"/>
      <c r="M209" s="54"/>
      <c r="N209" s="54"/>
    </row>
    <row r="210" spans="1:14" ht="1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 t="str">
        <f>IF(AND(MOVIMIENTOS!$A210&lt;&gt;"",COUNTIF(MOVIMIENTOS!$A$5:$A209,MOVIMIENTOS!$A210)=0),COUNT(J$4:J209)+1,"")</f>
        <v/>
      </c>
      <c r="K210" s="57">
        <f>MOVIMIENTOS!$A210</f>
        <v>46232</v>
      </c>
      <c r="L210" s="54"/>
      <c r="M210" s="54"/>
      <c r="N210" s="54"/>
    </row>
    <row r="211" spans="1:14" ht="1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 t="str">
        <f>IF(AND(MOVIMIENTOS!$A211&lt;&gt;"",COUNTIF(MOVIMIENTOS!$A$5:$A210,MOVIMIENTOS!$A211)=0),COUNT(J$4:J210)+1,"")</f>
        <v/>
      </c>
      <c r="K211" s="57">
        <f>MOVIMIENTOS!$A211</f>
        <v>46232</v>
      </c>
      <c r="L211" s="54"/>
      <c r="M211" s="54"/>
      <c r="N211" s="54"/>
    </row>
    <row r="212" spans="1:14" ht="1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>
        <f>IF(AND(MOVIMIENTOS!$A212&lt;&gt;"",COUNTIF(MOVIMIENTOS!$A$5:$A211,MOVIMIENTOS!$A212)=0),COUNT(J$4:J211)+1,"")</f>
        <v>20</v>
      </c>
      <c r="K212" s="57">
        <f>MOVIMIENTOS!$A212</f>
        <v>46233</v>
      </c>
      <c r="L212" s="54"/>
      <c r="M212" s="54"/>
      <c r="N212" s="54"/>
    </row>
    <row r="213" spans="1:14" ht="1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 t="str">
        <f>IF(AND(MOVIMIENTOS!$A213&lt;&gt;"",COUNTIF(MOVIMIENTOS!$A$5:$A212,MOVIMIENTOS!$A213)=0),COUNT(J$4:J212)+1,"")</f>
        <v/>
      </c>
      <c r="K213" s="57">
        <f>MOVIMIENTOS!$A213</f>
        <v>46233</v>
      </c>
      <c r="L213" s="54"/>
      <c r="M213" s="54"/>
      <c r="N213" s="54"/>
    </row>
    <row r="214" spans="1:14" ht="1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 t="str">
        <f>IF(AND(MOVIMIENTOS!$A214&lt;&gt;"",COUNTIF(MOVIMIENTOS!$A$5:$A213,MOVIMIENTOS!$A214)=0),COUNT(J$4:J213)+1,"")</f>
        <v/>
      </c>
      <c r="K214" s="57">
        <f>MOVIMIENTOS!$A214</f>
        <v>46233</v>
      </c>
      <c r="L214" s="54"/>
      <c r="M214" s="54"/>
      <c r="N214" s="54"/>
    </row>
    <row r="215" spans="1:14" ht="1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 t="str">
        <f>IF(AND(MOVIMIENTOS!$A215&lt;&gt;"",COUNTIF(MOVIMIENTOS!$A$5:$A214,MOVIMIENTOS!$A215)=0),COUNT(J$4:J214)+1,"")</f>
        <v/>
      </c>
      <c r="K215" s="57">
        <f>MOVIMIENTOS!$A215</f>
        <v>46233</v>
      </c>
      <c r="L215" s="54"/>
      <c r="M215" s="54"/>
      <c r="N215" s="54"/>
    </row>
    <row r="216" spans="1:14" ht="1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 t="str">
        <f>IF(AND(MOVIMIENTOS!$A216&lt;&gt;"",COUNTIF(MOVIMIENTOS!$A$5:$A215,MOVIMIENTOS!$A216)=0),COUNT(J$4:J215)+1,"")</f>
        <v/>
      </c>
      <c r="K216" s="57">
        <f>MOVIMIENTOS!$A216</f>
        <v>46233</v>
      </c>
      <c r="L216" s="54"/>
      <c r="M216" s="54"/>
      <c r="N216" s="54"/>
    </row>
    <row r="217" spans="1:14" ht="1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 t="str">
        <f>IF(AND(MOVIMIENTOS!$A217&lt;&gt;"",COUNTIF(MOVIMIENTOS!$A$5:$A216,MOVIMIENTOS!$A217)=0),COUNT(J$4:J216)+1,"")</f>
        <v/>
      </c>
      <c r="K217" s="57">
        <f>MOVIMIENTOS!$A217</f>
        <v>46233</v>
      </c>
      <c r="L217" s="54"/>
      <c r="M217" s="54"/>
      <c r="N217" s="54"/>
    </row>
    <row r="218" spans="1:14" ht="1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 t="str">
        <f>IF(AND(MOVIMIENTOS!$A218&lt;&gt;"",COUNTIF(MOVIMIENTOS!$A$5:$A217,MOVIMIENTOS!$A218)=0),COUNT(J$4:J217)+1,"")</f>
        <v/>
      </c>
      <c r="K218" s="57">
        <f>MOVIMIENTOS!$A218</f>
        <v>46233</v>
      </c>
      <c r="L218" s="54"/>
      <c r="M218" s="54"/>
      <c r="N218" s="54"/>
    </row>
    <row r="219" spans="1:14" ht="1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 t="str">
        <f>IF(AND(MOVIMIENTOS!$A219&lt;&gt;"",COUNTIF(MOVIMIENTOS!$A$5:$A218,MOVIMIENTOS!$A219)=0),COUNT(J$4:J218)+1,"")</f>
        <v/>
      </c>
      <c r="K219" s="57">
        <f>MOVIMIENTOS!$A219</f>
        <v>46233</v>
      </c>
      <c r="L219" s="54"/>
      <c r="M219" s="54"/>
      <c r="N219" s="54"/>
    </row>
    <row r="220" spans="1:14" ht="1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 t="str">
        <f>IF(AND(MOVIMIENTOS!$A220&lt;&gt;"",COUNTIF(MOVIMIENTOS!$A$5:$A219,MOVIMIENTOS!$A220)=0),COUNT(J$4:J219)+1,"")</f>
        <v/>
      </c>
      <c r="K220" s="57">
        <f>MOVIMIENTOS!$A220</f>
        <v>46233</v>
      </c>
      <c r="L220" s="54"/>
      <c r="M220" s="54"/>
      <c r="N220" s="54"/>
    </row>
    <row r="221" spans="1:14" ht="1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 t="str">
        <f>IF(AND(MOVIMIENTOS!$A221&lt;&gt;"",COUNTIF(MOVIMIENTOS!$A$5:$A220,MOVIMIENTOS!$A221)=0),COUNT(J$4:J220)+1,"")</f>
        <v/>
      </c>
      <c r="K221" s="57">
        <f>MOVIMIENTOS!$A221</f>
        <v>46233</v>
      </c>
      <c r="L221" s="54"/>
      <c r="M221" s="54"/>
      <c r="N221" s="54"/>
    </row>
    <row r="222" spans="1:14" ht="1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 t="str">
        <f>IF(AND(MOVIMIENTOS!$A222&lt;&gt;"",COUNTIF(MOVIMIENTOS!$A$5:$A221,MOVIMIENTOS!$A222)=0),COUNT(J$4:J221)+1,"")</f>
        <v/>
      </c>
      <c r="K222" s="57">
        <f>MOVIMIENTOS!$A222</f>
        <v>46233</v>
      </c>
      <c r="L222" s="54"/>
      <c r="M222" s="54"/>
      <c r="N222" s="54"/>
    </row>
    <row r="223" spans="1:14" ht="1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>
        <f>IF(AND(MOVIMIENTOS!$A223&lt;&gt;"",COUNTIF(MOVIMIENTOS!$A$5:$A222,MOVIMIENTOS!$A223)=0),COUNT(J$4:J222)+1,"")</f>
        <v>21</v>
      </c>
      <c r="K223" s="57">
        <f>MOVIMIENTOS!$A223</f>
        <v>46234</v>
      </c>
      <c r="L223" s="54"/>
      <c r="M223" s="54"/>
      <c r="N223" s="54"/>
    </row>
    <row r="224" spans="1:14" ht="1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 t="str">
        <f>IF(AND(MOVIMIENTOS!$A224&lt;&gt;"",COUNTIF(MOVIMIENTOS!$A$5:$A223,MOVIMIENTOS!$A224)=0),COUNT(J$4:J223)+1,"")</f>
        <v/>
      </c>
      <c r="K224" s="57">
        <f>MOVIMIENTOS!$A224</f>
        <v>46234</v>
      </c>
      <c r="L224" s="54"/>
      <c r="M224" s="54"/>
      <c r="N224" s="54"/>
    </row>
    <row r="225" spans="1:14" ht="1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 t="str">
        <f>IF(AND(MOVIMIENTOS!$A225&lt;&gt;"",COUNTIF(MOVIMIENTOS!$A$5:$A224,MOVIMIENTOS!$A225)=0),COUNT(J$4:J224)+1,"")</f>
        <v/>
      </c>
      <c r="K225" s="57">
        <f>MOVIMIENTOS!$A225</f>
        <v>46234</v>
      </c>
      <c r="L225" s="54"/>
      <c r="M225" s="54"/>
      <c r="N225" s="54"/>
    </row>
    <row r="226" spans="1:14" ht="1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 t="str">
        <f>IF(AND(MOVIMIENTOS!$A226&lt;&gt;"",COUNTIF(MOVIMIENTOS!$A$5:$A225,MOVIMIENTOS!$A226)=0),COUNT(J$4:J225)+1,"")</f>
        <v/>
      </c>
      <c r="K226" s="57">
        <f>MOVIMIENTOS!$A226</f>
        <v>46234</v>
      </c>
      <c r="L226" s="54"/>
      <c r="M226" s="54"/>
      <c r="N226" s="54"/>
    </row>
    <row r="227" spans="1:14" ht="1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 t="str">
        <f>IF(AND(MOVIMIENTOS!$A227&lt;&gt;"",COUNTIF(MOVIMIENTOS!$A$5:$A226,MOVIMIENTOS!$A227)=0),COUNT(J$4:J226)+1,"")</f>
        <v/>
      </c>
      <c r="K227" s="57">
        <f>MOVIMIENTOS!$A227</f>
        <v>46234</v>
      </c>
      <c r="L227" s="54"/>
      <c r="M227" s="54"/>
      <c r="N227" s="54"/>
    </row>
    <row r="228" spans="1:14" ht="1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 t="str">
        <f>IF(AND(MOVIMIENTOS!$A228&lt;&gt;"",COUNTIF(MOVIMIENTOS!$A$5:$A227,MOVIMIENTOS!$A228)=0),COUNT(J$4:J227)+1,"")</f>
        <v/>
      </c>
      <c r="K228" s="57">
        <f>MOVIMIENTOS!$A228</f>
        <v>46234</v>
      </c>
      <c r="L228" s="54"/>
      <c r="M228" s="54"/>
      <c r="N228" s="54"/>
    </row>
    <row r="229" spans="1:14" ht="1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 t="str">
        <f>IF(AND(MOVIMIENTOS!$A229&lt;&gt;"",COUNTIF(MOVIMIENTOS!$A$5:$A228,MOVIMIENTOS!$A229)=0),COUNT(J$4:J228)+1,"")</f>
        <v/>
      </c>
      <c r="K229" s="57">
        <f>MOVIMIENTOS!$A229</f>
        <v>46234</v>
      </c>
      <c r="L229" s="54"/>
      <c r="M229" s="54"/>
      <c r="N229" s="54"/>
    </row>
    <row r="230" spans="1:14" ht="1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 t="str">
        <f>IF(AND(MOVIMIENTOS!$A230&lt;&gt;"",COUNTIF(MOVIMIENTOS!$A$5:$A229,MOVIMIENTOS!$A230)=0),COUNT(J$4:J229)+1,"")</f>
        <v/>
      </c>
      <c r="K230" s="57">
        <f>MOVIMIENTOS!$A230</f>
        <v>46234</v>
      </c>
      <c r="L230" s="54"/>
      <c r="M230" s="54"/>
      <c r="N230" s="54"/>
    </row>
    <row r="231" spans="1:14" ht="1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 t="str">
        <f>IF(AND(MOVIMIENTOS!$A231&lt;&gt;"",COUNTIF(MOVIMIENTOS!$A$5:$A230,MOVIMIENTOS!$A231)=0),COUNT(J$4:J230)+1,"")</f>
        <v/>
      </c>
      <c r="K231" s="57">
        <f>MOVIMIENTOS!$A231</f>
        <v>46234</v>
      </c>
      <c r="L231" s="54"/>
      <c r="M231" s="54"/>
      <c r="N231" s="54"/>
    </row>
    <row r="232" spans="1:14" ht="1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 t="str">
        <f>IF(AND(MOVIMIENTOS!$A232&lt;&gt;"",COUNTIF(MOVIMIENTOS!$A$5:$A231,MOVIMIENTOS!$A232)=0),COUNT(J$4:J231)+1,"")</f>
        <v/>
      </c>
      <c r="K232" s="57">
        <f>MOVIMIENTOS!$A232</f>
        <v>46234</v>
      </c>
      <c r="L232" s="54"/>
      <c r="M232" s="54"/>
      <c r="N232" s="54"/>
    </row>
    <row r="233" spans="1:14" ht="1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 t="str">
        <f>IF(AND(MOVIMIENTOS!$A233&lt;&gt;"",COUNTIF(MOVIMIENTOS!$A$5:$A232,MOVIMIENTOS!$A233)=0),COUNT(J$4:J232)+1,"")</f>
        <v/>
      </c>
      <c r="K233" s="57">
        <f>MOVIMIENTOS!$A233</f>
        <v>46234</v>
      </c>
      <c r="L233" s="54"/>
      <c r="M233" s="54"/>
      <c r="N233" s="54"/>
    </row>
    <row r="234" spans="1:14" ht="1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>
        <f>IF(AND(MOVIMIENTOS!$A236&lt;&gt;"",COUNTIF(MOVIMIENTOS!$A$5:$A233,MOVIMIENTOS!$A236)=0),COUNT(J$4:J233)+1,"")</f>
        <v>22</v>
      </c>
      <c r="K234" s="57">
        <f>MOVIMIENTOS!$A236</f>
        <v>46235</v>
      </c>
      <c r="L234" s="54"/>
      <c r="M234" s="54"/>
      <c r="N234" s="54"/>
    </row>
    <row r="235" spans="1:14" ht="1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 t="str">
        <f>IF(AND(MOVIMIENTOS!$A237&lt;&gt;"",COUNTIF(MOVIMIENTOS!$A$5:$A236,MOVIMIENTOS!$A237)=0),COUNT(J$4:J234)+1,"")</f>
        <v/>
      </c>
      <c r="K235" s="57">
        <f>MOVIMIENTOS!$A237</f>
        <v>46235</v>
      </c>
      <c r="L235" s="54"/>
      <c r="M235" s="54"/>
      <c r="N235" s="54"/>
    </row>
    <row r="236" spans="1:14" ht="1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 t="str">
        <f>IF(AND(MOVIMIENTOS!$A238&lt;&gt;"",COUNTIF(MOVIMIENTOS!$A$5:$A237,MOVIMIENTOS!$A238)=0),COUNT(J$4:J235)+1,"")</f>
        <v/>
      </c>
      <c r="K236" s="57">
        <f>MOVIMIENTOS!$A238</f>
        <v>46235</v>
      </c>
      <c r="L236" s="54"/>
      <c r="M236" s="54"/>
      <c r="N236" s="54"/>
    </row>
    <row r="237" spans="1:14" ht="1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 t="str">
        <f>IF(AND(MOVIMIENTOS!$A239&lt;&gt;"",COUNTIF(MOVIMIENTOS!$A$5:$A238,MOVIMIENTOS!$A239)=0),COUNT(J$4:J236)+1,"")</f>
        <v/>
      </c>
      <c r="K237" s="57">
        <f>MOVIMIENTOS!$A239</f>
        <v>46235</v>
      </c>
      <c r="L237" s="54"/>
      <c r="M237" s="54"/>
      <c r="N237" s="54"/>
    </row>
    <row r="238" spans="1:14" ht="1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 t="str">
        <f>IF(AND(MOVIMIENTOS!$A240&lt;&gt;"",COUNTIF(MOVIMIENTOS!$A$5:$A239,MOVIMIENTOS!$A240)=0),COUNT(J$4:J237)+1,"")</f>
        <v/>
      </c>
      <c r="K238" s="57">
        <f>MOVIMIENTOS!$A240</f>
        <v>46235</v>
      </c>
      <c r="L238" s="54"/>
      <c r="M238" s="54"/>
      <c r="N238" s="54"/>
    </row>
    <row r="239" spans="1:14" ht="1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 t="str">
        <f>IF(AND(MOVIMIENTOS!$A241&lt;&gt;"",COUNTIF(MOVIMIENTOS!$A$5:$A240,MOVIMIENTOS!$A241)=0),COUNT(J$4:J238)+1,"")</f>
        <v/>
      </c>
      <c r="K239" s="57">
        <f>MOVIMIENTOS!$A241</f>
        <v>46235</v>
      </c>
      <c r="L239" s="54"/>
      <c r="M239" s="54"/>
      <c r="N239" s="54"/>
    </row>
    <row r="240" spans="1:14" ht="1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 t="str">
        <f>IF(AND(MOVIMIENTOS!$A242&lt;&gt;"",COUNTIF(MOVIMIENTOS!$A$5:$A241,MOVIMIENTOS!$A242)=0),COUNT(J$4:J239)+1,"")</f>
        <v/>
      </c>
      <c r="K240" s="57">
        <f>MOVIMIENTOS!$A242</f>
        <v>46235</v>
      </c>
      <c r="L240" s="54"/>
      <c r="M240" s="54"/>
      <c r="N240" s="54"/>
    </row>
    <row r="241" spans="1:14" ht="1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 t="str">
        <f>IF(AND(MOVIMIENTOS!$A243&lt;&gt;"",COUNTIF(MOVIMIENTOS!$A$5:$A242,MOVIMIENTOS!$A243)=0),COUNT(J$4:J240)+1,"")</f>
        <v/>
      </c>
      <c r="K241" s="57">
        <f>MOVIMIENTOS!$A243</f>
        <v>46235</v>
      </c>
      <c r="L241" s="54"/>
      <c r="M241" s="54"/>
      <c r="N241" s="54"/>
    </row>
    <row r="242" spans="1:14" ht="1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 t="str">
        <f>IF(AND(MOVIMIENTOS!$A244&lt;&gt;"",COUNTIF(MOVIMIENTOS!$A$5:$A243,MOVIMIENTOS!$A244)=0),COUNT(J$4:J241)+1,"")</f>
        <v/>
      </c>
      <c r="K242" s="57">
        <f>MOVIMIENTOS!$A244</f>
        <v>46235</v>
      </c>
      <c r="L242" s="54"/>
      <c r="M242" s="54"/>
      <c r="N242" s="54"/>
    </row>
    <row r="243" spans="1:14" ht="1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 t="str">
        <f>IF(AND(MOVIMIENTOS!$A245&lt;&gt;"",COUNTIF(MOVIMIENTOS!$A$5:$A244,MOVIMIENTOS!$A245)=0),COUNT(J$4:J242)+1,"")</f>
        <v/>
      </c>
      <c r="K243" s="57">
        <f>MOVIMIENTOS!$A245</f>
        <v>46235</v>
      </c>
      <c r="L243" s="54"/>
      <c r="M243" s="54"/>
      <c r="N243" s="54"/>
    </row>
    <row r="244" spans="1:14" ht="1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>
        <f>IF(AND(MOVIMIENTOS!$A250&lt;&gt;"",COUNTIF(MOVIMIENTOS!$A$5:$A245,MOVIMIENTOS!$A250)=0),COUNT(J$4:J243)+1,"")</f>
        <v>23</v>
      </c>
      <c r="K244" s="57">
        <f>MOVIMIENTOS!$A250</f>
        <v>46236</v>
      </c>
      <c r="L244" s="54"/>
      <c r="M244" s="54"/>
      <c r="N244" s="54"/>
    </row>
    <row r="245" spans="1:14" ht="1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 t="str">
        <f>IF(AND(MOVIMIENTOS!$A251&lt;&gt;"",COUNTIF(MOVIMIENTOS!$A$5:$A250,MOVIMIENTOS!$A251)=0),COUNT(J$4:J244)+1,"")</f>
        <v/>
      </c>
      <c r="K245" s="57">
        <f>MOVIMIENTOS!$A251</f>
        <v>46236</v>
      </c>
      <c r="L245" s="54"/>
      <c r="M245" s="54"/>
      <c r="N245" s="54"/>
    </row>
    <row r="246" spans="1:14" ht="1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 t="str">
        <f>IF(AND(MOVIMIENTOS!$A252&lt;&gt;"",COUNTIF(MOVIMIENTOS!$A$5:$A251,MOVIMIENTOS!$A252)=0),COUNT(J$4:J245)+1,"")</f>
        <v/>
      </c>
      <c r="K246" s="57">
        <f>MOVIMIENTOS!$A252</f>
        <v>46236</v>
      </c>
      <c r="L246" s="54"/>
      <c r="M246" s="54"/>
      <c r="N246" s="54"/>
    </row>
    <row r="247" spans="1:14" ht="1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 t="str">
        <f>IF(AND(MOVIMIENTOS!$A253&lt;&gt;"",COUNTIF(MOVIMIENTOS!$A$5:$A252,MOVIMIENTOS!$A253)=0),COUNT(J$4:J246)+1,"")</f>
        <v/>
      </c>
      <c r="K247" s="57">
        <f>MOVIMIENTOS!$A253</f>
        <v>46236</v>
      </c>
      <c r="L247" s="54"/>
      <c r="M247" s="54"/>
      <c r="N247" s="54"/>
    </row>
    <row r="248" spans="1:14" ht="1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 t="str">
        <f>IF(AND(MOVIMIENTOS!$A254&lt;&gt;"",COUNTIF(MOVIMIENTOS!$A$5:$A253,MOVIMIENTOS!$A254)=0),COUNT(J$4:J247)+1,"")</f>
        <v/>
      </c>
      <c r="K248" s="57">
        <f>MOVIMIENTOS!$A254</f>
        <v>46236</v>
      </c>
      <c r="L248" s="54"/>
      <c r="M248" s="54"/>
      <c r="N248" s="54"/>
    </row>
    <row r="249" spans="1:14" ht="1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 t="str">
        <f>IF(AND(MOVIMIENTOS!$A255&lt;&gt;"",COUNTIF(MOVIMIENTOS!$A$5:$A254,MOVIMIENTOS!$A255)=0),COUNT(J$4:J248)+1,"")</f>
        <v/>
      </c>
      <c r="K249" s="57">
        <f>MOVIMIENTOS!$A255</f>
        <v>46236</v>
      </c>
      <c r="L249" s="54"/>
      <c r="M249" s="54"/>
      <c r="N249" s="54"/>
    </row>
    <row r="250" spans="1:14" ht="1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 t="str">
        <f>IF(AND(MOVIMIENTOS!$A256&lt;&gt;"",COUNTIF(MOVIMIENTOS!$A$5:$A255,MOVIMIENTOS!$A256)=0),COUNT(J$4:J249)+1,"")</f>
        <v/>
      </c>
      <c r="K250" s="57">
        <f>MOVIMIENTOS!$A256</f>
        <v>46236</v>
      </c>
      <c r="L250" s="54"/>
      <c r="M250" s="54"/>
      <c r="N250" s="54"/>
    </row>
    <row r="251" spans="1:14" ht="1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 t="str">
        <f>IF(AND(MOVIMIENTOS!$A257&lt;&gt;"",COUNTIF(MOVIMIENTOS!$A$5:$A256,MOVIMIENTOS!$A257)=0),COUNT(J$4:J250)+1,"")</f>
        <v/>
      </c>
      <c r="K251" s="57">
        <f>MOVIMIENTOS!$A257</f>
        <v>46236</v>
      </c>
      <c r="L251" s="54"/>
      <c r="M251" s="54"/>
      <c r="N251" s="54"/>
    </row>
    <row r="252" spans="1:14" ht="1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 t="str">
        <f>IF(AND(MOVIMIENTOS!$A258&lt;&gt;"",COUNTIF(MOVIMIENTOS!$A$5:$A257,MOVIMIENTOS!$A258)=0),COUNT(J$4:J251)+1,"")</f>
        <v/>
      </c>
      <c r="K252" s="57">
        <f>MOVIMIENTOS!$A258</f>
        <v>46236</v>
      </c>
      <c r="L252" s="54"/>
      <c r="M252" s="54"/>
      <c r="N252" s="54"/>
    </row>
    <row r="253" spans="1:14" ht="1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 t="str">
        <f>IF(AND(MOVIMIENTOS!$A259&lt;&gt;"",COUNTIF(MOVIMIENTOS!$A$5:$A258,MOVIMIENTOS!$A259)=0),COUNT(J$4:J252)+1,"")</f>
        <v/>
      </c>
      <c r="K253" s="57">
        <f>MOVIMIENTOS!$A259</f>
        <v>46236</v>
      </c>
      <c r="L253" s="54"/>
      <c r="M253" s="54"/>
      <c r="N253" s="54"/>
    </row>
    <row r="254" spans="1:14" ht="1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>
        <f>IF(AND(MOVIMIENTOS!$A264&lt;&gt;"",COUNTIF(MOVIMIENTOS!$A$5:$A259,MOVIMIENTOS!$A264)=0),COUNT(J$4:J253)+1,"")</f>
        <v>24</v>
      </c>
      <c r="K254" s="57">
        <f>MOVIMIENTOS!$A264</f>
        <v>46237</v>
      </c>
      <c r="L254" s="54"/>
      <c r="M254" s="54"/>
      <c r="N254" s="54"/>
    </row>
    <row r="255" spans="1:14" ht="1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 t="str">
        <f>IF(AND(MOVIMIENTOS!$A265&lt;&gt;"",COUNTIF(MOVIMIENTOS!$A$5:$A264,MOVIMIENTOS!$A265)=0),COUNT(J$4:J254)+1,"")</f>
        <v/>
      </c>
      <c r="K255" s="57">
        <f>MOVIMIENTOS!$A265</f>
        <v>46237</v>
      </c>
      <c r="L255" s="54"/>
      <c r="M255" s="54"/>
      <c r="N255" s="54"/>
    </row>
    <row r="256" spans="1:14" ht="1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 t="str">
        <f>IF(AND(MOVIMIENTOS!$A266&lt;&gt;"",COUNTIF(MOVIMIENTOS!$A$5:$A265,MOVIMIENTOS!$A266)=0),COUNT(J$4:J255)+1,"")</f>
        <v/>
      </c>
      <c r="K256" s="57">
        <f>MOVIMIENTOS!$A266</f>
        <v>46237</v>
      </c>
      <c r="L256" s="54"/>
      <c r="M256" s="54"/>
      <c r="N256" s="54"/>
    </row>
    <row r="257" spans="1:14" ht="1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 t="str">
        <f>IF(AND(MOVIMIENTOS!$A267&lt;&gt;"",COUNTIF(MOVIMIENTOS!$A$5:$A266,MOVIMIENTOS!$A267)=0),COUNT(J$4:J256)+1,"")</f>
        <v/>
      </c>
      <c r="K257" s="57">
        <f>MOVIMIENTOS!$A267</f>
        <v>46237</v>
      </c>
      <c r="L257" s="54"/>
      <c r="M257" s="54"/>
      <c r="N257" s="54"/>
    </row>
    <row r="258" spans="1:14" ht="1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 t="str">
        <f>IF(AND(MOVIMIENTOS!$A268&lt;&gt;"",COUNTIF(MOVIMIENTOS!$A$5:$A267,MOVIMIENTOS!$A268)=0),COUNT(J$4:J257)+1,"")</f>
        <v/>
      </c>
      <c r="K258" s="57">
        <f>MOVIMIENTOS!$A268</f>
        <v>46237</v>
      </c>
      <c r="L258" s="54"/>
      <c r="M258" s="54"/>
      <c r="N258" s="54"/>
    </row>
    <row r="259" spans="1:14" ht="1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>
        <f>IF(AND(MOVIMIENTOS!$A269&lt;&gt;"",COUNTIF(MOVIMIENTOS!$A$5:$A268,MOVIMIENTOS!$A269)=0),COUNT(J$4:J258)+1,"")</f>
        <v>25</v>
      </c>
      <c r="K259" s="57">
        <f>MOVIMIENTOS!$A269</f>
        <v>46238</v>
      </c>
      <c r="L259" s="54"/>
      <c r="M259" s="54"/>
      <c r="N259" s="54"/>
    </row>
    <row r="260" spans="1:14" ht="1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7"/>
      <c r="L260" s="54"/>
      <c r="M260" s="54"/>
      <c r="N260" s="54"/>
    </row>
    <row r="261" spans="1:14" ht="1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 t="str">
        <f>IF(AND(MOVIMIENTOS!$A270&lt;&gt;"",COUNTIF(MOVIMIENTOS!$A$5:$A269,MOVIMIENTOS!$A270)=0),COUNT(J$4:J260)+1,"")</f>
        <v/>
      </c>
      <c r="K261" s="57">
        <f>MOVIMIENTOS!$A270</f>
        <v>46238</v>
      </c>
      <c r="L261" s="54"/>
      <c r="M261" s="54"/>
      <c r="N261" s="54"/>
    </row>
    <row r="262" spans="1:14" ht="1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 t="str">
        <f>IF(AND(MOVIMIENTOS!$A271&lt;&gt;"",COUNTIF(MOVIMIENTOS!$A$5:$A270,MOVIMIENTOS!$A271)=0),COUNT(J$4:J261)+1,"")</f>
        <v/>
      </c>
      <c r="K262" s="57">
        <f>MOVIMIENTOS!$A271</f>
        <v>46238</v>
      </c>
      <c r="L262" s="54"/>
      <c r="M262" s="54"/>
      <c r="N262" s="54"/>
    </row>
    <row r="263" spans="1:14" ht="1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 t="str">
        <f>IF(AND(MOVIMIENTOS!$A272&lt;&gt;"",COUNTIF(MOVIMIENTOS!$A$5:$A271,MOVIMIENTOS!$A272)=0),COUNT(J$4:J262)+1,"")</f>
        <v/>
      </c>
      <c r="K263" s="57">
        <f>MOVIMIENTOS!$A272</f>
        <v>46238</v>
      </c>
      <c r="L263" s="54"/>
      <c r="M263" s="54"/>
      <c r="N263" s="54"/>
    </row>
    <row r="264" spans="1:14" ht="1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 t="str">
        <f>IF(AND(MOVIMIENTOS!$A273&lt;&gt;"",COUNTIF(MOVIMIENTOS!$A$5:$A272,MOVIMIENTOS!$A273)=0),COUNT(J$4:J263)+1,"")</f>
        <v/>
      </c>
      <c r="K264" s="57">
        <f>MOVIMIENTOS!$A273</f>
        <v>46238</v>
      </c>
      <c r="L264" s="54"/>
      <c r="M264" s="54"/>
      <c r="N264" s="54"/>
    </row>
    <row r="265" spans="1:14" ht="1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 t="str">
        <f>IF(AND(MOVIMIENTOS!$A274&lt;&gt;"",COUNTIF(MOVIMIENTOS!$A$5:$A273,MOVIMIENTOS!$A274)=0),COUNT(J$4:J264)+1,"")</f>
        <v/>
      </c>
      <c r="K265" s="57">
        <f>MOVIMIENTOS!$A274</f>
        <v>46238</v>
      </c>
      <c r="L265" s="54"/>
      <c r="M265" s="54"/>
      <c r="N265" s="54"/>
    </row>
    <row r="266" spans="1:14" ht="1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 t="str">
        <f>IF(AND(MOVIMIENTOS!$A275&lt;&gt;"",COUNTIF(MOVIMIENTOS!$A$5:$A274,MOVIMIENTOS!$A275)=0),COUNT(J$4:J265)+1,"")</f>
        <v/>
      </c>
      <c r="K266" s="57">
        <f>MOVIMIENTOS!$A275</f>
        <v>46238</v>
      </c>
      <c r="L266" s="54"/>
      <c r="M266" s="54"/>
      <c r="N266" s="54"/>
    </row>
    <row r="267" spans="1:14" ht="1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 t="str">
        <f>IF(AND(MOVIMIENTOS!$A276&lt;&gt;"",COUNTIF(MOVIMIENTOS!$A$5:$A275,MOVIMIENTOS!$A276)=0),COUNT(J$4:J266)+1,"")</f>
        <v/>
      </c>
      <c r="K267" s="57">
        <f>MOVIMIENTOS!$A276</f>
        <v>46238</v>
      </c>
      <c r="L267" s="54"/>
      <c r="M267" s="54"/>
      <c r="N267" s="54"/>
    </row>
    <row r="268" spans="1:14" ht="1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 t="str">
        <f>IF(AND(MOVIMIENTOS!$A277&lt;&gt;"",COUNTIF(MOVIMIENTOS!$A$5:$A276,MOVIMIENTOS!$A277)=0),COUNT(J$4:J267)+1,"")</f>
        <v/>
      </c>
      <c r="K268" s="57">
        <f>MOVIMIENTOS!$A277</f>
        <v>46238</v>
      </c>
      <c r="L268" s="54"/>
      <c r="M268" s="54"/>
      <c r="N268" s="54"/>
    </row>
    <row r="269" spans="1:14" ht="1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 t="str">
        <f>IF(AND(MOVIMIENTOS!$A278&lt;&gt;"",COUNTIF(MOVIMIENTOS!$A$5:$A277,MOVIMIENTOS!$A278)=0),COUNT(J$4:J268)+1,"")</f>
        <v/>
      </c>
      <c r="K269" s="57">
        <f>MOVIMIENTOS!$A278</f>
        <v>46238</v>
      </c>
      <c r="L269" s="54"/>
      <c r="M269" s="54"/>
      <c r="N269" s="54"/>
    </row>
    <row r="270" spans="1:14" ht="1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>
        <f>IF(AND(MOVIMIENTOS!$A285&lt;&gt;"",COUNTIF(MOVIMIENTOS!$A$5:$A278,MOVIMIENTOS!$A285)=0),COUNT(J$4:J269)+1,"")</f>
        <v>26</v>
      </c>
      <c r="K270" s="57">
        <f>MOVIMIENTOS!$A285</f>
        <v>46239</v>
      </c>
      <c r="L270" s="54"/>
      <c r="M270" s="54"/>
      <c r="N270" s="54"/>
    </row>
    <row r="271" spans="1:14" ht="1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 t="str">
        <f>IF(AND(MOVIMIENTOS!$A286&lt;&gt;"",COUNTIF(MOVIMIENTOS!$A$5:$A285,MOVIMIENTOS!$A286)=0),COUNT(J$4:J270)+1,"")</f>
        <v/>
      </c>
      <c r="K271" s="57">
        <f>MOVIMIENTOS!$A286</f>
        <v>46239</v>
      </c>
      <c r="L271" s="54"/>
      <c r="M271" s="54"/>
      <c r="N271" s="54"/>
    </row>
    <row r="272" spans="1:14" ht="1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 t="str">
        <f>IF(AND(MOVIMIENTOS!$A287&lt;&gt;"",COUNTIF(MOVIMIENTOS!$A$5:$A286,MOVIMIENTOS!$A287)=0),COUNT(J$4:J271)+1,"")</f>
        <v/>
      </c>
      <c r="K272" s="57">
        <f>MOVIMIENTOS!$A287</f>
        <v>46239</v>
      </c>
      <c r="L272" s="54"/>
      <c r="M272" s="54"/>
      <c r="N272" s="54"/>
    </row>
    <row r="273" spans="1:14" ht="1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 t="str">
        <f>IF(AND(MOVIMIENTOS!$A288&lt;&gt;"",COUNTIF(MOVIMIENTOS!$A$5:$A287,MOVIMIENTOS!$A288)=0),COUNT(J$4:J272)+1,"")</f>
        <v/>
      </c>
      <c r="K273" s="57">
        <f>MOVIMIENTOS!$A288</f>
        <v>46239</v>
      </c>
      <c r="L273" s="54"/>
      <c r="M273" s="54"/>
      <c r="N273" s="54"/>
    </row>
    <row r="274" spans="1:14" ht="1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 t="str">
        <f>IF(AND(MOVIMIENTOS!$A289&lt;&gt;"",COUNTIF(MOVIMIENTOS!$A$5:$A288,MOVIMIENTOS!$A289)=0),COUNT(J$4:J273)+1,"")</f>
        <v/>
      </c>
      <c r="K274" s="57">
        <f>MOVIMIENTOS!$A289</f>
        <v>46239</v>
      </c>
      <c r="L274" s="54"/>
      <c r="M274" s="54"/>
      <c r="N274" s="54"/>
    </row>
    <row r="275" spans="1:14" ht="1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 t="str">
        <f>IF(AND(MOVIMIENTOS!$A290&lt;&gt;"",COUNTIF(MOVIMIENTOS!$A$5:$A289,MOVIMIENTOS!$A290)=0),COUNT(J$4:J274)+1,"")</f>
        <v/>
      </c>
      <c r="K275" s="57">
        <f>MOVIMIENTOS!$A290</f>
        <v>46239</v>
      </c>
      <c r="L275" s="54"/>
      <c r="M275" s="54"/>
      <c r="N275" s="54"/>
    </row>
    <row r="276" spans="1:14" ht="1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>
        <f>IF(AND(MOVIMIENTOS!$A295&lt;&gt;"",COUNTIF(MOVIMIENTOS!$A$5:$A290,MOVIMIENTOS!$A295)=0),COUNT(J$4:J275)+1,"")</f>
        <v>27</v>
      </c>
      <c r="K276" s="57">
        <f>MOVIMIENTOS!$A295</f>
        <v>46240</v>
      </c>
      <c r="L276" s="54"/>
      <c r="M276" s="54"/>
      <c r="N276" s="54"/>
    </row>
    <row r="277" spans="1:14" ht="1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 t="str">
        <f>IF(AND(MOVIMIENTOS!$A296&lt;&gt;"",COUNTIF(MOVIMIENTOS!$A$5:$A295,MOVIMIENTOS!$A296)=0),COUNT(J$4:J276)+1,"")</f>
        <v/>
      </c>
      <c r="K277" s="57">
        <f>MOVIMIENTOS!$A296</f>
        <v>46240</v>
      </c>
      <c r="L277" s="54"/>
      <c r="M277" s="54"/>
      <c r="N277" s="54"/>
    </row>
    <row r="278" spans="1:14" ht="1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 t="str">
        <f>IF(AND(MOVIMIENTOS!$A297&lt;&gt;"",COUNTIF(MOVIMIENTOS!$A$5:$A296,MOVIMIENTOS!$A297)=0),COUNT(J$4:J277)+1,"")</f>
        <v/>
      </c>
      <c r="K278" s="57">
        <f>MOVIMIENTOS!$A297</f>
        <v>46240</v>
      </c>
      <c r="L278" s="54"/>
      <c r="M278" s="54"/>
      <c r="N278" s="54"/>
    </row>
    <row r="279" spans="1:14" ht="1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 t="str">
        <f>IF(AND(MOVIMIENTOS!$A298&lt;&gt;"",COUNTIF(MOVIMIENTOS!$A$5:$A297,MOVIMIENTOS!$A298)=0),COUNT(J$4:J278)+1,"")</f>
        <v/>
      </c>
      <c r="K279" s="57">
        <f>MOVIMIENTOS!$A298</f>
        <v>46240</v>
      </c>
      <c r="L279" s="54"/>
      <c r="M279" s="54"/>
      <c r="N279" s="54"/>
    </row>
    <row r="280" spans="1:14" ht="1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 t="str">
        <f>IF(AND(MOVIMIENTOS!$A299&lt;&gt;"",COUNTIF(MOVIMIENTOS!$A$5:$A298,MOVIMIENTOS!$A299)=0),COUNT(J$4:J279)+1,"")</f>
        <v/>
      </c>
      <c r="K280" s="57">
        <f>MOVIMIENTOS!$A299</f>
        <v>46240</v>
      </c>
      <c r="L280" s="54"/>
      <c r="M280" s="54"/>
      <c r="N280" s="54"/>
    </row>
    <row r="281" spans="1:14" ht="1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 t="str">
        <f>IF(AND(MOVIMIENTOS!$A300&lt;&gt;"",COUNTIF(MOVIMIENTOS!$A$5:$A299,MOVIMIENTOS!$A300)=0),COUNT(J$4:J280)+1,"")</f>
        <v/>
      </c>
      <c r="K281" s="57">
        <f>MOVIMIENTOS!$A300</f>
        <v>46240</v>
      </c>
      <c r="L281" s="54"/>
      <c r="M281" s="54"/>
      <c r="N281" s="54"/>
    </row>
    <row r="282" spans="1:14" ht="1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 t="str">
        <f>IF(AND(MOVIMIENTOS!$A301&lt;&gt;"",COUNTIF(MOVIMIENTOS!$A$5:$A300,MOVIMIENTOS!$A301)=0),COUNT(J$4:J281)+1,"")</f>
        <v/>
      </c>
      <c r="K282" s="57">
        <f>MOVIMIENTOS!$A301</f>
        <v>46240</v>
      </c>
      <c r="L282" s="54"/>
      <c r="M282" s="54"/>
      <c r="N282" s="54"/>
    </row>
    <row r="283" spans="1:14" ht="1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 t="str">
        <f>IF(AND(MOVIMIENTOS!$A302&lt;&gt;"",COUNTIF(MOVIMIENTOS!$A$5:$A301,MOVIMIENTOS!$A302)=0),COUNT(J$4:J282)+1,"")</f>
        <v/>
      </c>
      <c r="K283" s="57">
        <f>MOVIMIENTOS!$A302</f>
        <v>46240</v>
      </c>
      <c r="L283" s="54"/>
      <c r="M283" s="54"/>
      <c r="N283" s="54"/>
    </row>
    <row r="284" spans="1:14" ht="1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 t="str">
        <f>IF(AND(MOVIMIENTOS!$A303&lt;&gt;"",COUNTIF(MOVIMIENTOS!$A$5:$A302,MOVIMIENTOS!$A303)=0),COUNT(J$4:J283)+1,"")</f>
        <v/>
      </c>
      <c r="K284" s="57">
        <f>MOVIMIENTOS!$A303</f>
        <v>46240</v>
      </c>
      <c r="L284" s="54"/>
      <c r="M284" s="54"/>
      <c r="N284" s="54"/>
    </row>
    <row r="285" spans="1:14" ht="1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 t="str">
        <f>IF(AND(MOVIMIENTOS!$A304&lt;&gt;"",COUNTIF(MOVIMIENTOS!$A$5:$A303,MOVIMIENTOS!$A304)=0),COUNT(J$4:J284)+1,"")</f>
        <v/>
      </c>
      <c r="K285" s="57">
        <f>MOVIMIENTOS!$A304</f>
        <v>46240</v>
      </c>
      <c r="L285" s="54"/>
      <c r="M285" s="54"/>
      <c r="N285" s="54"/>
    </row>
    <row r="286" spans="1:14" ht="1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 t="str">
        <f>IF(AND(MOVIMIENTOS!$A305&lt;&gt;"",COUNTIF(MOVIMIENTOS!$A$5:$A304,MOVIMIENTOS!$A305)=0),COUNT(J$4:J285)+1,"")</f>
        <v/>
      </c>
      <c r="K286" s="57">
        <f>MOVIMIENTOS!$A305</f>
        <v>46240</v>
      </c>
      <c r="L286" s="54"/>
      <c r="M286" s="54"/>
      <c r="N286" s="54"/>
    </row>
    <row r="287" spans="1:14" ht="1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>
        <f>IF(AND(MOVIMIENTOS!$A306&lt;&gt;"",COUNTIF(MOVIMIENTOS!$A$5:$A305,MOVIMIENTOS!$A306)=0),COUNT(J$4:J286)+1,"")</f>
        <v>28</v>
      </c>
      <c r="K287" s="57">
        <f>MOVIMIENTOS!$A306</f>
        <v>46241</v>
      </c>
      <c r="L287" s="54"/>
      <c r="M287" s="54"/>
      <c r="N287" s="54"/>
    </row>
    <row r="288" spans="1:14" ht="1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 t="str">
        <f>IF(AND(MOVIMIENTOS!$A307&lt;&gt;"",COUNTIF(MOVIMIENTOS!$A$5:$A306,MOVIMIENTOS!$A307)=0),COUNT(J$4:J287)+1,"")</f>
        <v/>
      </c>
      <c r="K288" s="57">
        <f>MOVIMIENTOS!$A307</f>
        <v>46241</v>
      </c>
      <c r="L288" s="54"/>
      <c r="M288" s="54"/>
      <c r="N288" s="54"/>
    </row>
    <row r="289" spans="1:14" ht="1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 t="str">
        <f>IF(AND(MOVIMIENTOS!$A308&lt;&gt;"",COUNTIF(MOVIMIENTOS!$A$5:$A307,MOVIMIENTOS!$A308)=0),COUNT(J$4:J288)+1,"")</f>
        <v/>
      </c>
      <c r="K289" s="57">
        <f>MOVIMIENTOS!$A308</f>
        <v>46241</v>
      </c>
      <c r="L289" s="54"/>
      <c r="M289" s="54"/>
      <c r="N289" s="54"/>
    </row>
    <row r="290" spans="1:14" ht="1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 t="e">
        <f>IF(AND(MOVIMIENTOS!#REF!&lt;&gt;"",COUNTIF(MOVIMIENTOS!$A$5:$A308,MOVIMIENTOS!#REF!)=0),COUNT(J$4:J289)+1,"")</f>
        <v>#REF!</v>
      </c>
      <c r="K290" s="57" t="e">
        <f>MOVIMIENTOS!#REF!</f>
        <v>#REF!</v>
      </c>
      <c r="L290" s="54"/>
      <c r="M290" s="54"/>
      <c r="N290" s="54"/>
    </row>
    <row r="291" spans="1:14" ht="1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 t="e">
        <f>IF(AND(MOVIMIENTOS!#REF!&lt;&gt;"",COUNTIF(MOVIMIENTOS!$A$5:$A308,MOVIMIENTOS!#REF!)=0),COUNT(J$4:J290)+1,"")</f>
        <v>#REF!</v>
      </c>
      <c r="K291" s="57" t="e">
        <f>MOVIMIENTOS!#REF!</f>
        <v>#REF!</v>
      </c>
      <c r="L291" s="54"/>
      <c r="M291" s="54"/>
      <c r="N291" s="54"/>
    </row>
    <row r="292" spans="1:14" ht="1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 t="str">
        <f>IF(AND(MOVIMIENTOS!$A309&lt;&gt;"",COUNTIF(MOVIMIENTOS!$A$5:$A308,MOVIMIENTOS!$A309)=0),COUNT(J$4:J291)+1,"")</f>
        <v/>
      </c>
      <c r="K292" s="57">
        <f>MOVIMIENTOS!$A309</f>
        <v>46241</v>
      </c>
      <c r="L292" s="54"/>
      <c r="M292" s="54"/>
      <c r="N292" s="54"/>
    </row>
    <row r="293" spans="1:14" ht="1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 t="str">
        <f>IF(AND(MOVIMIENTOS!$A310&lt;&gt;"",COUNTIF(MOVIMIENTOS!$A$5:$A309,MOVIMIENTOS!$A310)=0),COUNT(J$4:J292)+1,"")</f>
        <v/>
      </c>
      <c r="K293" s="57">
        <f>MOVIMIENTOS!$A310</f>
        <v>46241</v>
      </c>
      <c r="L293" s="54"/>
      <c r="M293" s="54"/>
      <c r="N293" s="54"/>
    </row>
    <row r="294" spans="1:14" ht="1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 t="str">
        <f>IF(AND(MOVIMIENTOS!$A311&lt;&gt;"",COUNTIF(MOVIMIENTOS!$A$5:$A310,MOVIMIENTOS!$A311)=0),COUNT(J$4:J293)+1,"")</f>
        <v/>
      </c>
      <c r="K294" s="57">
        <f>MOVIMIENTOS!$A311</f>
        <v>46241</v>
      </c>
      <c r="L294" s="54"/>
      <c r="M294" s="54"/>
      <c r="N294" s="54"/>
    </row>
    <row r="295" spans="1:14" ht="1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 t="str">
        <f>IF(AND(MOVIMIENTOS!$A312&lt;&gt;"",COUNTIF(MOVIMIENTOS!$A$5:$A311,MOVIMIENTOS!$A312)=0),COUNT(J$4:J294)+1,"")</f>
        <v/>
      </c>
      <c r="K295" s="57">
        <f>MOVIMIENTOS!$A312</f>
        <v>46241</v>
      </c>
      <c r="L295" s="54"/>
      <c r="M295" s="54"/>
      <c r="N295" s="54"/>
    </row>
    <row r="296" spans="1:14" ht="1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 t="str">
        <f>IF(AND(MOVIMIENTOS!$A313&lt;&gt;"",COUNTIF(MOVIMIENTOS!$A$5:$A312,MOVIMIENTOS!$A313)=0),COUNT(J$4:J295)+1,"")</f>
        <v/>
      </c>
      <c r="K296" s="57">
        <f>MOVIMIENTOS!$A313</f>
        <v>46241</v>
      </c>
      <c r="L296" s="54"/>
      <c r="M296" s="54"/>
      <c r="N296" s="54"/>
    </row>
    <row r="297" spans="1:14" ht="1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 t="str">
        <f>IF(AND(MOVIMIENTOS!$A314&lt;&gt;"",COUNTIF(MOVIMIENTOS!$A$5:$A313,MOVIMIENTOS!$A314)=0),COUNT(J$4:J296)+1,"")</f>
        <v/>
      </c>
      <c r="K297" s="57">
        <f>MOVIMIENTOS!$A314</f>
        <v>46241</v>
      </c>
      <c r="L297" s="54"/>
      <c r="M297" s="54"/>
      <c r="N297" s="54"/>
    </row>
    <row r="298" spans="1:14" ht="1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>
        <f>IF(AND(MOVIMIENTOS!$A315&lt;&gt;"",COUNTIF(MOVIMIENTOS!$A$5:$A314,MOVIMIENTOS!$A315)=0),COUNT(J$4:J297)+1,"")</f>
        <v>29</v>
      </c>
      <c r="K298" s="57">
        <f>MOVIMIENTOS!$A315</f>
        <v>46242</v>
      </c>
      <c r="L298" s="54"/>
      <c r="M298" s="54"/>
      <c r="N298" s="54"/>
    </row>
    <row r="299" spans="1:14" ht="1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 t="str">
        <f>IF(AND(MOVIMIENTOS!$A316&lt;&gt;"",COUNTIF(MOVIMIENTOS!$A$5:$A315,MOVIMIENTOS!$A316)=0),COUNT(J$4:J298)+1,"")</f>
        <v/>
      </c>
      <c r="K299" s="57">
        <f>MOVIMIENTOS!$A316</f>
        <v>46242</v>
      </c>
      <c r="L299" s="54"/>
      <c r="M299" s="54"/>
      <c r="N299" s="54"/>
    </row>
    <row r="300" spans="1:14" ht="1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 t="str">
        <f>IF(AND(MOVIMIENTOS!$A317&lt;&gt;"",COUNTIF(MOVIMIENTOS!$A$5:$A316,MOVIMIENTOS!$A317)=0),COUNT(J$4:J299)+1,"")</f>
        <v/>
      </c>
      <c r="K300" s="57">
        <f>MOVIMIENTOS!$A317</f>
        <v>46242</v>
      </c>
      <c r="L300" s="54"/>
      <c r="M300" s="54"/>
      <c r="N300" s="54"/>
    </row>
    <row r="301" spans="1:14" ht="1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 t="str">
        <f>IF(AND(MOVIMIENTOS!$A318&lt;&gt;"",COUNTIF(MOVIMIENTOS!$A$5:$A317,MOVIMIENTOS!$A318)=0),COUNT(J$4:J300)+1,"")</f>
        <v/>
      </c>
      <c r="K301" s="57">
        <f>MOVIMIENTOS!$A318</f>
        <v>46242</v>
      </c>
      <c r="L301" s="54"/>
      <c r="M301" s="54"/>
      <c r="N301" s="54"/>
    </row>
    <row r="302" spans="1:14" ht="1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 t="str">
        <f>IF(AND(MOVIMIENTOS!$A319&lt;&gt;"",COUNTIF(MOVIMIENTOS!$A$5:$A318,MOVIMIENTOS!$A319)=0),COUNT(J$4:J301)+1,"")</f>
        <v/>
      </c>
      <c r="K302" s="57">
        <f>MOVIMIENTOS!$A319</f>
        <v>46242</v>
      </c>
      <c r="L302" s="54"/>
      <c r="M302" s="54"/>
      <c r="N302" s="54"/>
    </row>
    <row r="303" spans="1:14" ht="1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 t="str">
        <f>IF(AND(MOVIMIENTOS!$A320&lt;&gt;"",COUNTIF(MOVIMIENTOS!$A$5:$A319,MOVIMIENTOS!$A320)=0),COUNT(J$4:J302)+1,"")</f>
        <v/>
      </c>
      <c r="K303" s="57">
        <f>MOVIMIENTOS!$A320</f>
        <v>46242</v>
      </c>
      <c r="L303" s="54"/>
      <c r="M303" s="54"/>
      <c r="N303" s="54"/>
    </row>
    <row r="304" spans="1:14" ht="1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 t="str">
        <f>IF(AND(MOVIMIENTOS!$A321&lt;&gt;"",COUNTIF(MOVIMIENTOS!$A$5:$A320,MOVIMIENTOS!$A321)=0),COUNT(J$4:J303)+1,"")</f>
        <v/>
      </c>
      <c r="K304" s="57">
        <f>MOVIMIENTOS!$A321</f>
        <v>46242</v>
      </c>
      <c r="L304" s="54"/>
      <c r="M304" s="54"/>
      <c r="N304" s="54"/>
    </row>
    <row r="305" spans="1:14" ht="1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 t="str">
        <f>IF(AND(MOVIMIENTOS!$A322&lt;&gt;"",COUNTIF(MOVIMIENTOS!$A$5:$A321,MOVIMIENTOS!$A322)=0),COUNT(J$4:J304)+1,"")</f>
        <v/>
      </c>
      <c r="K305" s="57">
        <f>MOVIMIENTOS!$A322</f>
        <v>46242</v>
      </c>
      <c r="L305" s="54"/>
      <c r="M305" s="54"/>
      <c r="N305" s="54"/>
    </row>
    <row r="306" spans="1:14" ht="1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 t="str">
        <f>IF(AND(MOVIMIENTOS!$A323&lt;&gt;"",COUNTIF(MOVIMIENTOS!$A$5:$A322,MOVIMIENTOS!$A323)=0),COUNT(J$4:J305)+1,"")</f>
        <v/>
      </c>
      <c r="K306" s="57">
        <f>MOVIMIENTOS!$A323</f>
        <v>46242</v>
      </c>
      <c r="L306" s="54"/>
      <c r="M306" s="54"/>
      <c r="N306" s="54"/>
    </row>
    <row r="307" spans="1:14" ht="1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 t="str">
        <f>IF(AND(MOVIMIENTOS!$A324&lt;&gt;"",COUNTIF(MOVIMIENTOS!$A$5:$A323,MOVIMIENTOS!$A324)=0),COUNT(J$4:J306)+1,"")</f>
        <v/>
      </c>
      <c r="K307" s="57">
        <f>MOVIMIENTOS!$A324</f>
        <v>46242</v>
      </c>
      <c r="L307" s="54"/>
      <c r="M307" s="54"/>
      <c r="N307" s="54"/>
    </row>
    <row r="308" spans="1:14" ht="1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 t="str">
        <f>IF(AND(MOVIMIENTOS!$A325&lt;&gt;"",COUNTIF(MOVIMIENTOS!$A$5:$A324,MOVIMIENTOS!$A325)=0),COUNT(J$4:J307)+1,"")</f>
        <v/>
      </c>
      <c r="K308" s="57">
        <f>MOVIMIENTOS!$A325</f>
        <v>0</v>
      </c>
      <c r="L308" s="54"/>
      <c r="M308" s="54"/>
      <c r="N308" s="54"/>
    </row>
    <row r="309" spans="1:14" ht="1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 t="str">
        <f>IF(AND(MOVIMIENTOS!$A326&lt;&gt;"",COUNTIF(MOVIMIENTOS!$A$5:$A325,MOVIMIENTOS!$A326)=0),COUNT(J$4:J308)+1,"")</f>
        <v/>
      </c>
      <c r="K309" s="57">
        <f>MOVIMIENTOS!$A326</f>
        <v>0</v>
      </c>
      <c r="L309" s="54"/>
      <c r="M309" s="54"/>
      <c r="N309" s="54"/>
    </row>
    <row r="310" spans="1:14" ht="1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 t="str">
        <f>IF(AND(MOVIMIENTOS!$A327&lt;&gt;"",COUNTIF(MOVIMIENTOS!$A$5:$A326,MOVIMIENTOS!$A327)=0),COUNT(J$4:J309)+1,"")</f>
        <v/>
      </c>
      <c r="K310" s="57">
        <f>MOVIMIENTOS!$A327</f>
        <v>0</v>
      </c>
      <c r="L310" s="54"/>
      <c r="M310" s="54"/>
      <c r="N310" s="54"/>
    </row>
    <row r="311" spans="1:14" ht="1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 t="str">
        <f>IF(AND(MOVIMIENTOS!$A328&lt;&gt;"",COUNTIF(MOVIMIENTOS!$A$5:$A327,MOVIMIENTOS!$A328)=0),COUNT(J$4:J310)+1,"")</f>
        <v/>
      </c>
      <c r="K311" s="57">
        <f>MOVIMIENTOS!$A328</f>
        <v>0</v>
      </c>
      <c r="L311" s="54"/>
      <c r="M311" s="54"/>
      <c r="N311" s="54"/>
    </row>
    <row r="312" spans="1:14" ht="1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 t="str">
        <f>IF(AND(MOVIMIENTOS!$A329&lt;&gt;"",COUNTIF(MOVIMIENTOS!$A$5:$A328,MOVIMIENTOS!$A329)=0),COUNT(J$4:J311)+1,"")</f>
        <v/>
      </c>
      <c r="K312" s="57">
        <f>MOVIMIENTOS!$A329</f>
        <v>0</v>
      </c>
      <c r="L312" s="54"/>
      <c r="M312" s="54"/>
      <c r="N312" s="54"/>
    </row>
    <row r="313" spans="1:14" ht="1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 t="str">
        <f>IF(AND(MOVIMIENTOS!$A330&lt;&gt;"",COUNTIF(MOVIMIENTOS!$A$5:$A329,MOVIMIENTOS!$A330)=0),COUNT(J$4:J312)+1,"")</f>
        <v/>
      </c>
      <c r="K313" s="57">
        <f>MOVIMIENTOS!$A330</f>
        <v>0</v>
      </c>
      <c r="L313" s="54"/>
      <c r="M313" s="54"/>
      <c r="N313" s="54"/>
    </row>
    <row r="314" spans="1:14" ht="1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 t="str">
        <f>IF(AND(MOVIMIENTOS!$A331&lt;&gt;"",COUNTIF(MOVIMIENTOS!$A$5:$A330,MOVIMIENTOS!$A331)=0),COUNT(J$4:J313)+1,"")</f>
        <v/>
      </c>
      <c r="K314" s="57">
        <f>MOVIMIENTOS!$A331</f>
        <v>0</v>
      </c>
      <c r="L314" s="54"/>
      <c r="M314" s="54"/>
      <c r="N314" s="54"/>
    </row>
    <row r="315" spans="1:14" ht="1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 t="str">
        <f>IF(AND(MOVIMIENTOS!$A332&lt;&gt;"",COUNTIF(MOVIMIENTOS!$A$5:$A331,MOVIMIENTOS!$A332)=0),COUNT(J$4:J314)+1,"")</f>
        <v/>
      </c>
      <c r="K315" s="57">
        <f>MOVIMIENTOS!$A332</f>
        <v>0</v>
      </c>
      <c r="L315" s="54"/>
      <c r="M315" s="54"/>
      <c r="N315" s="54"/>
    </row>
    <row r="316" spans="1:14" ht="1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 t="str">
        <f>IF(AND(MOVIMIENTOS!$A333&lt;&gt;"",COUNTIF(MOVIMIENTOS!$A$5:$A332,MOVIMIENTOS!$A333)=0),COUNT(J$4:J315)+1,"")</f>
        <v/>
      </c>
      <c r="K316" s="57">
        <f>MOVIMIENTOS!$A333</f>
        <v>0</v>
      </c>
      <c r="L316" s="54"/>
      <c r="M316" s="54"/>
      <c r="N316" s="54"/>
    </row>
    <row r="317" spans="1:14" ht="1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 t="str">
        <f>IF(AND(MOVIMIENTOS!$A334&lt;&gt;"",COUNTIF(MOVIMIENTOS!$A$5:$A333,MOVIMIENTOS!$A334)=0),COUNT(J$4:J316)+1,"")</f>
        <v/>
      </c>
      <c r="K317" s="57">
        <f>MOVIMIENTOS!$A334</f>
        <v>0</v>
      </c>
      <c r="L317" s="54"/>
      <c r="M317" s="54"/>
      <c r="N317" s="54"/>
    </row>
    <row r="318" spans="1:14" ht="1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 t="str">
        <f>IF(AND(MOVIMIENTOS!$A335&lt;&gt;"",COUNTIF(MOVIMIENTOS!$A$5:$A334,MOVIMIENTOS!$A335)=0),COUNT(J$4:J317)+1,"")</f>
        <v/>
      </c>
      <c r="K318" s="57">
        <f>MOVIMIENTOS!$A335</f>
        <v>0</v>
      </c>
      <c r="L318" s="54"/>
      <c r="M318" s="54"/>
      <c r="N318" s="54"/>
    </row>
    <row r="319" spans="1:14" ht="1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 t="str">
        <f>IF(AND(MOVIMIENTOS!$A336&lt;&gt;"",COUNTIF(MOVIMIENTOS!$A$5:$A335,MOVIMIENTOS!$A336)=0),COUNT(J$4:J318)+1,"")</f>
        <v/>
      </c>
      <c r="K319" s="57">
        <f>MOVIMIENTOS!$A336</f>
        <v>0</v>
      </c>
      <c r="L319" s="54"/>
      <c r="M319" s="54"/>
      <c r="N319" s="54"/>
    </row>
    <row r="320" spans="1:14" ht="1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 t="str">
        <f>IF(AND(MOVIMIENTOS!$A337&lt;&gt;"",COUNTIF(MOVIMIENTOS!$A$5:$A336,MOVIMIENTOS!$A337)=0),COUNT(J$4:J319)+1,"")</f>
        <v/>
      </c>
      <c r="K320" s="57">
        <f>MOVIMIENTOS!$A337</f>
        <v>0</v>
      </c>
      <c r="L320" s="54"/>
      <c r="M320" s="54"/>
      <c r="N320" s="54"/>
    </row>
    <row r="321" spans="1:14" ht="1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 t="str">
        <f>IF(AND(MOVIMIENTOS!$A338&lt;&gt;"",COUNTIF(MOVIMIENTOS!$A$5:$A337,MOVIMIENTOS!$A338)=0),COUNT(J$4:J320)+1,"")</f>
        <v/>
      </c>
      <c r="K321" s="57">
        <f>MOVIMIENTOS!$A338</f>
        <v>0</v>
      </c>
      <c r="L321" s="54"/>
      <c r="M321" s="54"/>
      <c r="N321" s="54"/>
    </row>
    <row r="322" spans="1:14" ht="1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 t="str">
        <f>IF(AND(MOVIMIENTOS!$A339&lt;&gt;"",COUNTIF(MOVIMIENTOS!$A$5:$A338,MOVIMIENTOS!$A339)=0),COUNT(J$4:J321)+1,"")</f>
        <v/>
      </c>
      <c r="K322" s="57">
        <f>MOVIMIENTOS!$A339</f>
        <v>0</v>
      </c>
      <c r="L322" s="54"/>
      <c r="M322" s="54"/>
      <c r="N322" s="54"/>
    </row>
    <row r="323" spans="1:14" ht="1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 t="str">
        <f>IF(AND(MOVIMIENTOS!$A340&lt;&gt;"",COUNTIF(MOVIMIENTOS!$A$5:$A339,MOVIMIENTOS!$A340)=0),COUNT(J$4:J322)+1,"")</f>
        <v/>
      </c>
      <c r="K323" s="57">
        <f>MOVIMIENTOS!$A340</f>
        <v>0</v>
      </c>
      <c r="L323" s="54"/>
      <c r="M323" s="54"/>
      <c r="N323" s="54"/>
    </row>
    <row r="324" spans="1:14" ht="1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 t="str">
        <f>IF(AND(MOVIMIENTOS!$A341&lt;&gt;"",COUNTIF(MOVIMIENTOS!$A$5:$A340,MOVIMIENTOS!$A341)=0),COUNT(J$4:J323)+1,"")</f>
        <v/>
      </c>
      <c r="K324" s="57">
        <f>MOVIMIENTOS!$A341</f>
        <v>0</v>
      </c>
      <c r="L324" s="54"/>
      <c r="M324" s="54"/>
      <c r="N324" s="54"/>
    </row>
    <row r="325" spans="1:14" ht="1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 t="str">
        <f>IF(AND(MOVIMIENTOS!$A342&lt;&gt;"",COUNTIF(MOVIMIENTOS!$A$5:$A341,MOVIMIENTOS!$A342)=0),COUNT(J$4:J324)+1,"")</f>
        <v/>
      </c>
      <c r="K325" s="57">
        <f>MOVIMIENTOS!$A342</f>
        <v>0</v>
      </c>
      <c r="L325" s="54"/>
      <c r="M325" s="54"/>
      <c r="N325" s="54"/>
    </row>
    <row r="326" spans="1:14" ht="1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 t="str">
        <f>IF(AND(MOVIMIENTOS!$A343&lt;&gt;"",COUNTIF(MOVIMIENTOS!$A$5:$A342,MOVIMIENTOS!$A343)=0),COUNT(J$4:J325)+1,"")</f>
        <v/>
      </c>
      <c r="K326" s="57">
        <f>MOVIMIENTOS!$A343</f>
        <v>0</v>
      </c>
      <c r="L326" s="54"/>
      <c r="M326" s="54"/>
      <c r="N326" s="54"/>
    </row>
    <row r="327" spans="1:14" ht="1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 t="str">
        <f>IF(AND(MOVIMIENTOS!$A344&lt;&gt;"",COUNTIF(MOVIMIENTOS!$A$5:$A343,MOVIMIENTOS!$A344)=0),COUNT(J$4:J326)+1,"")</f>
        <v/>
      </c>
      <c r="K327" s="57">
        <f>MOVIMIENTOS!$A344</f>
        <v>0</v>
      </c>
      <c r="L327" s="54"/>
      <c r="M327" s="54"/>
      <c r="N327" s="54"/>
    </row>
    <row r="328" spans="1:14" ht="1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 t="str">
        <f>IF(AND(MOVIMIENTOS!$A345&lt;&gt;"",COUNTIF(MOVIMIENTOS!$A$5:$A344,MOVIMIENTOS!$A345)=0),COUNT(J$4:J327)+1,"")</f>
        <v/>
      </c>
      <c r="K328" s="57">
        <f>MOVIMIENTOS!$A345</f>
        <v>0</v>
      </c>
      <c r="L328" s="54"/>
      <c r="M328" s="54"/>
      <c r="N328" s="54"/>
    </row>
    <row r="329" spans="1:14" ht="1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 t="str">
        <f>IF(AND(MOVIMIENTOS!$A346&lt;&gt;"",COUNTIF(MOVIMIENTOS!$A$5:$A345,MOVIMIENTOS!$A346)=0),COUNT(J$4:J328)+1,"")</f>
        <v/>
      </c>
      <c r="K329" s="57">
        <f>MOVIMIENTOS!$A346</f>
        <v>0</v>
      </c>
      <c r="L329" s="54"/>
      <c r="M329" s="54"/>
      <c r="N329" s="54"/>
    </row>
    <row r="330" spans="1:14" ht="1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 t="str">
        <f>IF(AND(MOVIMIENTOS!$A347&lt;&gt;"",COUNTIF(MOVIMIENTOS!$A$5:$A346,MOVIMIENTOS!$A347)=0),COUNT(J$4:J329)+1,"")</f>
        <v/>
      </c>
      <c r="K330" s="57">
        <f>MOVIMIENTOS!$A347</f>
        <v>0</v>
      </c>
      <c r="L330" s="54"/>
      <c r="M330" s="54"/>
      <c r="N330" s="54"/>
    </row>
    <row r="331" spans="1:14" ht="1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 t="str">
        <f>IF(AND(MOVIMIENTOS!$A348&lt;&gt;"",COUNTIF(MOVIMIENTOS!$A$5:$A347,MOVIMIENTOS!$A348)=0),COUNT(J$4:J330)+1,"")</f>
        <v/>
      </c>
      <c r="K331" s="57">
        <f>MOVIMIENTOS!$A348</f>
        <v>0</v>
      </c>
      <c r="L331" s="54"/>
      <c r="M331" s="54"/>
      <c r="N331" s="54"/>
    </row>
    <row r="332" spans="1:14" ht="1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 t="str">
        <f>IF(AND(MOVIMIENTOS!$A349&lt;&gt;"",COUNTIF(MOVIMIENTOS!$A$5:$A348,MOVIMIENTOS!$A349)=0),COUNT(J$4:J331)+1,"")</f>
        <v/>
      </c>
      <c r="K332" s="57">
        <f>MOVIMIENTOS!$A349</f>
        <v>0</v>
      </c>
      <c r="L332" s="54"/>
      <c r="M332" s="54"/>
      <c r="N332" s="54"/>
    </row>
    <row r="333" spans="1:14" ht="1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 t="str">
        <f>IF(AND(MOVIMIENTOS!$A350&lt;&gt;"",COUNTIF(MOVIMIENTOS!$A$5:$A349,MOVIMIENTOS!$A350)=0),COUNT(J$4:J332)+1,"")</f>
        <v/>
      </c>
      <c r="K333" s="57">
        <f>MOVIMIENTOS!$A350</f>
        <v>0</v>
      </c>
      <c r="L333" s="54"/>
      <c r="M333" s="54"/>
      <c r="N333" s="54"/>
    </row>
    <row r="334" spans="1:14" ht="1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 t="str">
        <f>IF(AND(MOVIMIENTOS!$A351&lt;&gt;"",COUNTIF(MOVIMIENTOS!$A$5:$A350,MOVIMIENTOS!$A351)=0),COUNT(J$4:J333)+1,"")</f>
        <v/>
      </c>
      <c r="K334" s="57">
        <f>MOVIMIENTOS!$A351</f>
        <v>0</v>
      </c>
      <c r="L334" s="54"/>
      <c r="M334" s="54"/>
      <c r="N334" s="54"/>
    </row>
    <row r="335" spans="1:14" ht="1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 t="str">
        <f>IF(AND(MOVIMIENTOS!$A352&lt;&gt;"",COUNTIF(MOVIMIENTOS!$A$5:$A351,MOVIMIENTOS!$A352)=0),COUNT(J$4:J334)+1,"")</f>
        <v/>
      </c>
      <c r="K335" s="57">
        <f>MOVIMIENTOS!$A352</f>
        <v>0</v>
      </c>
      <c r="L335" s="54"/>
      <c r="M335" s="54"/>
      <c r="N335" s="54"/>
    </row>
    <row r="336" spans="1:14" ht="1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 t="str">
        <f>IF(AND(MOVIMIENTOS!$A353&lt;&gt;"",COUNTIF(MOVIMIENTOS!$A$5:$A352,MOVIMIENTOS!$A353)=0),COUNT(J$4:J335)+1,"")</f>
        <v/>
      </c>
      <c r="K336" s="57">
        <f>MOVIMIENTOS!$A353</f>
        <v>0</v>
      </c>
      <c r="L336" s="54"/>
      <c r="M336" s="54"/>
      <c r="N336" s="54"/>
    </row>
    <row r="337" spans="1:14" ht="1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 t="str">
        <f>IF(AND(MOVIMIENTOS!$A354&lt;&gt;"",COUNTIF(MOVIMIENTOS!$A$5:$A353,MOVIMIENTOS!$A354)=0),COUNT(J$4:J336)+1,"")</f>
        <v/>
      </c>
      <c r="K337" s="57">
        <f>MOVIMIENTOS!$A354</f>
        <v>0</v>
      </c>
      <c r="L337" s="54"/>
      <c r="M337" s="54"/>
      <c r="N337" s="54"/>
    </row>
    <row r="338" spans="1:14" ht="1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 t="str">
        <f>IF(AND(MOVIMIENTOS!$A355&lt;&gt;"",COUNTIF(MOVIMIENTOS!$A$5:$A354,MOVIMIENTOS!$A355)=0),COUNT(J$4:J337)+1,"")</f>
        <v/>
      </c>
      <c r="K338" s="57">
        <f>MOVIMIENTOS!$A355</f>
        <v>0</v>
      </c>
      <c r="L338" s="54"/>
      <c r="M338" s="54"/>
      <c r="N338" s="54"/>
    </row>
    <row r="339" spans="1:14" ht="1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 t="str">
        <f>IF(AND(MOVIMIENTOS!$A356&lt;&gt;"",COUNTIF(MOVIMIENTOS!$A$5:$A355,MOVIMIENTOS!$A356)=0),COUNT(J$4:J338)+1,"")</f>
        <v/>
      </c>
      <c r="K339" s="57">
        <f>MOVIMIENTOS!$A356</f>
        <v>0</v>
      </c>
      <c r="L339" s="54"/>
      <c r="M339" s="54"/>
      <c r="N339" s="54"/>
    </row>
    <row r="340" spans="1:14" ht="1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 t="str">
        <f>IF(AND(MOVIMIENTOS!$A357&lt;&gt;"",COUNTIF(MOVIMIENTOS!$A$5:$A356,MOVIMIENTOS!$A357)=0),COUNT(J$4:J339)+1,"")</f>
        <v/>
      </c>
      <c r="K340" s="57">
        <f>MOVIMIENTOS!$A357</f>
        <v>0</v>
      </c>
      <c r="L340" s="54"/>
      <c r="M340" s="54"/>
      <c r="N340" s="54"/>
    </row>
    <row r="341" spans="1:14" ht="1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 t="str">
        <f>IF(AND(MOVIMIENTOS!$A358&lt;&gt;"",COUNTIF(MOVIMIENTOS!$A$5:$A357,MOVIMIENTOS!$A358)=0),COUNT(J$4:J340)+1,"")</f>
        <v/>
      </c>
      <c r="K341" s="57">
        <f>MOVIMIENTOS!$A358</f>
        <v>0</v>
      </c>
      <c r="L341" s="54"/>
      <c r="M341" s="54"/>
      <c r="N341" s="54"/>
    </row>
    <row r="342" spans="1:14" ht="1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 t="str">
        <f>IF(AND(MOVIMIENTOS!$A359&lt;&gt;"",COUNTIF(MOVIMIENTOS!$A$5:$A358,MOVIMIENTOS!$A359)=0),COUNT(J$4:J341)+1,"")</f>
        <v/>
      </c>
      <c r="K342" s="57">
        <f>MOVIMIENTOS!$A359</f>
        <v>0</v>
      </c>
      <c r="L342" s="54"/>
      <c r="M342" s="54"/>
      <c r="N342" s="54"/>
    </row>
    <row r="343" spans="1:14" ht="1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 t="str">
        <f>IF(AND(MOVIMIENTOS!$A360&lt;&gt;"",COUNTIF(MOVIMIENTOS!$A$5:$A359,MOVIMIENTOS!$A360)=0),COUNT(J$4:J342)+1,"")</f>
        <v/>
      </c>
      <c r="K343" s="57">
        <f>MOVIMIENTOS!$A360</f>
        <v>0</v>
      </c>
      <c r="L343" s="54"/>
      <c r="M343" s="54"/>
      <c r="N343" s="54"/>
    </row>
    <row r="344" spans="1:14" ht="1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 t="str">
        <f>IF(AND(MOVIMIENTOS!$A361&lt;&gt;"",COUNTIF(MOVIMIENTOS!$A$5:$A360,MOVIMIENTOS!$A361)=0),COUNT(J$4:J343)+1,"")</f>
        <v/>
      </c>
      <c r="K344" s="57">
        <f>MOVIMIENTOS!$A361</f>
        <v>0</v>
      </c>
      <c r="L344" s="54"/>
      <c r="M344" s="54"/>
      <c r="N344" s="54"/>
    </row>
    <row r="345" spans="1:14" ht="1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 t="str">
        <f>IF(AND(MOVIMIENTOS!$A362&lt;&gt;"",COUNTIF(MOVIMIENTOS!$A$5:$A361,MOVIMIENTOS!$A362)=0),COUNT(J$4:J344)+1,"")</f>
        <v/>
      </c>
      <c r="K345" s="57">
        <f>MOVIMIENTOS!$A362</f>
        <v>0</v>
      </c>
      <c r="L345" s="54"/>
      <c r="M345" s="54"/>
      <c r="N345" s="54"/>
    </row>
    <row r="346" spans="1:14" ht="1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 t="str">
        <f>IF(AND(MOVIMIENTOS!$A363&lt;&gt;"",COUNTIF(MOVIMIENTOS!$A$5:$A362,MOVIMIENTOS!$A363)=0),COUNT(J$4:J345)+1,"")</f>
        <v/>
      </c>
      <c r="K346" s="57">
        <f>MOVIMIENTOS!$A363</f>
        <v>0</v>
      </c>
      <c r="L346" s="54"/>
      <c r="M346" s="54"/>
      <c r="N346" s="54"/>
    </row>
    <row r="347" spans="1:14" ht="1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 t="str">
        <f>IF(AND(MOVIMIENTOS!$A364&lt;&gt;"",COUNTIF(MOVIMIENTOS!$A$5:$A363,MOVIMIENTOS!$A364)=0),COUNT(J$4:J346)+1,"")</f>
        <v/>
      </c>
      <c r="K347" s="57">
        <f>MOVIMIENTOS!$A364</f>
        <v>0</v>
      </c>
      <c r="L347" s="54"/>
      <c r="M347" s="54"/>
      <c r="N347" s="54"/>
    </row>
    <row r="348" spans="1:14" ht="1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 t="str">
        <f>IF(AND(MOVIMIENTOS!$A365&lt;&gt;"",COUNTIF(MOVIMIENTOS!$A$5:$A364,MOVIMIENTOS!$A365)=0),COUNT(J$4:J347)+1,"")</f>
        <v/>
      </c>
      <c r="K348" s="57">
        <f>MOVIMIENTOS!$A365</f>
        <v>0</v>
      </c>
      <c r="L348" s="54"/>
      <c r="M348" s="54"/>
      <c r="N348" s="54"/>
    </row>
    <row r="349" spans="1:14" ht="1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 t="str">
        <f>IF(AND(MOVIMIENTOS!$A366&lt;&gt;"",COUNTIF(MOVIMIENTOS!$A$5:$A365,MOVIMIENTOS!$A366)=0),COUNT(J$4:J348)+1,"")</f>
        <v/>
      </c>
      <c r="K349" s="57">
        <f>MOVIMIENTOS!$A366</f>
        <v>0</v>
      </c>
      <c r="L349" s="54"/>
      <c r="M349" s="54"/>
      <c r="N349" s="54"/>
    </row>
    <row r="350" spans="1:14" ht="1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 t="str">
        <f>IF(AND(MOVIMIENTOS!$A367&lt;&gt;"",COUNTIF(MOVIMIENTOS!$A$5:$A366,MOVIMIENTOS!$A367)=0),COUNT(J$4:J349)+1,"")</f>
        <v/>
      </c>
      <c r="K350" s="57">
        <f>MOVIMIENTOS!$A367</f>
        <v>0</v>
      </c>
      <c r="L350" s="54"/>
      <c r="M350" s="54"/>
      <c r="N350" s="54"/>
    </row>
    <row r="351" spans="1:14" ht="1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 t="str">
        <f>IF(AND(MOVIMIENTOS!$A368&lt;&gt;"",COUNTIF(MOVIMIENTOS!$A$5:$A367,MOVIMIENTOS!$A368)=0),COUNT(J$4:J350)+1,"")</f>
        <v/>
      </c>
      <c r="K351" s="57">
        <f>MOVIMIENTOS!$A368</f>
        <v>0</v>
      </c>
      <c r="L351" s="54"/>
      <c r="M351" s="54"/>
      <c r="N351" s="54"/>
    </row>
    <row r="352" spans="1:14" ht="1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 t="str">
        <f>IF(AND(MOVIMIENTOS!$A369&lt;&gt;"",COUNTIF(MOVIMIENTOS!$A$5:$A368,MOVIMIENTOS!$A369)=0),COUNT(J$4:J351)+1,"")</f>
        <v/>
      </c>
      <c r="K352" s="57">
        <f>MOVIMIENTOS!$A369</f>
        <v>0</v>
      </c>
      <c r="L352" s="54"/>
      <c r="M352" s="54"/>
      <c r="N352" s="54"/>
    </row>
    <row r="353" spans="1:14" ht="1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 t="str">
        <f>IF(AND(MOVIMIENTOS!$A370&lt;&gt;"",COUNTIF(MOVIMIENTOS!$A$5:$A369,MOVIMIENTOS!$A370)=0),COUNT(J$4:J352)+1,"")</f>
        <v/>
      </c>
      <c r="K353" s="57">
        <f>MOVIMIENTOS!$A370</f>
        <v>0</v>
      </c>
      <c r="L353" s="54"/>
      <c r="M353" s="54"/>
      <c r="N353" s="54"/>
    </row>
    <row r="354" spans="1:14" ht="1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 t="str">
        <f>IF(AND(MOVIMIENTOS!$A371&lt;&gt;"",COUNTIF(MOVIMIENTOS!$A$5:$A370,MOVIMIENTOS!$A371)=0),COUNT(J$4:J353)+1,"")</f>
        <v/>
      </c>
      <c r="K354" s="57">
        <f>MOVIMIENTOS!$A371</f>
        <v>0</v>
      </c>
      <c r="L354" s="54"/>
      <c r="M354" s="54"/>
      <c r="N354" s="54"/>
    </row>
    <row r="355" spans="1:14" ht="1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 t="str">
        <f>IF(AND(MOVIMIENTOS!$A372&lt;&gt;"",COUNTIF(MOVIMIENTOS!$A$5:$A371,MOVIMIENTOS!$A372)=0),COUNT(J$4:J354)+1,"")</f>
        <v/>
      </c>
      <c r="K355" s="57">
        <f>MOVIMIENTOS!$A372</f>
        <v>0</v>
      </c>
      <c r="L355" s="54"/>
      <c r="M355" s="54"/>
      <c r="N355" s="54"/>
    </row>
    <row r="356" spans="1:14" ht="1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 t="str">
        <f>IF(AND(MOVIMIENTOS!$A373&lt;&gt;"",COUNTIF(MOVIMIENTOS!$A$5:$A372,MOVIMIENTOS!$A373)=0),COUNT(J$4:J355)+1,"")</f>
        <v/>
      </c>
      <c r="K356" s="57">
        <f>MOVIMIENTOS!$A373</f>
        <v>0</v>
      </c>
      <c r="L356" s="54"/>
      <c r="M356" s="54"/>
      <c r="N356" s="54"/>
    </row>
    <row r="357" spans="1:14" ht="1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 t="str">
        <f>IF(AND(MOVIMIENTOS!$A374&lt;&gt;"",COUNTIF(MOVIMIENTOS!$A$5:$A373,MOVIMIENTOS!$A374)=0),COUNT(J$4:J356)+1,"")</f>
        <v/>
      </c>
      <c r="K357" s="57">
        <f>MOVIMIENTOS!$A374</f>
        <v>0</v>
      </c>
      <c r="L357" s="54"/>
      <c r="M357" s="54"/>
      <c r="N357" s="54"/>
    </row>
    <row r="358" spans="1:14" ht="1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 t="str">
        <f>IF(AND(MOVIMIENTOS!$A375&lt;&gt;"",COUNTIF(MOVIMIENTOS!$A$5:$A374,MOVIMIENTOS!$A375)=0),COUNT(J$4:J357)+1,"")</f>
        <v/>
      </c>
      <c r="K358" s="57">
        <f>MOVIMIENTOS!$A375</f>
        <v>0</v>
      </c>
      <c r="L358" s="54"/>
      <c r="M358" s="54"/>
      <c r="N358" s="54"/>
    </row>
    <row r="359" spans="1:14" ht="1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 t="str">
        <f>IF(AND(MOVIMIENTOS!$A376&lt;&gt;"",COUNTIF(MOVIMIENTOS!$A$5:$A375,MOVIMIENTOS!$A376)=0),COUNT(J$4:J358)+1,"")</f>
        <v/>
      </c>
      <c r="K359" s="57">
        <f>MOVIMIENTOS!$A376</f>
        <v>0</v>
      </c>
      <c r="L359" s="54"/>
      <c r="M359" s="54"/>
      <c r="N359" s="54"/>
    </row>
    <row r="360" spans="1:14" ht="1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 t="str">
        <f>IF(AND(MOVIMIENTOS!$A377&lt;&gt;"",COUNTIF(MOVIMIENTOS!$A$5:$A376,MOVIMIENTOS!$A377)=0),COUNT(J$4:J359)+1,"")</f>
        <v/>
      </c>
      <c r="K360" s="57">
        <f>MOVIMIENTOS!$A377</f>
        <v>0</v>
      </c>
      <c r="L360" s="54"/>
      <c r="M360" s="54"/>
      <c r="N360" s="54"/>
    </row>
    <row r="361" spans="1:14" ht="1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 t="str">
        <f>IF(AND(MOVIMIENTOS!$A378&lt;&gt;"",COUNTIF(MOVIMIENTOS!$A$5:$A377,MOVIMIENTOS!$A378)=0),COUNT(J$4:J360)+1,"")</f>
        <v/>
      </c>
      <c r="K361" s="57">
        <f>MOVIMIENTOS!$A378</f>
        <v>0</v>
      </c>
      <c r="L361" s="54"/>
      <c r="M361" s="54"/>
      <c r="N361" s="54"/>
    </row>
    <row r="362" spans="1:14" ht="1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 t="str">
        <f>IF(AND(MOVIMIENTOS!$A379&lt;&gt;"",COUNTIF(MOVIMIENTOS!$A$5:$A378,MOVIMIENTOS!$A379)=0),COUNT(J$4:J361)+1,"")</f>
        <v/>
      </c>
      <c r="K362" s="57">
        <f>MOVIMIENTOS!$A379</f>
        <v>0</v>
      </c>
      <c r="L362" s="54"/>
      <c r="M362" s="54"/>
      <c r="N362" s="54"/>
    </row>
    <row r="363" spans="1:14" ht="1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 t="str">
        <f>IF(AND(MOVIMIENTOS!$A380&lt;&gt;"",COUNTIF(MOVIMIENTOS!$A$5:$A379,MOVIMIENTOS!$A380)=0),COUNT(J$4:J362)+1,"")</f>
        <v/>
      </c>
      <c r="K363" s="57">
        <f>MOVIMIENTOS!$A380</f>
        <v>0</v>
      </c>
      <c r="L363" s="54"/>
      <c r="M363" s="54"/>
      <c r="N363" s="54"/>
    </row>
    <row r="364" spans="1:14" ht="1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 t="str">
        <f>IF(AND(MOVIMIENTOS!$A381&lt;&gt;"",COUNTIF(MOVIMIENTOS!$A$5:$A380,MOVIMIENTOS!$A381)=0),COUNT(J$4:J363)+1,"")</f>
        <v/>
      </c>
      <c r="K364" s="57">
        <f>MOVIMIENTOS!$A381</f>
        <v>0</v>
      </c>
      <c r="L364" s="54"/>
      <c r="M364" s="54"/>
      <c r="N364" s="54"/>
    </row>
    <row r="365" spans="1:14" ht="1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 t="str">
        <f>IF(AND(MOVIMIENTOS!$A382&lt;&gt;"",COUNTIF(MOVIMIENTOS!$A$5:$A381,MOVIMIENTOS!$A382)=0),COUNT(J$4:J364)+1,"")</f>
        <v/>
      </c>
      <c r="K365" s="57">
        <f>MOVIMIENTOS!$A382</f>
        <v>0</v>
      </c>
      <c r="L365" s="54"/>
      <c r="M365" s="54"/>
      <c r="N365" s="54"/>
    </row>
    <row r="366" spans="1:14" ht="1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 t="str">
        <f>IF(AND(MOVIMIENTOS!$A383&lt;&gt;"",COUNTIF(MOVIMIENTOS!$A$5:$A382,MOVIMIENTOS!$A383)=0),COUNT(J$4:J365)+1,"")</f>
        <v/>
      </c>
      <c r="K366" s="57">
        <f>MOVIMIENTOS!$A383</f>
        <v>0</v>
      </c>
      <c r="L366" s="54"/>
      <c r="M366" s="54"/>
      <c r="N366" s="54"/>
    </row>
    <row r="367" spans="1:14" ht="1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 t="str">
        <f>IF(AND(MOVIMIENTOS!$A384&lt;&gt;"",COUNTIF(MOVIMIENTOS!$A$5:$A383,MOVIMIENTOS!$A384)=0),COUNT(J$4:J366)+1,"")</f>
        <v/>
      </c>
      <c r="K367" s="57">
        <f>MOVIMIENTOS!$A384</f>
        <v>0</v>
      </c>
      <c r="L367" s="54"/>
      <c r="M367" s="54"/>
      <c r="N367" s="54"/>
    </row>
    <row r="368" spans="1:14" ht="1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 t="str">
        <f>IF(AND(MOVIMIENTOS!$A385&lt;&gt;"",COUNTIF(MOVIMIENTOS!$A$5:$A384,MOVIMIENTOS!$A385)=0),COUNT(J$4:J367)+1,"")</f>
        <v/>
      </c>
      <c r="K368" s="57">
        <f>MOVIMIENTOS!$A385</f>
        <v>0</v>
      </c>
      <c r="L368" s="54"/>
      <c r="M368" s="54"/>
      <c r="N368" s="54"/>
    </row>
    <row r="369" spans="1:14" ht="1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 t="str">
        <f>IF(AND(MOVIMIENTOS!$A386&lt;&gt;"",COUNTIF(MOVIMIENTOS!$A$5:$A385,MOVIMIENTOS!$A386)=0),COUNT(J$4:J368)+1,"")</f>
        <v/>
      </c>
      <c r="K369" s="57">
        <f>MOVIMIENTOS!$A386</f>
        <v>0</v>
      </c>
      <c r="L369" s="54"/>
      <c r="M369" s="54"/>
      <c r="N369" s="54"/>
    </row>
    <row r="370" spans="1:14" ht="1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 t="str">
        <f>IF(AND(MOVIMIENTOS!$A387&lt;&gt;"",COUNTIF(MOVIMIENTOS!$A$5:$A386,MOVIMIENTOS!$A387)=0),COUNT(J$4:J369)+1,"")</f>
        <v/>
      </c>
      <c r="K370" s="57">
        <f>MOVIMIENTOS!$A387</f>
        <v>0</v>
      </c>
      <c r="L370" s="54"/>
      <c r="M370" s="54"/>
      <c r="N370" s="54"/>
    </row>
    <row r="371" spans="1:14" ht="1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 t="str">
        <f>IF(AND(MOVIMIENTOS!$A388&lt;&gt;"",COUNTIF(MOVIMIENTOS!$A$5:$A387,MOVIMIENTOS!$A388)=0),COUNT(J$4:J370)+1,"")</f>
        <v/>
      </c>
      <c r="K371" s="57">
        <f>MOVIMIENTOS!$A388</f>
        <v>0</v>
      </c>
      <c r="L371" s="54"/>
      <c r="M371" s="54"/>
      <c r="N371" s="54"/>
    </row>
    <row r="372" spans="1:14" ht="1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 t="str">
        <f>IF(AND(MOVIMIENTOS!$A389&lt;&gt;"",COUNTIF(MOVIMIENTOS!$A$5:$A388,MOVIMIENTOS!$A389)=0),COUNT(J$4:J371)+1,"")</f>
        <v/>
      </c>
      <c r="K372" s="57">
        <f>MOVIMIENTOS!$A389</f>
        <v>0</v>
      </c>
      <c r="L372" s="54"/>
      <c r="M372" s="54"/>
      <c r="N372" s="54"/>
    </row>
    <row r="373" spans="1:14" ht="1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 t="str">
        <f>IF(AND(MOVIMIENTOS!$A390&lt;&gt;"",COUNTIF(MOVIMIENTOS!$A$5:$A389,MOVIMIENTOS!$A390)=0),COUNT(J$4:J372)+1,"")</f>
        <v/>
      </c>
      <c r="K373" s="57">
        <f>MOVIMIENTOS!$A390</f>
        <v>0</v>
      </c>
      <c r="L373" s="54"/>
      <c r="M373" s="54"/>
      <c r="N373" s="54"/>
    </row>
    <row r="374" spans="1:14" ht="1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 t="str">
        <f>IF(AND(MOVIMIENTOS!$A391&lt;&gt;"",COUNTIF(MOVIMIENTOS!$A$5:$A390,MOVIMIENTOS!$A391)=0),COUNT(J$4:J373)+1,"")</f>
        <v/>
      </c>
      <c r="K374" s="57">
        <f>MOVIMIENTOS!$A391</f>
        <v>0</v>
      </c>
      <c r="L374" s="54"/>
      <c r="M374" s="54"/>
      <c r="N374" s="54"/>
    </row>
    <row r="375" spans="1:14" ht="1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 t="str">
        <f>IF(AND(MOVIMIENTOS!$A392&lt;&gt;"",COUNTIF(MOVIMIENTOS!$A$5:$A391,MOVIMIENTOS!$A392)=0),COUNT(J$4:J374)+1,"")</f>
        <v/>
      </c>
      <c r="K375" s="57">
        <f>MOVIMIENTOS!$A392</f>
        <v>0</v>
      </c>
      <c r="L375" s="54"/>
      <c r="M375" s="54"/>
      <c r="N375" s="54"/>
    </row>
    <row r="376" spans="1:14" ht="1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 t="str">
        <f>IF(AND(MOVIMIENTOS!$A393&lt;&gt;"",COUNTIF(MOVIMIENTOS!$A$5:$A392,MOVIMIENTOS!$A393)=0),COUNT(J$4:J375)+1,"")</f>
        <v/>
      </c>
      <c r="K376" s="57">
        <f>MOVIMIENTOS!$A393</f>
        <v>0</v>
      </c>
      <c r="L376" s="54"/>
      <c r="M376" s="54"/>
      <c r="N376" s="54"/>
    </row>
    <row r="377" spans="1:14" ht="1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 t="str">
        <f>IF(AND(MOVIMIENTOS!$A394&lt;&gt;"",COUNTIF(MOVIMIENTOS!$A$5:$A393,MOVIMIENTOS!$A394)=0),COUNT(J$4:J376)+1,"")</f>
        <v/>
      </c>
      <c r="K377" s="57">
        <f>MOVIMIENTOS!$A394</f>
        <v>0</v>
      </c>
      <c r="L377" s="54"/>
      <c r="M377" s="54"/>
      <c r="N377" s="54"/>
    </row>
    <row r="378" spans="1:14" ht="1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 t="str">
        <f>IF(AND(MOVIMIENTOS!$A395&lt;&gt;"",COUNTIF(MOVIMIENTOS!$A$5:$A394,MOVIMIENTOS!$A395)=0),COUNT(J$4:J377)+1,"")</f>
        <v/>
      </c>
      <c r="K378" s="57">
        <f>MOVIMIENTOS!$A395</f>
        <v>0</v>
      </c>
      <c r="L378" s="54"/>
      <c r="M378" s="54"/>
      <c r="N378" s="54"/>
    </row>
    <row r="379" spans="1:14" ht="1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 t="str">
        <f>IF(AND(MOVIMIENTOS!$A396&lt;&gt;"",COUNTIF(MOVIMIENTOS!$A$5:$A395,MOVIMIENTOS!$A396)=0),COUNT(J$4:J378)+1,"")</f>
        <v/>
      </c>
      <c r="K379" s="57">
        <f>MOVIMIENTOS!$A396</f>
        <v>0</v>
      </c>
      <c r="L379" s="54"/>
      <c r="M379" s="54"/>
      <c r="N379" s="54"/>
    </row>
    <row r="380" spans="1:14" ht="1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 t="str">
        <f>IF(AND(MOVIMIENTOS!$A397&lt;&gt;"",COUNTIF(MOVIMIENTOS!$A$5:$A396,MOVIMIENTOS!$A397)=0),COUNT(J$4:J379)+1,"")</f>
        <v/>
      </c>
      <c r="K380" s="57">
        <f>MOVIMIENTOS!$A397</f>
        <v>0</v>
      </c>
      <c r="L380" s="54"/>
      <c r="M380" s="54"/>
      <c r="N380" s="54"/>
    </row>
    <row r="381" spans="1:14" ht="1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 t="str">
        <f>IF(AND(MOVIMIENTOS!$A398&lt;&gt;"",COUNTIF(MOVIMIENTOS!$A$5:$A397,MOVIMIENTOS!$A398)=0),COUNT(J$4:J380)+1,"")</f>
        <v/>
      </c>
      <c r="K381" s="57">
        <f>MOVIMIENTOS!$A398</f>
        <v>0</v>
      </c>
      <c r="L381" s="54"/>
      <c r="M381" s="54"/>
      <c r="N381" s="54"/>
    </row>
    <row r="382" spans="1:14" ht="1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 t="str">
        <f>IF(AND(MOVIMIENTOS!$A399&lt;&gt;"",COUNTIF(MOVIMIENTOS!$A$5:$A398,MOVIMIENTOS!$A399)=0),COUNT(J$4:J381)+1,"")</f>
        <v/>
      </c>
      <c r="K382" s="57">
        <f>MOVIMIENTOS!$A399</f>
        <v>0</v>
      </c>
      <c r="L382" s="54"/>
      <c r="M382" s="54"/>
      <c r="N382" s="54"/>
    </row>
    <row r="383" spans="1:14" ht="1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 t="str">
        <f>IF(AND(MOVIMIENTOS!$A400&lt;&gt;"",COUNTIF(MOVIMIENTOS!$A$5:$A399,MOVIMIENTOS!$A400)=0),COUNT(J$4:J382)+1,"")</f>
        <v/>
      </c>
      <c r="K383" s="57">
        <f>MOVIMIENTOS!$A400</f>
        <v>0</v>
      </c>
      <c r="L383" s="54"/>
      <c r="M383" s="54"/>
      <c r="N383" s="54"/>
    </row>
    <row r="384" spans="1:14" ht="1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 t="str">
        <f>IF(AND(MOVIMIENTOS!$A401&lt;&gt;"",COUNTIF(MOVIMIENTOS!$A$5:$A400,MOVIMIENTOS!$A401)=0),COUNT(J$4:J383)+1,"")</f>
        <v/>
      </c>
      <c r="K384" s="57">
        <f>MOVIMIENTOS!$A401</f>
        <v>0</v>
      </c>
      <c r="L384" s="54"/>
      <c r="M384" s="54"/>
      <c r="N384" s="54"/>
    </row>
    <row r="385" spans="1:14" ht="1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 t="str">
        <f>IF(AND(MOVIMIENTOS!$A402&lt;&gt;"",COUNTIF(MOVIMIENTOS!$A$5:$A401,MOVIMIENTOS!$A402)=0),COUNT(J$4:J384)+1,"")</f>
        <v/>
      </c>
      <c r="K385" s="57">
        <f>MOVIMIENTOS!$A402</f>
        <v>0</v>
      </c>
      <c r="L385" s="54"/>
      <c r="M385" s="54"/>
      <c r="N385" s="54"/>
    </row>
    <row r="386" spans="1:14" ht="1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 t="str">
        <f>IF(AND(MOVIMIENTOS!$A403&lt;&gt;"",COUNTIF(MOVIMIENTOS!$A$5:$A402,MOVIMIENTOS!$A403)=0),COUNT(J$4:J385)+1,"")</f>
        <v/>
      </c>
      <c r="K386" s="57">
        <f>MOVIMIENTOS!$A403</f>
        <v>0</v>
      </c>
      <c r="L386" s="54"/>
      <c r="M386" s="54"/>
      <c r="N386" s="54"/>
    </row>
    <row r="387" spans="1:14" ht="1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 t="str">
        <f>IF(AND(MOVIMIENTOS!$A404&lt;&gt;"",COUNTIF(MOVIMIENTOS!$A$5:$A403,MOVIMIENTOS!$A404)=0),COUNT(J$4:J386)+1,"")</f>
        <v/>
      </c>
      <c r="K387" s="57">
        <f>MOVIMIENTOS!$A404</f>
        <v>0</v>
      </c>
      <c r="L387" s="54"/>
      <c r="M387" s="54"/>
      <c r="N387" s="54"/>
    </row>
    <row r="388" spans="1:14" ht="1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 t="str">
        <f>IF(AND(MOVIMIENTOS!$A405&lt;&gt;"",COUNTIF(MOVIMIENTOS!$A$5:$A404,MOVIMIENTOS!$A405)=0),COUNT(J$4:J387)+1,"")</f>
        <v/>
      </c>
      <c r="K388" s="57">
        <f>MOVIMIENTOS!$A405</f>
        <v>0</v>
      </c>
      <c r="L388" s="54"/>
      <c r="M388" s="54"/>
      <c r="N388" s="54"/>
    </row>
    <row r="389" spans="1:14" ht="1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 t="str">
        <f>IF(AND(MOVIMIENTOS!$A406&lt;&gt;"",COUNTIF(MOVIMIENTOS!$A$5:$A405,MOVIMIENTOS!$A406)=0),COUNT(J$4:J388)+1,"")</f>
        <v/>
      </c>
      <c r="K389" s="57">
        <f>MOVIMIENTOS!$A406</f>
        <v>0</v>
      </c>
      <c r="L389" s="54"/>
      <c r="M389" s="54"/>
      <c r="N389" s="54"/>
    </row>
    <row r="390" spans="1:14" ht="1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 t="str">
        <f>IF(AND(MOVIMIENTOS!$A407&lt;&gt;"",COUNTIF(MOVIMIENTOS!$A$5:$A406,MOVIMIENTOS!$A407)=0),COUNT(J$4:J389)+1,"")</f>
        <v/>
      </c>
      <c r="K390" s="57">
        <f>MOVIMIENTOS!$A407</f>
        <v>0</v>
      </c>
      <c r="L390" s="54"/>
      <c r="M390" s="54"/>
      <c r="N390" s="54"/>
    </row>
    <row r="391" spans="1:14" ht="1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 t="str">
        <f>IF(AND(MOVIMIENTOS!$A408&lt;&gt;"",COUNTIF(MOVIMIENTOS!$A$5:$A407,MOVIMIENTOS!$A408)=0),COUNT(J$4:J390)+1,"")</f>
        <v/>
      </c>
      <c r="K391" s="57">
        <f>MOVIMIENTOS!$A408</f>
        <v>0</v>
      </c>
      <c r="L391" s="54"/>
      <c r="M391" s="54"/>
      <c r="N391" s="54"/>
    </row>
    <row r="392" spans="1:14" ht="1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 t="str">
        <f>IF(AND(MOVIMIENTOS!$A409&lt;&gt;"",COUNTIF(MOVIMIENTOS!$A$5:$A408,MOVIMIENTOS!$A409)=0),COUNT(J$4:J391)+1,"")</f>
        <v/>
      </c>
      <c r="K392" s="57">
        <f>MOVIMIENTOS!$A409</f>
        <v>0</v>
      </c>
      <c r="L392" s="54"/>
      <c r="M392" s="54"/>
      <c r="N392" s="54"/>
    </row>
    <row r="393" spans="1:14" ht="1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 t="str">
        <f>IF(AND(MOVIMIENTOS!$A410&lt;&gt;"",COUNTIF(MOVIMIENTOS!$A$5:$A409,MOVIMIENTOS!$A410)=0),COUNT(J$4:J392)+1,"")</f>
        <v/>
      </c>
      <c r="K393" s="57">
        <f>MOVIMIENTOS!$A410</f>
        <v>0</v>
      </c>
      <c r="L393" s="54"/>
      <c r="M393" s="54"/>
      <c r="N393" s="54"/>
    </row>
    <row r="394" spans="1:14" ht="1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 t="str">
        <f>IF(AND(MOVIMIENTOS!$A411&lt;&gt;"",COUNTIF(MOVIMIENTOS!$A$5:$A410,MOVIMIENTOS!$A411)=0),COUNT(J$4:J393)+1,"")</f>
        <v/>
      </c>
      <c r="K394" s="57">
        <f>MOVIMIENTOS!$A411</f>
        <v>0</v>
      </c>
      <c r="L394" s="54"/>
      <c r="M394" s="54"/>
      <c r="N394" s="54"/>
    </row>
    <row r="395" spans="1:14" ht="1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 t="str">
        <f>IF(AND(MOVIMIENTOS!$A412&lt;&gt;"",COUNTIF(MOVIMIENTOS!$A$5:$A411,MOVIMIENTOS!$A412)=0),COUNT(J$4:J394)+1,"")</f>
        <v/>
      </c>
      <c r="K395" s="57">
        <f>MOVIMIENTOS!$A412</f>
        <v>0</v>
      </c>
      <c r="L395" s="54"/>
      <c r="M395" s="54"/>
      <c r="N395" s="54"/>
    </row>
    <row r="396" spans="1:14" ht="1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 t="str">
        <f>IF(AND(MOVIMIENTOS!$A413&lt;&gt;"",COUNTIF(MOVIMIENTOS!$A$5:$A412,MOVIMIENTOS!$A413)=0),COUNT(J$4:J395)+1,"")</f>
        <v/>
      </c>
      <c r="K396" s="57">
        <f>MOVIMIENTOS!$A413</f>
        <v>0</v>
      </c>
      <c r="L396" s="54"/>
      <c r="M396" s="54"/>
      <c r="N396" s="54"/>
    </row>
    <row r="397" spans="1:14" ht="1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 t="str">
        <f>IF(AND(MOVIMIENTOS!$A414&lt;&gt;"",COUNTIF(MOVIMIENTOS!$A$5:$A413,MOVIMIENTOS!$A414)=0),COUNT(J$4:J396)+1,"")</f>
        <v/>
      </c>
      <c r="K397" s="57">
        <f>MOVIMIENTOS!$A414</f>
        <v>0</v>
      </c>
      <c r="L397" s="54"/>
      <c r="M397" s="54"/>
      <c r="N397" s="54"/>
    </row>
    <row r="398" spans="1:14" ht="1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 t="str">
        <f>IF(AND(MOVIMIENTOS!$A415&lt;&gt;"",COUNTIF(MOVIMIENTOS!$A$5:$A414,MOVIMIENTOS!$A415)=0),COUNT(J$4:J397)+1,"")</f>
        <v/>
      </c>
      <c r="K398" s="57">
        <f>MOVIMIENTOS!$A415</f>
        <v>0</v>
      </c>
      <c r="L398" s="54"/>
      <c r="M398" s="54"/>
      <c r="N398" s="54"/>
    </row>
    <row r="399" spans="1:14" ht="1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 t="str">
        <f>IF(AND(MOVIMIENTOS!$A416&lt;&gt;"",COUNTIF(MOVIMIENTOS!$A$5:$A415,MOVIMIENTOS!$A416)=0),COUNT(J$4:J398)+1,"")</f>
        <v/>
      </c>
      <c r="K399" s="57">
        <f>MOVIMIENTOS!$A416</f>
        <v>0</v>
      </c>
      <c r="L399" s="54"/>
      <c r="M399" s="54"/>
      <c r="N399" s="54"/>
    </row>
    <row r="400" spans="1:14" ht="1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 t="str">
        <f>IF(AND(MOVIMIENTOS!$A417&lt;&gt;"",COUNTIF(MOVIMIENTOS!$A$5:$A416,MOVIMIENTOS!$A417)=0),COUNT(J$4:J399)+1,"")</f>
        <v/>
      </c>
      <c r="K400" s="57">
        <f>MOVIMIENTOS!$A417</f>
        <v>0</v>
      </c>
      <c r="L400" s="54"/>
      <c r="M400" s="54"/>
      <c r="N400" s="54"/>
    </row>
  </sheetData>
  <mergeCells count="2">
    <mergeCell ref="A1:H1"/>
    <mergeCell ref="A2:H2"/>
  </mergeCells>
  <conditionalFormatting sqref="A5:H69">
    <cfRule type="expression" dxfId="13" priority="2">
      <formula>AND($A5&lt;&gt;"",A6="")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1"/>
  <sheetViews>
    <sheetView showGridLines="0" zoomScaleNormal="100" workbookViewId="0">
      <pane ySplit="5" topLeftCell="A123" activePane="bottomLeft" state="frozen"/>
      <selection pane="bottomLeft" activeCell="S8" sqref="S8"/>
    </sheetView>
  </sheetViews>
  <sheetFormatPr baseColWidth="10" defaultColWidth="8.6640625" defaultRowHeight="15" x14ac:dyDescent="0.2"/>
  <cols>
    <col min="1" max="1" width="11" customWidth="1"/>
    <col min="2" max="2" width="32" customWidth="1"/>
    <col min="3" max="5" width="12" customWidth="1"/>
    <col min="6" max="6" width="30" customWidth="1"/>
    <col min="7" max="7" width="13" customWidth="1"/>
    <col min="10" max="16" width="13" hidden="1" customWidth="1"/>
  </cols>
  <sheetData>
    <row r="1" spans="1:20" ht="21.75" customHeight="1" x14ac:dyDescent="0.2">
      <c r="A1" s="86" t="s">
        <v>98</v>
      </c>
      <c r="B1" s="86"/>
      <c r="C1" s="86"/>
      <c r="D1" s="86"/>
      <c r="E1" s="86"/>
      <c r="F1" s="86"/>
      <c r="G1" s="86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" customHeight="1" x14ac:dyDescent="0.2">
      <c r="A2" s="87" t="s">
        <v>99</v>
      </c>
      <c r="B2" s="87"/>
      <c r="C2" s="87"/>
      <c r="D2" s="87"/>
      <c r="E2" s="87"/>
      <c r="F2" s="87"/>
      <c r="G2" s="87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" customHeight="1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</row>
    <row r="4" spans="1:20" ht="15" customHeight="1" x14ac:dyDescent="0.2">
      <c r="A4" s="54"/>
      <c r="B4" s="54"/>
      <c r="C4" s="58" t="s">
        <v>100</v>
      </c>
      <c r="D4" s="59" t="s">
        <v>101</v>
      </c>
      <c r="E4" s="60" t="s">
        <v>102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30" customHeight="1" x14ac:dyDescent="0.2">
      <c r="A5" s="1" t="s">
        <v>2</v>
      </c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108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33.75" customHeight="1" x14ac:dyDescent="0.2">
      <c r="A6" s="61">
        <v>46214</v>
      </c>
      <c r="B6" s="62" t="s">
        <v>109</v>
      </c>
      <c r="C6" s="63">
        <f>SUMPRODUCT((MOVIMIENTOS!$A$5:$A$417=DATE(2026,7,11))*(MOVIMIENTOS!$B$5:$B$417="COMPRA")*MOVIMIENTOS!$I$5:$I$417)</f>
        <v>0</v>
      </c>
      <c r="D6" s="63">
        <f>SUMPRODUCT((MOVIMIENTOS!$A$5:$A$417=DATE(2026,7,11))*(MOVIMIENTOS!$B$5:$B$417="PROCESO")*MOVIMIENTOS!$I$5:$I$417)</f>
        <v>0</v>
      </c>
      <c r="E6" s="63">
        <f>SUMPRODUCT((MOVIMIENTOS!$A$5:$A$417=DATE(2026,7,11))*((MOVIMIENTOS!$B$5:$B$417="ENVÍO A SUPESA")+(MOVIMIENTOS!$B$5:$B$417="ENVÍO A TOTTUS")+(MOVIMIENTOS!$B$5:$B$417="ENVIO A TOTTUS"))*MOVIMIENTOS!$I$5:$I$417)</f>
        <v>0</v>
      </c>
      <c r="F6" s="62" t="str">
        <f>"Selección: "&amp;TEXT(SUMPRODUCT((MOVIMIENTOS!$A$5:$A$417=DATE(2026,7,11))*(MOVIMIENTOS!$B$5:$B$417="PROCESO")*(MOVIMIENTOS!$C$5:$C$417&lt;&gt;"Chancho")*MOVIMIENTOS!$I$5:$I$417),"#,##0")&amp;" kg  ·  Chancho: "&amp;TEXT(SUMPRODUCT((MOVIMIENTOS!$A$5:$A$417=DATE(2026,7,11))*(MOVIMIENTOS!$B$5:$B$417="PROCESO")*(MOVIMIENTOS!$C$5:$C$417="Chancho")*MOVIMIENTOS!$I$5:$I$417),"#,##0")&amp;" kg"&amp;IF(C6&gt;0,"  ·  "&amp;TEXT(D6/C6,"0%")&amp;" del ingreso","")</f>
        <v>Selección: 0 kg  ·  Chancho: 0 kg</v>
      </c>
      <c r="G6" s="63">
        <f>N(G8)</f>
        <v>166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customHeight="1" x14ac:dyDescent="0.2">
      <c r="A7" s="55">
        <v>46214</v>
      </c>
      <c r="B7" s="64" t="s">
        <v>10</v>
      </c>
      <c r="C7" s="56">
        <f>N(MOVIMIENTOS!$I5)+N(MOVIMIENTOS!$I6)</f>
        <v>47</v>
      </c>
      <c r="D7" s="56"/>
      <c r="E7" s="56"/>
      <c r="F7" s="64" t="s">
        <v>110</v>
      </c>
      <c r="G7" s="56">
        <f>N(0)+N(C7)-N(E7)</f>
        <v>47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customHeight="1" x14ac:dyDescent="0.2">
      <c r="A8" s="55">
        <v>46214</v>
      </c>
      <c r="B8" s="64" t="s">
        <v>111</v>
      </c>
      <c r="C8" s="56">
        <f>N(MOVIMIENTOS!$I7)</f>
        <v>119</v>
      </c>
      <c r="D8" s="56"/>
      <c r="E8" s="56"/>
      <c r="F8" s="64" t="str">
        <f>TRIM(IF(MOVIMIENTOS!$G7&lt;&gt;"",MOVIMIENTOS!$G7&amp;"  ","")&amp;IF(N(MOVIMIENTOS!$E7)&gt;0,MOVIMIENTOS!$E7&amp;" "&amp;MOVIMIENTOS!$D7&amp;"  ","")&amp;IF(MOVIMIENTOS!$H7&lt;&gt;"",MOVIMIENTOS!$H7,""))</f>
        <v>7 jabas</v>
      </c>
      <c r="G8" s="56">
        <f>N(G7)+N(C8)-N(E8)</f>
        <v>166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33.75" customHeight="1" x14ac:dyDescent="0.2">
      <c r="A9" s="61">
        <v>46215</v>
      </c>
      <c r="B9" s="62" t="s">
        <v>109</v>
      </c>
      <c r="C9" s="63">
        <f>SUMPRODUCT((MOVIMIENTOS!$A$5:$A$417=DATE(2026,7,12))*(MOVIMIENTOS!$B$5:$B$417="COMPRA")*MOVIMIENTOS!$I$5:$I$417)</f>
        <v>2910</v>
      </c>
      <c r="D9" s="63">
        <f>SUMPRODUCT((MOVIMIENTOS!$A$5:$A$417=DATE(2026,7,12))*(MOVIMIENTOS!$B$5:$B$417="PROCESO")*MOVIMIENTOS!$I$5:$I$417)</f>
        <v>2957</v>
      </c>
      <c r="E9" s="63">
        <f>SUMPRODUCT((MOVIMIENTOS!$A$5:$A$417=DATE(2026,7,12))*((MOVIMIENTOS!$B$5:$B$417="ENVÍO A SUPESA")+(MOVIMIENTOS!$B$5:$B$417="ENVÍO A TOTTUS")+(MOVIMIENTOS!$B$5:$B$417="ENVIO A TOTTUS"))*MOVIMIENTOS!$I$5:$I$417)</f>
        <v>2121</v>
      </c>
      <c r="F9" s="62" t="str">
        <f>"Selección: "&amp;TEXT(SUMPRODUCT((MOVIMIENTOS!$A$5:$A$417=DATE(2026,7,12))*(MOVIMIENTOS!$B$5:$B$417="PROCESO")*(MOVIMIENTOS!$C$5:$C$417&lt;&gt;"Chancho")*MOVIMIENTOS!$I$5:$I$417),"#,##0")&amp;" kg  ·  Chancho: "&amp;TEXT(SUMPRODUCT((MOVIMIENTOS!$A$5:$A$417=DATE(2026,7,12))*(MOVIMIENTOS!$B$5:$B$417="PROCESO")*(MOVIMIENTOS!$C$5:$C$417="Chancho")*MOVIMIENTOS!$I$5:$I$417),"#,##0")&amp;" kg"&amp;IF(C9&gt;0,"  ·  "&amp;TEXT(D9/C9,"0%")&amp;" del ingreso","")</f>
        <v>Selección: 2,375 kg  ·  Chancho: 582 kg  ·  102% del ingreso</v>
      </c>
      <c r="G9" s="63">
        <f>N(G13)</f>
        <v>373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33.75" customHeight="1" x14ac:dyDescent="0.2">
      <c r="A10" s="65">
        <v>46215</v>
      </c>
      <c r="B10" s="66" t="s">
        <v>112</v>
      </c>
      <c r="C10" s="67">
        <f>N(MOVIMIENTOS!$I9)</f>
        <v>2910</v>
      </c>
      <c r="D10" s="67"/>
      <c r="E10" s="67"/>
      <c r="F10" s="66" t="str">
        <f>TRIM(IF(MOVIMIENTOS!$G9&lt;&gt;"",MOVIMIENTOS!$G9&amp;"  ","")&amp;IF(N(MOVIMIENTOS!$E9)&gt;0,MOVIMIENTOS!$E9&amp;" "&amp;MOVIMIENTOS!$D9&amp;"  ","")&amp;IF(MOVIMIENTOS!$H9&lt;&gt;"",MOVIMIENTOS!$H9,""))</f>
        <v>30 sacos peso aprox 95 kg/saco</v>
      </c>
      <c r="G10" s="67">
        <f>N(G8)+N(C10)-N(E10)</f>
        <v>3076</v>
      </c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</row>
    <row r="11" spans="1:20" ht="15" customHeight="1" x14ac:dyDescent="0.2">
      <c r="A11" s="68">
        <v>46215</v>
      </c>
      <c r="B11" s="69" t="s">
        <v>113</v>
      </c>
      <c r="C11" s="70"/>
      <c r="D11" s="70">
        <f>SUMPRODUCT((MOVIMIENTOS!$A$5:$A$417=DATE(2026,7,12))*(MOVIMIENTOS!$B$5:$B$417="PROCESO")*(MOVIMIENTOS!$C$5:$C$417&lt;&gt;"Chancho")*MOVIMIENTOS!$I$5:$I$417)</f>
        <v>2375</v>
      </c>
      <c r="E11" s="70"/>
      <c r="F11" s="69" t="s">
        <v>114</v>
      </c>
      <c r="G11" s="70">
        <f>N(G10)</f>
        <v>3076</v>
      </c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</row>
    <row r="12" spans="1:20" ht="15" customHeight="1" x14ac:dyDescent="0.2">
      <c r="A12" s="55">
        <v>46215</v>
      </c>
      <c r="B12" s="64" t="s">
        <v>115</v>
      </c>
      <c r="C12" s="56"/>
      <c r="D12" s="56">
        <f>N(MOVIMIENTOS!$I14)</f>
        <v>582</v>
      </c>
      <c r="E12" s="56">
        <f>N(MOVIMIENTOS!$I14)</f>
        <v>582</v>
      </c>
      <c r="F12" s="64" t="str">
        <f>TRIM(IF(MOVIMIENTOS!$G14&lt;&gt;"",MOVIMIENTOS!$G14&amp;"  ","")&amp;IF(N(MOVIMIENTOS!$E14)&gt;0,MOVIMIENTOS!$E14&amp;" "&amp;MOVIMIENTOS!$D14&amp;"  ","")&amp;IF(MOVIMIENTOS!$H14&lt;&gt;"",MOVIMIENTOS!$H14,""))</f>
        <v>6 sacos</v>
      </c>
      <c r="G12" s="56">
        <f>N(G11)+N(C12)-N(E12)</f>
        <v>2494</v>
      </c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</row>
    <row r="13" spans="1:20" ht="15" customHeight="1" x14ac:dyDescent="0.2">
      <c r="A13" s="55">
        <v>46215</v>
      </c>
      <c r="B13" s="64" t="s">
        <v>23</v>
      </c>
      <c r="C13" s="56"/>
      <c r="D13" s="56"/>
      <c r="E13" s="56">
        <f>N(MOVIMIENTOS!$I15)+N(MOVIMIENTOS!$I16)+N(MOVIMIENTOS!$I17)+N(MOVIMIENTOS!$I18)</f>
        <v>2121</v>
      </c>
      <c r="F13" s="64" t="s">
        <v>116</v>
      </c>
      <c r="G13" s="56">
        <f>N(G12)+N(C13)-N(E13)</f>
        <v>373</v>
      </c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r="14" spans="1:20" ht="33.75" customHeight="1" x14ac:dyDescent="0.2">
      <c r="A14" s="61">
        <v>46216</v>
      </c>
      <c r="B14" s="62" t="s">
        <v>109</v>
      </c>
      <c r="C14" s="63">
        <f>SUMPRODUCT((MOVIMIENTOS!$A$5:$A$417=DATE(2026,7,13))*(MOVIMIENTOS!$B$5:$B$417="COMPRA")*MOVIMIENTOS!$I$5:$I$417)</f>
        <v>3880</v>
      </c>
      <c r="D14" s="63">
        <f>SUMPRODUCT((MOVIMIENTOS!$A$5:$A$417=DATE(2026,7,13))*(MOVIMIENTOS!$B$5:$B$417="PROCESO")*MOVIMIENTOS!$I$5:$I$417)</f>
        <v>4071</v>
      </c>
      <c r="E14" s="63">
        <f>SUMPRODUCT((MOVIMIENTOS!$A$5:$A$417=DATE(2026,7,13))*((MOVIMIENTOS!$B$5:$B$417="ENVÍO A SUPESA")+(MOVIMIENTOS!$B$5:$B$417="ENVÍO A TOTTUS")+(MOVIMIENTOS!$B$5:$B$417="ENVIO A TOTTUS"))*MOVIMIENTOS!$I$5:$I$417)</f>
        <v>3056</v>
      </c>
      <c r="F14" s="62" t="str">
        <f>"Selección: "&amp;TEXT(SUMPRODUCT((MOVIMIENTOS!$A$5:$A$417=DATE(2026,7,13))*(MOVIMIENTOS!$B$5:$B$417="PROCESO")*(MOVIMIENTOS!$C$5:$C$417&lt;&gt;"Chancho")*MOVIMIENTOS!$I$5:$I$417),"#,##0")&amp;" kg  ·  Chancho: "&amp;TEXT(SUMPRODUCT((MOVIMIENTOS!$A$5:$A$417=DATE(2026,7,13))*(MOVIMIENTOS!$B$5:$B$417="PROCESO")*(MOVIMIENTOS!$C$5:$C$417="Chancho")*MOVIMIENTOS!$I$5:$I$417),"#,##0")&amp;" kg"&amp;IF(C14&gt;0,"  ·  "&amp;TEXT(D14/C14,"0%")&amp;" del ingreso","")</f>
        <v>Selección: 3,877 kg  ·  Chancho: 194 kg  ·  105% del ingreso</v>
      </c>
      <c r="G14" s="63">
        <f>N(G18)</f>
        <v>1003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spans="1:20" ht="15" customHeight="1" x14ac:dyDescent="0.2">
      <c r="A15" s="65">
        <v>46216</v>
      </c>
      <c r="B15" s="66" t="s">
        <v>112</v>
      </c>
      <c r="C15" s="67">
        <f>N(MOVIMIENTOS!$I19)</f>
        <v>3880</v>
      </c>
      <c r="D15" s="67"/>
      <c r="E15" s="67"/>
      <c r="F15" s="66" t="str">
        <f>TRIM(IF(MOVIMIENTOS!$G19&lt;&gt;"",MOVIMIENTOS!$G19&amp;"  ","")&amp;IF(N(MOVIMIENTOS!$E19)&gt;0,MOVIMIENTOS!$E19&amp;" "&amp;MOVIMIENTOS!$D19&amp;"  ","")&amp;IF(MOVIMIENTOS!$H19&lt;&gt;"",MOVIMIENTOS!$H19,""))</f>
        <v>40 sacos peso aprox 95 kg/saco</v>
      </c>
      <c r="G15" s="67">
        <f>N(G13)+N(C15)-N(E15)</f>
        <v>4253</v>
      </c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</row>
    <row r="16" spans="1:20" ht="15" customHeight="1" x14ac:dyDescent="0.2">
      <c r="A16" s="68">
        <v>46216</v>
      </c>
      <c r="B16" s="69" t="s">
        <v>113</v>
      </c>
      <c r="C16" s="70"/>
      <c r="D16" s="70">
        <f>SUMPRODUCT((MOVIMIENTOS!$A$5:$A$417=DATE(2026,7,13))*(MOVIMIENTOS!$B$5:$B$417="PROCESO")*(MOVIMIENTOS!$C$5:$C$417&lt;&gt;"Chancho")*MOVIMIENTOS!$I$5:$I$417)</f>
        <v>3877</v>
      </c>
      <c r="E16" s="70"/>
      <c r="F16" s="69" t="s">
        <v>117</v>
      </c>
      <c r="G16" s="70">
        <f>N(G15)</f>
        <v>4253</v>
      </c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</row>
    <row r="17" spans="1:20" ht="15" customHeight="1" x14ac:dyDescent="0.2">
      <c r="A17" s="55">
        <v>46216</v>
      </c>
      <c r="B17" s="64" t="s">
        <v>115</v>
      </c>
      <c r="C17" s="56"/>
      <c r="D17" s="56">
        <f>N(MOVIMIENTOS!$I24)</f>
        <v>194</v>
      </c>
      <c r="E17" s="56">
        <f>N(MOVIMIENTOS!$I24)</f>
        <v>194</v>
      </c>
      <c r="F17" s="64" t="str">
        <f>TRIM(IF(MOVIMIENTOS!$G24&lt;&gt;"",MOVIMIENTOS!$G24&amp;"  ","")&amp;IF(N(MOVIMIENTOS!$E24)&gt;0,MOVIMIENTOS!$E24&amp;" "&amp;MOVIMIENTOS!$D24&amp;"  ","")&amp;IF(MOVIMIENTOS!$H24&lt;&gt;"",MOVIMIENTOS!$H24,""))</f>
        <v>2 sacos</v>
      </c>
      <c r="G17" s="56">
        <f>N(G16)+N(C17)-N(E17)</f>
        <v>4059</v>
      </c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</row>
    <row r="18" spans="1:20" ht="33.75" customHeight="1" x14ac:dyDescent="0.2">
      <c r="A18" s="55">
        <v>46216</v>
      </c>
      <c r="B18" s="64" t="s">
        <v>23</v>
      </c>
      <c r="C18" s="56"/>
      <c r="D18" s="56"/>
      <c r="E18" s="56">
        <f>N(MOVIMIENTOS!$I25)+N(MOVIMIENTOS!$I26)+N(MOVIMIENTOS!$I27)+N(MOVIMIENTOS!$I28)</f>
        <v>3056</v>
      </c>
      <c r="F18" s="64" t="s">
        <v>118</v>
      </c>
      <c r="G18" s="56">
        <f>N(G17)+N(C18)-N(E18)</f>
        <v>1003</v>
      </c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33.75" customHeight="1" x14ac:dyDescent="0.2">
      <c r="A19" s="61">
        <v>46217</v>
      </c>
      <c r="B19" s="62" t="s">
        <v>109</v>
      </c>
      <c r="C19" s="63">
        <f>SUMPRODUCT((MOVIMIENTOS!$A$5:$A$417=DATE(2026,7,14))*(MOVIMIENTOS!$B$5:$B$417="COMPRA")*MOVIMIENTOS!$I$5:$I$417)</f>
        <v>3880</v>
      </c>
      <c r="D19" s="63">
        <f>SUMPRODUCT((MOVIMIENTOS!$A$5:$A$417=DATE(2026,7,14))*(MOVIMIENTOS!$B$5:$B$417="PROCESO")*MOVIMIENTOS!$I$5:$I$417)</f>
        <v>3813</v>
      </c>
      <c r="E19" s="63">
        <f>SUMPRODUCT((MOVIMIENTOS!$A$5:$A$417=DATE(2026,7,14))*((MOVIMIENTOS!$B$5:$B$417="ENVÍO A SUPESA")+(MOVIMIENTOS!$B$5:$B$417="ENVÍO A TOTTUS")+(MOVIMIENTOS!$B$5:$B$417="ENVIO A TOTTUS"))*MOVIMIENTOS!$I$5:$I$417)</f>
        <v>3379</v>
      </c>
      <c r="F19" s="62" t="str">
        <f>"Selección: "&amp;TEXT(SUMPRODUCT((MOVIMIENTOS!$A$5:$A$417=DATE(2026,7,14))*(MOVIMIENTOS!$B$5:$B$417="PROCESO")*(MOVIMIENTOS!$C$5:$C$417&lt;&gt;"Chancho")*MOVIMIENTOS!$I$5:$I$417),"#,##0")&amp;" kg  ·  Chancho: "&amp;TEXT(SUMPRODUCT((MOVIMIENTOS!$A$5:$A$417=DATE(2026,7,14))*(MOVIMIENTOS!$B$5:$B$417="PROCESO")*(MOVIMIENTOS!$C$5:$C$417="Chancho")*MOVIMIENTOS!$I$5:$I$417),"#,##0")&amp;" kg"&amp;IF(C19&gt;0,"  ·  "&amp;TEXT(D19/C19,"0%")&amp;" del ingreso","")</f>
        <v>Selección: 3,134 kg  ·  Chancho: 679 kg  ·  98% del ingreso</v>
      </c>
      <c r="G19" s="63">
        <f>N(G23)</f>
        <v>825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" customHeight="1" x14ac:dyDescent="0.2">
      <c r="A20" s="65">
        <v>46217</v>
      </c>
      <c r="B20" s="66" t="s">
        <v>112</v>
      </c>
      <c r="C20" s="67">
        <f>N(MOVIMIENTOS!$I29)</f>
        <v>3880</v>
      </c>
      <c r="D20" s="67"/>
      <c r="E20" s="67"/>
      <c r="F20" s="66" t="str">
        <f>TRIM(IF(MOVIMIENTOS!$G29&lt;&gt;"",MOVIMIENTOS!$G29&amp;"  ","")&amp;IF(N(MOVIMIENTOS!$E29)&gt;0,MOVIMIENTOS!$E29&amp;" "&amp;MOVIMIENTOS!$D29&amp;"  ","")&amp;IF(MOVIMIENTOS!$H29&lt;&gt;"",MOVIMIENTOS!$H29,""))</f>
        <v>40 sacos peso aprox 95 kg/saco</v>
      </c>
      <c r="G20" s="67">
        <f>N(G18)+N(C20)-N(E20)</f>
        <v>4883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customHeight="1" x14ac:dyDescent="0.2">
      <c r="A21" s="68">
        <v>46217</v>
      </c>
      <c r="B21" s="69" t="s">
        <v>113</v>
      </c>
      <c r="C21" s="70"/>
      <c r="D21" s="70">
        <f>SUMPRODUCT((MOVIMIENTOS!$A$5:$A$417=DATE(2026,7,14))*(MOVIMIENTOS!$B$5:$B$417="PROCESO")*(MOVIMIENTOS!$C$5:$C$417&lt;&gt;"Chancho")*MOVIMIENTOS!$I$5:$I$417)</f>
        <v>3134</v>
      </c>
      <c r="E21" s="70"/>
      <c r="F21" s="69" t="s">
        <v>119</v>
      </c>
      <c r="G21" s="70">
        <f>N(G20)</f>
        <v>4883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customHeight="1" x14ac:dyDescent="0.2">
      <c r="A22" s="55">
        <v>46217</v>
      </c>
      <c r="B22" s="64" t="s">
        <v>115</v>
      </c>
      <c r="C22" s="56"/>
      <c r="D22" s="56">
        <f>N(MOVIMIENTOS!$I34)</f>
        <v>679</v>
      </c>
      <c r="E22" s="56">
        <f>N(MOVIMIENTOS!$I34)</f>
        <v>679</v>
      </c>
      <c r="F22" s="64" t="str">
        <f>TRIM(IF(MOVIMIENTOS!$G34&lt;&gt;"",MOVIMIENTOS!$G34&amp;"  ","")&amp;IF(N(MOVIMIENTOS!$E34)&gt;0,MOVIMIENTOS!$E34&amp;" "&amp;MOVIMIENTOS!$D34&amp;"  ","")&amp;IF(MOVIMIENTOS!$H34&lt;&gt;"",MOVIMIENTOS!$H34,""))</f>
        <v>7 sacos</v>
      </c>
      <c r="G22" s="56">
        <f>N(G21)+N(C22)-N(E22)</f>
        <v>4204</v>
      </c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" customHeight="1" x14ac:dyDescent="0.2">
      <c r="A23" s="55">
        <v>46217</v>
      </c>
      <c r="B23" s="64" t="s">
        <v>23</v>
      </c>
      <c r="C23" s="56"/>
      <c r="D23" s="56"/>
      <c r="E23" s="56">
        <f>N(MOVIMIENTOS!$I35)+N(MOVIMIENTOS!$I36)+N(MOVIMIENTOS!$I37)+N(MOVIMIENTOS!$I38)</f>
        <v>3379</v>
      </c>
      <c r="F23" s="64" t="s">
        <v>120</v>
      </c>
      <c r="G23" s="56">
        <f>N(G22)+N(C23)-N(E23)</f>
        <v>825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 spans="1:20" ht="33.75" customHeight="1" x14ac:dyDescent="0.2">
      <c r="A24" s="61">
        <v>46218</v>
      </c>
      <c r="B24" s="62" t="s">
        <v>109</v>
      </c>
      <c r="C24" s="63">
        <f>SUMPRODUCT((MOVIMIENTOS!$A$5:$A$417=DATE(2026,7,15))*(MOVIMIENTOS!$B$5:$B$417="COMPRA")*MOVIMIENTOS!$I$5:$I$417)</f>
        <v>3880</v>
      </c>
      <c r="D24" s="63">
        <f>SUMPRODUCT((MOVIMIENTOS!$A$5:$A$417=DATE(2026,7,15))*(MOVIMIENTOS!$B$5:$B$417="PROCESO")*MOVIMIENTOS!$I$5:$I$417)</f>
        <v>3834</v>
      </c>
      <c r="E24" s="63">
        <f>SUMPRODUCT((MOVIMIENTOS!$A$5:$A$417=DATE(2026,7,15))*((MOVIMIENTOS!$B$5:$B$417="ENVÍO A SUPESA")+(MOVIMIENTOS!$B$5:$B$417="ENVÍO A TOTTUS")+(MOVIMIENTOS!$B$5:$B$417="ENVIO A TOTTUS"))*MOVIMIENTOS!$I$5:$I$417)</f>
        <v>2971</v>
      </c>
      <c r="F24" s="62" t="str">
        <f>"Selección: "&amp;TEXT(SUMPRODUCT((MOVIMIENTOS!$A$5:$A$417=DATE(2026,7,15))*(MOVIMIENTOS!$B$5:$B$417="PROCESO")*(MOVIMIENTOS!$C$5:$C$417&lt;&gt;"Chancho")*MOVIMIENTOS!$I$5:$I$417),"#,##0")&amp;" kg  ·  Chancho: "&amp;TEXT(SUMPRODUCT((MOVIMIENTOS!$A$5:$A$417=DATE(2026,7,15))*(MOVIMIENTOS!$B$5:$B$417="PROCESO")*(MOVIMIENTOS!$C$5:$C$417="Chancho")*MOVIMIENTOS!$I$5:$I$417),"#,##0")&amp;" kg"&amp;IF(C24&gt;0,"  ·  "&amp;TEXT(D24/C24,"0%")&amp;" del ingreso","")</f>
        <v>Selección: 3,349 kg  ·  Chancho: 485 kg  ·  99% del ingreso</v>
      </c>
      <c r="G24" s="63">
        <f>N(G29)</f>
        <v>1249</v>
      </c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</row>
    <row r="25" spans="1:20" ht="15" customHeight="1" x14ac:dyDescent="0.2">
      <c r="A25" s="65">
        <v>46218</v>
      </c>
      <c r="B25" s="66" t="s">
        <v>112</v>
      </c>
      <c r="C25" s="67">
        <f>N(MOVIMIENTOS!$I39)</f>
        <v>3880</v>
      </c>
      <c r="D25" s="67"/>
      <c r="E25" s="67"/>
      <c r="F25" s="66" t="str">
        <f>TRIM(IF(MOVIMIENTOS!$G39&lt;&gt;"",MOVIMIENTOS!$G39&amp;"  ","")&amp;IF(N(MOVIMIENTOS!$E39)&gt;0,MOVIMIENTOS!$E39&amp;" "&amp;MOVIMIENTOS!$D39&amp;"  ","")&amp;IF(MOVIMIENTOS!$H39&lt;&gt;"",MOVIMIENTOS!$H39,""))</f>
        <v>40 sacos peso aprox 95 kg/saco</v>
      </c>
      <c r="G25" s="67">
        <f>N(G23)+N(C25)-N(E25)</f>
        <v>4705</v>
      </c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</row>
    <row r="26" spans="1:20" ht="33.75" customHeight="1" x14ac:dyDescent="0.2">
      <c r="A26" s="68">
        <v>46218</v>
      </c>
      <c r="B26" s="69" t="s">
        <v>113</v>
      </c>
      <c r="C26" s="70"/>
      <c r="D26" s="70">
        <f>SUMPRODUCT((MOVIMIENTOS!$A$5:$A$417=DATE(2026,7,15))*(MOVIMIENTOS!$B$5:$B$417="PROCESO")*(MOVIMIENTOS!$C$5:$C$417&lt;&gt;"Chancho")*MOVIMIENTOS!$I$5:$I$417)</f>
        <v>3349</v>
      </c>
      <c r="E26" s="70"/>
      <c r="F26" s="69" t="s">
        <v>121</v>
      </c>
      <c r="G26" s="70">
        <f>N(G25)</f>
        <v>4705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</row>
    <row r="27" spans="1:20" ht="15" customHeight="1" x14ac:dyDescent="0.2">
      <c r="A27" s="55">
        <v>46218</v>
      </c>
      <c r="B27" s="64" t="s">
        <v>115</v>
      </c>
      <c r="C27" s="56"/>
      <c r="D27" s="56">
        <f>N(MOVIMIENTOS!$I44)</f>
        <v>485</v>
      </c>
      <c r="E27" s="56">
        <f>N(MOVIMIENTOS!$I44)</f>
        <v>485</v>
      </c>
      <c r="F27" s="64" t="str">
        <f>TRIM(IF(MOVIMIENTOS!$G44&lt;&gt;"",MOVIMIENTOS!$G44&amp;"  ","")&amp;IF(N(MOVIMIENTOS!$E44)&gt;0,MOVIMIENTOS!$E44&amp;" "&amp;MOVIMIENTOS!$D44&amp;"  ","")&amp;IF(MOVIMIENTOS!$H44&lt;&gt;"",MOVIMIENTOS!$H44,""))</f>
        <v>5 sacos</v>
      </c>
      <c r="G27" s="56">
        <f>N(G26)+N(C27)-N(E27)</f>
        <v>4220</v>
      </c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</row>
    <row r="28" spans="1:20" ht="15" customHeight="1" x14ac:dyDescent="0.2">
      <c r="A28" s="55">
        <v>46218</v>
      </c>
      <c r="B28" s="64" t="s">
        <v>23</v>
      </c>
      <c r="C28" s="56"/>
      <c r="D28" s="56"/>
      <c r="E28" s="56">
        <f>N(MOVIMIENTOS!$I45)+N(MOVIMIENTOS!$I46)+N(MOVIMIENTOS!$I47)+N(MOVIMIENTOS!$I48)</f>
        <v>2971</v>
      </c>
      <c r="F28" s="64" t="s">
        <v>122</v>
      </c>
      <c r="G28" s="56">
        <f>N(G27)+N(C28)-N(E28)</f>
        <v>1249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</row>
    <row r="29" spans="1:20" ht="15" customHeight="1" x14ac:dyDescent="0.2">
      <c r="A29" s="55">
        <v>46218</v>
      </c>
      <c r="B29" s="64" t="s">
        <v>28</v>
      </c>
      <c r="C29" s="56"/>
      <c r="D29" s="56"/>
      <c r="E29" s="56"/>
      <c r="F29" s="64" t="str">
        <f>TRIM(IF(MOVIMIENTOS!$G49&lt;&gt;"",MOVIMIENTOS!$G49&amp;"  ","")&amp;IF(N(MOVIMIENTOS!$E49)&gt;0,MOVIMIENTOS!$E49&amp;" "&amp;MOVIMIENTOS!$D49&amp;"  ","")&amp;IF(MOVIMIENTOS!$H49&lt;&gt;"",MOVIMIENTOS!$H49,""))</f>
        <v>TCK002-724 35 sacos</v>
      </c>
      <c r="G29" s="56">
        <f>N(G28)+N(C29)-N(E29)</f>
        <v>1249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33.75" customHeight="1" x14ac:dyDescent="0.2">
      <c r="A30" s="61">
        <v>46219</v>
      </c>
      <c r="B30" s="62" t="s">
        <v>109</v>
      </c>
      <c r="C30" s="63">
        <f>SUMPRODUCT((MOVIMIENTOS!$A$5:$A$417=DATE(2026,7,16))*(MOVIMIENTOS!$B$5:$B$417="COMPRA")*MOVIMIENTOS!$I$5:$I$417)</f>
        <v>3880</v>
      </c>
      <c r="D30" s="63">
        <f>SUMPRODUCT((MOVIMIENTOS!$A$5:$A$417=DATE(2026,7,16))*(MOVIMIENTOS!$B$5:$B$417="PROCESO")*MOVIMIENTOS!$I$5:$I$417)</f>
        <v>3782</v>
      </c>
      <c r="E30" s="63">
        <f>SUMPRODUCT((MOVIMIENTOS!$A$5:$A$417=DATE(2026,7,16))*((MOVIMIENTOS!$B$5:$B$417="ENVÍO A SUPESA")+(MOVIMIENTOS!$B$5:$B$417="ENVÍO A TOTTUS")+(MOVIMIENTOS!$B$5:$B$417="ENVIO A TOTTUS"))*MOVIMIENTOS!$I$5:$I$417)</f>
        <v>3302</v>
      </c>
      <c r="F30" s="62" t="str">
        <f>"Selección: "&amp;TEXT(SUMPRODUCT((MOVIMIENTOS!$A$5:$A$417=DATE(2026,7,16))*(MOVIMIENTOS!$B$5:$B$417="PROCESO")*(MOVIMIENTOS!$C$5:$C$417&lt;&gt;"Chancho")*MOVIMIENTOS!$I$5:$I$417),"#,##0")&amp;" kg  ·  Chancho: "&amp;TEXT(SUMPRODUCT((MOVIMIENTOS!$A$5:$A$417=DATE(2026,7,16))*(MOVIMIENTOS!$B$5:$B$417="PROCESO")*(MOVIMIENTOS!$C$5:$C$417="Chancho")*MOVIMIENTOS!$I$5:$I$417),"#,##0")&amp;" kg"&amp;IF(C30&gt;0,"  ·  "&amp;TEXT(D30/C30,"0%")&amp;" del ingreso","")</f>
        <v>Selección: 3,394 kg  ·  Chancho: 388 kg  ·  97% del ingreso</v>
      </c>
      <c r="G30" s="63">
        <f>N(G34)</f>
        <v>1439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customHeight="1" x14ac:dyDescent="0.2">
      <c r="A31" s="65">
        <v>46219</v>
      </c>
      <c r="B31" s="66" t="s">
        <v>112</v>
      </c>
      <c r="C31" s="67">
        <f>N(MOVIMIENTOS!$I50)</f>
        <v>3880</v>
      </c>
      <c r="D31" s="67"/>
      <c r="E31" s="67"/>
      <c r="F31" s="66" t="str">
        <f>TRIM(IF(MOVIMIENTOS!$G50&lt;&gt;"",MOVIMIENTOS!$G50&amp;"  ","")&amp;IF(N(MOVIMIENTOS!$E50)&gt;0,MOVIMIENTOS!$E50&amp;" "&amp;MOVIMIENTOS!$D50&amp;"  ","")&amp;IF(MOVIMIENTOS!$H50&lt;&gt;"",MOVIMIENTOS!$H50,""))</f>
        <v>40 sacos peso aprox 95 kg/saco</v>
      </c>
      <c r="G31" s="67">
        <f>N(G29)+N(C31)-N(E31)</f>
        <v>5129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" customHeight="1" x14ac:dyDescent="0.2">
      <c r="A32" s="68">
        <v>46219</v>
      </c>
      <c r="B32" s="69" t="s">
        <v>113</v>
      </c>
      <c r="C32" s="70"/>
      <c r="D32" s="70">
        <f>SUMPRODUCT((MOVIMIENTOS!$A$5:$A$417=DATE(2026,7,16))*(MOVIMIENTOS!$B$5:$B$417="PROCESO")*(MOVIMIENTOS!$C$5:$C$417&lt;&gt;"Chancho")*MOVIMIENTOS!$I$5:$I$417)</f>
        <v>3394</v>
      </c>
      <c r="E32" s="70"/>
      <c r="F32" s="69" t="s">
        <v>123</v>
      </c>
      <c r="G32" s="70">
        <f>N(G31)</f>
        <v>5129</v>
      </c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</row>
    <row r="33" spans="1:20" ht="15" customHeight="1" x14ac:dyDescent="0.2">
      <c r="A33" s="55">
        <v>46219</v>
      </c>
      <c r="B33" s="64" t="s">
        <v>115</v>
      </c>
      <c r="C33" s="56"/>
      <c r="D33" s="56">
        <f>N(MOVIMIENTOS!$I55)</f>
        <v>388</v>
      </c>
      <c r="E33" s="56">
        <f>N(MOVIMIENTOS!$I55)</f>
        <v>388</v>
      </c>
      <c r="F33" s="64" t="str">
        <f>TRIM(IF(MOVIMIENTOS!$G55&lt;&gt;"",MOVIMIENTOS!$G55&amp;"  ","")&amp;IF(N(MOVIMIENTOS!$E55)&gt;0,MOVIMIENTOS!$E55&amp;" "&amp;MOVIMIENTOS!$D55&amp;"  ","")&amp;IF(MOVIMIENTOS!$H55&lt;&gt;"",MOVIMIENTOS!$H55,""))</f>
        <v>4 sacos</v>
      </c>
      <c r="G33" s="56">
        <f>N(G32)+N(C33)-N(E33)</f>
        <v>4741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</row>
    <row r="34" spans="1:20" ht="33.75" customHeight="1" x14ac:dyDescent="0.2">
      <c r="A34" s="55">
        <v>46219</v>
      </c>
      <c r="B34" s="64" t="s">
        <v>23</v>
      </c>
      <c r="C34" s="56"/>
      <c r="D34" s="56"/>
      <c r="E34" s="56">
        <f>N(MOVIMIENTOS!$I56)+N(MOVIMIENTOS!$I57)+N(MOVIMIENTOS!$I58)+N(MOVIMIENTOS!$I59)</f>
        <v>3302</v>
      </c>
      <c r="F34" s="64" t="s">
        <v>124</v>
      </c>
      <c r="G34" s="56">
        <f>N(G33)+N(C34)-N(E34)</f>
        <v>1439</v>
      </c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33.75" customHeight="1" x14ac:dyDescent="0.2">
      <c r="A35" s="61">
        <v>46220</v>
      </c>
      <c r="B35" s="62" t="s">
        <v>109</v>
      </c>
      <c r="C35" s="63">
        <f>SUMPRODUCT((MOVIMIENTOS!$A$5:$A$417=DATE(2026,7,17))*(MOVIMIENTOS!$B$5:$B$417="COMPRA")*MOVIMIENTOS!$I$5:$I$417)</f>
        <v>6305</v>
      </c>
      <c r="D35" s="63">
        <f>SUMPRODUCT((MOVIMIENTOS!$A$5:$A$417=DATE(2026,7,17))*(MOVIMIENTOS!$B$5:$B$417="PROCESO")*MOVIMIENTOS!$I$5:$I$417)</f>
        <v>6169</v>
      </c>
      <c r="E35" s="63">
        <f>SUMPRODUCT((MOVIMIENTOS!$A$5:$A$417=DATE(2026,7,17))*((MOVIMIENTOS!$B$5:$B$417="ENVÍO A SUPESA")+(MOVIMIENTOS!$B$5:$B$417="ENVÍO A TOTTUS")+(MOVIMIENTOS!$B$5:$B$417="ENVIO A TOTTUS"))*MOVIMIENTOS!$I$5:$I$417)</f>
        <v>3413</v>
      </c>
      <c r="F35" s="62" t="str">
        <f>"Selección: "&amp;TEXT(SUMPRODUCT((MOVIMIENTOS!$A$5:$A$417=DATE(2026,7,17))*(MOVIMIENTOS!$B$5:$B$417="PROCESO")*(MOVIMIENTOS!$C$5:$C$417&lt;&gt;"Chancho")*MOVIMIENTOS!$I$5:$I$417),"#,##0")&amp;" kg  ·  Chancho: "&amp;TEXT(SUMPRODUCT((MOVIMIENTOS!$A$5:$A$417=DATE(2026,7,17))*(MOVIMIENTOS!$B$5:$B$417="PROCESO")*(MOVIMIENTOS!$C$5:$C$417="Chancho")*MOVIMIENTOS!$I$5:$I$417),"#,##0")&amp;" kg"&amp;IF(C35&gt;0,"  ·  "&amp;TEXT(D35/C35,"0%")&amp;" del ingreso","")</f>
        <v>Selección: 5,102 kg  ·  Chancho: 1,067 kg  ·  98% del ingreso</v>
      </c>
      <c r="G35" s="63">
        <f>N(G42)</f>
        <v>3264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customHeight="1" x14ac:dyDescent="0.2">
      <c r="A36" s="65">
        <v>46220</v>
      </c>
      <c r="B36" s="66" t="s">
        <v>112</v>
      </c>
      <c r="C36" s="67">
        <f>N(MOVIMIENTOS!$I60)</f>
        <v>5820</v>
      </c>
      <c r="D36" s="67"/>
      <c r="E36" s="67"/>
      <c r="F36" s="66" t="str">
        <f>TRIM(IF(MOVIMIENTOS!$G60&lt;&gt;"",MOVIMIENTOS!$G60&amp;"  ","")&amp;IF(N(MOVIMIENTOS!$E60)&gt;0,MOVIMIENTOS!$E60&amp;" "&amp;MOVIMIENTOS!$D60&amp;"  ","")&amp;IF(MOVIMIENTOS!$H60&lt;&gt;"",MOVIMIENTOS!$H60,""))</f>
        <v>60 sacos peso aprox 95 kg/saco</v>
      </c>
      <c r="G36" s="67">
        <f>N(G34)+N(C36)-N(E36)</f>
        <v>7259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customHeight="1" x14ac:dyDescent="0.2">
      <c r="A37" s="68">
        <v>46220</v>
      </c>
      <c r="B37" s="69" t="s">
        <v>113</v>
      </c>
      <c r="C37" s="70"/>
      <c r="D37" s="70">
        <f>SUMPRODUCT((MOVIMIENTOS!$A$5:$A$417=DATE(2026,7,17))*(MOVIMIENTOS!$B$5:$B$417="PROCESO")*(MOVIMIENTOS!$C$5:$C$417&lt;&gt;"Chancho")*MOVIMIENTOS!$I$5:$I$417)</f>
        <v>5102</v>
      </c>
      <c r="E37" s="70"/>
      <c r="F37" s="69" t="s">
        <v>125</v>
      </c>
      <c r="G37" s="70">
        <f>N(G36)</f>
        <v>7259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customHeight="1" x14ac:dyDescent="0.2">
      <c r="A38" s="55">
        <v>46220</v>
      </c>
      <c r="B38" s="64" t="s">
        <v>115</v>
      </c>
      <c r="C38" s="56"/>
      <c r="D38" s="56">
        <f>N(MOVIMIENTOS!$I65)</f>
        <v>970</v>
      </c>
      <c r="E38" s="56">
        <f>N(MOVIMIENTOS!$I65)</f>
        <v>970</v>
      </c>
      <c r="F38" s="64" t="str">
        <f>TRIM(IF(MOVIMIENTOS!$G65&lt;&gt;"",MOVIMIENTOS!$G65&amp;"  ","")&amp;IF(N(MOVIMIENTOS!$E65)&gt;0,MOVIMIENTOS!$E65&amp;" "&amp;MOVIMIENTOS!$D65&amp;"  ","")&amp;IF(MOVIMIENTOS!$H65&lt;&gt;"",MOVIMIENTOS!$H65,""))</f>
        <v>10 sacos</v>
      </c>
      <c r="G38" s="56">
        <f>N(G37)+N(C38)-N(E38)</f>
        <v>6289</v>
      </c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customHeight="1" x14ac:dyDescent="0.2">
      <c r="A39" s="55">
        <v>46220</v>
      </c>
      <c r="B39" s="64" t="s">
        <v>23</v>
      </c>
      <c r="C39" s="56"/>
      <c r="D39" s="56"/>
      <c r="E39" s="56">
        <f>N(MOVIMIENTOS!$I66)+N(MOVIMIENTOS!$I67)+N(MOVIMIENTOS!$I68)+N(MOVIMIENTOS!$I69)</f>
        <v>3413</v>
      </c>
      <c r="F39" s="64" t="s">
        <v>126</v>
      </c>
      <c r="G39" s="56">
        <f>N(G38)+N(C39)-N(E39)</f>
        <v>2876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customHeight="1" x14ac:dyDescent="0.2">
      <c r="A40" s="55">
        <v>46220</v>
      </c>
      <c r="B40" s="64" t="s">
        <v>28</v>
      </c>
      <c r="C40" s="56"/>
      <c r="D40" s="56"/>
      <c r="E40" s="56"/>
      <c r="F40" s="64" t="str">
        <f>TRIM(IF(MOVIMIENTOS!$G70&lt;&gt;"",MOVIMIENTOS!$G70&amp;"  ","")&amp;IF(N(MOVIMIENTOS!$E70)&gt;0,MOVIMIENTOS!$E70&amp;" "&amp;MOVIMIENTOS!$D70&amp;"  ","")&amp;IF(MOVIMIENTOS!$H70&lt;&gt;"",MOVIMIENTOS!$H70,""))</f>
        <v>TCK002-725 15 sacos</v>
      </c>
      <c r="G40" s="56">
        <f>N(G39)+N(C40)-N(E40)</f>
        <v>2876</v>
      </c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customHeight="1" x14ac:dyDescent="0.2">
      <c r="A41" s="65">
        <v>46220</v>
      </c>
      <c r="B41" s="66" t="s">
        <v>112</v>
      </c>
      <c r="C41" s="67">
        <f>N(MOVIMIENTOS!$I71)</f>
        <v>485</v>
      </c>
      <c r="D41" s="67"/>
      <c r="E41" s="67"/>
      <c r="F41" s="66" t="str">
        <f>TRIM(IF(MOVIMIENTOS!$G71&lt;&gt;"",MOVIMIENTOS!$G71&amp;"  ","")&amp;IF(N(MOVIMIENTOS!$E71)&gt;0,MOVIMIENTOS!$E71&amp;" "&amp;MOVIMIENTOS!$D71&amp;"  ","")&amp;IF(MOVIMIENTOS!$H71&lt;&gt;"",MOVIMIENTOS!$H71,""))</f>
        <v>5 sacos peso aprox 95 kg/saco</v>
      </c>
      <c r="G41" s="67">
        <f>N(G40)+N(C41)-N(E41)</f>
        <v>3361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customHeight="1" x14ac:dyDescent="0.2">
      <c r="A42" s="55">
        <v>46220</v>
      </c>
      <c r="B42" s="64" t="s">
        <v>115</v>
      </c>
      <c r="C42" s="56"/>
      <c r="D42" s="56">
        <f>N(MOVIMIENTOS!$I74)</f>
        <v>97</v>
      </c>
      <c r="E42" s="56">
        <f>N(MOVIMIENTOS!$I74)</f>
        <v>97</v>
      </c>
      <c r="F42" s="64" t="str">
        <f>TRIM(IF(MOVIMIENTOS!$G74&lt;&gt;"",MOVIMIENTOS!$G74&amp;"  ","")&amp;IF(N(MOVIMIENTOS!$E74)&gt;0,MOVIMIENTOS!$E74&amp;" "&amp;MOVIMIENTOS!$D74&amp;"  ","")&amp;IF(MOVIMIENTOS!$H74&lt;&gt;"",MOVIMIENTOS!$H74,""))</f>
        <v>1 sacos</v>
      </c>
      <c r="G42" s="56">
        <f>N(G41)+N(C42)-N(E42)</f>
        <v>3264</v>
      </c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33.75" customHeight="1" x14ac:dyDescent="0.2">
      <c r="A43" s="61">
        <v>46221</v>
      </c>
      <c r="B43" s="62" t="s">
        <v>109</v>
      </c>
      <c r="C43" s="63">
        <f>SUMPRODUCT((MOVIMIENTOS!$A$5:$A$417=DATE(2026,7,18))*(MOVIMIENTOS!$B$5:$B$417="COMPRA")*MOVIMIENTOS!$I$5:$I$417)</f>
        <v>3201</v>
      </c>
      <c r="D43" s="63">
        <f>SUMPRODUCT((MOVIMIENTOS!$A$5:$A$417=DATE(2026,7,18))*(MOVIMIENTOS!$B$5:$B$417="PROCESO")*MOVIMIENTOS!$I$5:$I$417)</f>
        <v>3295</v>
      </c>
      <c r="E43" s="63">
        <f>SUMPRODUCT((MOVIMIENTOS!$A$5:$A$417=DATE(2026,7,18))*((MOVIMIENTOS!$B$5:$B$417="ENVÍO A SUPESA")+(MOVIMIENTOS!$B$5:$B$417="ENVÍO A TOTTUS")+(MOVIMIENTOS!$B$5:$B$417="ENVIO A TOTTUS"))*MOVIMIENTOS!$I$5:$I$417)</f>
        <v>3168</v>
      </c>
      <c r="F43" s="62" t="str">
        <f>"Selección: "&amp;TEXT(SUMPRODUCT((MOVIMIENTOS!$A$5:$A$417=DATE(2026,7,18))*(MOVIMIENTOS!$B$5:$B$417="PROCESO")*(MOVIMIENTOS!$C$5:$C$417&lt;&gt;"Chancho")*MOVIMIENTOS!$I$5:$I$417),"#,##0")&amp;" kg  ·  Chancho: "&amp;TEXT(SUMPRODUCT((MOVIMIENTOS!$A$5:$A$417=DATE(2026,7,18))*(MOVIMIENTOS!$B$5:$B$417="PROCESO")*(MOVIMIENTOS!$C$5:$C$417="Chancho")*MOVIMIENTOS!$I$5:$I$417),"#,##0")&amp;" kg"&amp;IF(C43&gt;0,"  ·  "&amp;TEXT(D43/C43,"0%")&amp;" del ingreso","")</f>
        <v>Selección: 2,325 kg  ·  Chancho: 970 kg  ·  103% del ingreso</v>
      </c>
      <c r="G43" s="63">
        <f>N(G48)</f>
        <v>2327</v>
      </c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customHeight="1" x14ac:dyDescent="0.2">
      <c r="A44" s="55">
        <v>46221</v>
      </c>
      <c r="B44" s="64" t="s">
        <v>23</v>
      </c>
      <c r="C44" s="56"/>
      <c r="D44" s="56"/>
      <c r="E44" s="56">
        <f>N(MOVIMIENTOS!$I75)+N(MOVIMIENTOS!$I76)+N(MOVIMIENTOS!$I77)+N(MOVIMIENTOS!$I78)</f>
        <v>3168</v>
      </c>
      <c r="F44" s="64" t="s">
        <v>127</v>
      </c>
      <c r="G44" s="56">
        <f>N(G42)+N(C44)-N(E44)</f>
        <v>96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customHeight="1" x14ac:dyDescent="0.2">
      <c r="A45" s="68">
        <v>46221</v>
      </c>
      <c r="B45" s="69" t="s">
        <v>113</v>
      </c>
      <c r="C45" s="70"/>
      <c r="D45" s="70">
        <f>SUMPRODUCT((MOVIMIENTOS!$A$5:$A$417=DATE(2026,7,18))*(MOVIMIENTOS!$B$5:$B$417="PROCESO")*(MOVIMIENTOS!$C$5:$C$417&lt;&gt;"Chancho")*MOVIMIENTOS!$I$5:$I$417)</f>
        <v>2325</v>
      </c>
      <c r="E45" s="70"/>
      <c r="F45" s="69" t="s">
        <v>128</v>
      </c>
      <c r="G45" s="70">
        <f>N(G44)</f>
        <v>96</v>
      </c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customHeight="1" x14ac:dyDescent="0.2">
      <c r="A46" s="55">
        <v>46221</v>
      </c>
      <c r="B46" s="64" t="s">
        <v>115</v>
      </c>
      <c r="C46" s="56"/>
      <c r="D46" s="56">
        <f>N(MOVIMIENTOS!$I83)</f>
        <v>970</v>
      </c>
      <c r="E46" s="56">
        <f>N(MOVIMIENTOS!$I83)</f>
        <v>970</v>
      </c>
      <c r="F46" s="64" t="str">
        <f>TRIM(IF(MOVIMIENTOS!$G83&lt;&gt;"",MOVIMIENTOS!$G83&amp;"  ","")&amp;IF(N(MOVIMIENTOS!$E83)&gt;0,MOVIMIENTOS!$E83&amp;" "&amp;MOVIMIENTOS!$D83&amp;"  ","")&amp;IF(MOVIMIENTOS!$H83&lt;&gt;"",MOVIMIENTOS!$H83,""))</f>
        <v>10 sacos</v>
      </c>
      <c r="G46" s="56">
        <f>N(G45)+N(C46)-N(E46)</f>
        <v>-874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customHeight="1" x14ac:dyDescent="0.2">
      <c r="A47" s="55">
        <v>46221</v>
      </c>
      <c r="B47" s="64" t="s">
        <v>129</v>
      </c>
      <c r="C47" s="56"/>
      <c r="D47" s="56"/>
      <c r="E47" s="56"/>
      <c r="F47" s="64" t="str">
        <f>MOVIMIENTOS!$E84&amp;" jaba(s) movida(s) para completar otras · no resta del Stock Kg"</f>
        <v>1 jaba(s) movida(s) para completar otras · no resta del Stock Kg</v>
      </c>
      <c r="G47" s="56">
        <f>N(G46)+N(C47)-N(E47)</f>
        <v>-874</v>
      </c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customHeight="1" x14ac:dyDescent="0.2">
      <c r="A48" s="65">
        <v>46221</v>
      </c>
      <c r="B48" s="66" t="s">
        <v>112</v>
      </c>
      <c r="C48" s="67">
        <f>N(MOVIMIENTOS!$I85)</f>
        <v>3201</v>
      </c>
      <c r="D48" s="67"/>
      <c r="E48" s="67"/>
      <c r="F48" s="66" t="str">
        <f>TRIM(IF(MOVIMIENTOS!$G85&lt;&gt;"",MOVIMIENTOS!$G85&amp;"  ","")&amp;IF(N(MOVIMIENTOS!$E85)&gt;0,MOVIMIENTOS!$E85&amp;" "&amp;MOVIMIENTOS!$D85&amp;"  ","")&amp;IF(MOVIMIENTOS!$H85&lt;&gt;"",MOVIMIENTOS!$H85,""))</f>
        <v>33 sacos Compra del sabado 18/07 (33 sacos)</v>
      </c>
      <c r="G48" s="67">
        <f>N(G47)+N(C48)-N(E48)</f>
        <v>2327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33.75" customHeight="1" x14ac:dyDescent="0.2">
      <c r="A49" s="61">
        <v>46222</v>
      </c>
      <c r="B49" s="62" t="s">
        <v>109</v>
      </c>
      <c r="C49" s="63">
        <f>SUMPRODUCT((MOVIMIENTOS!$A$5:$A$417=DATE(2026,7,19))*(MOVIMIENTOS!$B$5:$B$417="COMPRA")*MOVIMIENTOS!$I$5:$I$417)</f>
        <v>1649</v>
      </c>
      <c r="D49" s="63">
        <f>SUMPRODUCT((MOVIMIENTOS!$A$5:$A$417=DATE(2026,7,19))*(MOVIMIENTOS!$B$5:$B$417="PROCESO")*MOVIMIENTOS!$I$5:$I$417)</f>
        <v>1469</v>
      </c>
      <c r="E49" s="63">
        <f>SUMPRODUCT((MOVIMIENTOS!$A$5:$A$417=DATE(2026,7,19))*((MOVIMIENTOS!$B$5:$B$417="ENVÍO A SUPESA")+(MOVIMIENTOS!$B$5:$B$417="ENVÍO A TOTTUS")+(MOVIMIENTOS!$B$5:$B$417="ENVIO A TOTTUS"))*MOVIMIENTOS!$I$5:$I$417)</f>
        <v>1883</v>
      </c>
      <c r="F49" s="62" t="str">
        <f>"Selección: "&amp;TEXT(SUMPRODUCT((MOVIMIENTOS!$A$5:$A$417=DATE(2026,7,19))*(MOVIMIENTOS!$B$5:$B$417="PROCESO")*(MOVIMIENTOS!$C$5:$C$417&lt;&gt;"Chancho")*MOVIMIENTOS!$I$5:$I$417),"#,##0")&amp;" kg  ·  Chancho: "&amp;TEXT(SUMPRODUCT((MOVIMIENTOS!$A$5:$A$417=DATE(2026,7,19))*(MOVIMIENTOS!$B$5:$B$417="PROCESO")*(MOVIMIENTOS!$C$5:$C$417="Chancho")*MOVIMIENTOS!$I$5:$I$417),"#,##0")&amp;" kg"&amp;IF(C49&gt;0,"  ·  "&amp;TEXT(D49/C49,"0%")&amp;" del ingreso","")</f>
        <v>Selección: 1,178 kg  ·  Chancho: 291 kg  ·  89% del ingreso</v>
      </c>
      <c r="G49" s="63">
        <f>N(G53)</f>
        <v>1802</v>
      </c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customHeight="1" x14ac:dyDescent="0.2">
      <c r="A50" s="68">
        <v>46222</v>
      </c>
      <c r="B50" s="69" t="s">
        <v>113</v>
      </c>
      <c r="C50" s="70"/>
      <c r="D50" s="70">
        <f>SUMPRODUCT((MOVIMIENTOS!$A$5:$A$417=DATE(2026,7,19))*(MOVIMIENTOS!$B$5:$B$417="PROCESO")*(MOVIMIENTOS!$C$5:$C$417&lt;&gt;"Chancho")*MOVIMIENTOS!$I$5:$I$417)</f>
        <v>1178</v>
      </c>
      <c r="E50" s="70"/>
      <c r="F50" s="69" t="s">
        <v>130</v>
      </c>
      <c r="G50" s="70">
        <f>N(G48)</f>
        <v>2327</v>
      </c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33.75" customHeight="1" x14ac:dyDescent="0.2">
      <c r="A51" s="55">
        <v>46222</v>
      </c>
      <c r="B51" s="64" t="s">
        <v>115</v>
      </c>
      <c r="C51" s="56"/>
      <c r="D51" s="56">
        <f>N(MOVIMIENTOS!$I90)</f>
        <v>291</v>
      </c>
      <c r="E51" s="56">
        <f>N(MOVIMIENTOS!$I90)</f>
        <v>291</v>
      </c>
      <c r="F51" s="64" t="str">
        <f>TRIM(IF(MOVIMIENTOS!$G90&lt;&gt;"",MOVIMIENTOS!$G90&amp;"  ","")&amp;IF(N(MOVIMIENTOS!$E90)&gt;0,MOVIMIENTOS!$E90&amp;" "&amp;MOVIMIENTOS!$D90&amp;"  ","")&amp;IF(MOVIMIENTOS!$H90&lt;&gt;"",MOVIMIENTOS!$H90,""))</f>
        <v>3 sacos</v>
      </c>
      <c r="G51" s="56">
        <f>N(G50)+N(C51)-N(E51)</f>
        <v>2036</v>
      </c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customHeight="1" x14ac:dyDescent="0.2">
      <c r="A52" s="55">
        <v>46222</v>
      </c>
      <c r="B52" s="64" t="s">
        <v>23</v>
      </c>
      <c r="C52" s="56"/>
      <c r="D52" s="56"/>
      <c r="E52" s="56">
        <f>N(MOVIMIENTOS!$I91)+N(MOVIMIENTOS!$I92)+N(MOVIMIENTOS!$I93)+N(MOVIMIENTOS!$I94)</f>
        <v>1883</v>
      </c>
      <c r="F52" s="64" t="s">
        <v>131</v>
      </c>
      <c r="G52" s="56">
        <f>N(G51)+N(C52)-N(E52)</f>
        <v>153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customHeight="1" x14ac:dyDescent="0.2">
      <c r="A53" s="65">
        <v>46222</v>
      </c>
      <c r="B53" s="66" t="s">
        <v>112</v>
      </c>
      <c r="C53" s="67">
        <f>N(MOVIMIENTOS!$I95)</f>
        <v>1649</v>
      </c>
      <c r="D53" s="67"/>
      <c r="E53" s="67"/>
      <c r="F53" s="66" t="str">
        <f>TRIM(IF(MOVIMIENTOS!$G95&lt;&gt;"",MOVIMIENTOS!$G95&amp;"  ","")&amp;IF(N(MOVIMIENTOS!$E95)&gt;0,MOVIMIENTOS!$E95&amp;" "&amp;MOVIMIENTOS!$D95&amp;"  ","")&amp;IF(MOVIMIENTOS!$H95&lt;&gt;"",MOVIMIENTOS!$H95,""))</f>
        <v>17 sacos Compra del domingo 19/07 (17 sacos)</v>
      </c>
      <c r="G53" s="67">
        <f>N(G52)+N(C53)-N(E53)</f>
        <v>1802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33.75" customHeight="1" x14ac:dyDescent="0.2">
      <c r="A54" s="61">
        <v>46223</v>
      </c>
      <c r="B54" s="62" t="s">
        <v>109</v>
      </c>
      <c r="C54" s="63">
        <f>SUMPRODUCT((MOVIMIENTOS!$A$5:$A$417=DATE(2026,7,20))*(MOVIMIENTOS!$B$5:$B$417="COMPRA")*MOVIMIENTOS!$I$5:$I$417)</f>
        <v>4656</v>
      </c>
      <c r="D54" s="63">
        <f>SUMPRODUCT((MOVIMIENTOS!$A$5:$A$417=DATE(2026,7,20))*(MOVIMIENTOS!$B$5:$B$417="PROCESO")*MOVIMIENTOS!$I$5:$I$417)</f>
        <v>4648.5</v>
      </c>
      <c r="E54" s="63">
        <f>SUMPRODUCT((MOVIMIENTOS!$A$5:$A$417=DATE(2026,7,20))*((MOVIMIENTOS!$B$5:$B$417="ENVÍO A SUPESA")+(MOVIMIENTOS!$B$5:$B$417="ENVÍO A TOTTUS")+(MOVIMIENTOS!$B$5:$B$417="ENVIO A TOTTUS"))*MOVIMIENTOS!$I$5:$I$417)</f>
        <v>3294</v>
      </c>
      <c r="F54" s="62" t="str">
        <f>"Selección: "&amp;TEXT(SUMPRODUCT((MOVIMIENTOS!$A$5:$A$417=DATE(2026,7,20))*(MOVIMIENTOS!$B$5:$B$417="PROCESO")*(MOVIMIENTOS!$C$5:$C$417&lt;&gt;"Chancho")*MOVIMIENTOS!$I$5:$I$417),"#,##0")&amp;" kg  ·  Chancho: "&amp;TEXT(SUMPRODUCT((MOVIMIENTOS!$A$5:$A$417=DATE(2026,7,20))*(MOVIMIENTOS!$B$5:$B$417="PROCESO")*(MOVIMIENTOS!$C$5:$C$417="Chancho")*MOVIMIENTOS!$I$5:$I$417),"#,##0")&amp;" kg"&amp;IF(C54&gt;0,"  ·  "&amp;TEXT(D54/C54,"0%")&amp;" del ingreso","")</f>
        <v>Selección: 4,018 kg  ·  Chancho: 631 kg  ·  100% del ingreso</v>
      </c>
      <c r="G54" s="63">
        <f>N(G61)</f>
        <v>2533.5</v>
      </c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customHeight="1" x14ac:dyDescent="0.2">
      <c r="A55" s="65">
        <v>46223</v>
      </c>
      <c r="B55" s="66" t="s">
        <v>112</v>
      </c>
      <c r="C55" s="67">
        <f>N(MOVIMIENTOS!$I96)</f>
        <v>4656</v>
      </c>
      <c r="D55" s="67"/>
      <c r="E55" s="67"/>
      <c r="F55" s="66" t="str">
        <f>TRIM(IF(MOVIMIENTOS!$G96&lt;&gt;"",MOVIMIENTOS!$G96&amp;"  ","")&amp;IF(N(MOVIMIENTOS!$E96)&gt;0,MOVIMIENTOS!$E96&amp;" "&amp;MOVIMIENTOS!$D96&amp;"  ","")&amp;IF(MOVIMIENTOS!$H96&lt;&gt;"",MOVIMIENTOS!$H96,""))</f>
        <v>48 sacos TOTAL 70 SACOS, LUNES PROCESO 48</v>
      </c>
      <c r="G55" s="67">
        <f>N(G53)+N(C55)-N(E55)</f>
        <v>6458</v>
      </c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customHeight="1" x14ac:dyDescent="0.2">
      <c r="A56" s="68">
        <v>46223</v>
      </c>
      <c r="B56" s="69" t="s">
        <v>113</v>
      </c>
      <c r="C56" s="70"/>
      <c r="D56" s="70">
        <f>SUMPRODUCT((MOVIMIENTOS!$A$5:$A$417=DATE(2026,7,20))*(MOVIMIENTOS!$B$5:$B$417="PROCESO")*(MOVIMIENTOS!$C$5:$C$417&lt;&gt;"Chancho")*MOVIMIENTOS!$I$5:$I$417)</f>
        <v>4018</v>
      </c>
      <c r="E56" s="70"/>
      <c r="F56" s="69" t="s">
        <v>132</v>
      </c>
      <c r="G56" s="70">
        <f>N(G55)</f>
        <v>6458</v>
      </c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customHeight="1" x14ac:dyDescent="0.2">
      <c r="A57" s="55">
        <v>46223</v>
      </c>
      <c r="B57" s="64" t="s">
        <v>115</v>
      </c>
      <c r="C57" s="56"/>
      <c r="D57" s="56">
        <f>N(MOVIMIENTOS!$I101)</f>
        <v>630.5</v>
      </c>
      <c r="E57" s="56">
        <f>N(MOVIMIENTOS!$I101)</f>
        <v>630.5</v>
      </c>
      <c r="F57" s="64" t="str">
        <f>TRIM(IF(MOVIMIENTOS!$G101&lt;&gt;"",MOVIMIENTOS!$G101&amp;"  ","")&amp;IF(N(MOVIMIENTOS!$E101)&gt;0,MOVIMIENTOS!$E101&amp;" "&amp;MOVIMIENTOS!$D101&amp;"  ","")&amp;IF(MOVIMIENTOS!$H101&lt;&gt;"",MOVIMIENTOS!$H101,""))</f>
        <v>6.5 sacos</v>
      </c>
      <c r="G57" s="56">
        <f>N(G56)+N(C57)-N(E57)</f>
        <v>5827.5</v>
      </c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customHeight="1" x14ac:dyDescent="0.2">
      <c r="A58" s="55">
        <v>46223</v>
      </c>
      <c r="B58" s="64" t="s">
        <v>23</v>
      </c>
      <c r="C58" s="56"/>
      <c r="D58" s="56"/>
      <c r="E58" s="56">
        <f>N(MOVIMIENTOS!$I102)+N(MOVIMIENTOS!$I103)+N(MOVIMIENTOS!$I104)+N(MOVIMIENTOS!$I105)</f>
        <v>3294</v>
      </c>
      <c r="F58" s="64" t="s">
        <v>133</v>
      </c>
      <c r="G58" s="56">
        <f>N(G57)+N(C58)-N(E58)</f>
        <v>2533.5</v>
      </c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customHeight="1" x14ac:dyDescent="0.2">
      <c r="A59" s="55">
        <v>46223</v>
      </c>
      <c r="B59" s="64" t="s">
        <v>28</v>
      </c>
      <c r="C59" s="56"/>
      <c r="D59" s="56"/>
      <c r="E59" s="56"/>
      <c r="F59" s="64" t="str">
        <f>TRIM(IF(MOVIMIENTOS!$G106&lt;&gt;"",MOVIMIENTOS!$G106&amp;"  ","")&amp;IF(N(MOVIMIENTOS!$E106)&gt;0,MOVIMIENTOS!$E106&amp;" "&amp;MOVIMIENTOS!$D106&amp;"  ","")&amp;IF(MOVIMIENTOS!$H106&lt;&gt;"",MOVIMIENTOS!$H106,""))</f>
        <v>TCK002-726 18 sacos</v>
      </c>
      <c r="G59" s="56">
        <f>N(G58)+N(C59)-N(E59)</f>
        <v>2533.5</v>
      </c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customHeight="1" x14ac:dyDescent="0.2">
      <c r="A60" s="55">
        <v>46223</v>
      </c>
      <c r="B60" s="64" t="s">
        <v>134</v>
      </c>
      <c r="C60" s="56"/>
      <c r="D60" s="56"/>
      <c r="E60" s="56"/>
      <c r="F60" s="64" t="str">
        <f>MOVIMIENTOS!$E107&amp;" jaba(s) movida(s) para completar otras · no resta del Stock Kg"</f>
        <v>1 jaba(s) movida(s) para completar otras · no resta del Stock Kg</v>
      </c>
      <c r="G60" s="56">
        <f>N(G59)+N(C60)-N(E60)</f>
        <v>2533.5</v>
      </c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customHeight="1" x14ac:dyDescent="0.2">
      <c r="A61" s="55">
        <v>46223</v>
      </c>
      <c r="B61" s="64" t="s">
        <v>135</v>
      </c>
      <c r="C61" s="56"/>
      <c r="D61" s="56"/>
      <c r="E61" s="56"/>
      <c r="F61" s="64" t="str">
        <f>MOVIMIENTOS!$E108&amp;" jaba(s) movida(s) para completar otras · no resta del Stock Kg"</f>
        <v>1 jaba(s) movida(s) para completar otras · no resta del Stock Kg</v>
      </c>
      <c r="G61" s="56">
        <f>N(G60)+N(C61)-N(E61)</f>
        <v>2533.5</v>
      </c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33.75" customHeight="1" x14ac:dyDescent="0.2">
      <c r="A62" s="61">
        <v>46224</v>
      </c>
      <c r="B62" s="62" t="s">
        <v>109</v>
      </c>
      <c r="C62" s="63">
        <f>SUMPRODUCT((MOVIMIENTOS!$A$5:$A$417=DATE(2026,7,21))*(MOVIMIENTOS!$B$5:$B$417="COMPRA")*MOVIMIENTOS!$I$5:$I$417)</f>
        <v>2134</v>
      </c>
      <c r="D62" s="63">
        <f>SUMPRODUCT((MOVIMIENTOS!$A$5:$A$417=DATE(2026,7,21))*(MOVIMIENTOS!$B$5:$B$417="PROCESO")*MOVIMIENTOS!$I$5:$I$417)</f>
        <v>4879</v>
      </c>
      <c r="E62" s="63">
        <f>SUMPRODUCT((MOVIMIENTOS!$A$5:$A$417=DATE(2026,7,21))*((MOVIMIENTOS!$B$5:$B$417="ENVÍO A SUPESA")+(MOVIMIENTOS!$B$5:$B$417="ENVÍO A TOTTUS")+(MOVIMIENTOS!$B$5:$B$417="ENVIO A TOTTUS"))*MOVIMIENTOS!$I$5:$I$417)</f>
        <v>3260</v>
      </c>
      <c r="F62" s="62" t="str">
        <f>"Selección: "&amp;TEXT(SUMPRODUCT((MOVIMIENTOS!$A$5:$A$417=DATE(2026,7,21))*(MOVIMIENTOS!$B$5:$B$417="PROCESO")*(MOVIMIENTOS!$C$5:$C$417&lt;&gt;"Chancho")*MOVIMIENTOS!$I$5:$I$417),"#,##0")&amp;" kg  ·  Chancho: "&amp;TEXT(SUMPRODUCT((MOVIMIENTOS!$A$5:$A$417=DATE(2026,7,21))*(MOVIMIENTOS!$B$5:$B$417="PROCESO")*(MOVIMIENTOS!$C$5:$C$417="Chancho")*MOVIMIENTOS!$I$5:$I$417),"#,##0")&amp;" kg"&amp;IF(C62&gt;0,"  ·  "&amp;TEXT(D62/C62,"0%")&amp;" del ingreso","")</f>
        <v>Selección: 4,200 kg  ·  Chancho: 679 kg  ·  229% del ingreso</v>
      </c>
      <c r="G62" s="63">
        <f>N(G72)</f>
        <v>745.5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33.75" customHeight="1" x14ac:dyDescent="0.2">
      <c r="A63" s="65">
        <v>46224</v>
      </c>
      <c r="B63" s="66" t="s">
        <v>112</v>
      </c>
      <c r="C63" s="67">
        <f>N(MOVIMIENTOS!$I109)</f>
        <v>2134</v>
      </c>
      <c r="D63" s="67"/>
      <c r="E63" s="67"/>
      <c r="F63" s="66" t="str">
        <f>TRIM(IF(MOVIMIENTOS!$G109&lt;&gt;"",MOVIMIENTOS!$G109&amp;"  ","")&amp;IF(N(MOVIMIENTOS!$E109)&gt;0,MOVIMIENTOS!$E109&amp;" "&amp;MOVIMIENTOS!$D109&amp;"  ","")&amp;IF(MOVIMIENTOS!$H109&lt;&gt;"",MOVIMIENTOS!$H109,""))</f>
        <v>22 sacos peso aprox 95 kg/saco</v>
      </c>
      <c r="G63" s="67">
        <f>N(G61)+N(C63)-N(E63)</f>
        <v>4667.5</v>
      </c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customHeight="1" x14ac:dyDescent="0.2">
      <c r="A64" s="68">
        <v>46224</v>
      </c>
      <c r="B64" s="69" t="s">
        <v>113</v>
      </c>
      <c r="C64" s="70"/>
      <c r="D64" s="70">
        <f>SUMPRODUCT((MOVIMIENTOS!$A$5:$A$417=DATE(2026,7,21))*(MOVIMIENTOS!$B$5:$B$417="PROCESO")*(MOVIMIENTOS!$C$5:$C$417&lt;&gt;"Chancho")*MOVIMIENTOS!$I$5:$I$417)</f>
        <v>4200</v>
      </c>
      <c r="E64" s="70"/>
      <c r="F64" s="69" t="s">
        <v>136</v>
      </c>
      <c r="G64" s="70">
        <f>N(G63)</f>
        <v>4667.5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customHeight="1" x14ac:dyDescent="0.2">
      <c r="A65" s="55">
        <v>46224</v>
      </c>
      <c r="B65" s="64" t="s">
        <v>115</v>
      </c>
      <c r="C65" s="56"/>
      <c r="D65" s="56">
        <f>N(MOVIMIENTOS!$I112)</f>
        <v>291</v>
      </c>
      <c r="E65" s="56">
        <f>N(MOVIMIENTOS!$I112)</f>
        <v>291</v>
      </c>
      <c r="F65" s="64" t="str">
        <f>TRIM(IF(MOVIMIENTOS!$G112&lt;&gt;"",MOVIMIENTOS!$G112&amp;"  ","")&amp;IF(N(MOVIMIENTOS!$E112)&gt;0,MOVIMIENTOS!$E112&amp;" "&amp;MOVIMIENTOS!$D112&amp;"  ","")&amp;IF(MOVIMIENTOS!$H112&lt;&gt;"",MOVIMIENTOS!$H112,""))</f>
        <v>3 sacos</v>
      </c>
      <c r="G65" s="56">
        <f t="shared" ref="G65:G72" si="0">N(G64)+N(C65)-N(E65)</f>
        <v>4376.5</v>
      </c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customHeight="1" x14ac:dyDescent="0.2">
      <c r="A66" s="55">
        <v>46224</v>
      </c>
      <c r="B66" s="64" t="s">
        <v>115</v>
      </c>
      <c r="C66" s="56"/>
      <c r="D66" s="56">
        <f>N(MOVIMIENTOS!$I117)</f>
        <v>388</v>
      </c>
      <c r="E66" s="56">
        <f>N(MOVIMIENTOS!$I117)</f>
        <v>388</v>
      </c>
      <c r="F66" s="64" t="str">
        <f>TRIM(IF(MOVIMIENTOS!$G117&lt;&gt;"",MOVIMIENTOS!$G117&amp;"  ","")&amp;IF(N(MOVIMIENTOS!$E117)&gt;0,MOVIMIENTOS!$E117&amp;" "&amp;MOVIMIENTOS!$D117&amp;"  ","")&amp;IF(MOVIMIENTOS!$H117&lt;&gt;"",MOVIMIENTOS!$H117,""))</f>
        <v>4 sacos</v>
      </c>
      <c r="G66" s="56">
        <f t="shared" si="0"/>
        <v>3988.5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  <row r="67" spans="1:20" ht="15" customHeight="1" x14ac:dyDescent="0.2">
      <c r="A67" s="55">
        <v>46224</v>
      </c>
      <c r="B67" s="64" t="s">
        <v>23</v>
      </c>
      <c r="C67" s="56"/>
      <c r="D67" s="56"/>
      <c r="E67" s="56">
        <f>N(MOVIMIENTOS!$I118)+N(MOVIMIENTOS!$I119)+N(MOVIMIENTOS!$I120)+N(MOVIMIENTOS!$I121)</f>
        <v>3260</v>
      </c>
      <c r="F67" s="64" t="s">
        <v>137</v>
      </c>
      <c r="G67" s="56">
        <f t="shared" si="0"/>
        <v>728.5</v>
      </c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</row>
    <row r="68" spans="1:20" ht="15" customHeight="1" x14ac:dyDescent="0.2">
      <c r="A68" s="55">
        <v>46224</v>
      </c>
      <c r="B68" s="64" t="s">
        <v>138</v>
      </c>
      <c r="C68" s="56"/>
      <c r="D68" s="56"/>
      <c r="E68" s="56"/>
      <c r="F68" s="64" t="str">
        <f>MOVIMIENTOS!$E122&amp;" jabas rechazadas · van a reproceso (merma del día: "&amp;TEXT(SUMPRODUCT((MOVIMIENTOS!$A$5:$A$417=MOVIMIENTOS!$A122)*(MOVIMIENTOS!$B$5:$B$417="RECHAZO")*(MOVIMIENTOS!$D$5:$D$417="jabas")*MOVIMIENTOS!$E$5:$E$417*IFERROR(_xlfn.SWITCH(MOVIMIENTOS!$C$5:$C$417,"A",15,"P",18,"C",17,"M",17,0),0))-SUMPRODUCT((MOVIMIENTOS!$A$5:$A$417=MOVIMIENTOS!$A122)*(MOVIMIENTOS!$B$5:$B$417="REPROCESO")*MOVIMIENTOS!$I$5:$I$417),"+#,##0;-#,##0;0")&amp;" kg)"</f>
        <v>1 jabas rechazadas · van a reproceso (merma del día: +17 kg)</v>
      </c>
      <c r="G68" s="56">
        <f t="shared" si="0"/>
        <v>728.5</v>
      </c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</row>
    <row r="69" spans="1:20" ht="15" customHeight="1" x14ac:dyDescent="0.2">
      <c r="A69" s="55">
        <v>46224</v>
      </c>
      <c r="B69" s="64" t="s">
        <v>139</v>
      </c>
      <c r="C69" s="56"/>
      <c r="D69" s="56"/>
      <c r="E69" s="56"/>
      <c r="F69" s="64" t="str">
        <f>MOVIMIENTOS!$E123&amp;" jabas rechazadas · van a reproceso (merma del día: "&amp;TEXT(SUMPRODUCT((MOVIMIENTOS!$A$5:$A$417=MOVIMIENTOS!$A123)*(MOVIMIENTOS!$B$5:$B$417="RECHAZO")*(MOVIMIENTOS!$D$5:$D$417="jabas")*MOVIMIENTOS!$E$5:$E$417*IFERROR(_xlfn.SWITCH(MOVIMIENTOS!$C$5:$C$417,"A",15,"P",18,"C",17,"M",17,0),0))-SUMPRODUCT((MOVIMIENTOS!$A$5:$A$417=MOVIMIENTOS!$A123)*(MOVIMIENTOS!$B$5:$B$417="REPROCESO")*MOVIMIENTOS!$I$5:$I$417),"+#,##0;-#,##0;0")&amp;" kg)"</f>
        <v>1 jabas rechazadas · van a reproceso (merma del día: +17 kg)</v>
      </c>
      <c r="G69" s="56">
        <f t="shared" si="0"/>
        <v>728.5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</row>
    <row r="70" spans="1:20" ht="15" customHeight="1" x14ac:dyDescent="0.2">
      <c r="A70" s="55">
        <v>46224</v>
      </c>
      <c r="B70" s="64" t="s">
        <v>129</v>
      </c>
      <c r="C70" s="56"/>
      <c r="D70" s="56"/>
      <c r="E70" s="56"/>
      <c r="F70" s="64" t="str">
        <f>MOVIMIENTOS!$E124&amp;" jaba(s) movida(s) para completar otras · no resta del Stock Kg"</f>
        <v>1 jaba(s) movida(s) para completar otras · no resta del Stock Kg</v>
      </c>
      <c r="G70" s="56">
        <f t="shared" si="0"/>
        <v>728.5</v>
      </c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spans="1:20" ht="33.75" customHeight="1" x14ac:dyDescent="0.2">
      <c r="A71" s="55">
        <v>46224</v>
      </c>
      <c r="B71" s="64" t="s">
        <v>140</v>
      </c>
      <c r="C71" s="56"/>
      <c r="D71" s="56"/>
      <c r="E71" s="56"/>
      <c r="F71" s="64" t="str">
        <f>MOVIMIENTOS!$E125&amp;" jaba(s) movida(s) para completar otras · no resta del Stock Kg"</f>
        <v>1 jaba(s) movida(s) para completar otras · no resta del Stock Kg</v>
      </c>
      <c r="G71" s="56">
        <f t="shared" si="0"/>
        <v>728.5</v>
      </c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spans="1:20" ht="33.75" customHeight="1" x14ac:dyDescent="0.2">
      <c r="A72" s="55">
        <v>46224</v>
      </c>
      <c r="B72" s="64" t="s">
        <v>43</v>
      </c>
      <c r="C72" s="56">
        <f>N(MOVIMIENTOS!$I126)</f>
        <v>17</v>
      </c>
      <c r="D72" s="56"/>
      <c r="E72" s="56"/>
      <c r="F72" s="64" t="str">
        <f>MOVIMIENTOS!$E126&amp;" kg recuperados (merma del día: "&amp;TEXT(SUMPRODUCT((MOVIMIENTOS!$A$5:$A$417=MOVIMIENTOS!$A126)*(MOVIMIENTOS!$B$5:$B$417="RECHAZO")*(MOVIMIENTOS!$D$5:$D$417="jabas")*MOVIMIENTOS!$E$5:$E$417*IFERROR(_xlfn.SWITCH(MOVIMIENTOS!$C$5:$C$417,"A",15,"P",18,"C",17,"M",17,0),0))-SUMPRODUCT((MOVIMIENTOS!$A$5:$A$417=MOVIMIENTOS!$A126)*(MOVIMIENTOS!$B$5:$B$417="REPROCESO")*MOVIMIENTOS!$I$5:$I$417),"+#,##0;-#,##0;0")&amp;" kg)"</f>
        <v>17 kg recuperados (merma del día: +13 kg)</v>
      </c>
      <c r="G72" s="56">
        <f t="shared" si="0"/>
        <v>745.5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spans="1:20" ht="33.75" customHeight="1" x14ac:dyDescent="0.2">
      <c r="A73" s="61">
        <v>46225</v>
      </c>
      <c r="B73" s="62" t="s">
        <v>109</v>
      </c>
      <c r="C73" s="63">
        <f>SUMPRODUCT((MOVIMIENTOS!$A$5:$A$417=DATE(2026,7,22))*(MOVIMIENTOS!$B$5:$B$417="COMPRA")*MOVIMIENTOS!$I$5:$I$417)</f>
        <v>6790</v>
      </c>
      <c r="D73" s="63">
        <f>SUMPRODUCT((MOVIMIENTOS!$A$5:$A$417=DATE(2026,7,22))*(MOVIMIENTOS!$B$5:$B$417="PROCESO")*MOVIMIENTOS!$I$5:$I$417)</f>
        <v>4025</v>
      </c>
      <c r="E73" s="63">
        <f>SUMPRODUCT((MOVIMIENTOS!$A$5:$A$417=DATE(2026,7,22))*((MOVIMIENTOS!$B$5:$B$417="ENVÍO A SUPESA")+(MOVIMIENTOS!$B$5:$B$417="ENVÍO A TOTTUS")+(MOVIMIENTOS!$B$5:$B$417="ENVIO A TOTTUS"))*MOVIMIENTOS!$I$5:$I$417)</f>
        <v>3294</v>
      </c>
      <c r="F73" s="62" t="str">
        <f>"Selección: "&amp;TEXT(SUMPRODUCT((MOVIMIENTOS!$A$5:$A$417=DATE(2026,7,22))*(MOVIMIENTOS!$B$5:$B$417="PROCESO")*(MOVIMIENTOS!$C$5:$C$417&lt;&gt;"Chancho")*MOVIMIENTOS!$I$5:$I$417),"#,##0")&amp;" kg  ·  Chancho: "&amp;TEXT(SUMPRODUCT((MOVIMIENTOS!$A$5:$A$417=DATE(2026,7,22))*(MOVIMIENTOS!$B$5:$B$417="PROCESO")*(MOVIMIENTOS!$C$5:$C$417="Chancho")*MOVIMIENTOS!$I$5:$I$417),"#,##0")&amp;" kg"&amp;IF(C73&gt;0,"  ·  "&amp;TEXT(D73/C73,"0%")&amp;" del ingreso","")</f>
        <v>Selección: 3,249 kg  ·  Chancho: 776 kg  ·  59% del ingreso</v>
      </c>
      <c r="G73" s="63">
        <f>N(G83)</f>
        <v>3577.5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</row>
    <row r="74" spans="1:20" ht="33.75" customHeight="1" x14ac:dyDescent="0.2">
      <c r="A74" s="65">
        <v>46225</v>
      </c>
      <c r="B74" s="66" t="s">
        <v>112</v>
      </c>
      <c r="C74" s="67">
        <f>N(MOVIMIENTOS!$I127)</f>
        <v>6790</v>
      </c>
      <c r="D74" s="67"/>
      <c r="E74" s="67"/>
      <c r="F74" s="66" t="str">
        <f>TRIM(IF(MOVIMIENTOS!$G127&lt;&gt;"",MOVIMIENTOS!$G127&amp;"  ","")&amp;IF(N(MOVIMIENTOS!$E127)&gt;0,MOVIMIENTOS!$E127&amp;" "&amp;MOVIMIENTOS!$D127&amp;"  ","")&amp;IF(MOVIMIENTOS!$H127&lt;&gt;"",MOVIMIENTOS!$H127,""))</f>
        <v>70 sacos peso aprox 95 kg/saco</v>
      </c>
      <c r="G74" s="67">
        <f>N(G72)+N(C74)-N(E74)</f>
        <v>7535.5</v>
      </c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</row>
    <row r="75" spans="1:20" ht="15" customHeight="1" x14ac:dyDescent="0.2">
      <c r="A75" s="68">
        <v>46225</v>
      </c>
      <c r="B75" s="69" t="s">
        <v>113</v>
      </c>
      <c r="C75" s="70"/>
      <c r="D75" s="70">
        <f>SUMPRODUCT((MOVIMIENTOS!$A$5:$A$417=DATE(2026,7,22))*(MOVIMIENTOS!$B$5:$B$417="PROCESO")*(MOVIMIENTOS!$C$5:$C$417&lt;&gt;"Chancho")*MOVIMIENTOS!$I$5:$I$417)</f>
        <v>3249</v>
      </c>
      <c r="E75" s="70"/>
      <c r="F75" s="69" t="s">
        <v>141</v>
      </c>
      <c r="G75" s="70">
        <f>N(G74)</f>
        <v>7535.5</v>
      </c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</row>
    <row r="76" spans="1:20" ht="15" customHeight="1" x14ac:dyDescent="0.2">
      <c r="A76" s="55">
        <v>46225</v>
      </c>
      <c r="B76" s="64" t="s">
        <v>115</v>
      </c>
      <c r="C76" s="56"/>
      <c r="D76" s="56">
        <f>N(MOVIMIENTOS!$I132)</f>
        <v>776</v>
      </c>
      <c r="E76" s="56">
        <f>N(MOVIMIENTOS!$I132)</f>
        <v>776</v>
      </c>
      <c r="F76" s="64" t="str">
        <f>TRIM(IF(MOVIMIENTOS!$G132&lt;&gt;"",MOVIMIENTOS!$G132&amp;"  ","")&amp;IF(N(MOVIMIENTOS!$E132)&gt;0,MOVIMIENTOS!$E132&amp;" "&amp;MOVIMIENTOS!$D132&amp;"  ","")&amp;IF(MOVIMIENTOS!$H132&lt;&gt;"",MOVIMIENTOS!$H132,""))</f>
        <v>8 sacos</v>
      </c>
      <c r="G76" s="56">
        <f t="shared" ref="G76:G83" si="1">N(G75)+N(C76)-N(E76)</f>
        <v>6759.5</v>
      </c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</row>
    <row r="77" spans="1:20" ht="15" customHeight="1" x14ac:dyDescent="0.2">
      <c r="A77" s="55">
        <v>46225</v>
      </c>
      <c r="B77" s="64" t="s">
        <v>46</v>
      </c>
      <c r="C77" s="56"/>
      <c r="D77" s="56"/>
      <c r="E77" s="56">
        <f>N(MOVIMIENTOS!$I133)</f>
        <v>50</v>
      </c>
      <c r="F77" s="64" t="str">
        <f>TRIM(IF(MOVIMIENTOS!$G133&lt;&gt;"",MOVIMIENTOS!$G133&amp;"  ","")&amp;IF(N(MOVIMIENTOS!$E133)&gt;0,MOVIMIENTOS!$E133&amp;" "&amp;MOVIMIENTOS!$D133&amp;"  ","")&amp;IF(MOVIMIENTOS!$H133&lt;&gt;"",MOVIMIENTOS!$H133,""))</f>
        <v>50 kg</v>
      </c>
      <c r="G77" s="56">
        <f t="shared" si="1"/>
        <v>6709.5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</row>
    <row r="78" spans="1:20" ht="15" customHeight="1" x14ac:dyDescent="0.2">
      <c r="A78" s="55">
        <v>46225</v>
      </c>
      <c r="B78" s="64" t="s">
        <v>23</v>
      </c>
      <c r="C78" s="56"/>
      <c r="D78" s="56"/>
      <c r="E78" s="56">
        <f>N(MOVIMIENTOS!$I134)+N(MOVIMIENTOS!$I135)+N(MOVIMIENTOS!$I136)+N(MOVIMIENTOS!$I137)</f>
        <v>3294</v>
      </c>
      <c r="F78" s="64" t="s">
        <v>142</v>
      </c>
      <c r="G78" s="56">
        <f t="shared" si="1"/>
        <v>3415.5</v>
      </c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</row>
    <row r="79" spans="1:20" ht="33.75" customHeight="1" x14ac:dyDescent="0.2">
      <c r="A79" s="55">
        <v>46225</v>
      </c>
      <c r="B79" s="64" t="s">
        <v>28</v>
      </c>
      <c r="C79" s="56"/>
      <c r="D79" s="56"/>
      <c r="E79" s="56"/>
      <c r="F79" s="64" t="str">
        <f>TRIM(IF(MOVIMIENTOS!$G138&lt;&gt;"",MOVIMIENTOS!$G138&amp;"  ","")&amp;IF(N(MOVIMIENTOS!$E138)&gt;0,MOVIMIENTOS!$E138&amp;" "&amp;MOVIMIENTOS!$D138&amp;"  ","")&amp;IF(MOVIMIENTOS!$H138&lt;&gt;"",MOVIMIENTOS!$H138,""))</f>
        <v>S/T 10 sacos POR REGULARIZAR</v>
      </c>
      <c r="G79" s="56">
        <f t="shared" si="1"/>
        <v>3415.5</v>
      </c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 spans="1:20" ht="15" customHeight="1" x14ac:dyDescent="0.2">
      <c r="A80" s="55">
        <v>46225</v>
      </c>
      <c r="B80" s="64" t="s">
        <v>138</v>
      </c>
      <c r="C80" s="56"/>
      <c r="D80" s="56"/>
      <c r="E80" s="56"/>
      <c r="F80" s="64" t="str">
        <f>MOVIMIENTOS!$E139&amp;" jabas rechazadas · van a reproceso (merma del día: "&amp;TEXT(SUMPRODUCT((MOVIMIENTOS!$A$5:$A$417=MOVIMIENTOS!$A139)*(MOVIMIENTOS!$B$5:$B$417="RECHAZO")*(MOVIMIENTOS!$D$5:$D$417="jabas")*MOVIMIENTOS!$E$5:$E$417*IFERROR(_xlfn.SWITCH(MOVIMIENTOS!$C$5:$C$417,"A",15,"P",18,"C",17,"M",17,0),0))-SUMPRODUCT((MOVIMIENTOS!$A$5:$A$417=MOVIMIENTOS!$A139)*(MOVIMIENTOS!$B$5:$B$417="REPROCESO")*MOVIMIENTOS!$I$5:$I$417),"+#,##0;-#,##0;0")&amp;" kg)"</f>
        <v>1 jabas rechazadas · van a reproceso (merma del día: +9 kg)</v>
      </c>
      <c r="G80" s="56">
        <f t="shared" si="1"/>
        <v>3415.5</v>
      </c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</row>
    <row r="81" spans="1:20" ht="15" customHeight="1" x14ac:dyDescent="0.2">
      <c r="A81" s="55">
        <v>46225</v>
      </c>
      <c r="B81" s="64" t="s">
        <v>143</v>
      </c>
      <c r="C81" s="56">
        <f>N(MOVIMIENTOS!$I140)</f>
        <v>153</v>
      </c>
      <c r="D81" s="56"/>
      <c r="E81" s="56"/>
      <c r="F81" s="64"/>
      <c r="G81" s="56">
        <f t="shared" si="1"/>
        <v>3568.5</v>
      </c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</row>
    <row r="82" spans="1:20" ht="15" customHeight="1" x14ac:dyDescent="0.2">
      <c r="A82" s="55">
        <v>46225</v>
      </c>
      <c r="B82" s="64" t="s">
        <v>129</v>
      </c>
      <c r="C82" s="56"/>
      <c r="D82" s="56"/>
      <c r="E82" s="56"/>
      <c r="F82" s="64" t="str">
        <f>MOVIMIENTOS!$E141&amp;" jaba(s) movida(s) para completar otras · no resta del Stock Kg"</f>
        <v>1 jaba(s) movida(s) para completar otras · no resta del Stock Kg</v>
      </c>
      <c r="G82" s="56">
        <f t="shared" si="1"/>
        <v>3568.5</v>
      </c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</row>
    <row r="83" spans="1:20" ht="33.75" customHeight="1" x14ac:dyDescent="0.2">
      <c r="A83" s="55">
        <v>46225</v>
      </c>
      <c r="B83" s="64" t="s">
        <v>43</v>
      </c>
      <c r="C83" s="56">
        <f>N(MOVIMIENTOS!$I142)</f>
        <v>9</v>
      </c>
      <c r="D83" s="56"/>
      <c r="E83" s="56"/>
      <c r="F83" s="64" t="str">
        <f>MOVIMIENTOS!$E142&amp;" kg recuperados (merma del día: "&amp;TEXT(SUMPRODUCT((MOVIMIENTOS!$A$5:$A$417=MOVIMIENTOS!$A142)*(MOVIMIENTOS!$B$5:$B$417="RECHAZO")*(MOVIMIENTOS!$D$5:$D$417="jabas")*MOVIMIENTOS!$E$5:$E$417*IFERROR(_xlfn.SWITCH(MOVIMIENTOS!$C$5:$C$417,"A",15,"P",18,"C",17,"M",17,0),0))-SUMPRODUCT((MOVIMIENTOS!$A$5:$A$417=MOVIMIENTOS!$A142)*(MOVIMIENTOS!$B$5:$B$417="REPROCESO")*MOVIMIENTOS!$I$5:$I$417),"+#,##0;-#,##0;0")&amp;" kg)"</f>
        <v>9 kg recuperados (merma del día: -9 kg)</v>
      </c>
      <c r="G83" s="56">
        <f t="shared" si="1"/>
        <v>3577.5</v>
      </c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</row>
    <row r="84" spans="1:20" ht="33.75" customHeight="1" x14ac:dyDescent="0.2">
      <c r="A84" s="61">
        <v>46226</v>
      </c>
      <c r="B84" s="62" t="s">
        <v>109</v>
      </c>
      <c r="C84" s="63">
        <f>SUMPRODUCT((MOVIMIENTOS!$A$5:$A$417=DATE(2026,7,23))*(MOVIMIENTOS!$B$5:$B$417="COMPRA")*MOVIMIENTOS!$I$5:$I$417)</f>
        <v>3880</v>
      </c>
      <c r="D84" s="63">
        <f>SUMPRODUCT((MOVIMIENTOS!$A$5:$A$417=DATE(2026,7,23))*(MOVIMIENTOS!$B$5:$B$417="PROCESO")*MOVIMIENTOS!$I$5:$I$417)</f>
        <v>3800.5</v>
      </c>
      <c r="E84" s="63">
        <f>SUMPRODUCT((MOVIMIENTOS!$A$5:$A$417=DATE(2026,7,23))*((MOVIMIENTOS!$B$5:$B$417="ENVÍO A SUPESA")+(MOVIMIENTOS!$B$5:$B$417="ENVÍO A TOTTUS")+(MOVIMIENTOS!$B$5:$B$417="ENVIO A TOTTUS"))*MOVIMIENTOS!$I$5:$I$417)</f>
        <v>3413</v>
      </c>
      <c r="F84" s="62" t="str">
        <f>"Selección: "&amp;TEXT(SUMPRODUCT((MOVIMIENTOS!$A$5:$A$417=DATE(2026,7,23))*(MOVIMIENTOS!$B$5:$B$417="PROCESO")*(MOVIMIENTOS!$C$5:$C$417&lt;&gt;"Chancho")*MOVIMIENTOS!$I$5:$I$417),"#,##0")&amp;" kg  ·  Chancho: "&amp;TEXT(SUMPRODUCT((MOVIMIENTOS!$A$5:$A$417=DATE(2026,7,23))*(MOVIMIENTOS!$B$5:$B$417="PROCESO")*(MOVIMIENTOS!$C$5:$C$417="Chancho")*MOVIMIENTOS!$I$5:$I$417),"#,##0")&amp;" kg"&amp;IF(C84&gt;0,"  ·  "&amp;TEXT(D84/C84,"0%")&amp;" del ingreso","")</f>
        <v>Selección: 3,170 kg  ·  Chancho: 631 kg  ·  98% del ingreso</v>
      </c>
      <c r="G84" s="63">
        <f>N(G88)</f>
        <v>3414</v>
      </c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</row>
    <row r="85" spans="1:20" ht="33.75" customHeight="1" x14ac:dyDescent="0.2">
      <c r="A85" s="65">
        <v>46226</v>
      </c>
      <c r="B85" s="66" t="s">
        <v>112</v>
      </c>
      <c r="C85" s="67">
        <f>N(MOVIMIENTOS!$I143)</f>
        <v>3880</v>
      </c>
      <c r="D85" s="67"/>
      <c r="E85" s="67"/>
      <c r="F85" s="66" t="str">
        <f>TRIM(IF(MOVIMIENTOS!$G143&lt;&gt;"",MOVIMIENTOS!$G143&amp;"  ","")&amp;IF(N(MOVIMIENTOS!$E143)&gt;0,MOVIMIENTOS!$E143&amp;" "&amp;MOVIMIENTOS!$D143&amp;"  ","")&amp;IF(MOVIMIENTOS!$H143&lt;&gt;"",MOVIMIENTOS!$H143,""))</f>
        <v>40 sacos peso aprox 95 kg/saco</v>
      </c>
      <c r="G85" s="67">
        <f>N(G83)+N(C85)-N(E85)</f>
        <v>7457.5</v>
      </c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</row>
    <row r="86" spans="1:20" ht="15" customHeight="1" x14ac:dyDescent="0.2">
      <c r="A86" s="68">
        <v>46226</v>
      </c>
      <c r="B86" s="69" t="s">
        <v>113</v>
      </c>
      <c r="C86" s="70"/>
      <c r="D86" s="70">
        <f>SUMPRODUCT((MOVIMIENTOS!$A$5:$A$417=DATE(2026,7,23))*(MOVIMIENTOS!$B$5:$B$417="PROCESO")*(MOVIMIENTOS!$C$5:$C$417&lt;&gt;"Chancho")*MOVIMIENTOS!$I$5:$I$417)</f>
        <v>3170</v>
      </c>
      <c r="E86" s="70"/>
      <c r="F86" s="69" t="s">
        <v>144</v>
      </c>
      <c r="G86" s="70">
        <f>N(G85)</f>
        <v>7457.5</v>
      </c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</row>
    <row r="87" spans="1:20" ht="15" customHeight="1" x14ac:dyDescent="0.2">
      <c r="A87" s="55">
        <v>46226</v>
      </c>
      <c r="B87" s="64" t="s">
        <v>115</v>
      </c>
      <c r="C87" s="56"/>
      <c r="D87" s="56">
        <f>N(MOVIMIENTOS!$I148)</f>
        <v>630.5</v>
      </c>
      <c r="E87" s="56">
        <f>N(MOVIMIENTOS!$I148)</f>
        <v>630.5</v>
      </c>
      <c r="F87" s="64" t="str">
        <f>TRIM(IF(MOVIMIENTOS!$G148&lt;&gt;"",MOVIMIENTOS!$G148&amp;"  ","")&amp;IF(N(MOVIMIENTOS!$E148)&gt;0,MOVIMIENTOS!$E148&amp;" "&amp;MOVIMIENTOS!$D148&amp;"  ","")&amp;IF(MOVIMIENTOS!$H148&lt;&gt;"",MOVIMIENTOS!$H148,""))</f>
        <v>6.5 sacos</v>
      </c>
      <c r="G87" s="56">
        <f>N(G86)+N(C87)-N(E87)</f>
        <v>6827</v>
      </c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</row>
    <row r="88" spans="1:20" ht="15" customHeight="1" x14ac:dyDescent="0.2">
      <c r="A88" s="55">
        <v>46226</v>
      </c>
      <c r="B88" s="64" t="s">
        <v>23</v>
      </c>
      <c r="C88" s="56"/>
      <c r="D88" s="56"/>
      <c r="E88" s="56">
        <f>N(MOVIMIENTOS!$I149)+N(MOVIMIENTOS!$I150)+N(MOVIMIENTOS!$I151)+N(MOVIMIENTOS!$I152)</f>
        <v>3413</v>
      </c>
      <c r="F88" s="64" t="s">
        <v>145</v>
      </c>
      <c r="G88" s="56">
        <f>N(G87)+N(C88)-N(E88)</f>
        <v>3414</v>
      </c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</row>
    <row r="89" spans="1:20" ht="33.75" customHeight="1" x14ac:dyDescent="0.2">
      <c r="A89" s="61">
        <v>46227</v>
      </c>
      <c r="B89" s="62" t="s">
        <v>109</v>
      </c>
      <c r="C89" s="63">
        <f>SUMPRODUCT((MOVIMIENTOS!$A$5:$A$417=DATE(2026,7,24))*(MOVIMIENTOS!$B$5:$B$417="COMPRA")*MOVIMIENTOS!$I$5:$I$417)</f>
        <v>4171</v>
      </c>
      <c r="D89" s="63">
        <f>SUMPRODUCT((MOVIMIENTOS!$A$5:$A$417=DATE(2026,7,24))*(MOVIMIENTOS!$B$5:$B$417="PROCESO")*MOVIMIENTOS!$I$5:$I$417)</f>
        <v>3056</v>
      </c>
      <c r="E89" s="63">
        <f>SUMPRODUCT((MOVIMIENTOS!$A$5:$A$417=DATE(2026,7,24))*((MOVIMIENTOS!$B$5:$B$417="ENVÍO A SUPESA")+(MOVIMIENTOS!$B$5:$B$417="ENVÍO A TOTTUS")+(MOVIMIENTOS!$B$5:$B$417="ENVIO A TOTTUS"))*MOVIMIENTOS!$I$5:$I$417)</f>
        <v>3461</v>
      </c>
      <c r="F89" s="62" t="str">
        <f>"Selección: "&amp;TEXT(SUMPRODUCT((MOVIMIENTOS!$A$5:$A$417=DATE(2026,7,24))*(MOVIMIENTOS!$B$5:$B$417="PROCESO")*(MOVIMIENTOS!$C$5:$C$417&lt;&gt;"Chancho")*MOVIMIENTOS!$I$5:$I$417),"#,##0")&amp;" kg  ·  Chancho: "&amp;TEXT(SUMPRODUCT((MOVIMIENTOS!$A$5:$A$417=DATE(2026,7,24))*(MOVIMIENTOS!$B$5:$B$417="PROCESO")*(MOVIMIENTOS!$C$5:$C$417="Chancho")*MOVIMIENTOS!$I$5:$I$417),"#,##0")&amp;" kg"&amp;IF(C89&gt;0,"  ·  "&amp;TEXT(D89/C89,"0%")&amp;" del ingreso","")</f>
        <v>Selección: 2,474 kg  ·  Chancho: 582 kg  ·  73% del ingreso</v>
      </c>
      <c r="G89" s="63">
        <f>N(G100)</f>
        <v>3563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</row>
    <row r="90" spans="1:20" ht="33.75" customHeight="1" x14ac:dyDescent="0.2">
      <c r="A90" s="65">
        <v>46227</v>
      </c>
      <c r="B90" s="66" t="s">
        <v>112</v>
      </c>
      <c r="C90" s="67">
        <f>N(MOVIMIENTOS!$I153)</f>
        <v>4171</v>
      </c>
      <c r="D90" s="67"/>
      <c r="E90" s="67"/>
      <c r="F90" s="66" t="str">
        <f>TRIM(IF(MOVIMIENTOS!$G153&lt;&gt;"",MOVIMIENTOS!$G153&amp;"  ","")&amp;IF(N(MOVIMIENTOS!$E153)&gt;0,MOVIMIENTOS!$E153&amp;" "&amp;MOVIMIENTOS!$D153&amp;"  ","")&amp;IF(MOVIMIENTOS!$H153&lt;&gt;"",MOVIMIENTOS!$H153,""))</f>
        <v>43 sacos EN TOTAL SE COMPRARON 80 SACOS, 43 PROCESARON 24-07 Y 37 PROCESARAN SABADO 25</v>
      </c>
      <c r="G90" s="67">
        <f>N(G88)+N(C90)-N(E90)</f>
        <v>7585</v>
      </c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</row>
    <row r="91" spans="1:20" ht="33.75" customHeight="1" x14ac:dyDescent="0.2">
      <c r="A91" s="68">
        <v>46227</v>
      </c>
      <c r="B91" s="69" t="s">
        <v>113</v>
      </c>
      <c r="C91" s="70"/>
      <c r="D91" s="70">
        <f>SUMPRODUCT((MOVIMIENTOS!$A$5:$A$417=DATE(2026,7,24))*(MOVIMIENTOS!$B$5:$B$417="PROCESO")*(MOVIMIENTOS!$C$5:$C$417&lt;&gt;"Chancho")*MOVIMIENTOS!$I$5:$I$417)</f>
        <v>2474</v>
      </c>
      <c r="E91" s="70"/>
      <c r="F91" s="69" t="s">
        <v>146</v>
      </c>
      <c r="G91" s="70">
        <f>N(G90)</f>
        <v>7585</v>
      </c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</row>
    <row r="92" spans="1:20" ht="33.75" customHeight="1" x14ac:dyDescent="0.2">
      <c r="A92" s="55">
        <v>46227</v>
      </c>
      <c r="B92" s="64" t="s">
        <v>115</v>
      </c>
      <c r="C92" s="56"/>
      <c r="D92" s="56">
        <f>N(MOVIMIENTOS!$I158)</f>
        <v>582</v>
      </c>
      <c r="E92" s="56">
        <f>N(MOVIMIENTOS!$I158)</f>
        <v>582</v>
      </c>
      <c r="F92" s="64" t="str">
        <f>TRIM(IF(MOVIMIENTOS!$G158&lt;&gt;"",MOVIMIENTOS!$G158&amp;"  ","")&amp;IF(N(MOVIMIENTOS!$E158)&gt;0,MOVIMIENTOS!$E158&amp;" "&amp;MOVIMIENTOS!$D158&amp;"  ","")&amp;IF(MOVIMIENTOS!$H158&lt;&gt;"",MOVIMIENTOS!$H158,""))</f>
        <v>6 sacos</v>
      </c>
      <c r="G92" s="56">
        <f t="shared" ref="G92:G100" si="2">N(G91)+N(C92)-N(E92)</f>
        <v>7003</v>
      </c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</row>
    <row r="93" spans="1:20" ht="15" customHeight="1" x14ac:dyDescent="0.2">
      <c r="A93" s="55">
        <v>46227</v>
      </c>
      <c r="B93" s="64" t="s">
        <v>23</v>
      </c>
      <c r="C93" s="56"/>
      <c r="D93" s="56"/>
      <c r="E93" s="56">
        <f>N(MOVIMIENTOS!$I159)+N(MOVIMIENTOS!$I160)+N(MOVIMIENTOS!$I161)+N(MOVIMIENTOS!$I162)</f>
        <v>3413</v>
      </c>
      <c r="F93" s="64" t="s">
        <v>147</v>
      </c>
      <c r="G93" s="56">
        <f t="shared" si="2"/>
        <v>3590</v>
      </c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</row>
    <row r="94" spans="1:20" ht="15" customHeight="1" x14ac:dyDescent="0.2">
      <c r="A94" s="55">
        <v>46227</v>
      </c>
      <c r="B94" s="64" t="s">
        <v>138</v>
      </c>
      <c r="C94" s="56"/>
      <c r="D94" s="56"/>
      <c r="E94" s="56"/>
      <c r="F94" s="64" t="str">
        <f>MOVIMIENTOS!$E163&amp;" jabas rechazadas · van a reproceso (merma del día: "&amp;TEXT(SUMPRODUCT((MOVIMIENTOS!$A$5:$A$417=MOVIMIENTOS!$A163)*(MOVIMIENTOS!$B$5:$B$417="RECHAZO")*(MOVIMIENTOS!$D$5:$D$417="jabas")*MOVIMIENTOS!$E$5:$E$417*IFERROR(_xlfn.SWITCH(MOVIMIENTOS!$C$5:$C$417,"A",15,"P",18,"C",17,"M",17,0),0))-SUMPRODUCT((MOVIMIENTOS!$A$5:$A$417=MOVIMIENTOS!$A163)*(MOVIMIENTOS!$B$5:$B$417="REPROCESO")*MOVIMIENTOS!$I$5:$I$417),"+#,##0;-#,##0;0")&amp;" kg)"</f>
        <v>1 jabas rechazadas · van a reproceso (merma del día: +13 kg)</v>
      </c>
      <c r="G94" s="56">
        <f t="shared" si="2"/>
        <v>3590</v>
      </c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</row>
    <row r="95" spans="1:20" ht="15" customHeight="1" x14ac:dyDescent="0.2">
      <c r="A95" s="55">
        <v>46227</v>
      </c>
      <c r="B95" s="64" t="s">
        <v>43</v>
      </c>
      <c r="C95" s="56">
        <f>N(MOVIMIENTOS!$I164)</f>
        <v>11</v>
      </c>
      <c r="D95" s="56"/>
      <c r="E95" s="56"/>
      <c r="F95" s="64" t="str">
        <f>MOVIMIENTOS!$E164&amp;" kg recuperados (merma del día: "&amp;TEXT(SUMPRODUCT((MOVIMIENTOS!$A$5:$A$417=MOVIMIENTOS!$A164)*(MOVIMIENTOS!$B$5:$B$417="RECHAZO")*(MOVIMIENTOS!$D$5:$D$417="jabas")*MOVIMIENTOS!$E$5:$E$417*IFERROR(_xlfn.SWITCH(MOVIMIENTOS!$C$5:$C$417,"A",15,"P",18,"C",17,"M",17,0),0))-SUMPRODUCT((MOVIMIENTOS!$A$5:$A$417=MOVIMIENTOS!$A164)*(MOVIMIENTOS!$B$5:$B$417="REPROCESO")*MOVIMIENTOS!$I$5:$I$417),"+#,##0;-#,##0;0")&amp;" kg)"</f>
        <v>11 kg recuperados (merma del día: -21 kg)</v>
      </c>
      <c r="G95" s="56">
        <f t="shared" si="2"/>
        <v>3601</v>
      </c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</row>
    <row r="96" spans="1:20" ht="15" customHeight="1" x14ac:dyDescent="0.2">
      <c r="A96" s="55">
        <v>46227</v>
      </c>
      <c r="B96" s="64" t="s">
        <v>139</v>
      </c>
      <c r="C96" s="56"/>
      <c r="D96" s="56"/>
      <c r="E96" s="56"/>
      <c r="F96" s="64" t="str">
        <f>MOVIMIENTOS!$E165&amp;" jabas rechazadas · van a reproceso (merma del día: "&amp;TEXT(SUMPRODUCT((MOVIMIENTOS!$A$5:$A$417=MOVIMIENTOS!$A165)*(MOVIMIENTOS!$B$5:$B$417="RECHAZO")*(MOVIMIENTOS!$D$5:$D$417="jabas")*MOVIMIENTOS!$E$5:$E$417*IFERROR(_xlfn.SWITCH(MOVIMIENTOS!$C$5:$C$417,"A",15,"P",18,"C",17,"M",17,0),0))-SUMPRODUCT((MOVIMIENTOS!$A$5:$A$417=MOVIMIENTOS!$A165)*(MOVIMIENTOS!$B$5:$B$417="REPROCESO")*MOVIMIENTOS!$I$5:$I$417),"+#,##0;-#,##0;0")&amp;" kg)"</f>
        <v>1 jabas rechazadas · van a reproceso (merma del día: -21 kg)</v>
      </c>
      <c r="G96" s="56">
        <f t="shared" si="2"/>
        <v>3601</v>
      </c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</row>
    <row r="97" spans="1:20" ht="15" customHeight="1" x14ac:dyDescent="0.2">
      <c r="A97" s="55">
        <v>46227</v>
      </c>
      <c r="B97" s="64" t="s">
        <v>43</v>
      </c>
      <c r="C97" s="56">
        <f>N(MOVIMIENTOS!$I166)</f>
        <v>10</v>
      </c>
      <c r="D97" s="56"/>
      <c r="E97" s="56"/>
      <c r="F97" s="64" t="str">
        <f>MOVIMIENTOS!$E166&amp;" kg recuperados (merma del día: "&amp;TEXT(SUMPRODUCT((MOVIMIENTOS!$A$5:$A$417=MOVIMIENTOS!$A166)*(MOVIMIENTOS!$B$5:$B$417="RECHAZO")*(MOVIMIENTOS!$D$5:$D$417="jabas")*MOVIMIENTOS!$E$5:$E$417*IFERROR(_xlfn.SWITCH(MOVIMIENTOS!$C$5:$C$417,"A",15,"P",18,"C",17,"M",17,0),0))-SUMPRODUCT((MOVIMIENTOS!$A$5:$A$417=MOVIMIENTOS!$A166)*(MOVIMIENTOS!$B$5:$B$417="REPROCESO")*MOVIMIENTOS!$I$5:$I$417),"+#,##0;-#,##0;0")&amp;" kg)"</f>
        <v>10 kg recuperados (merma del día: +9 kg)</v>
      </c>
      <c r="G97" s="56">
        <f t="shared" si="2"/>
        <v>3611</v>
      </c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</row>
    <row r="98" spans="1:20" ht="15" customHeight="1" x14ac:dyDescent="0.2">
      <c r="A98" s="55">
        <v>46227</v>
      </c>
      <c r="B98" s="64" t="s">
        <v>28</v>
      </c>
      <c r="C98" s="56"/>
      <c r="D98" s="56"/>
      <c r="E98" s="56"/>
      <c r="F98" s="64" t="str">
        <f>TRIM(IF(MOVIMIENTOS!$G167&lt;&gt;"",MOVIMIENTOS!$G167&amp;"  ","")&amp;IF(N(MOVIMIENTOS!$E167)&gt;0,MOVIMIENTOS!$E167&amp;" "&amp;MOVIMIENTOS!$D167&amp;"  ","")&amp;IF(MOVIMIENTOS!$H167&lt;&gt;"",MOVIMIENTOS!$H167,""))</f>
        <v>TCK002-729 9 sacos</v>
      </c>
      <c r="G98" s="56">
        <f t="shared" si="2"/>
        <v>3611</v>
      </c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</row>
    <row r="99" spans="1:20" ht="15" customHeight="1" x14ac:dyDescent="0.2">
      <c r="A99" s="55">
        <v>46227</v>
      </c>
      <c r="B99" s="64" t="s">
        <v>28</v>
      </c>
      <c r="C99" s="56"/>
      <c r="D99" s="56"/>
      <c r="E99" s="56"/>
      <c r="F99" s="64" t="str">
        <f>TRIM(IF(MOVIMIENTOS!$G168&lt;&gt;"",MOVIMIENTOS!$G168&amp;"  ","")&amp;IF(N(MOVIMIENTOS!$E168)&gt;0,MOVIMIENTOS!$E168&amp;" "&amp;MOVIMIENTOS!$D168&amp;"  ","")&amp;IF(MOVIMIENTOS!$H168&lt;&gt;"",MOVIMIENTOS!$H168,""))</f>
        <v>TCK002-734 1 sacos</v>
      </c>
      <c r="G99" s="56">
        <f t="shared" si="2"/>
        <v>3611</v>
      </c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</row>
    <row r="100" spans="1:20" ht="15" customHeight="1" x14ac:dyDescent="0.2">
      <c r="A100" s="55">
        <v>46227</v>
      </c>
      <c r="B100" s="64" t="s">
        <v>148</v>
      </c>
      <c r="C100" s="56"/>
      <c r="D100" s="56"/>
      <c r="E100" s="56">
        <f>N(MOVIMIENTOS!$I169)</f>
        <v>48</v>
      </c>
      <c r="F100" s="64"/>
      <c r="G100" s="56">
        <f t="shared" si="2"/>
        <v>3563</v>
      </c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</row>
    <row r="101" spans="1:20" ht="33.75" customHeight="1" x14ac:dyDescent="0.2">
      <c r="A101" s="61">
        <v>46228</v>
      </c>
      <c r="B101" s="62" t="s">
        <v>109</v>
      </c>
      <c r="C101" s="63">
        <f>SUMPRODUCT((MOVIMIENTOS!$A$5:$A$417=DATE(2026,7,25))*(MOVIMIENTOS!$B$5:$B$417="COMPRA")*MOVIMIENTOS!$I$5:$I$417)</f>
        <v>3589</v>
      </c>
      <c r="D101" s="63">
        <f>SUMPRODUCT((MOVIMIENTOS!$A$5:$A$417=DATE(2026,7,25))*(MOVIMIENTOS!$B$5:$B$417="PROCESO")*MOVIMIENTOS!$I$5:$I$417)</f>
        <v>4813.5</v>
      </c>
      <c r="E101" s="63">
        <f>SUMPRODUCT((MOVIMIENTOS!$A$5:$A$417=DATE(2026,7,25))*((MOVIMIENTOS!$B$5:$B$417="ENVÍO A SUPESA")+(MOVIMIENTOS!$B$5:$B$417="ENVÍO A TOTTUS")+(MOVIMIENTOS!$B$5:$B$417="ENVIO A TOTTUS"))*MOVIMIENTOS!$I$5:$I$417)</f>
        <v>3168</v>
      </c>
      <c r="F101" s="62" t="str">
        <f>"Selección: "&amp;TEXT(SUMPRODUCT((MOVIMIENTOS!$A$5:$A$417=DATE(2026,7,25))*(MOVIMIENTOS!$B$5:$B$417="PROCESO")*(MOVIMIENTOS!$C$5:$C$417&lt;&gt;"Chancho")*MOVIMIENTOS!$I$5:$I$417),"#,##0")&amp;" kg  ·  Chancho: "&amp;TEXT(SUMPRODUCT((MOVIMIENTOS!$A$5:$A$417=DATE(2026,7,25))*(MOVIMIENTOS!$B$5:$B$417="PROCESO")*(MOVIMIENTOS!$C$5:$C$417="Chancho")*MOVIMIENTOS!$I$5:$I$417),"#,##0")&amp;" kg"&amp;IF(C101&gt;0,"  ·  "&amp;TEXT(D101/C101,"0%")&amp;" del ingreso","")</f>
        <v>Selección: 3,892 kg  ·  Chancho: 922 kg  ·  134% del ingreso</v>
      </c>
      <c r="G101" s="63">
        <f>N(G105)</f>
        <v>3062.5</v>
      </c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</row>
    <row r="102" spans="1:20" ht="33.75" customHeight="1" x14ac:dyDescent="0.2">
      <c r="A102" s="65">
        <v>46228</v>
      </c>
      <c r="B102" s="66" t="s">
        <v>112</v>
      </c>
      <c r="C102" s="67">
        <f>N(MOVIMIENTOS!$I170)</f>
        <v>3589</v>
      </c>
      <c r="D102" s="67"/>
      <c r="E102" s="67"/>
      <c r="F102" s="66" t="str">
        <f>TRIM(IF(MOVIMIENTOS!$G170&lt;&gt;"",MOVIMIENTOS!$G170&amp;"  ","")&amp;IF(N(MOVIMIENTOS!$E170)&gt;0,MOVIMIENTOS!$E170&amp;" "&amp;MOVIMIENTOS!$D170&amp;"  ","")&amp;IF(MOVIMIENTOS!$H170&lt;&gt;"",MOVIMIENTOS!$H170,""))</f>
        <v>37 sacos peso aprox 95 kg/saco</v>
      </c>
      <c r="G102" s="67">
        <f>N(G100)+N(C102)-N(E102)</f>
        <v>7152</v>
      </c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</row>
    <row r="103" spans="1:20" ht="33.75" customHeight="1" x14ac:dyDescent="0.2">
      <c r="A103" s="55">
        <v>46228</v>
      </c>
      <c r="B103" s="64" t="s">
        <v>23</v>
      </c>
      <c r="C103" s="56"/>
      <c r="D103" s="56"/>
      <c r="E103" s="56">
        <f>N(MOVIMIENTOS!$I171)+N(MOVIMIENTOS!$I172)+N(MOVIMIENTOS!$I173)+N(MOVIMIENTOS!$I174)</f>
        <v>3168</v>
      </c>
      <c r="F103" s="64" t="s">
        <v>149</v>
      </c>
      <c r="G103" s="56">
        <f>N(G102)+N(C103)-N(E103)</f>
        <v>3984</v>
      </c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</row>
    <row r="104" spans="1:20" ht="15" customHeight="1" x14ac:dyDescent="0.2">
      <c r="A104" s="68">
        <v>46228</v>
      </c>
      <c r="B104" s="69" t="s">
        <v>113</v>
      </c>
      <c r="C104" s="70"/>
      <c r="D104" s="70">
        <f>SUMPRODUCT((MOVIMIENTOS!$A$5:$A$417=DATE(2026,7,25))*(MOVIMIENTOS!$B$5:$B$417="PROCESO")*(MOVIMIENTOS!$C$5:$C$417&lt;&gt;"Chancho")*MOVIMIENTOS!$I$5:$I$417)</f>
        <v>3892</v>
      </c>
      <c r="E104" s="70"/>
      <c r="F104" s="69" t="s">
        <v>150</v>
      </c>
      <c r="G104" s="70">
        <f>N(G103)</f>
        <v>3984</v>
      </c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</row>
    <row r="105" spans="1:20" ht="33.75" customHeight="1" x14ac:dyDescent="0.2">
      <c r="A105" s="55">
        <v>46228</v>
      </c>
      <c r="B105" s="64" t="s">
        <v>115</v>
      </c>
      <c r="C105" s="56"/>
      <c r="D105" s="56">
        <f>N(MOVIMIENTOS!$I179)</f>
        <v>921.5</v>
      </c>
      <c r="E105" s="56">
        <f>N(MOVIMIENTOS!$I179)</f>
        <v>921.5</v>
      </c>
      <c r="F105" s="64" t="str">
        <f>TRIM(IF(MOVIMIENTOS!$G179&lt;&gt;"",MOVIMIENTOS!$G179&amp;"  ","")&amp;IF(N(MOVIMIENTOS!$E179)&gt;0,MOVIMIENTOS!$E179&amp;" "&amp;MOVIMIENTOS!$D179&amp;"  ","")&amp;IF(MOVIMIENTOS!$H179&lt;&gt;"",MOVIMIENTOS!$H179,""))</f>
        <v>9.5 sacos</v>
      </c>
      <c r="G105" s="56">
        <f>N(G104)+N(C105)-N(E105)</f>
        <v>3062.5</v>
      </c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</row>
    <row r="106" spans="1:20" ht="33.75" customHeight="1" x14ac:dyDescent="0.2">
      <c r="A106" s="61">
        <v>46229</v>
      </c>
      <c r="B106" s="62" t="s">
        <v>109</v>
      </c>
      <c r="C106" s="63">
        <f>SUMPRODUCT((MOVIMIENTOS!$A$5:$A$417=DATE(2026,7,26))*(MOVIMIENTOS!$B$5:$B$417="COMPRA")*MOVIMIENTOS!$I$5:$I$417)</f>
        <v>0</v>
      </c>
      <c r="D106" s="63">
        <f>SUMPRODUCT((MOVIMIENTOS!$A$5:$A$417=DATE(2026,7,26))*(MOVIMIENTOS!$B$5:$B$417="PROCESO")*MOVIMIENTOS!$I$5:$I$417)</f>
        <v>0</v>
      </c>
      <c r="E106" s="63">
        <f>SUMPRODUCT((MOVIMIENTOS!$A$5:$A$417=DATE(2026,7,26))*((MOVIMIENTOS!$B$5:$B$417="ENVÍO A SUPESA")+(MOVIMIENTOS!$B$5:$B$417="ENVÍO A TOTTUS")+(MOVIMIENTOS!$B$5:$B$417="ENVIO A TOTTUS"))*MOVIMIENTOS!$I$5:$I$417)</f>
        <v>1407</v>
      </c>
      <c r="F106" s="62" t="str">
        <f>"Selección: "&amp;TEXT(SUMPRODUCT((MOVIMIENTOS!$A$5:$A$417=DATE(2026,7,26))*(MOVIMIENTOS!$B$5:$B$417="PROCESO")*(MOVIMIENTOS!$C$5:$C$417&lt;&gt;"Chancho")*MOVIMIENTOS!$I$5:$I$417),"#,##0")&amp;" kg  ·  Chancho: "&amp;TEXT(SUMPRODUCT((MOVIMIENTOS!$A$5:$A$417=DATE(2026,7,26))*(MOVIMIENTOS!$B$5:$B$417="PROCESO")*(MOVIMIENTOS!$C$5:$C$417="Chancho")*MOVIMIENTOS!$I$5:$I$417),"#,##0")&amp;" kg"&amp;IF(C106&gt;0,"  ·  "&amp;TEXT(D106/C106,"0%")&amp;" del ingreso","")</f>
        <v>Selección: 0 kg  ·  Chancho: 0 kg</v>
      </c>
      <c r="G106" s="63">
        <f>N(G107)</f>
        <v>1655.5</v>
      </c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</row>
    <row r="107" spans="1:20" ht="33.75" customHeight="1" x14ac:dyDescent="0.2">
      <c r="A107" s="55">
        <v>46229</v>
      </c>
      <c r="B107" s="64" t="s">
        <v>23</v>
      </c>
      <c r="C107" s="56"/>
      <c r="D107" s="56"/>
      <c r="E107" s="56">
        <f>N(MOVIMIENTOS!$I180)+N(MOVIMIENTOS!$I181)+N(MOVIMIENTOS!$I182)</f>
        <v>1407</v>
      </c>
      <c r="F107" s="64" t="s">
        <v>151</v>
      </c>
      <c r="G107" s="56">
        <f>N(G105)+N(C107)-N(E107)</f>
        <v>1655.5</v>
      </c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</row>
    <row r="108" spans="1:20" ht="33.75" customHeight="1" x14ac:dyDescent="0.2">
      <c r="A108" s="61">
        <v>46230</v>
      </c>
      <c r="B108" s="62" t="s">
        <v>109</v>
      </c>
      <c r="C108" s="63">
        <f>SUMPRODUCT((MOVIMIENTOS!$A$5:$A$417=DATE(2026,7,27))*(MOVIMIENTOS!$B$5:$B$417="COMPRA")*MOVIMIENTOS!$I$5:$I$417)</f>
        <v>4459</v>
      </c>
      <c r="D108" s="63">
        <f>SUMPRODUCT((MOVIMIENTOS!$A$5:$A$417=DATE(2026,7,27))*(MOVIMIENTOS!$B$5:$B$417="PROCESO")*MOVIMIENTOS!$I$5:$I$417)</f>
        <v>4128.5</v>
      </c>
      <c r="E108" s="63">
        <f>SUMPRODUCT((MOVIMIENTOS!$A$5:$A$417=DATE(2026,7,27))*((MOVIMIENTOS!$B$5:$B$417="ENVÍO A SUPESA")+(MOVIMIENTOS!$B$5:$B$417="ENVÍO A TOTTUS")+(MOVIMIENTOS!$B$5:$B$417="ENVIO A TOTTUS"))*MOVIMIENTOS!$I$5:$I$417)</f>
        <v>1339</v>
      </c>
      <c r="F108" s="62" t="str">
        <f>"Selección: "&amp;TEXT(SUMPRODUCT((MOVIMIENTOS!$A$5:$A$417=DATE(2026,7,27))*(MOVIMIENTOS!$B$5:$B$417="PROCESO")*(MOVIMIENTOS!$C$5:$C$417&lt;&gt;"Chancho")*MOVIMIENTOS!$I$5:$I$417),"#,##0")&amp;" kg  ·  Chancho: "&amp;TEXT(SUMPRODUCT((MOVIMIENTOS!$A$5:$A$417=DATE(2026,7,27))*(MOVIMIENTOS!$B$5:$B$417="PROCESO")*(MOVIMIENTOS!$C$5:$C$417="Chancho")*MOVIMIENTOS!$I$5:$I$417),"#,##0")&amp;" kg"&amp;IF(C108&gt;0,"  ·  "&amp;TEXT(D108/C108,"0%")&amp;" del ingreso","")</f>
        <v>Selección: 3,304 kg  ·  Chancho: 825 kg  ·  93% del ingreso</v>
      </c>
      <c r="G108" s="63">
        <f>N(G117)</f>
        <v>3958</v>
      </c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</row>
    <row r="109" spans="1:20" ht="33.75" customHeight="1" x14ac:dyDescent="0.2">
      <c r="A109" s="65">
        <v>46230</v>
      </c>
      <c r="B109" s="66" t="s">
        <v>112</v>
      </c>
      <c r="C109" s="67">
        <f>N(MOVIMIENTOS!$I183)</f>
        <v>4459</v>
      </c>
      <c r="D109" s="67"/>
      <c r="E109" s="67"/>
      <c r="F109" s="66" t="str">
        <f>TRIM(IF(MOVIMIENTOS!$G183&lt;&gt;"",MOVIMIENTOS!$G183&amp;"  ","")&amp;IF(N(MOVIMIENTOS!$E183)&gt;0,MOVIMIENTOS!$E183&amp;" "&amp;MOVIMIENTOS!$D183&amp;"  ","")&amp;IF(MOVIMIENTOS!$H183&lt;&gt;"",MOVIMIENTOS!$H183,""))</f>
        <v>45 sacos Se compraron 100 sacos , solo se procesó 45</v>
      </c>
      <c r="G109" s="67">
        <f>N(G107)+N(C109)-N(E109)</f>
        <v>6114.5</v>
      </c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</row>
    <row r="110" spans="1:20" ht="15" customHeight="1" x14ac:dyDescent="0.2">
      <c r="A110" s="68">
        <v>46230</v>
      </c>
      <c r="B110" s="69" t="s">
        <v>113</v>
      </c>
      <c r="C110" s="70"/>
      <c r="D110" s="70">
        <f>SUMPRODUCT((MOVIMIENTOS!$A$5:$A$417=DATE(2026,7,27))*(MOVIMIENTOS!$B$5:$B$417="PROCESO")*(MOVIMIENTOS!$C$5:$C$417&lt;&gt;"Chancho")*MOVIMIENTOS!$I$5:$I$417)</f>
        <v>3304</v>
      </c>
      <c r="E110" s="70"/>
      <c r="F110" s="69" t="s">
        <v>152</v>
      </c>
      <c r="G110" s="70">
        <f>N(G109)</f>
        <v>6114.5</v>
      </c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</row>
    <row r="111" spans="1:20" ht="15" customHeight="1" x14ac:dyDescent="0.2">
      <c r="A111" s="55">
        <v>46230</v>
      </c>
      <c r="B111" s="64" t="s">
        <v>115</v>
      </c>
      <c r="C111" s="56"/>
      <c r="D111" s="56">
        <f>N(MOVIMIENTOS!$I188)</f>
        <v>824.5</v>
      </c>
      <c r="E111" s="56">
        <f>N(MOVIMIENTOS!$I188)</f>
        <v>824.5</v>
      </c>
      <c r="F111" s="64" t="str">
        <f>TRIM(IF(MOVIMIENTOS!$G188&lt;&gt;"",MOVIMIENTOS!$G188&amp;"  ","")&amp;IF(N(MOVIMIENTOS!$E188)&gt;0,MOVIMIENTOS!$E188&amp;" "&amp;MOVIMIENTOS!$D188&amp;"  ","")&amp;IF(MOVIMIENTOS!$H188&lt;&gt;"",MOVIMIENTOS!$H188,""))</f>
        <v>8.5 sacos</v>
      </c>
      <c r="G111" s="56">
        <f t="shared" ref="G111:G117" si="3">N(G110)+N(C111)-N(E111)</f>
        <v>5290</v>
      </c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</row>
    <row r="112" spans="1:20" ht="15" customHeight="1" x14ac:dyDescent="0.2">
      <c r="A112" s="55">
        <v>46230</v>
      </c>
      <c r="B112" s="64" t="s">
        <v>23</v>
      </c>
      <c r="C112" s="56"/>
      <c r="D112" s="56"/>
      <c r="E112" s="56">
        <f>N(MOVIMIENTOS!$I189)+N(MOVIMIENTOS!$I190)+N(MOVIMIENTOS!$I191)</f>
        <v>1339</v>
      </c>
      <c r="F112" s="64" t="s">
        <v>153</v>
      </c>
      <c r="G112" s="56">
        <f t="shared" si="3"/>
        <v>3951</v>
      </c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</row>
    <row r="113" spans="1:20" ht="15" customHeight="1" x14ac:dyDescent="0.2">
      <c r="A113" s="55">
        <v>46230</v>
      </c>
      <c r="B113" s="64" t="s">
        <v>28</v>
      </c>
      <c r="C113" s="56"/>
      <c r="D113" s="56"/>
      <c r="E113" s="56"/>
      <c r="F113" s="64" t="str">
        <f>TRIM(IF(MOVIMIENTOS!$G192&lt;&gt;"",MOVIMIENTOS!$G192&amp;"  ","")&amp;IF(N(MOVIMIENTOS!$E192)&gt;0,MOVIMIENTOS!$E192&amp;" "&amp;MOVIMIENTOS!$D192&amp;"  ","")&amp;IF(MOVIMIENTOS!$H192&lt;&gt;"",MOVIMIENTOS!$H192,""))</f>
        <v>TCK002-732 16 sacos</v>
      </c>
      <c r="G113" s="56">
        <f t="shared" si="3"/>
        <v>3951</v>
      </c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</row>
    <row r="114" spans="1:20" ht="27.75" customHeight="1" x14ac:dyDescent="0.2">
      <c r="A114" s="55">
        <v>46230</v>
      </c>
      <c r="B114" s="64" t="s">
        <v>28</v>
      </c>
      <c r="C114" s="56"/>
      <c r="D114" s="56"/>
      <c r="E114" s="56"/>
      <c r="F114" s="64" t="str">
        <f>TRIM(IF(MOVIMIENTOS!$G193&lt;&gt;"",MOVIMIENTOS!$G193&amp;"  ","")&amp;IF(N(MOVIMIENTOS!$E193)&gt;0,MOVIMIENTOS!$E193&amp;" "&amp;MOVIMIENTOS!$D193&amp;"  ","")&amp;IF(MOVIMIENTOS!$H193&lt;&gt;"",MOVIMIENTOS!$H193,""))</f>
        <v>TCK002-731 7 sacos</v>
      </c>
      <c r="G114" s="56">
        <f t="shared" si="3"/>
        <v>3951</v>
      </c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</row>
    <row r="115" spans="1:20" ht="27.75" customHeight="1" x14ac:dyDescent="0.2">
      <c r="A115" s="55">
        <v>46230</v>
      </c>
      <c r="B115" s="64" t="s">
        <v>28</v>
      </c>
      <c r="C115" s="56"/>
      <c r="D115" s="56"/>
      <c r="E115" s="56"/>
      <c r="F115" s="64" t="str">
        <f>TRIM(IF(MOVIMIENTOS!$G194&lt;&gt;"",MOVIMIENTOS!$G194&amp;"  ","")&amp;IF(N(MOVIMIENTOS!$E194)&gt;0,MOVIMIENTOS!$E194&amp;" "&amp;MOVIMIENTOS!$D194&amp;"  ","")&amp;IF(MOVIMIENTOS!$H194&lt;&gt;"",MOVIMIENTOS!$H194,""))</f>
        <v>2 sacos FALTA</v>
      </c>
      <c r="G115" s="56">
        <f t="shared" si="3"/>
        <v>3951</v>
      </c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</row>
    <row r="116" spans="1:20" ht="33.75" customHeight="1" x14ac:dyDescent="0.2">
      <c r="A116" s="55">
        <v>46230</v>
      </c>
      <c r="B116" s="64" t="s">
        <v>138</v>
      </c>
      <c r="C116" s="56"/>
      <c r="D116" s="56"/>
      <c r="E116" s="56"/>
      <c r="F116" s="64" t="str">
        <f>MOVIMIENTOS!$E195&amp;" jabas rechazadas · van a reproceso (merma del día: "&amp;TEXT(SUMPRODUCT((MOVIMIENTOS!$A$5:$A$417=MOVIMIENTOS!$A195)*(MOVIMIENTOS!$B$5:$B$417="RECHAZO")*(MOVIMIENTOS!$D$5:$D$417="jabas")*MOVIMIENTOS!$E$5:$E$417*IFERROR(_xlfn.SWITCH(MOVIMIENTOS!$C$5:$C$417,"A",15,"P",18,"C",17,"M",17,0),0))-SUMPRODUCT((MOVIMIENTOS!$A$5:$A$417=MOVIMIENTOS!$A195)*(MOVIMIENTOS!$B$5:$B$417="REPROCESO")*MOVIMIENTOS!$I$5:$I$417),"+#,##0;-#,##0;0")&amp;" kg)"</f>
        <v>1 jabas rechazadas · van a reproceso (merma del día: +10 kg)</v>
      </c>
      <c r="G116" s="56">
        <f t="shared" si="3"/>
        <v>3951</v>
      </c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</row>
    <row r="117" spans="1:20" ht="33.75" customHeight="1" x14ac:dyDescent="0.2">
      <c r="A117" s="55">
        <v>46230</v>
      </c>
      <c r="B117" s="64" t="s">
        <v>43</v>
      </c>
      <c r="C117" s="56">
        <f>N(MOVIMIENTOS!$I196)</f>
        <v>7</v>
      </c>
      <c r="D117" s="56"/>
      <c r="E117" s="56"/>
      <c r="F117" s="64" t="str">
        <f>MOVIMIENTOS!$E196&amp;" kg recuperados (merma del día: "&amp;TEXT(SUMPRODUCT((MOVIMIENTOS!$A$5:$A$417=MOVIMIENTOS!$A196)*(MOVIMIENTOS!$B$5:$B$417="RECHAZO")*(MOVIMIENTOS!$D$5:$D$417="jabas")*MOVIMIENTOS!$E$5:$E$417*IFERROR(_xlfn.SWITCH(MOVIMIENTOS!$C$5:$C$417,"A",15,"P",18,"C",17,"M",17,0),0))-SUMPRODUCT((MOVIMIENTOS!$A$5:$A$417=MOVIMIENTOS!$A196)*(MOVIMIENTOS!$B$5:$B$417="REPROCESO")*MOVIMIENTOS!$I$5:$I$417),"+#,##0;-#,##0;0")&amp;" kg)"</f>
        <v>7 kg recuperados (merma del día: -7 kg)</v>
      </c>
      <c r="G117" s="56">
        <f t="shared" si="3"/>
        <v>3958</v>
      </c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</row>
    <row r="118" spans="1:20" ht="33.75" customHeight="1" x14ac:dyDescent="0.2">
      <c r="A118" s="61">
        <v>46231</v>
      </c>
      <c r="B118" s="62" t="s">
        <v>109</v>
      </c>
      <c r="C118" s="63">
        <f>SUMPRODUCT((MOVIMIENTOS!$A$5:$A$417=DATE(2026,7,28))*(MOVIMIENTOS!$B$5:$B$417="COMPRA")*MOVIMIENTOS!$I$5:$I$417)</f>
        <v>5451</v>
      </c>
      <c r="D118" s="63">
        <f>SUMPRODUCT((MOVIMIENTOS!$A$5:$A$417=DATE(2026,7,28))*(MOVIMIENTOS!$B$5:$B$417="PROCESO")*MOVIMIENTOS!$I$5:$I$417)</f>
        <v>5275.5</v>
      </c>
      <c r="E118" s="63">
        <f>SUMPRODUCT((MOVIMIENTOS!$A$5:$A$417=DATE(2026,7,28))*((MOVIMIENTOS!$B$5:$B$417="ENVÍO A SUPESA")+(MOVIMIENTOS!$B$5:$B$417="ENVÍO A TOTTUS")+(MOVIMIENTOS!$B$5:$B$417="ENVIO A TOTTUS"))*MOVIMIENTOS!$I$5:$I$417)</f>
        <v>3379</v>
      </c>
      <c r="F118" s="62" t="str">
        <f>"Selección: "&amp;TEXT(SUMPRODUCT((MOVIMIENTOS!$A$5:$A$417=DATE(2026,7,28))*(MOVIMIENTOS!$B$5:$B$417="PROCESO")*(MOVIMIENTOS!$C$5:$C$417&lt;&gt;"Chancho")*MOVIMIENTOS!$I$5:$I$417),"#,##0")&amp;" kg  ·  Chancho: "&amp;TEXT(SUMPRODUCT((MOVIMIENTOS!$A$5:$A$417=DATE(2026,7,28))*(MOVIMIENTOS!$B$5:$B$417="PROCESO")*(MOVIMIENTOS!$C$5:$C$417="Chancho")*MOVIMIENTOS!$I$5:$I$417),"#,##0")&amp;" kg"&amp;IF(C118&gt;0,"  ·  "&amp;TEXT(D118/C118,"0%")&amp;" del ingreso","")</f>
        <v>Selección: 3,869 kg  ·  Chancho: 1,407 kg  ·  97% del ingreso</v>
      </c>
      <c r="G118" s="63">
        <f>N(G122)</f>
        <v>4623.5</v>
      </c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</row>
    <row r="119" spans="1:20" ht="33.75" customHeight="1" x14ac:dyDescent="0.2">
      <c r="A119" s="65">
        <v>46231</v>
      </c>
      <c r="B119" s="66" t="s">
        <v>112</v>
      </c>
      <c r="C119" s="67">
        <f>N(MOVIMIENTOS!$I197)</f>
        <v>5451</v>
      </c>
      <c r="D119" s="67"/>
      <c r="E119" s="67"/>
      <c r="F119" s="66" t="str">
        <f>TRIM(IF(MOVIMIENTOS!$G197&lt;&gt;"",MOVIMIENTOS!$G197&amp;"  ","")&amp;IF(N(MOVIMIENTOS!$E197)&gt;0,MOVIMIENTOS!$E197&amp;" "&amp;MOVIMIENTOS!$D197&amp;"  ","")&amp;IF(MOVIMIENTOS!$H197&lt;&gt;"",MOVIMIENTOS!$H197,""))</f>
        <v>55 sacos</v>
      </c>
      <c r="G119" s="67">
        <f>N(G117)+N(C119)-N(E119)</f>
        <v>9409</v>
      </c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</row>
    <row r="120" spans="1:20" ht="15" customHeight="1" x14ac:dyDescent="0.2">
      <c r="A120" s="68">
        <v>46231</v>
      </c>
      <c r="B120" s="69" t="s">
        <v>113</v>
      </c>
      <c r="C120" s="70"/>
      <c r="D120" s="70">
        <f>SUMPRODUCT((MOVIMIENTOS!$A$5:$A$417=DATE(2026,7,28))*(MOVIMIENTOS!$B$5:$B$417="PROCESO")*(MOVIMIENTOS!$C$5:$C$417&lt;&gt;"Chancho")*MOVIMIENTOS!$I$5:$I$417)</f>
        <v>3869</v>
      </c>
      <c r="E120" s="70"/>
      <c r="F120" s="69" t="s">
        <v>154</v>
      </c>
      <c r="G120" s="70">
        <f>N(G119)</f>
        <v>9409</v>
      </c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</row>
    <row r="121" spans="1:20" ht="33.75" customHeight="1" x14ac:dyDescent="0.2">
      <c r="A121" s="55">
        <v>46231</v>
      </c>
      <c r="B121" s="64" t="s">
        <v>115</v>
      </c>
      <c r="C121" s="56"/>
      <c r="D121" s="56">
        <f>N(MOVIMIENTOS!$I202)</f>
        <v>1406.5</v>
      </c>
      <c r="E121" s="56">
        <f>N(MOVIMIENTOS!$I202)</f>
        <v>1406.5</v>
      </c>
      <c r="F121" s="64" t="str">
        <f>TRIM(IF(MOVIMIENTOS!$G202&lt;&gt;"",MOVIMIENTOS!$G202&amp;"  ","")&amp;IF(N(MOVIMIENTOS!$E202)&gt;0,MOVIMIENTOS!$E202&amp;" "&amp;MOVIMIENTOS!$D202&amp;"  ","")&amp;IF(MOVIMIENTOS!$H202&lt;&gt;"",MOVIMIENTOS!$H202,""))</f>
        <v>14.5 sacos</v>
      </c>
      <c r="G121" s="56">
        <f>N(G120)+N(C121)-N(E121)</f>
        <v>8002.5</v>
      </c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</row>
    <row r="122" spans="1:20" ht="33.75" customHeight="1" x14ac:dyDescent="0.2">
      <c r="A122" s="55">
        <v>46231</v>
      </c>
      <c r="B122" s="64" t="s">
        <v>23</v>
      </c>
      <c r="C122" s="56"/>
      <c r="D122" s="56"/>
      <c r="E122" s="56">
        <f>N(MOVIMIENTOS!$I203)+N(MOVIMIENTOS!$I204)+N(MOVIMIENTOS!$I205)+N(MOVIMIENTOS!$I206)</f>
        <v>3379</v>
      </c>
      <c r="F122" s="64" t="s">
        <v>155</v>
      </c>
      <c r="G122" s="56">
        <f>N(G121)+N(C122)-N(E122)</f>
        <v>4623.5</v>
      </c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</row>
    <row r="123" spans="1:20" ht="33.75" customHeight="1" x14ac:dyDescent="0.2">
      <c r="A123" s="61">
        <v>46232</v>
      </c>
      <c r="B123" s="62" t="s">
        <v>109</v>
      </c>
      <c r="C123" s="63">
        <f>SUMPRODUCT((MOVIMIENTOS!$A$5:$A$417=DATE(2026,7,29))*(MOVIMIENTOS!$B$5:$B$417="COMPRA")*MOVIMIENTOS!$I$5:$I$417)</f>
        <v>0</v>
      </c>
      <c r="D123" s="63">
        <f>SUMPRODUCT((MOVIMIENTOS!$A$5:$A$417=DATE(2026,7,29))*(MOVIMIENTOS!$B$5:$B$417="PROCESO")*MOVIMIENTOS!$I$5:$I$417)</f>
        <v>0</v>
      </c>
      <c r="E123" s="63">
        <f>SUMPRODUCT((MOVIMIENTOS!$A$5:$A$417=DATE(2026,7,29))*((MOVIMIENTOS!$B$5:$B$417="ENVÍO A SUPESA")+(MOVIMIENTOS!$B$5:$B$417="ENVÍO A TOTTUS")+(MOVIMIENTOS!$B$5:$B$417="ENVIO A TOTTUS"))*MOVIMIENTOS!$I$5:$I$417)</f>
        <v>2794</v>
      </c>
      <c r="F123" s="62" t="str">
        <f>"Selección: "&amp;TEXT(SUMPRODUCT((MOVIMIENTOS!$A$5:$A$417=DATE(2026,7,29))*(MOVIMIENTOS!$B$5:$B$417="PROCESO")*(MOVIMIENTOS!$C$5:$C$417&lt;&gt;"Chancho")*MOVIMIENTOS!$I$5:$I$417),"#,##0")&amp;" kg  ·  Chancho: "&amp;TEXT(SUMPRODUCT((MOVIMIENTOS!$A$5:$A$417=DATE(2026,7,29))*(MOVIMIENTOS!$B$5:$B$417="PROCESO")*(MOVIMIENTOS!$C$5:$C$417="Chancho")*MOVIMIENTOS!$I$5:$I$417),"#,##0")&amp;" kg"&amp;IF(C123&gt;0,"  ·  "&amp;TEXT(D123/C123,"0%")&amp;" del ingreso","")</f>
        <v>Selección: 0 kg  ·  Chancho: 0 kg</v>
      </c>
      <c r="G123" s="63">
        <f>N(G125)</f>
        <v>1829.5</v>
      </c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</row>
    <row r="124" spans="1:20" ht="15" customHeight="1" x14ac:dyDescent="0.2">
      <c r="A124" s="55">
        <v>46232</v>
      </c>
      <c r="B124" s="64" t="s">
        <v>23</v>
      </c>
      <c r="C124" s="56"/>
      <c r="D124" s="56"/>
      <c r="E124" s="56">
        <f>N(MOVIMIENTOS!$I207)+N(MOVIMIENTOS!$I208)+N(MOVIMIENTOS!$I209)+N(MOVIMIENTOS!$I210)</f>
        <v>2794</v>
      </c>
      <c r="F124" s="64" t="s">
        <v>156</v>
      </c>
      <c r="G124" s="56">
        <f>N(G122)+N(C124)-N(E124)</f>
        <v>1829.5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</row>
    <row r="125" spans="1:20" ht="33.75" customHeight="1" x14ac:dyDescent="0.2">
      <c r="A125" s="55">
        <v>46232</v>
      </c>
      <c r="B125" s="64" t="s">
        <v>28</v>
      </c>
      <c r="C125" s="56"/>
      <c r="D125" s="56"/>
      <c r="E125" s="56"/>
      <c r="F125" s="64" t="str">
        <f>TRIM(IF(MOVIMIENTOS!$G211&lt;&gt;"",MOVIMIENTOS!$G211&amp;"  ","")&amp;IF(N(MOVIMIENTOS!$E211)&gt;0,MOVIMIENTOS!$E211&amp;" "&amp;MOVIMIENTOS!$D211&amp;"  ","")&amp;IF(MOVIMIENTOS!$H211&lt;&gt;"",MOVIMIENTOS!$H211,""))</f>
        <v>TCK002-730 10 sacos</v>
      </c>
      <c r="G125" s="56">
        <f>N(G124)+N(C125)-N(E125)</f>
        <v>1829.5</v>
      </c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</row>
    <row r="126" spans="1:20" ht="33.75" customHeight="1" x14ac:dyDescent="0.2">
      <c r="A126" s="61">
        <v>46233</v>
      </c>
      <c r="B126" s="62" t="s">
        <v>109</v>
      </c>
      <c r="C126" s="63">
        <f>SUMPRODUCT((MOVIMIENTOS!$A$5:$A$417=DATE(2026,7,30))*(MOVIMIENTOS!$B$5:$B$417="COMPRA")*MOVIMIENTOS!$I$5:$I$417)</f>
        <v>2910</v>
      </c>
      <c r="D126" s="63">
        <f>SUMPRODUCT((MOVIMIENTOS!$A$5:$A$417=DATE(2026,7,30))*(MOVIMIENTOS!$B$5:$B$417="PROCESO")*MOVIMIENTOS!$I$5:$I$417)</f>
        <v>2988</v>
      </c>
      <c r="E126" s="63">
        <f>SUMPRODUCT((MOVIMIENTOS!$A$5:$A$417=DATE(2026,7,30))*((MOVIMIENTOS!$B$5:$B$417="ENVÍO A SUPESA")+(MOVIMIENTOS!$B$5:$B$417="ENVÍO A TOTTUS")+(MOVIMIENTOS!$B$5:$B$417="ENVIO A TOTTUS"))*MOVIMIENTOS!$I$5:$I$417)</f>
        <v>3294</v>
      </c>
      <c r="F126" s="62" t="str">
        <f>"Selección: "&amp;TEXT(SUMPRODUCT((MOVIMIENTOS!$A$5:$A$417=DATE(2026,7,30))*(MOVIMIENTOS!$B$5:$B$417="PROCESO")*(MOVIMIENTOS!$C$5:$C$417&lt;&gt;"Chancho")*MOVIMIENTOS!$I$5:$I$417),"#,##0")&amp;" kg  ·  Chancho: "&amp;TEXT(SUMPRODUCT((MOVIMIENTOS!$A$5:$A$417=DATE(2026,7,30))*(MOVIMIENTOS!$B$5:$B$417="PROCESO")*(MOVIMIENTOS!$C$5:$C$417="Chancho")*MOVIMIENTOS!$I$5:$I$417),"#,##0")&amp;" kg"&amp;IF(C126&gt;0,"  ·  "&amp;TEXT(D126/C126,"0%")&amp;" del ingreso","")</f>
        <v>Selección: 2,503 kg  ·  Chancho: 485 kg  ·  103% del ingreso</v>
      </c>
      <c r="G126" s="63">
        <f>N(G131)</f>
        <v>960.5</v>
      </c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</row>
    <row r="127" spans="1:20" ht="15" customHeight="1" x14ac:dyDescent="0.2">
      <c r="A127" s="65">
        <v>46233</v>
      </c>
      <c r="B127" s="66" t="s">
        <v>112</v>
      </c>
      <c r="C127" s="67">
        <f>N(MOVIMIENTOS!$I212)</f>
        <v>2910</v>
      </c>
      <c r="D127" s="67"/>
      <c r="E127" s="67"/>
      <c r="F127" s="66" t="str">
        <f>TRIM(IF(MOVIMIENTOS!$G212&lt;&gt;"",MOVIMIENTOS!$G212&amp;"  ","")&amp;IF(N(MOVIMIENTOS!$E212)&gt;0,MOVIMIENTOS!$E212&amp;" "&amp;MOVIMIENTOS!$D212&amp;"  ","")&amp;IF(MOVIMIENTOS!$H212&lt;&gt;"",MOVIMIENTOS!$H212,""))</f>
        <v>30 sacos se compró 100 sacos solo se procesó 30</v>
      </c>
      <c r="G127" s="67">
        <f>N(G125)+N(C127)-N(E127)</f>
        <v>4739.5</v>
      </c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</row>
    <row r="128" spans="1:20" ht="15" customHeight="1" x14ac:dyDescent="0.2">
      <c r="A128" s="68">
        <v>46233</v>
      </c>
      <c r="B128" s="69" t="s">
        <v>113</v>
      </c>
      <c r="C128" s="70"/>
      <c r="D128" s="70">
        <f>SUMPRODUCT((MOVIMIENTOS!$A$5:$A$417=DATE(2026,7,30))*(MOVIMIENTOS!$B$5:$B$417="PROCESO")*(MOVIMIENTOS!$C$5:$C$417&lt;&gt;"Chancho")*MOVIMIENTOS!$I$5:$I$417)</f>
        <v>2503</v>
      </c>
      <c r="E128" s="70"/>
      <c r="F128" s="69" t="s">
        <v>157</v>
      </c>
      <c r="G128" s="70">
        <f>N(G127)</f>
        <v>4739.5</v>
      </c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</row>
    <row r="129" spans="1:20" ht="33.75" customHeight="1" x14ac:dyDescent="0.2">
      <c r="A129" s="55">
        <v>46233</v>
      </c>
      <c r="B129" s="64" t="s">
        <v>115</v>
      </c>
      <c r="C129" s="56"/>
      <c r="D129" s="56">
        <f>N(MOVIMIENTOS!$I217)</f>
        <v>485</v>
      </c>
      <c r="E129" s="56">
        <f>N(MOVIMIENTOS!$I217)</f>
        <v>485</v>
      </c>
      <c r="F129" s="64" t="str">
        <f>TRIM(IF(MOVIMIENTOS!$G217&lt;&gt;"",MOVIMIENTOS!$G217&amp;"  ","")&amp;IF(N(MOVIMIENTOS!$E217)&gt;0,MOVIMIENTOS!$E217&amp;" "&amp;MOVIMIENTOS!$D217&amp;"  ","")&amp;IF(MOVIMIENTOS!$H217&lt;&gt;"",MOVIMIENTOS!$H217,""))</f>
        <v>5 sacos</v>
      </c>
      <c r="G129" s="56">
        <f>N(G128)+N(C129)-N(E129)</f>
        <v>4254.5</v>
      </c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</row>
    <row r="130" spans="1:20" ht="15" customHeight="1" x14ac:dyDescent="0.2">
      <c r="A130" s="55">
        <v>46233</v>
      </c>
      <c r="B130" s="64" t="s">
        <v>140</v>
      </c>
      <c r="C130" s="56"/>
      <c r="D130" s="56"/>
      <c r="E130" s="56"/>
      <c r="F130" s="64" t="str">
        <f>MOVIMIENTOS!$E218&amp;" jaba(s) movida(s) para completar otras · no resta del Stock Kg"</f>
        <v>1 jaba(s) movida(s) para completar otras · no resta del Stock Kg</v>
      </c>
      <c r="G130" s="56">
        <f>N(G129)+N(C130)-N(E130)</f>
        <v>4254.5</v>
      </c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</row>
    <row r="131" spans="1:20" ht="33.75" customHeight="1" x14ac:dyDescent="0.2">
      <c r="A131" s="55">
        <v>46233</v>
      </c>
      <c r="B131" s="64" t="s">
        <v>23</v>
      </c>
      <c r="C131" s="56"/>
      <c r="D131" s="56"/>
      <c r="E131" s="56">
        <f>N(MOVIMIENTOS!$I219)+N(MOVIMIENTOS!$I220)+N(MOVIMIENTOS!$I221)+N(MOVIMIENTOS!$I222)</f>
        <v>3294</v>
      </c>
      <c r="F131" s="64" t="s">
        <v>158</v>
      </c>
      <c r="G131" s="56">
        <f>N(G130)+N(C131)-N(E131)</f>
        <v>960.5</v>
      </c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</row>
    <row r="132" spans="1:20" ht="33.75" customHeight="1" x14ac:dyDescent="0.2">
      <c r="A132" s="61">
        <v>46234</v>
      </c>
      <c r="B132" s="62" t="s">
        <v>109</v>
      </c>
      <c r="C132" s="63">
        <f>SUMPRODUCT((MOVIMIENTOS!$A$5:$A$417=DATE(2026,7,31))*(MOVIMIENTOS!$B$5:$B$417="COMPRA")*MOVIMIENTOS!$I$5:$I$417)</f>
        <v>6790</v>
      </c>
      <c r="D132" s="63">
        <f>SUMPRODUCT((MOVIMIENTOS!$A$5:$A$417=DATE(2026,7,31))*(MOVIMIENTOS!$B$5:$B$417="PROCESO")*MOVIMIENTOS!$I$5:$I$417)</f>
        <v>6957.5</v>
      </c>
      <c r="E132" s="63">
        <f>SUMPRODUCT((MOVIMIENTOS!$A$5:$A$417=DATE(2026,7,31))*((MOVIMIENTOS!$B$5:$B$417="ENVÍO A SUPESA")+(MOVIMIENTOS!$B$5:$B$417="ENVÍO A TOTTUS")+(MOVIMIENTOS!$B$5:$B$417="ENVIO A TOTTUS"))*MOVIMIENTOS!$I$5:$I$417)</f>
        <v>3413</v>
      </c>
      <c r="F132" s="62" t="str">
        <f>"Selección: "&amp;TEXT(SUMPRODUCT((MOVIMIENTOS!$A$5:$A$417=DATE(2026,7,31))*(MOVIMIENTOS!$B$5:$B$417="PROCESO")*(MOVIMIENTOS!$C$5:$C$417&lt;&gt;"Chancho")*MOVIMIENTOS!$I$5:$I$417),"#,##0")&amp;" kg  ·  Chancho: "&amp;TEXT(SUMPRODUCT((MOVIMIENTOS!$A$5:$A$417=DATE(2026,7,31))*(MOVIMIENTOS!$B$5:$B$417="PROCESO")*(MOVIMIENTOS!$C$5:$C$417="Chancho")*MOVIMIENTOS!$I$5:$I$417),"#,##0")&amp;" kg"&amp;IF(C132&gt;0,"  ·  "&amp;TEXT(D132/C132,"0%")&amp;" del ingreso","")</f>
        <v>Selección: 5,551 kg  ·  Chancho: 1,407 kg  ·  102% del ingreso</v>
      </c>
      <c r="G132" s="63">
        <f>N(G137)</f>
        <v>2931</v>
      </c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</row>
    <row r="133" spans="1:20" ht="15" customHeight="1" x14ac:dyDescent="0.2">
      <c r="A133" s="65">
        <v>46234</v>
      </c>
      <c r="B133" s="66" t="s">
        <v>112</v>
      </c>
      <c r="C133" s="67">
        <f>N(MOVIMIENTOS!$I223)</f>
        <v>6790</v>
      </c>
      <c r="D133" s="67"/>
      <c r="E133" s="67"/>
      <c r="F133" s="66" t="str">
        <f>TRIM(IF(MOVIMIENTOS!$G223&lt;&gt;"",MOVIMIENTOS!$G223&amp;"  ","")&amp;IF(N(MOVIMIENTOS!$E223)&gt;0,MOVIMIENTOS!$E223&amp;" "&amp;MOVIMIENTOS!$D223&amp;"  ","")&amp;IF(MOVIMIENTOS!$H223&lt;&gt;"",MOVIMIENTOS!$H223,""))</f>
        <v>70 sacos Se compró el jue pero se va procesar vie</v>
      </c>
      <c r="G133" s="67">
        <f>N(G131)+N(C133)-N(E133)</f>
        <v>7750.5</v>
      </c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</row>
    <row r="134" spans="1:20" ht="15" customHeight="1" x14ac:dyDescent="0.2">
      <c r="A134" s="68">
        <v>46234</v>
      </c>
      <c r="B134" s="69" t="s">
        <v>113</v>
      </c>
      <c r="C134" s="70"/>
      <c r="D134" s="70">
        <f>SUMPRODUCT((MOVIMIENTOS!$A$5:$A$417=DATE(2026,7,31))*(MOVIMIENTOS!$B$5:$B$417="PROCESO")*(MOVIMIENTOS!$C$5:$C$417&lt;&gt;"Chancho")*MOVIMIENTOS!$I$5:$I$417)</f>
        <v>5551</v>
      </c>
      <c r="E134" s="70"/>
      <c r="F134" s="69" t="s">
        <v>159</v>
      </c>
      <c r="G134" s="70">
        <f>N(G133)</f>
        <v>7750.5</v>
      </c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</row>
    <row r="135" spans="1:20" ht="15" customHeight="1" x14ac:dyDescent="0.2">
      <c r="A135" s="55">
        <v>46234</v>
      </c>
      <c r="B135" s="64" t="s">
        <v>115</v>
      </c>
      <c r="C135" s="56"/>
      <c r="D135" s="56">
        <f>N(MOVIMIENTOS!$I228)</f>
        <v>1406.5</v>
      </c>
      <c r="E135" s="56">
        <f>N(MOVIMIENTOS!$I228)</f>
        <v>1406.5</v>
      </c>
      <c r="F135" s="64" t="str">
        <f>TRIM(IF(MOVIMIENTOS!$G228&lt;&gt;"",MOVIMIENTOS!$G228&amp;"  ","")&amp;IF(N(MOVIMIENTOS!$E228)&gt;0,MOVIMIENTOS!$E228&amp;" "&amp;MOVIMIENTOS!$D228&amp;"  ","")&amp;IF(MOVIMIENTOS!$H228&lt;&gt;"",MOVIMIENTOS!$H228,""))</f>
        <v>14.5 sacos</v>
      </c>
      <c r="G135" s="56">
        <f>N(G134)+N(C135)-N(E135)</f>
        <v>6344</v>
      </c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</row>
    <row r="136" spans="1:20" ht="15" customHeight="1" x14ac:dyDescent="0.2">
      <c r="A136" s="55">
        <v>46234</v>
      </c>
      <c r="B136" s="64" t="s">
        <v>23</v>
      </c>
      <c r="C136" s="56"/>
      <c r="D136" s="56"/>
      <c r="E136" s="56">
        <f>N(MOVIMIENTOS!$I229)+N(MOVIMIENTOS!$I230)+N(MOVIMIENTOS!$I231)+N(MOVIMIENTOS!$I232)</f>
        <v>3413</v>
      </c>
      <c r="F136" s="64" t="s">
        <v>158</v>
      </c>
      <c r="G136" s="56">
        <f>N(G135)+N(C136)-N(E136)</f>
        <v>2931</v>
      </c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</row>
    <row r="137" spans="1:20" ht="15" customHeight="1" x14ac:dyDescent="0.2">
      <c r="A137" s="55">
        <v>46234</v>
      </c>
      <c r="B137" s="64" t="s">
        <v>28</v>
      </c>
      <c r="C137" s="56"/>
      <c r="D137" s="56"/>
      <c r="E137" s="56"/>
      <c r="F137" s="64" t="str">
        <f>TRIM(IF(MOVIMIENTOS!$G233&lt;&gt;"",MOVIMIENTOS!$G233&amp;"  ","")&amp;IF(N(MOVIMIENTOS!$E233)&gt;0,MOVIMIENTOS!$E233&amp;" "&amp;MOVIMIENTOS!$D233&amp;"  ","")&amp;IF(MOVIMIENTOS!$H233&lt;&gt;"",MOVIMIENTOS!$H233,""))</f>
        <v>TCK002-733 8 sacos</v>
      </c>
      <c r="G137" s="56">
        <f>N(G136)+N(C137)-N(E137)</f>
        <v>2931</v>
      </c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</row>
    <row r="138" spans="1:20" ht="15" customHeight="1" x14ac:dyDescent="0.2">
      <c r="A138" s="71">
        <v>46235</v>
      </c>
      <c r="B138" s="54" t="s">
        <v>109</v>
      </c>
      <c r="C138" s="54">
        <f>SUMPRODUCT((MOVIMIENTOS!$A$5:$A$417=DATE(2026,8,1))*(MOVIMIENTOS!$B$5:$B$417="COMPRA")*MOVIMIENTOS!$I$5:$I$417)</f>
        <v>3850</v>
      </c>
      <c r="D138" s="54">
        <f>SUMPRODUCT((MOVIMIENTOS!$A$5:$A$417=DATE(2026,8,1))*(MOVIMIENTOS!$B$5:$B$417="PROCESO")*MOVIMIENTOS!$I$5:$I$417)</f>
        <v>3724</v>
      </c>
      <c r="E138" s="54">
        <f>SUMPRODUCT((MOVIMIENTOS!$A$5:$A$417=DATE(2026,8,1))*((MOVIMIENTOS!$B$5:$B$417="ENVÍO A SUPESA")+(MOVIMIENTOS!$B$5:$B$417="ENVÍO A TOTTUS")+(MOVIMIENTOS!$B$5:$B$417="ENVIO A TOTTUS"))*MOVIMIENTOS!$I$5:$I$417)</f>
        <v>3289</v>
      </c>
      <c r="F138" s="54" t="str">
        <f>"Selección: "&amp;TEXT(SUMPRODUCT((MOVIMIENTOS!$A$5:$A$417=DATE(2026,8,1))*(MOVIMIENTOS!$B$5:$B$417="PROCESO")*(MOVIMIENTOS!$C$5:$C$417&lt;&gt;"Chancho")*MOVIMIENTOS!$I$5:$I$417),"#,##0")&amp;" kg  ·  Chancho: "&amp;TEXT(SUMPRODUCT((MOVIMIENTOS!$A$5:$A$417=DATE(2026,8,1))*(MOVIMIENTOS!$B$5:$B$417="PROCESO")*(MOVIMIENTOS!$C$5:$C$417="Chancho")*MOVIMIENTOS!$I$5:$I$417),"#,##0")&amp;" kg"&amp;IF(C138&gt;0,"  ·  "&amp;TEXT(D138/C138,"0%")&amp;" del ingreso","")</f>
        <v>Selección: 2,948 kg  ·  Chancho: 776 kg  ·  97% del ingreso</v>
      </c>
      <c r="G138" s="54">
        <f>N(G143)</f>
        <v>2716</v>
      </c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</row>
    <row r="139" spans="1:20" ht="15" customHeight="1" x14ac:dyDescent="0.2">
      <c r="A139" s="71">
        <v>46235</v>
      </c>
      <c r="B139" s="54" t="s">
        <v>112</v>
      </c>
      <c r="C139" s="54">
        <f>N(MOVIMIENTOS!$I236)</f>
        <v>3850</v>
      </c>
      <c r="D139" s="54"/>
      <c r="E139" s="54"/>
      <c r="F139" s="54" t="str">
        <f>TRIM(IF(MOVIMIENTOS!$G236&lt;&gt;"",MOVIMIENTOS!$G236&amp;"  ","")&amp;IF(N(MOVIMIENTOS!$E236)&gt;0,MOVIMIENTOS!$E236&amp;" "&amp;MOVIMIENTOS!$D236&amp;"  ","")&amp;IF(MOVIMIENTOS!$H236&lt;&gt;"",MOVIMIENTOS!$H236,""))</f>
        <v>38 sacos Se compró 97 sacos, se procesó 37 y 60 domingo</v>
      </c>
      <c r="G139" s="54">
        <f>N(G137)+N(C139)-N(E139)</f>
        <v>6781</v>
      </c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</row>
    <row r="140" spans="1:20" ht="15" customHeight="1" x14ac:dyDescent="0.2">
      <c r="A140" s="71">
        <v>46235</v>
      </c>
      <c r="B140" s="54" t="s">
        <v>113</v>
      </c>
      <c r="C140" s="54"/>
      <c r="D140" s="54">
        <f>SUMPRODUCT((MOVIMIENTOS!$A$5:$A$417=DATE(2026,8,1))*(MOVIMIENTOS!$B$5:$B$417="PROCESO")*(MOVIMIENTOS!$C$5:$C$417&lt;&gt;"Chancho")*MOVIMIENTOS!$I$5:$I$417)</f>
        <v>2948</v>
      </c>
      <c r="E140" s="54"/>
      <c r="F140" s="54" t="s">
        <v>160</v>
      </c>
      <c r="G140" s="54">
        <f>N(G139)+N(C140)-N(E140)</f>
        <v>6781</v>
      </c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</row>
    <row r="141" spans="1:20" ht="15" customHeight="1" x14ac:dyDescent="0.2">
      <c r="A141" s="71">
        <v>46235</v>
      </c>
      <c r="B141" s="54" t="s">
        <v>115</v>
      </c>
      <c r="C141" s="54"/>
      <c r="D141" s="54">
        <f>N(MOVIMIENTOS!$I241)</f>
        <v>776</v>
      </c>
      <c r="E141" s="54">
        <f>N(MOVIMIENTOS!$I241)</f>
        <v>776</v>
      </c>
      <c r="F141" s="54" t="str">
        <f>TRIM(IF(MOVIMIENTOS!$G241&lt;&gt;"",MOVIMIENTOS!$G241&amp;"  ","")&amp;IF(N(MOVIMIENTOS!$E241)&gt;0,MOVIMIENTOS!$E241&amp;" "&amp;MOVIMIENTOS!$D241&amp;"  ","")&amp;IF(MOVIMIENTOS!$H241&lt;&gt;"",MOVIMIENTOS!$H241,""))</f>
        <v>8 sacos</v>
      </c>
      <c r="G141" s="54">
        <f>N(G140)+N(C141)-N(E141)</f>
        <v>6005</v>
      </c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</row>
    <row r="142" spans="1:20" ht="15" customHeight="1" x14ac:dyDescent="0.2">
      <c r="A142" s="71">
        <v>46235</v>
      </c>
      <c r="B142" s="54" t="s">
        <v>23</v>
      </c>
      <c r="C142" s="54"/>
      <c r="D142" s="54"/>
      <c r="E142" s="54">
        <f>N(MOVIMIENTOS!$I242)+N(MOVIMIENTOS!$I243)+N(MOVIMIENTOS!$I244)+N(MOVIMIENTOS!$I245)</f>
        <v>3289</v>
      </c>
      <c r="F142" s="54" t="s">
        <v>158</v>
      </c>
      <c r="G142" s="54">
        <f>N(G141)+N(C142)-N(E142)</f>
        <v>2716</v>
      </c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</row>
    <row r="143" spans="1:20" ht="33.75" customHeight="1" x14ac:dyDescent="0.2">
      <c r="A143" s="71">
        <v>46235</v>
      </c>
      <c r="B143" s="54" t="s">
        <v>28</v>
      </c>
      <c r="C143" s="54"/>
      <c r="D143" s="54"/>
      <c r="E143" s="54"/>
      <c r="F143" s="54" t="str">
        <f>TRIM(IF(MOVIMIENTOS!$G248&lt;&gt;"",MOVIMIENTOS!$G248&amp;"  ","")&amp;IF(N(MOVIMIENTOS!$E248)&gt;0,MOVIMIENTOS!$E248&amp;" "&amp;MOVIMIENTOS!$D248&amp;"  ","")&amp;IF(MOVIMIENTOS!$H248&lt;&gt;"",MOVIMIENTOS!$H248,""))</f>
        <v>TCK002-735 5 sacos -</v>
      </c>
      <c r="G143" s="54">
        <f>N(G142)+N(C143)-N(E143)</f>
        <v>2716</v>
      </c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</row>
    <row r="144" spans="1:20" ht="15" customHeight="1" x14ac:dyDescent="0.2">
      <c r="A144" s="71">
        <v>46236</v>
      </c>
      <c r="B144" s="54" t="s">
        <v>109</v>
      </c>
      <c r="C144" s="54">
        <f>SUMPRODUCT((MOVIMIENTOS!$A$5:$A$417=DATE(2026,8,2))*(MOVIMIENTOS!$B$5:$B$417="COMPRA")*MOVIMIENTOS!$I$5:$I$417)</f>
        <v>5965.82</v>
      </c>
      <c r="D144" s="54">
        <f>SUMPRODUCT((MOVIMIENTOS!$A$5:$A$417=DATE(2026,8,2))*(MOVIMIENTOS!$B$5:$B$417="PROCESO")*MOVIMIENTOS!$I$5:$I$417)</f>
        <v>5715.5</v>
      </c>
      <c r="E144" s="54">
        <f>SUMPRODUCT((MOVIMIENTOS!$A$5:$A$417=DATE(2026,8,2))*((MOVIMIENTOS!$B$5:$B$417="ENVÍO A SUPESA")+(MOVIMIENTOS!$B$5:$B$417="ENVÍO A TOTTUS")+(MOVIMIENTOS!$B$5:$B$417="ENVIO A TOTTUS"))*MOVIMIENTOS!$I$5:$I$417)</f>
        <v>1951</v>
      </c>
      <c r="F144" s="54" t="str">
        <f>"Selección: "&amp;TEXT(SUMPRODUCT((MOVIMIENTOS!$A$5:$A$417=DATE(2026,8,2))*(MOVIMIENTOS!$B$5:$B$417="PROCESO")*(MOVIMIENTOS!$C$5:$C$417&lt;&gt;"Chancho")*MOVIMIENTOS!$I$5:$I$417),"#,##0")&amp;" kg  ·  Chancho: "&amp;TEXT(SUMPRODUCT((MOVIMIENTOS!$A$5:$A$417=DATE(2026,8,2))*(MOVIMIENTOS!$B$5:$B$417="PROCESO")*(MOVIMIENTOS!$C$5:$C$417="Chancho")*MOVIMIENTOS!$I$5:$I$417),"#,##0")&amp;" kg"&amp;IF(C144&gt;0,"  ·  "&amp;TEXT(D144/C144,"0%")&amp;" del ingreso","")</f>
        <v>Selección: 4,697 kg  ·  Chancho: 1,019 kg  ·  96% del ingreso</v>
      </c>
      <c r="G144" s="54">
        <f>N(G150)</f>
        <v>5712.32</v>
      </c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</row>
    <row r="145" spans="1:20" ht="15" customHeight="1" x14ac:dyDescent="0.2">
      <c r="A145" s="71">
        <v>46236</v>
      </c>
      <c r="B145" s="54" t="s">
        <v>28</v>
      </c>
      <c r="C145" s="54"/>
      <c r="D145" s="54"/>
      <c r="E145" s="54"/>
      <c r="F145" s="54" t="str">
        <f>TRIM(IF(MOVIMIENTOS!$G249&lt;&gt;"",MOVIMIENTOS!$G249&amp;"  ","")&amp;IF(N(MOVIMIENTOS!$E249)&gt;0,MOVIMIENTOS!$E249&amp;" "&amp;MOVIMIENTOS!$D249&amp;"  ","")&amp;IF(MOVIMIENTOS!$H249&lt;&gt;"",MOVIMIENTOS!$H249,""))</f>
        <v>TCK002-736 5 sacos</v>
      </c>
      <c r="G145" s="54">
        <f>N(G143)+N(C145)-N(E145)</f>
        <v>2716</v>
      </c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</row>
    <row r="146" spans="1:20" ht="15" customHeight="1" x14ac:dyDescent="0.2">
      <c r="A146" s="71">
        <v>46236</v>
      </c>
      <c r="B146" s="54" t="s">
        <v>112</v>
      </c>
      <c r="C146" s="54">
        <f>N(MOVIMIENTOS!$I250)</f>
        <v>5965.82</v>
      </c>
      <c r="D146" s="54"/>
      <c r="E146" s="54"/>
      <c r="F146" s="54" t="str">
        <f>TRIM(IF(MOVIMIENTOS!$G250&lt;&gt;"",MOVIMIENTOS!$G250&amp;"  ","")&amp;IF(N(MOVIMIENTOS!$E250)&gt;0,MOVIMIENTOS!$E250&amp;" "&amp;MOVIMIENTOS!$D250&amp;"  ","")&amp;IF(MOVIMIENTOS!$H250&lt;&gt;"",MOVIMIENTOS!$H250,""))</f>
        <v>59 sacos PROCESO DE 60 SACOS, SALDO DE LOS 97</v>
      </c>
      <c r="G146" s="54">
        <f>N(G145)+N(C146)-N(E146)</f>
        <v>8681.82</v>
      </c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</row>
    <row r="147" spans="1:20" ht="15" customHeight="1" x14ac:dyDescent="0.2">
      <c r="A147" s="71">
        <v>46236</v>
      </c>
      <c r="B147" s="54" t="s">
        <v>113</v>
      </c>
      <c r="C147" s="54"/>
      <c r="D147" s="54">
        <f>SUMPRODUCT((MOVIMIENTOS!$A$5:$A$417=DATE(2026,8,2))*(MOVIMIENTOS!$B$5:$B$417="PROCESO")*(MOVIMIENTOS!$C$5:$C$417&lt;&gt;"Chancho")*MOVIMIENTOS!$I$5:$I$417)</f>
        <v>4697</v>
      </c>
      <c r="E147" s="54"/>
      <c r="F147" s="54" t="s">
        <v>161</v>
      </c>
      <c r="G147" s="54">
        <f>N(G146)+N(C147)-N(E147)</f>
        <v>8681.82</v>
      </c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</row>
    <row r="148" spans="1:20" ht="15" customHeight="1" x14ac:dyDescent="0.2">
      <c r="A148" s="71">
        <v>46236</v>
      </c>
      <c r="B148" s="54" t="s">
        <v>115</v>
      </c>
      <c r="C148" s="54"/>
      <c r="D148" s="54">
        <f>N(MOVIMIENTOS!$I255)</f>
        <v>1018.5</v>
      </c>
      <c r="E148" s="54">
        <f>N(MOVIMIENTOS!$I255)</f>
        <v>1018.5</v>
      </c>
      <c r="F148" s="54" t="str">
        <f>TRIM(IF(MOVIMIENTOS!$G255&lt;&gt;"",MOVIMIENTOS!$G255&amp;"  ","")&amp;IF(N(MOVIMIENTOS!$E255)&gt;0,MOVIMIENTOS!$E255&amp;" "&amp;MOVIMIENTOS!$D255&amp;"  ","")&amp;IF(MOVIMIENTOS!$H255&lt;&gt;"",MOVIMIENTOS!$H255,""))</f>
        <v>10.5 sacos</v>
      </c>
      <c r="G148" s="54">
        <f>N(G147)+N(C148)-N(E148)</f>
        <v>7663.32</v>
      </c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</row>
    <row r="149" spans="1:20" ht="15" customHeight="1" x14ac:dyDescent="0.2">
      <c r="A149" s="71">
        <v>46236</v>
      </c>
      <c r="B149" s="54" t="s">
        <v>23</v>
      </c>
      <c r="C149" s="54"/>
      <c r="D149" s="54"/>
      <c r="E149" s="54">
        <f>N(MOVIMIENTOS!$I256)+N(MOVIMIENTOS!$I257)+N(MOVIMIENTOS!$I258)+N(MOVIMIENTOS!$I259)</f>
        <v>1951</v>
      </c>
      <c r="F149" s="54" t="s">
        <v>158</v>
      </c>
      <c r="G149" s="54">
        <f>N(G148)+N(C149)-N(E149)</f>
        <v>5712.32</v>
      </c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</row>
    <row r="150" spans="1:20" ht="33.75" customHeight="1" x14ac:dyDescent="0.2">
      <c r="A150" s="71">
        <v>46236</v>
      </c>
      <c r="B150" s="54" t="s">
        <v>28</v>
      </c>
      <c r="C150" s="54"/>
      <c r="D150" s="54"/>
      <c r="E150" s="54"/>
      <c r="F150" s="54" t="str">
        <f>TRIM(IF(MOVIMIENTOS!$G262&lt;&gt;"",MOVIMIENTOS!$G262&amp;"  ","")&amp;IF(N(MOVIMIENTOS!$E262)&gt;0,MOVIMIENTOS!$E262&amp;" "&amp;MOVIMIENTOS!$D262&amp;"  ","")&amp;IF(MOVIMIENTOS!$H262&lt;&gt;"",MOVIMIENTOS!$H262,""))</f>
        <v>TCK002-737 12 sacos cancelado S/.180 recibió anthony en efectivo</v>
      </c>
      <c r="G150" s="54">
        <f>N(G149)+N(C150)-N(E150)</f>
        <v>5712.32</v>
      </c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</row>
    <row r="151" spans="1:20" ht="15" customHeight="1" x14ac:dyDescent="0.2">
      <c r="A151" s="71">
        <v>46237</v>
      </c>
      <c r="B151" s="54" t="s">
        <v>109</v>
      </c>
      <c r="C151" s="54">
        <f>SUMPRODUCT((MOVIMIENTOS!$A$5:$A$417=DATE(2026,8,3))*(MOVIMIENTOS!$B$5:$B$417="COMPRA")*MOVIMIENTOS!$I$5:$I$417)</f>
        <v>0</v>
      </c>
      <c r="D151" s="54">
        <f>SUMPRODUCT((MOVIMIENTOS!$A$5:$A$417=DATE(2026,8,3))*(MOVIMIENTOS!$B$5:$B$417="PROCESO")*MOVIMIENTOS!$I$5:$I$417)</f>
        <v>0</v>
      </c>
      <c r="E151" s="54">
        <f>SUMPRODUCT((MOVIMIENTOS!$A$5:$A$417=DATE(2026,8,3))*((MOVIMIENTOS!$B$5:$B$417="ENVÍO A SUPESA")+(MOVIMIENTOS!$B$5:$B$417="ENVÍO A TOTTUS")+(MOVIMIENTOS!$B$5:$B$417="ENVIO A TOTTUS"))*MOVIMIENTOS!$I$5:$I$417)</f>
        <v>3413</v>
      </c>
      <c r="F151" s="54" t="str">
        <f>"Selección: "&amp;TEXT(SUMPRODUCT((MOVIMIENTOS!$A$5:$A$417=DATE(2026,8,3))*(MOVIMIENTOS!$B$5:$B$417="PROCESO")*(MOVIMIENTOS!$C$5:$C$417&lt;&gt;"Chancho")*MOVIMIENTOS!$I$5:$I$417),"#,##0")&amp;" kg  ·  Chancho: "&amp;TEXT(SUMPRODUCT((MOVIMIENTOS!$A$5:$A$417=DATE(2026,8,3))*(MOVIMIENTOS!$B$5:$B$417="PROCESO")*(MOVIMIENTOS!$C$5:$C$417="Chancho")*MOVIMIENTOS!$I$5:$I$417),"#,##0")&amp;" kg"&amp;IF(C151&gt;0,"  ·  "&amp;TEXT(D151/C151,"0%")&amp;" del ingreso","")</f>
        <v>Selección: 0 kg  ·  Chancho: 0 kg</v>
      </c>
      <c r="G151" s="54">
        <f>N(G154)</f>
        <v>2599.3199999999997</v>
      </c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</row>
    <row r="152" spans="1:20" ht="15" customHeight="1" x14ac:dyDescent="0.2">
      <c r="A152" s="71">
        <v>46237</v>
      </c>
      <c r="B152" s="54" t="s">
        <v>162</v>
      </c>
      <c r="C152" s="54"/>
      <c r="D152" s="54"/>
      <c r="E152" s="54"/>
      <c r="F152" s="54" t="str">
        <f>MOVIMIENTOS!$E263&amp;" jaba(s) de C recuperada(s) por reproceso · del rechazo de M y P (2 jabas) del 02/08 · no afecta Stock Kg"</f>
        <v>1 jaba(s) de C recuperada(s) por reproceso · del rechazo de M y P (2 jabas) del 02/08 · no afecta Stock Kg</v>
      </c>
      <c r="G152" s="54">
        <f>N(G150)+N(C152)-N(E152)</f>
        <v>5712.32</v>
      </c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</row>
    <row r="153" spans="1:20" ht="15" customHeight="1" x14ac:dyDescent="0.2">
      <c r="A153" s="71">
        <v>46237</v>
      </c>
      <c r="B153" s="54" t="s">
        <v>163</v>
      </c>
      <c r="C153" s="54">
        <f>N(MOVIMIENTOS!$I268)</f>
        <v>300</v>
      </c>
      <c r="D153" s="54"/>
      <c r="E153" s="54"/>
      <c r="F153" s="54" t="str">
        <f>MOVIMIENTOS!$E268&amp;" jaba(s) de A devuelta(s) por SUPESA · devolución del domingo 02/08, ingresó físicamente el 04/08 · SÍ vuelve a sumar al Stock Kg"</f>
        <v>20 jaba(s) de A devuelta(s) por SUPESA · devolución del domingo 02/08, ingresó físicamente el 04/08 · SÍ vuelve a sumar al Stock Kg</v>
      </c>
      <c r="G153" s="54">
        <f>N(G152)+N(C153)-N(E153)</f>
        <v>6012.32</v>
      </c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</row>
    <row r="154" spans="1:20" ht="33.75" customHeight="1" x14ac:dyDescent="0.2">
      <c r="A154" s="71">
        <v>46237</v>
      </c>
      <c r="B154" s="54" t="s">
        <v>23</v>
      </c>
      <c r="C154" s="54"/>
      <c r="D154" s="54"/>
      <c r="E154" s="54">
        <f>N(MOVIMIENTOS!$I264)+N(MOVIMIENTOS!$I265)+N(MOVIMIENTOS!$I266)+N(MOVIMIENTOS!$I267)</f>
        <v>3413</v>
      </c>
      <c r="F154" s="54" t="s">
        <v>158</v>
      </c>
      <c r="G154" s="54">
        <f>N(G153)+N(C154)-N(E154)</f>
        <v>2599.3199999999997</v>
      </c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</row>
    <row r="155" spans="1:20" ht="15" customHeight="1" x14ac:dyDescent="0.2">
      <c r="A155" s="71">
        <v>46238</v>
      </c>
      <c r="B155" s="54" t="s">
        <v>109</v>
      </c>
      <c r="C155" s="54">
        <f>SUMPRODUCT((MOVIMIENTOS!$A$5:$A$417=DATE(2026,8,4))*(MOVIMIENTOS!$B$5:$B$417="COMPRA")*MOVIMIENTOS!$I$5:$I$417)</f>
        <v>3450</v>
      </c>
      <c r="D155" s="54">
        <f>SUMPRODUCT((MOVIMIENTOS!$A$5:$A$417=DATE(2026,8,4))*(MOVIMIENTOS!$B$5:$B$417="PROCESO")*MOVIMIENTOS!$I$5:$I$417)</f>
        <v>3447</v>
      </c>
      <c r="E155" s="54">
        <f>SUMPRODUCT((MOVIMIENTOS!$A$5:$A$417=DATE(2026,8,4))*((MOVIMIENTOS!$B$5:$B$417="ENVÍO A SUPESA")+(MOVIMIENTOS!$B$5:$B$417="ENVÍO A TOTTUS")+(MOVIMIENTOS!$B$5:$B$417="ENVIO A TOTTUS"))*MOVIMIENTOS!$I$5:$I$417)</f>
        <v>3413</v>
      </c>
      <c r="F155" s="54" t="str">
        <f>"Selección: "&amp;TEXT(SUMPRODUCT((MOVIMIENTOS!$A$5:$A$417=DATE(2026,8,4))*(MOVIMIENTOS!$B$5:$B$417="PROCESO")*(MOVIMIENTOS!$C$5:$C$417&lt;&gt;"Chancho")*MOVIMIENTOS!$I$5:$I$417),"#,##0")&amp;" kg  ·  Chancho: "&amp;TEXT(SUMPRODUCT((MOVIMIENTOS!$A$5:$A$417=DATE(2026,8,4))*(MOVIMIENTOS!$B$5:$B$417="PROCESO")*(MOVIMIENTOS!$C$5:$C$417="Chancho")*MOVIMIENTOS!$I$5:$I$417),"#,##0")&amp;" kg"&amp;IF(C155&gt;0,"  ·  "&amp;TEXT(D155/C155,"0%")&amp;" del ingreso","")</f>
        <v>Selección: 2,283 kg  ·  Chancho: 1,164 kg  ·  100% del ingreso</v>
      </c>
      <c r="G155" s="54">
        <f>N(G159)</f>
        <v>1472.3199999999997</v>
      </c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</row>
    <row r="156" spans="1:20" ht="15" customHeight="1" x14ac:dyDescent="0.2">
      <c r="A156" s="71">
        <v>46238</v>
      </c>
      <c r="B156" s="54" t="s">
        <v>112</v>
      </c>
      <c r="C156" s="54">
        <f>N(MOVIMIENTOS!$I269)</f>
        <v>3450</v>
      </c>
      <c r="D156" s="54"/>
      <c r="E156" s="54"/>
      <c r="F156" s="54" t="str">
        <f>TRIM(IF(MOVIMIENTOS!$G269&lt;&gt;"",MOVIMIENTOS!$G269&amp;"  ","")&amp;IF(N(MOVIMIENTOS!$E269)&gt;0,MOVIMIENTOS!$E269&amp;" "&amp;MOVIMIENTOS!$D269&amp;"  ","")&amp;IF(MOVIMIENTOS!$H269&lt;&gt;"",MOVIMIENTOS!$H269,""))</f>
        <v>34 sacos compra Florentino Castillón</v>
      </c>
      <c r="G156" s="54">
        <f>N(G154)+N(C156)-N(E156)</f>
        <v>6049.32</v>
      </c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</row>
    <row r="157" spans="1:20" ht="15" customHeight="1" x14ac:dyDescent="0.2">
      <c r="A157" s="71">
        <v>46238</v>
      </c>
      <c r="B157" s="54" t="s">
        <v>113</v>
      </c>
      <c r="C157" s="54"/>
      <c r="D157" s="54">
        <f>SUMPRODUCT((MOVIMIENTOS!$A$5:$A$417=DATE(2026,8,4))*(MOVIMIENTOS!$B$5:$B$417="PROCESO")*(MOVIMIENTOS!$C$5:$C$417&lt;&gt;"Chancho")*MOVIMIENTOS!$I$5:$I$417)</f>
        <v>2283</v>
      </c>
      <c r="E157" s="54"/>
      <c r="F157" s="54" t="s">
        <v>164</v>
      </c>
      <c r="G157" s="54">
        <f>N(G156)+N(C157)-N(E157)</f>
        <v>6049.32</v>
      </c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</row>
    <row r="158" spans="1:20" ht="15" customHeight="1" x14ac:dyDescent="0.2">
      <c r="A158" s="71">
        <v>46238</v>
      </c>
      <c r="B158" s="54" t="s">
        <v>115</v>
      </c>
      <c r="C158" s="54"/>
      <c r="D158" s="54">
        <f>N(MOVIMIENTOS!$I274)</f>
        <v>1164</v>
      </c>
      <c r="E158" s="54">
        <f>N(MOVIMIENTOS!$I274)</f>
        <v>1164</v>
      </c>
      <c r="F158" s="54" t="str">
        <f>TRIM(IF(MOVIMIENTOS!$G274&lt;&gt;"",MOVIMIENTOS!$G274&amp;"  ","")&amp;IF(N(MOVIMIENTOS!$E274)&gt;0,MOVIMIENTOS!$E274&amp;" "&amp;MOVIMIENTOS!$D274&amp;"  ","")&amp;IF(MOVIMIENTOS!$H274&lt;&gt;"",MOVIMIENTOS!$H274,""))</f>
        <v>12 sacos</v>
      </c>
      <c r="G158" s="54">
        <f>N(G157)+N(C158)-N(E158)</f>
        <v>4885.32</v>
      </c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</row>
    <row r="159" spans="1:20" ht="15" customHeight="1" x14ac:dyDescent="0.2">
      <c r="A159" s="71">
        <v>46238</v>
      </c>
      <c r="B159" s="54" t="s">
        <v>23</v>
      </c>
      <c r="C159" s="54"/>
      <c r="D159" s="54"/>
      <c r="E159" s="54">
        <f>N(MOVIMIENTOS!$I275)+N(MOVIMIENTOS!$I276)+N(MOVIMIENTOS!$I277)+N(MOVIMIENTOS!$I278)</f>
        <v>3413</v>
      </c>
      <c r="F159" s="54" t="s">
        <v>158</v>
      </c>
      <c r="G159" s="54">
        <f>N(G158)+N(C159)-N(E159)</f>
        <v>1472.3199999999997</v>
      </c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</row>
    <row r="160" spans="1:20" ht="15" customHeight="1" x14ac:dyDescent="0.2">
      <c r="A160" s="71">
        <v>46239</v>
      </c>
      <c r="B160" s="54" t="s">
        <v>109</v>
      </c>
      <c r="C160" s="54">
        <f>SUMPRODUCT((MOVIMIENTOS!$A$5:$A$412=DATE(2026,8,5))*(MOVIMIENTOS!$B$5:$B$412="COMPRA")*MOVIMIENTOS!$I$5:$I$412)</f>
        <v>5044</v>
      </c>
      <c r="D160" s="54">
        <f>SUMPRODUCT((MOVIMIENTOS!$A$5:$A$412=DATE(2026,8,5))*(MOVIMIENTOS!$B$5:$B$412="PROCESO")*MOVIMIENTOS!$I$5:$I$412)</f>
        <v>5361.5</v>
      </c>
      <c r="E160" s="54">
        <f>SUMPRODUCT((MOVIMIENTOS!$A$5:$A$412=DATE(2026,8,5))*((MOVIMIENTOS!$B$5:$B$412="ENVÍO A SUPESA")+(MOVIMIENTOS!$B$5:$B$412="ENVÍO A TOTTUS")+(MOVIMIENTOS!$B$5:$B$412="ENVIO A TOTTUS"))*MOVIMIENTOS!$I$5:$I$412)</f>
        <v>3158</v>
      </c>
      <c r="F160" s="54" t="str">
        <f>"Selección: "&amp;TEXT(SUMPRODUCT((MOVIMIENTOS!$A$5:$A$412=DATE(2026,8,5))*(MOVIMIENTOS!$B$5:$B$412="PROCESO")*(MOVIMIENTOS!$C$5:$C$412&lt;&gt;"Chancho")*MOVIMIENTOS!$I$5:$I$412),"#,##0")&amp;" kg  ·  Chancho: "&amp;TEXT(SUMPRODUCT((MOVIMIENTOS!$A$5:$A$412=DATE(2026,8,5))*(MOVIMIENTOS!$B$5:$B$412="PROCESO")*(MOVIMIENTOS!$C$5:$C$412="Chancho")*MOVIMIENTOS!$I$5:$I$412),"#,##0")&amp;" kg"&amp;IF(C160&gt;0,"  ·  "&amp;TEXT(D160/C160,"0%")&amp;" del ingreso","")</f>
        <v>Selección: 4,828 kg  ·  Chancho: 534 kg  ·  106% del ingreso</v>
      </c>
      <c r="G160" s="54">
        <f>N(G168)</f>
        <v>2824.8199999999997</v>
      </c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</row>
    <row r="161" spans="1:20" ht="15" customHeight="1" x14ac:dyDescent="0.2">
      <c r="A161" s="71">
        <v>46239</v>
      </c>
      <c r="B161" s="54" t="s">
        <v>112</v>
      </c>
      <c r="C161" s="54">
        <f>N(MOVIMIENTOS!$I279)</f>
        <v>5044</v>
      </c>
      <c r="D161" s="54"/>
      <c r="E161" s="54"/>
      <c r="F161" s="54" t="str">
        <f>TRIM(IF(MOVIMIENTOS!$G279&lt;&gt;"",MOVIMIENTOS!$G279&amp;"  ","")&amp;IF(N(MOVIMIENTOS!$E279)&gt;0,MOVIMIENTOS!$E279&amp;" "&amp;MOVIMIENTOS!$D279&amp;"  ","")&amp;IF(MOVIMIENTOS!$H279&lt;&gt;"",MOVIMIENTOS!$H279,""))</f>
        <v>52 sacos Compra de 100 sacos Jeison de la Cruz</v>
      </c>
      <c r="G161" s="54">
        <f>N(G159)+N(C161)-N(E161)</f>
        <v>6516.32</v>
      </c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</row>
    <row r="162" spans="1:20" ht="15" customHeight="1" x14ac:dyDescent="0.2">
      <c r="A162" s="71">
        <v>46239</v>
      </c>
      <c r="B162" s="54" t="s">
        <v>113</v>
      </c>
      <c r="C162" s="54"/>
      <c r="D162" s="54">
        <f>SUMPRODUCT((MOVIMIENTOS!$A$5:$A$412=DATE(2026,8,5))*(MOVIMIENTOS!$B$5:$B$412="PROCESO")*(MOVIMIENTOS!$C$5:$C$412&lt;&gt;"Chancho")*MOVIMIENTOS!$I$5:$I$412)</f>
        <v>4828</v>
      </c>
      <c r="E162" s="54"/>
      <c r="F162" s="54" t="s">
        <v>165</v>
      </c>
      <c r="G162" s="54">
        <f t="shared" ref="G162:G168" si="4">N(G161)+N(C162)-N(E162)</f>
        <v>6516.32</v>
      </c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</row>
    <row r="163" spans="1:20" ht="15" customHeight="1" x14ac:dyDescent="0.2">
      <c r="A163" s="71">
        <v>46239</v>
      </c>
      <c r="B163" s="54" t="s">
        <v>115</v>
      </c>
      <c r="C163" s="54"/>
      <c r="D163" s="54">
        <f>N(MOVIMIENTOS!$I284)</f>
        <v>533.5</v>
      </c>
      <c r="E163" s="54">
        <f>N(MOVIMIENTOS!$I284)</f>
        <v>533.5</v>
      </c>
      <c r="F163" s="54" t="str">
        <f>TRIM(IF(MOVIMIENTOS!$G284&lt;&gt;"",MOVIMIENTOS!$G284&amp;"  ","")&amp;IF(N(MOVIMIENTOS!$E284)&gt;0,MOVIMIENTOS!$E284&amp;" "&amp;MOVIMIENTOS!$D284&amp;"  ","")&amp;IF(MOVIMIENTOS!$H284&lt;&gt;"",MOVIMIENTOS!$H284,""))</f>
        <v>5.5 sacos</v>
      </c>
      <c r="G163" s="54">
        <f t="shared" si="4"/>
        <v>5982.82</v>
      </c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</row>
    <row r="164" spans="1:20" ht="15" customHeight="1" x14ac:dyDescent="0.2">
      <c r="A164" s="71">
        <v>46239</v>
      </c>
      <c r="B164" s="54" t="s">
        <v>23</v>
      </c>
      <c r="C164" s="54"/>
      <c r="D164" s="54"/>
      <c r="E164" s="54">
        <f>N(MOVIMIENTOS!$I285)+N(MOVIMIENTOS!$I286)+N(MOVIMIENTOS!$I287)+N(MOVIMIENTOS!$I288)</f>
        <v>3158</v>
      </c>
      <c r="F164" s="54" t="s">
        <v>158</v>
      </c>
      <c r="G164" s="54">
        <f t="shared" si="4"/>
        <v>2824.8199999999997</v>
      </c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</row>
    <row r="165" spans="1:20" ht="33.75" customHeight="1" x14ac:dyDescent="0.2">
      <c r="A165" s="71">
        <v>46239</v>
      </c>
      <c r="B165" s="54" t="s">
        <v>28</v>
      </c>
      <c r="C165" s="54"/>
      <c r="D165" s="54"/>
      <c r="E165" s="54"/>
      <c r="F165" s="54" t="str">
        <f>TRIM(IF(MOVIMIENTOS!$G289&lt;&gt;"",MOVIMIENTOS!$G289&amp;"  ","")&amp;IF(N(MOVIMIENTOS!$E289)&gt;0,MOVIMIENTOS!$E289&amp;" "&amp;MOVIMIENTOS!$D289&amp;"  ","")&amp;IF(MOVIMIENTOS!$H289&lt;&gt;"",MOVIMIENTOS!$H289,""))</f>
        <v>2 sacos Sin ticket venta a Cesar</v>
      </c>
      <c r="G165" s="54">
        <f t="shared" si="4"/>
        <v>2824.8199999999997</v>
      </c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</row>
    <row r="166" spans="1:20" ht="15" customHeight="1" x14ac:dyDescent="0.2">
      <c r="A166" s="71">
        <v>46239</v>
      </c>
      <c r="B166" s="54" t="s">
        <v>28</v>
      </c>
      <c r="C166" s="54"/>
      <c r="D166" s="54"/>
      <c r="E166" s="54"/>
      <c r="F166" s="54" t="str">
        <f>TRIM(IF(MOVIMIENTOS!$G290&lt;&gt;"",MOVIMIENTOS!$G290&amp;"  ","")&amp;IF(N(MOVIMIENTOS!$E290)&gt;0,MOVIMIENTOS!$E290&amp;" "&amp;MOVIMIENTOS!$D290&amp;"  ","")&amp;IF(MOVIMIENTOS!$H290&lt;&gt;"",MOVIMIENTOS!$H290,""))</f>
        <v>2 sacos Sin ticket venta a Saúl</v>
      </c>
      <c r="G166" s="54">
        <f t="shared" si="4"/>
        <v>2824.8199999999997</v>
      </c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</row>
    <row r="167" spans="1:20" ht="15" customHeight="1" x14ac:dyDescent="0.2">
      <c r="A167" s="71">
        <v>46239</v>
      </c>
      <c r="B167" s="54" t="s">
        <v>28</v>
      </c>
      <c r="C167" s="54"/>
      <c r="D167" s="54"/>
      <c r="E167" s="54"/>
      <c r="F167" s="54" t="str">
        <f>TRIM(IF(MOVIMIENTOS!$G291&lt;&gt;"",MOVIMIENTOS!$G291&amp;"  ","")&amp;IF(N(MOVIMIENTOS!$E291)&gt;0,MOVIMIENTOS!$E291&amp;" "&amp;MOVIMIENTOS!$D291&amp;"  ","")&amp;IF(MOVIMIENTOS!$H291&lt;&gt;"",MOVIMIENTOS!$H291,""))</f>
        <v>TCK002-741 15 sacos Total 21 sacos</v>
      </c>
      <c r="G167" s="54">
        <f t="shared" si="4"/>
        <v>2824.8199999999997</v>
      </c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</row>
    <row r="168" spans="1:20" ht="15" customHeight="1" x14ac:dyDescent="0.2">
      <c r="A168" s="71">
        <v>46239</v>
      </c>
      <c r="B168" s="54" t="s">
        <v>28</v>
      </c>
      <c r="C168" s="54"/>
      <c r="D168" s="54"/>
      <c r="E168" s="54"/>
      <c r="F168" s="54" t="str">
        <f>TRIM(IF(MOVIMIENTOS!$G292&lt;&gt;"",MOVIMIENTOS!$G292&amp;"  ","")&amp;IF(N(MOVIMIENTOS!$E292)&gt;0,MOVIMIENTOS!$E292&amp;" "&amp;MOVIMIENTOS!$D292&amp;"  ","")&amp;IF(MOVIMIENTOS!$H292&lt;&gt;"",MOVIMIENTOS!$H292,""))</f>
        <v>1 sacos FALTA</v>
      </c>
      <c r="G168" s="54">
        <f t="shared" si="4"/>
        <v>2824.8199999999997</v>
      </c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</row>
    <row r="169" spans="1:20" ht="15" customHeight="1" x14ac:dyDescent="0.2">
      <c r="A169" s="71">
        <v>46240</v>
      </c>
      <c r="B169" s="54" t="s">
        <v>109</v>
      </c>
      <c r="C169" s="54">
        <f>SUMPRODUCT((MOVIMIENTOS!$A$5:$A$410=DATE(2026,8,6))*(MOVIMIENTOS!$B$5:$B$410="COMPRA")*MOVIMIENTOS!$I$5:$I$410)</f>
        <v>4656</v>
      </c>
      <c r="D169" s="54">
        <f>SUMPRODUCT((MOVIMIENTOS!$A$5:$A$410=DATE(2026,8,6))*(MOVIMIENTOS!$B$5:$B$410="PROCESO")*MOVIMIENTOS!$I$5:$I$410)</f>
        <v>4716.5</v>
      </c>
      <c r="E169" s="54">
        <f>SUMPRODUCT((MOVIMIENTOS!$A$5:$A$410=DATE(2026,8,6))*((MOVIMIENTOS!$B$5:$B$410="ENVÍO A SUPESA")+(MOVIMIENTOS!$B$5:$B$410="ENVÍO A TOTTUS")+(MOVIMIENTOS!$B$5:$B$410="ENVIO A TOTTUS"))*MOVIMIENTOS!$I$5:$I$410)</f>
        <v>3413</v>
      </c>
      <c r="F169" s="54" t="str">
        <f>"Selección: "&amp;TEXT(SUMPRODUCT((MOVIMIENTOS!$A$5:$A$410=DATE(2026,8,6))*(MOVIMIENTOS!$B$5:$B$410="PROCESO")*(MOVIMIENTOS!$C$5:$C$410&lt;&gt;"Chancho")*MOVIMIENTOS!$I$5:$I$410),"#,##0")&amp;" kg  ·  Chancho: "&amp;TEXT(SUMPRODUCT((MOVIMIENTOS!$A$5:$A$410=DATE(2026,8,6))*(MOVIMIENTOS!$B$5:$B$410="PROCESO")*(MOVIMIENTOS!$C$5:$C$410="Chancho")*MOVIMIENTOS!$I$5:$I$410),"#,##0")&amp;" kg"&amp;IF(C169&gt;0,"  ·  "&amp;TEXT(D169/C169,"0%")&amp;" del ingreso","")</f>
        <v>Selección: 4,086 kg  ·  Chancho: 631 kg  ·  101% del ingreso</v>
      </c>
      <c r="G169" s="54">
        <f>N(G174)</f>
        <v>3437.3199999999997</v>
      </c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</row>
    <row r="170" spans="1:20" ht="15" customHeight="1" x14ac:dyDescent="0.2">
      <c r="A170" s="71">
        <v>46240</v>
      </c>
      <c r="B170" s="54" t="s">
        <v>112</v>
      </c>
      <c r="C170" s="54">
        <f>N(MOVIMIENTOS!$I295)</f>
        <v>4656</v>
      </c>
      <c r="D170" s="54"/>
      <c r="E170" s="54"/>
      <c r="F170" s="54" t="str">
        <f>TRIM(IF(MOVIMIENTOS!$G295&lt;&gt;"",MOVIMIENTOS!$G295&amp;"  ","")&amp;IF(N(MOVIMIENTOS!$E295)&gt;0,MOVIMIENTOS!$E295&amp;" "&amp;MOVIMIENTOS!$D295&amp;"  ","")&amp;IF(MOVIMIENTOS!$H295&lt;&gt;"",MOVIMIENTOS!$H295,""))</f>
        <v>48 sacos Diferencia de los 100 sacos comprados el dia mie05</v>
      </c>
      <c r="G170" s="54">
        <f>N(G168)+N(C170)-N(E170)</f>
        <v>7480.82</v>
      </c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</row>
    <row r="171" spans="1:20" ht="15" customHeight="1" x14ac:dyDescent="0.2">
      <c r="A171" s="71">
        <v>46240</v>
      </c>
      <c r="B171" s="54" t="s">
        <v>113</v>
      </c>
      <c r="C171" s="54"/>
      <c r="D171" s="54">
        <f>SUMPRODUCT((MOVIMIENTOS!$A$5:$A$410=DATE(2026,8,6))*(MOVIMIENTOS!$B$5:$B$410="PROCESO")*(MOVIMIENTOS!$C$5:$C$410&lt;&gt;"Chancho")*MOVIMIENTOS!$I$5:$I$410)</f>
        <v>4086</v>
      </c>
      <c r="E171" s="54"/>
      <c r="F171" s="54" t="s">
        <v>166</v>
      </c>
      <c r="G171" s="54">
        <f>N(G170)+N(C171)-N(E171)</f>
        <v>7480.82</v>
      </c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</row>
    <row r="172" spans="1:20" ht="15" customHeight="1" x14ac:dyDescent="0.2">
      <c r="A172" s="71">
        <v>46240</v>
      </c>
      <c r="B172" s="54" t="s">
        <v>115</v>
      </c>
      <c r="C172" s="54"/>
      <c r="D172" s="54">
        <f>N(MOVIMIENTOS!$I300)</f>
        <v>630.5</v>
      </c>
      <c r="E172" s="54">
        <f>N(MOVIMIENTOS!$I300)</f>
        <v>630.5</v>
      </c>
      <c r="F172" s="54" t="str">
        <f>TRIM(IF(MOVIMIENTOS!$G300&lt;&gt;"",MOVIMIENTOS!$G300&amp;"  ","")&amp;IF(N(MOVIMIENTOS!$E300)&gt;0,MOVIMIENTOS!$E300&amp;" "&amp;MOVIMIENTOS!$D300&amp;"  ","")&amp;IF(MOVIMIENTOS!$H300&lt;&gt;"",MOVIMIENTOS!$H300,""))</f>
        <v>6.5 sacos</v>
      </c>
      <c r="G172" s="54">
        <f>N(G171)+N(C172)-N(E172)</f>
        <v>6850.32</v>
      </c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</row>
    <row r="173" spans="1:20" ht="33.75" customHeight="1" x14ac:dyDescent="0.2">
      <c r="A173" s="71">
        <v>46240</v>
      </c>
      <c r="B173" s="54" t="s">
        <v>23</v>
      </c>
      <c r="C173" s="54"/>
      <c r="D173" s="54"/>
      <c r="E173" s="54">
        <f>N(MOVIMIENTOS!$I301)+N(MOVIMIENTOS!$I302)+N(MOVIMIENTOS!$I303)+N(MOVIMIENTOS!$I304)</f>
        <v>3413</v>
      </c>
      <c r="F173" s="54" t="s">
        <v>158</v>
      </c>
      <c r="G173" s="54">
        <f>N(G172)+N(C173)-N(E173)</f>
        <v>3437.3199999999997</v>
      </c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</row>
    <row r="174" spans="1:20" ht="15" customHeight="1" x14ac:dyDescent="0.2">
      <c r="A174" s="71">
        <v>46240</v>
      </c>
      <c r="B174" s="54" t="s">
        <v>28</v>
      </c>
      <c r="C174" s="54"/>
      <c r="D174" s="54"/>
      <c r="E174" s="54"/>
      <c r="F174" s="54" t="str">
        <f>TRIM(IF(MOVIMIENTOS!$G305&lt;&gt;"",MOVIMIENTOS!$G305&amp;"  ","")&amp;IF(N(MOVIMIENTOS!$E305)&gt;0,MOVIMIENTOS!$E305&amp;" "&amp;MOVIMIENTOS!$D305&amp;"  ","")&amp;IF(MOVIMIENTOS!$H305&lt;&gt;"",MOVIMIENTOS!$H305,""))</f>
        <v>TCK002-740 17 sacos</v>
      </c>
      <c r="G174" s="54">
        <f>N(G173)+N(C174)-N(E174)</f>
        <v>3437.3199999999997</v>
      </c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</row>
    <row r="175" spans="1:20" ht="1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</row>
    <row r="176" spans="1:20" ht="1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</row>
    <row r="177" spans="1:20" ht="1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</row>
    <row r="178" spans="1:20" ht="1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</row>
    <row r="179" spans="1:20" ht="1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</row>
    <row r="180" spans="1:20" ht="1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</row>
    <row r="181" spans="1:20" ht="1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</row>
    <row r="182" spans="1:20" ht="1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</row>
    <row r="183" spans="1:20" ht="1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</row>
    <row r="184" spans="1:20" ht="1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</row>
    <row r="185" spans="1:20" ht="1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</row>
    <row r="186" spans="1:20" ht="1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</row>
    <row r="187" spans="1:20" ht="1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</row>
    <row r="188" spans="1:20" ht="1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</row>
    <row r="189" spans="1:20" ht="1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</row>
    <row r="190" spans="1:20" ht="1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</row>
    <row r="191" spans="1:20" ht="1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</row>
    <row r="192" spans="1:20" ht="1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</row>
    <row r="193" spans="1:20" ht="1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</row>
    <row r="194" spans="1:20" ht="1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</row>
    <row r="195" spans="1:20" ht="1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</row>
    <row r="196" spans="1:20" ht="1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</row>
    <row r="197" spans="1:20" ht="1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</row>
    <row r="198" spans="1:20" ht="1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</row>
    <row r="199" spans="1:20" ht="1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</row>
    <row r="200" spans="1:20" ht="1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</row>
    <row r="201" spans="1:20" ht="1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</row>
    <row r="202" spans="1:20" ht="1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</row>
    <row r="203" spans="1:20" ht="1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</row>
    <row r="204" spans="1:20" ht="1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</row>
    <row r="205" spans="1:20" ht="1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</row>
    <row r="206" spans="1:20" ht="1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</row>
    <row r="207" spans="1:20" ht="1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</row>
    <row r="208" spans="1:20" ht="1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</row>
    <row r="209" spans="1:20" ht="1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</row>
    <row r="210" spans="1:20" ht="1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</row>
    <row r="211" spans="1:20" ht="1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</row>
    <row r="212" spans="1:20" ht="1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</row>
    <row r="213" spans="1:20" ht="1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</row>
    <row r="214" spans="1:20" ht="1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</row>
    <row r="215" spans="1:20" ht="1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</row>
    <row r="216" spans="1:20" ht="1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</row>
    <row r="217" spans="1:20" ht="1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</row>
    <row r="218" spans="1:20" ht="1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</row>
    <row r="219" spans="1:20" ht="1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</row>
    <row r="220" spans="1:20" ht="1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</row>
    <row r="221" spans="1:20" ht="1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</row>
    <row r="222" spans="1:20" ht="1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</row>
    <row r="223" spans="1:20" ht="1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</row>
    <row r="224" spans="1:20" ht="1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</row>
    <row r="225" spans="1:20" ht="1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</row>
    <row r="226" spans="1:20" ht="1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</row>
    <row r="227" spans="1:20" ht="1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</row>
    <row r="228" spans="1:20" ht="1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</row>
    <row r="229" spans="1:20" ht="1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</row>
    <row r="230" spans="1:20" ht="1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</row>
    <row r="231" spans="1:20" ht="1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</row>
    <row r="232" spans="1:20" ht="1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</row>
    <row r="233" spans="1:20" ht="1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</row>
    <row r="234" spans="1:20" ht="1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</row>
    <row r="235" spans="1:20" ht="1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</row>
    <row r="236" spans="1:20" ht="1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</row>
    <row r="237" spans="1:20" ht="1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</row>
    <row r="238" spans="1:20" ht="1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</row>
    <row r="239" spans="1:20" ht="1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</row>
    <row r="240" spans="1:20" ht="1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</row>
    <row r="241" spans="1:20" ht="1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</row>
    <row r="242" spans="1:20" ht="1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</row>
    <row r="243" spans="1:20" ht="1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</row>
    <row r="244" spans="1:20" ht="1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</row>
    <row r="245" spans="1:20" ht="1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</row>
    <row r="246" spans="1:20" ht="1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</row>
    <row r="247" spans="1:20" ht="1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</row>
    <row r="248" spans="1:20" ht="1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</row>
    <row r="249" spans="1:20" ht="1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</row>
    <row r="250" spans="1:20" ht="1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</row>
    <row r="251" spans="1:20" ht="1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</row>
    <row r="252" spans="1:20" ht="1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</row>
    <row r="253" spans="1:20" ht="1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</row>
    <row r="254" spans="1:20" ht="1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</row>
    <row r="255" spans="1:20" ht="1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</row>
    <row r="256" spans="1:20" ht="1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</row>
    <row r="257" spans="1:20" ht="1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</row>
    <row r="258" spans="1:20" ht="1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</row>
    <row r="259" spans="1:20" ht="1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</row>
    <row r="260" spans="1:20" ht="1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</row>
    <row r="261" spans="1:20" ht="1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</row>
    <row r="262" spans="1:20" ht="1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</row>
    <row r="263" spans="1:20" ht="1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</row>
    <row r="264" spans="1:20" ht="1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</row>
    <row r="265" spans="1:20" ht="1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</row>
    <row r="266" spans="1:20" ht="1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</row>
    <row r="267" spans="1:20" ht="1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</row>
    <row r="268" spans="1:20" ht="1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</row>
    <row r="269" spans="1:20" ht="1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</row>
    <row r="270" spans="1:20" ht="1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</row>
    <row r="271" spans="1:20" ht="1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</row>
    <row r="272" spans="1:20" ht="1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</row>
    <row r="273" spans="1:20" ht="1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</row>
    <row r="274" spans="1:20" ht="1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</row>
    <row r="275" spans="1:20" ht="1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</row>
    <row r="276" spans="1:20" ht="1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</row>
    <row r="277" spans="1:20" ht="1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</row>
    <row r="278" spans="1:20" ht="1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</row>
    <row r="279" spans="1:20" ht="1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</row>
    <row r="280" spans="1:20" ht="1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</row>
    <row r="281" spans="1:20" ht="1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</row>
    <row r="282" spans="1:20" ht="1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</row>
    <row r="283" spans="1:20" ht="1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</row>
    <row r="284" spans="1:20" ht="1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</row>
    <row r="285" spans="1:20" ht="1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</row>
    <row r="286" spans="1:20" ht="1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</row>
    <row r="287" spans="1:20" ht="1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</row>
    <row r="288" spans="1:20" ht="1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</row>
    <row r="289" spans="1:20" ht="1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</row>
    <row r="290" spans="1:20" ht="1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</row>
    <row r="291" spans="1:20" ht="1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</row>
    <row r="292" spans="1:20" ht="1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</row>
    <row r="293" spans="1:20" ht="1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</row>
    <row r="294" spans="1:20" ht="1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</row>
    <row r="295" spans="1:20" ht="1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</row>
    <row r="296" spans="1:20" ht="1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</row>
    <row r="297" spans="1:20" ht="1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</row>
    <row r="298" spans="1:20" ht="1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</row>
    <row r="299" spans="1:20" ht="1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</row>
    <row r="300" spans="1:20" ht="1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</row>
    <row r="301" spans="1:20" ht="1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</row>
    <row r="302" spans="1:20" ht="1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</row>
    <row r="303" spans="1:20" ht="1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</row>
    <row r="304" spans="1:20" ht="1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</row>
    <row r="305" spans="1:20" ht="1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</row>
    <row r="306" spans="1:20" ht="1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</row>
    <row r="307" spans="1:20" ht="1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</row>
    <row r="308" spans="1:20" ht="1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</row>
    <row r="309" spans="1:20" ht="1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</row>
    <row r="310" spans="1:20" ht="1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</row>
    <row r="311" spans="1:20" ht="1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</row>
    <row r="312" spans="1:20" ht="1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</row>
    <row r="313" spans="1:20" ht="1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</row>
    <row r="314" spans="1:20" ht="1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</row>
    <row r="315" spans="1:20" ht="1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</row>
    <row r="316" spans="1:20" ht="1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</row>
    <row r="317" spans="1:20" ht="1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</row>
    <row r="318" spans="1:20" ht="1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</row>
    <row r="319" spans="1:20" ht="1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</row>
    <row r="320" spans="1:20" ht="1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</row>
    <row r="321" spans="1:20" ht="1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</row>
    <row r="322" spans="1:20" ht="1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</row>
    <row r="323" spans="1:20" ht="1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</row>
    <row r="324" spans="1:20" ht="1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</row>
    <row r="325" spans="1:20" ht="1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</row>
    <row r="326" spans="1:20" ht="1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</row>
    <row r="327" spans="1:20" ht="1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</row>
    <row r="328" spans="1:20" ht="1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</row>
    <row r="329" spans="1:20" ht="1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</row>
    <row r="330" spans="1:20" ht="1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</row>
    <row r="331" spans="1:20" ht="1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</row>
    <row r="332" spans="1:20" ht="1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</row>
    <row r="333" spans="1:20" ht="1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</row>
    <row r="334" spans="1:20" ht="1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</row>
    <row r="335" spans="1:20" ht="1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</row>
    <row r="336" spans="1:20" ht="1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</row>
    <row r="337" spans="1:20" ht="1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</row>
    <row r="338" spans="1:20" ht="1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</row>
    <row r="339" spans="1:20" ht="1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</row>
    <row r="340" spans="1:20" ht="1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</row>
    <row r="341" spans="1:20" ht="1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</row>
    <row r="342" spans="1:20" ht="1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</row>
    <row r="343" spans="1:20" ht="1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</row>
    <row r="344" spans="1:20" ht="1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</row>
    <row r="345" spans="1:20" ht="1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</row>
    <row r="346" spans="1:20" ht="1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</row>
    <row r="347" spans="1:20" ht="1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</row>
    <row r="348" spans="1:20" ht="1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</row>
    <row r="349" spans="1:20" ht="1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</row>
    <row r="350" spans="1:20" ht="1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</row>
    <row r="351" spans="1:20" ht="1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</row>
    <row r="352" spans="1:20" ht="1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</row>
    <row r="353" spans="1:20" ht="1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</row>
    <row r="354" spans="1:20" ht="1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</row>
    <row r="355" spans="1:20" ht="1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</row>
    <row r="356" spans="1:20" ht="1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</row>
    <row r="357" spans="1:20" ht="1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</row>
    <row r="358" spans="1:20" ht="1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</row>
    <row r="359" spans="1:20" ht="1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</row>
    <row r="360" spans="1:20" ht="1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</row>
    <row r="361" spans="1:20" ht="1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</row>
    <row r="362" spans="1:20" ht="1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</row>
    <row r="363" spans="1:20" ht="1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</row>
    <row r="364" spans="1:20" ht="1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</row>
    <row r="365" spans="1:20" ht="1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</row>
    <row r="366" spans="1:20" ht="1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</row>
    <row r="367" spans="1:20" ht="1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</row>
    <row r="368" spans="1:20" ht="1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</row>
    <row r="369" spans="1:20" ht="1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</row>
    <row r="370" spans="1:20" ht="1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</row>
    <row r="371" spans="1:20" ht="1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</row>
    <row r="372" spans="1:20" ht="1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</row>
    <row r="373" spans="1:20" ht="1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</row>
    <row r="374" spans="1:20" ht="1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</row>
    <row r="375" spans="1:20" ht="1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</row>
    <row r="376" spans="1:20" ht="1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</row>
    <row r="377" spans="1:20" ht="1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</row>
    <row r="378" spans="1:20" ht="1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</row>
    <row r="379" spans="1:20" ht="1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</row>
    <row r="380" spans="1:20" ht="1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</row>
    <row r="381" spans="1:20" ht="1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</row>
    <row r="382" spans="1:20" ht="1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</row>
    <row r="383" spans="1:20" ht="1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</row>
    <row r="384" spans="1:20" ht="1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</row>
    <row r="385" spans="1:20" ht="1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</row>
    <row r="386" spans="1:20" ht="1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</row>
    <row r="387" spans="1:20" ht="1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</row>
    <row r="388" spans="1:20" ht="1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</row>
    <row r="389" spans="1:20" ht="1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</row>
    <row r="390" spans="1:20" ht="1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</row>
    <row r="391" spans="1:20" ht="1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</row>
    <row r="392" spans="1:20" ht="1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</row>
    <row r="393" spans="1:20" ht="1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</row>
    <row r="394" spans="1:20" ht="1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</row>
    <row r="395" spans="1:20" ht="1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</row>
    <row r="396" spans="1:20" ht="1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</row>
    <row r="397" spans="1:20" ht="1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</row>
    <row r="398" spans="1:20" ht="1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</row>
    <row r="399" spans="1:20" ht="1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</row>
    <row r="400" spans="1:20" ht="1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</row>
    <row r="401" spans="1:20" ht="1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</row>
  </sheetData>
  <autoFilter ref="A5:G137" xr:uid="{00000000-0009-0000-0000-000002000000}"/>
  <mergeCells count="2">
    <mergeCell ref="A1:G1"/>
    <mergeCell ref="A2:G2"/>
  </mergeCells>
  <conditionalFormatting sqref="A6:G137">
    <cfRule type="expression" dxfId="12" priority="2">
      <formula>LEFT($B6,8)="APERTURA"</formula>
    </cfRule>
    <cfRule type="expression" dxfId="11" priority="3">
      <formula>$B6="INGRESO (compra)"</formula>
    </cfRule>
    <cfRule type="expression" dxfId="10" priority="4">
      <formula>LEFT($B6,4)="RECHA"</formula>
    </cfRule>
    <cfRule type="expression" dxfId="9" priority="5">
      <formula>$B6="REPROCESO"</formula>
    </cfRule>
    <cfRule type="expression" dxfId="8" priority="6">
      <formula>LEFT($B6,10)="DEVOLUCIÓN"</formula>
    </cfRule>
    <cfRule type="expression" dxfId="7" priority="7">
      <formula>$B6="MALOGRADO"</formula>
    </cfRule>
    <cfRule type="expression" dxfId="6" priority="8">
      <formula>LEFT($B6,5)="ENVÍO"</formula>
    </cfRule>
    <cfRule type="expression" dxfId="5" priority="9">
      <formula>$B6="CHANCHO (proceso)"</formula>
    </cfRule>
    <cfRule type="expression" dxfId="4" priority="10">
      <formula>$B6="VENTA CHANCHO"</formula>
    </cfRule>
    <cfRule type="expression" dxfId="3" priority="11">
      <formula>LEFT($B6,5)="VENTA"</formula>
    </cfRule>
    <cfRule type="expression" dxfId="2" priority="12">
      <formula>LEFT($B6,6)="REGALO"</formula>
    </cfRule>
    <cfRule type="expression" dxfId="1" priority="13">
      <formula>LEFT($B6,8)="TRASIEGO"</formula>
    </cfRule>
    <cfRule type="expression" dxfId="0" priority="14">
      <formula>LEFT($B6,6)="AJUSTE"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zoomScaleNormal="100" workbookViewId="0">
      <selection activeCell="K13" sqref="K13"/>
    </sheetView>
  </sheetViews>
  <sheetFormatPr baseColWidth="10" defaultColWidth="8.6640625" defaultRowHeight="15" x14ac:dyDescent="0.2"/>
  <sheetData>
    <row r="1" spans="1:8" ht="15" customHeight="1" x14ac:dyDescent="0.2">
      <c r="A1" t="s">
        <v>4</v>
      </c>
      <c r="B1" t="s">
        <v>7</v>
      </c>
      <c r="D1" t="s">
        <v>167</v>
      </c>
      <c r="F1" t="s">
        <v>168</v>
      </c>
      <c r="H1" t="s">
        <v>169</v>
      </c>
    </row>
    <row r="2" spans="1:8" ht="15" customHeight="1" x14ac:dyDescent="0.2">
      <c r="A2" t="s">
        <v>11</v>
      </c>
      <c r="B2">
        <v>15</v>
      </c>
      <c r="D2" t="s">
        <v>17</v>
      </c>
      <c r="F2" t="s">
        <v>11</v>
      </c>
      <c r="H2" t="s">
        <v>12</v>
      </c>
    </row>
    <row r="3" spans="1:8" ht="15" customHeight="1" x14ac:dyDescent="0.2">
      <c r="A3" t="s">
        <v>21</v>
      </c>
      <c r="B3">
        <v>18</v>
      </c>
      <c r="D3" t="s">
        <v>20</v>
      </c>
      <c r="F3" t="s">
        <v>21</v>
      </c>
      <c r="H3" t="s">
        <v>16</v>
      </c>
    </row>
    <row r="4" spans="1:8" ht="15" customHeight="1" x14ac:dyDescent="0.2">
      <c r="A4" t="s">
        <v>22</v>
      </c>
      <c r="B4">
        <v>17</v>
      </c>
      <c r="D4" t="s">
        <v>23</v>
      </c>
      <c r="F4" t="s">
        <v>22</v>
      </c>
      <c r="H4" t="s">
        <v>44</v>
      </c>
    </row>
    <row r="5" spans="1:8" ht="15" customHeight="1" x14ac:dyDescent="0.2">
      <c r="A5" t="s">
        <v>13</v>
      </c>
      <c r="B5">
        <v>17</v>
      </c>
      <c r="D5" t="s">
        <v>148</v>
      </c>
      <c r="F5" t="s">
        <v>13</v>
      </c>
    </row>
    <row r="6" spans="1:8" ht="15" customHeight="1" x14ac:dyDescent="0.2">
      <c r="A6" t="s">
        <v>15</v>
      </c>
      <c r="B6">
        <v>95</v>
      </c>
      <c r="D6" t="s">
        <v>170</v>
      </c>
      <c r="F6" t="s">
        <v>15</v>
      </c>
    </row>
    <row r="7" spans="1:8" ht="15" customHeight="1" x14ac:dyDescent="0.2">
      <c r="D7" t="s">
        <v>28</v>
      </c>
      <c r="F7" t="s">
        <v>18</v>
      </c>
    </row>
    <row r="8" spans="1:8" ht="15" customHeight="1" x14ac:dyDescent="0.2">
      <c r="D8" t="s">
        <v>171</v>
      </c>
      <c r="F8" t="s">
        <v>59</v>
      </c>
    </row>
    <row r="9" spans="1:8" ht="15" customHeight="1" x14ac:dyDescent="0.2">
      <c r="A9" s="72" t="s">
        <v>172</v>
      </c>
      <c r="D9" t="s">
        <v>42</v>
      </c>
      <c r="F9" t="s">
        <v>173</v>
      </c>
    </row>
    <row r="10" spans="1:8" ht="15" customHeight="1" x14ac:dyDescent="0.2">
      <c r="D10" t="s">
        <v>43</v>
      </c>
    </row>
    <row r="11" spans="1:8" ht="15" customHeight="1" x14ac:dyDescent="0.2">
      <c r="D11" t="s">
        <v>50</v>
      </c>
    </row>
    <row r="12" spans="1:8" ht="15" customHeight="1" x14ac:dyDescent="0.2">
      <c r="D12" t="s">
        <v>46</v>
      </c>
    </row>
    <row r="13" spans="1:8" ht="15" customHeight="1" x14ac:dyDescent="0.2">
      <c r="D13" t="s">
        <v>174</v>
      </c>
    </row>
    <row r="14" spans="1:8" ht="15" customHeight="1" x14ac:dyDescent="0.2">
      <c r="D14" t="s">
        <v>34</v>
      </c>
    </row>
    <row r="15" spans="1:8" ht="15" customHeight="1" x14ac:dyDescent="0.2">
      <c r="D15" t="s">
        <v>10</v>
      </c>
    </row>
    <row r="16" spans="1:8" ht="15" customHeight="1" x14ac:dyDescent="0.2">
      <c r="D16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44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B22" sqref="BB22"/>
    </sheetView>
  </sheetViews>
  <sheetFormatPr baseColWidth="10" defaultColWidth="8.6640625" defaultRowHeight="15" x14ac:dyDescent="0.2"/>
  <cols>
    <col min="1" max="1" width="11" customWidth="1"/>
    <col min="2" max="2" width="6" customWidth="1"/>
    <col min="3" max="4" width="9" customWidth="1"/>
    <col min="5" max="5" width="10" customWidth="1"/>
    <col min="6" max="9" width="8" customWidth="1"/>
    <col min="10" max="11" width="9" customWidth="1"/>
    <col min="12" max="12" width="10" customWidth="1"/>
    <col min="13" max="14" width="11" customWidth="1"/>
    <col min="15" max="18" width="8" customWidth="1"/>
    <col min="19" max="20" width="10" customWidth="1"/>
    <col min="21" max="24" width="9" customWidth="1"/>
    <col min="25" max="25" width="10" customWidth="1"/>
    <col min="26" max="29" width="9" customWidth="1"/>
    <col min="30" max="30" width="12" customWidth="1"/>
    <col min="31" max="32" width="9" customWidth="1"/>
    <col min="33" max="33" width="8" customWidth="1"/>
    <col min="35" max="35" width="16.6640625" customWidth="1"/>
    <col min="36" max="38" width="10" customWidth="1"/>
    <col min="39" max="40" width="12" customWidth="1"/>
    <col min="41" max="41" width="10" customWidth="1"/>
    <col min="42" max="42" width="9" customWidth="1"/>
    <col min="44" max="47" width="10" customWidth="1"/>
    <col min="48" max="49" width="12" customWidth="1"/>
    <col min="50" max="50" width="10" customWidth="1"/>
    <col min="51" max="51" width="9" customWidth="1"/>
  </cols>
  <sheetData>
    <row r="1" spans="1:51" ht="15.75" customHeight="1" x14ac:dyDescent="0.2">
      <c r="A1" s="73" t="s">
        <v>175</v>
      </c>
    </row>
    <row r="2" spans="1:51" ht="15" customHeight="1" x14ac:dyDescent="0.2">
      <c r="A2" s="74" t="s">
        <v>176</v>
      </c>
    </row>
    <row r="4" spans="1:51" ht="15" customHeight="1" x14ac:dyDescent="0.2">
      <c r="F4" s="89" t="s">
        <v>177</v>
      </c>
      <c r="G4" s="89"/>
      <c r="H4" s="89"/>
      <c r="I4" s="89"/>
      <c r="J4" s="89"/>
      <c r="M4" s="90" t="s">
        <v>178</v>
      </c>
      <c r="N4" s="90"/>
      <c r="O4" s="90"/>
      <c r="P4" s="90"/>
      <c r="Q4" s="90"/>
      <c r="R4" s="90"/>
      <c r="S4" s="90"/>
      <c r="T4" s="90"/>
      <c r="U4" s="91" t="s">
        <v>179</v>
      </c>
      <c r="V4" s="91"/>
      <c r="W4" s="91"/>
      <c r="X4" s="91"/>
      <c r="Y4" s="91"/>
      <c r="Z4" s="92" t="s">
        <v>180</v>
      </c>
      <c r="AA4" s="92"/>
      <c r="AB4" s="92"/>
      <c r="AC4" s="92"/>
      <c r="AD4" s="92"/>
      <c r="AE4" s="92"/>
      <c r="AF4" s="93" t="s">
        <v>181</v>
      </c>
      <c r="AG4" s="93"/>
      <c r="AI4" s="88" t="s">
        <v>182</v>
      </c>
      <c r="AJ4" s="88"/>
      <c r="AK4" s="88"/>
      <c r="AL4" s="88"/>
      <c r="AM4" s="88"/>
      <c r="AN4" s="88"/>
      <c r="AO4" s="88"/>
      <c r="AP4" s="88"/>
      <c r="AR4" s="88" t="s">
        <v>183</v>
      </c>
      <c r="AS4" s="88"/>
      <c r="AT4" s="88"/>
      <c r="AU4" s="88"/>
      <c r="AV4" s="88"/>
      <c r="AW4" s="88"/>
      <c r="AX4" s="88"/>
      <c r="AY4" s="88"/>
    </row>
    <row r="5" spans="1:51" ht="27.75" customHeight="1" x14ac:dyDescent="0.2">
      <c r="A5" s="75" t="s">
        <v>2</v>
      </c>
      <c r="B5" s="75" t="s">
        <v>184</v>
      </c>
      <c r="C5" s="75" t="s">
        <v>185</v>
      </c>
      <c r="D5" s="75" t="s">
        <v>186</v>
      </c>
      <c r="E5" s="76" t="s">
        <v>187</v>
      </c>
      <c r="F5" s="75" t="s">
        <v>188</v>
      </c>
      <c r="G5" s="75" t="s">
        <v>189</v>
      </c>
      <c r="H5" s="75" t="s">
        <v>190</v>
      </c>
      <c r="I5" s="75" t="s">
        <v>191</v>
      </c>
      <c r="J5" s="75" t="s">
        <v>192</v>
      </c>
      <c r="K5" s="76" t="s">
        <v>193</v>
      </c>
      <c r="L5" s="76" t="s">
        <v>194</v>
      </c>
      <c r="M5" s="75" t="s">
        <v>195</v>
      </c>
      <c r="N5" s="75" t="s">
        <v>196</v>
      </c>
      <c r="O5" s="75" t="s">
        <v>197</v>
      </c>
      <c r="P5" s="75" t="s">
        <v>198</v>
      </c>
      <c r="Q5" s="75" t="s">
        <v>199</v>
      </c>
      <c r="R5" s="75" t="s">
        <v>200</v>
      </c>
      <c r="S5" s="75" t="s">
        <v>201</v>
      </c>
      <c r="T5" s="76" t="s">
        <v>202</v>
      </c>
      <c r="U5" s="75" t="s">
        <v>203</v>
      </c>
      <c r="V5" s="75" t="s">
        <v>204</v>
      </c>
      <c r="W5" s="75" t="s">
        <v>205</v>
      </c>
      <c r="X5" s="75" t="s">
        <v>206</v>
      </c>
      <c r="Y5" s="75" t="s">
        <v>207</v>
      </c>
      <c r="Z5" s="75" t="s">
        <v>208</v>
      </c>
      <c r="AA5" s="76" t="s">
        <v>209</v>
      </c>
      <c r="AB5" s="75" t="s">
        <v>210</v>
      </c>
      <c r="AC5" s="76" t="s">
        <v>211</v>
      </c>
      <c r="AD5" s="75" t="s">
        <v>212</v>
      </c>
      <c r="AE5" s="75" t="s">
        <v>213</v>
      </c>
      <c r="AF5" s="76" t="s">
        <v>214</v>
      </c>
      <c r="AG5" s="75" t="s">
        <v>215</v>
      </c>
      <c r="AI5" s="75" t="s">
        <v>2</v>
      </c>
      <c r="AJ5" s="76" t="s">
        <v>187</v>
      </c>
      <c r="AK5" s="76" t="s">
        <v>216</v>
      </c>
      <c r="AL5" s="76" t="s">
        <v>217</v>
      </c>
      <c r="AM5" s="77" t="s">
        <v>218</v>
      </c>
      <c r="AN5" s="76" t="s">
        <v>219</v>
      </c>
      <c r="AO5" s="76" t="s">
        <v>214</v>
      </c>
      <c r="AP5" s="75" t="s">
        <v>215</v>
      </c>
      <c r="AR5" s="75" t="s">
        <v>185</v>
      </c>
      <c r="AS5" s="76" t="s">
        <v>187</v>
      </c>
      <c r="AT5" s="76" t="s">
        <v>216</v>
      </c>
      <c r="AU5" s="76" t="s">
        <v>217</v>
      </c>
      <c r="AV5" s="77" t="s">
        <v>218</v>
      </c>
      <c r="AW5" s="76" t="s">
        <v>219</v>
      </c>
      <c r="AX5" s="76" t="s">
        <v>214</v>
      </c>
      <c r="AY5" s="75" t="s">
        <v>215</v>
      </c>
    </row>
    <row r="6" spans="1:51" ht="15" customHeight="1" x14ac:dyDescent="0.2">
      <c r="A6" s="78">
        <v>46208</v>
      </c>
      <c r="B6" s="79" t="s">
        <v>220</v>
      </c>
      <c r="C6" s="79" t="s">
        <v>221</v>
      </c>
      <c r="D6" s="80">
        <f>SUMIFS(MOVIMIENTOS!$E:$E,MOVIMIENTOS!$A:$A,$A6,MOVIMIENTOS!$B:$B,"COMPRA")</f>
        <v>0</v>
      </c>
      <c r="E6" s="81">
        <f>SUMIFS(MOVIMIENTOS!$F:$F,MOVIMIENTOS!$A:$A,$A6,MOVIMIENTOS!$B:$B,"COMPRA")</f>
        <v>0</v>
      </c>
      <c r="F6" s="80">
        <f>SUMIFS(MOVIMIENTOS!$E:$E,MOVIMIENTOS!$A:$A,$A6,MOVIMIENTOS!$B:$B,"PROCESO",MOVIMIENTOS!$C:$C,"A")</f>
        <v>0</v>
      </c>
      <c r="G6" s="80">
        <f>SUMIFS(MOVIMIENTOS!$E:$E,MOVIMIENTOS!$A:$A,$A6,MOVIMIENTOS!$B:$B,"PROCESO",MOVIMIENTOS!$C:$C,"P")</f>
        <v>0</v>
      </c>
      <c r="H6" s="80">
        <f>SUMIFS(MOVIMIENTOS!$E:$E,MOVIMIENTOS!$A:$A,$A6,MOVIMIENTOS!$B:$B,"PROCESO",MOVIMIENTOS!$C:$C,"C")</f>
        <v>0</v>
      </c>
      <c r="I6" s="80">
        <f>SUMIFS(MOVIMIENTOS!$E:$E,MOVIMIENTOS!$A:$A,$A6,MOVIMIENTOS!$B:$B,"PROCESO",MOVIMIENTOS!$C:$C,"M")</f>
        <v>0</v>
      </c>
      <c r="J6" s="80">
        <f t="shared" ref="J6:J39" si="0">SUM(F6:I6)</f>
        <v>0</v>
      </c>
      <c r="K6" s="81">
        <f t="shared" ref="K6:K39" si="1">F6*15+G6*18+H6*17+I6*17</f>
        <v>0</v>
      </c>
      <c r="L6" s="81">
        <f>SUMIFS(MOVIMIENTOS!$F:$F,MOVIMIENTOS!$A:$A,$A6,MOVIMIENTOS!$B:$B,"REPROCESO")</f>
        <v>0</v>
      </c>
      <c r="M6" s="80" t="str">
        <f>TRIM(IF(SUMIFS(MOVIMIENTOS!$E:$E,MOVIMIENTOS!$A:$A,$A6,MOVIMIENTOS!$B:$B,"ENVÍO A SUPESA")&gt;0,"Supesa ","")&amp;IF(SUMIFS(MOVIMIENTOS!$E:$E,MOVIMIENTOS!$A:$A,$A6,MOVIMIENTOS!$B:$B,"ENVÍO A TOTTUS")+SUMIFS(MOVIMIENTOS!$E:$E,MOVIMIENTOS!$A:$A,$A6,MOVIMIENTOS!$B:$B,"ENVIO A TOTTUS")&gt;0,"Tottus",""))</f>
        <v/>
      </c>
      <c r="N6" s="80" t="str">
        <f>IFERROR(IF(LOOKUP(2,1/((MOVIMIENTOS!$A$5:$A$1017=$A6)*((MOVIMIENTOS!$B$5:$B$1017="ENVÍO A SUPESA")+(MOVIMIENTOS!$B$5:$B$1017="ENVÍO A TOTTUS")+(MOVIMIENTOS!$B$5:$B$1017="ENVIO A TOTTUS"))*(MOVIMIENTOS!$G$5:$G$1017&lt;&gt;"")),MOVIMIENTOS!$G$5:$G$1017)&lt;&gt;"","G-"&amp;LOOKUP(2,1/((MOVIMIENTOS!$A$5:$A$1017=$A6)*((MOVIMIENTOS!$B$5:$B$1017="ENVÍO A SUPESA")+(MOVIMIENTOS!$B$5:$B$1017="ENVÍO A TOTTUS")+(MOVIMIENTOS!$B$5:$B$1017="ENVIO A TOTTUS"))*(MOVIMIENTOS!$G$5:$G$1017&lt;&gt;"")),MOVIMIENTOS!$G$5:$G$1017),""),"")</f>
        <v/>
      </c>
      <c r="O6" s="80">
        <f>SUMIFS(MOVIMIENTOS!$E:$E,MOVIMIENTOS!$A:$A,$A6,MOVIMIENTOS!$B:$B,"ENVÍO A SUPESA",MOVIMIENTOS!$C:$C,"A")+SUMIFS(MOVIMIENTOS!$E:$E,MOVIMIENTOS!$A:$A,$A6,MOVIMIENTOS!$B:$B,"ENVÍO A TOTTUS",MOVIMIENTOS!$C:$C,"A")+SUMIFS(MOVIMIENTOS!$E:$E,MOVIMIENTOS!$A:$A,$A6,MOVIMIENTOS!$B:$B,"ENVIO A TOTTUS",MOVIMIENTOS!$C:$C,"A")</f>
        <v>0</v>
      </c>
      <c r="P6" s="80">
        <f>SUMIFS(MOVIMIENTOS!$E:$E,MOVIMIENTOS!$A:$A,$A6,MOVIMIENTOS!$B:$B,"ENVÍO A SUPESA",MOVIMIENTOS!$C:$C,"P")+SUMIFS(MOVIMIENTOS!$E:$E,MOVIMIENTOS!$A:$A,$A6,MOVIMIENTOS!$B:$B,"ENVÍO A TOTTUS",MOVIMIENTOS!$C:$C,"P")+SUMIFS(MOVIMIENTOS!$E:$E,MOVIMIENTOS!$A:$A,$A6,MOVIMIENTOS!$B:$B,"ENVIO A TOTTUS",MOVIMIENTOS!$C:$C,"P")</f>
        <v>0</v>
      </c>
      <c r="Q6" s="80">
        <f>SUMIFS(MOVIMIENTOS!$E:$E,MOVIMIENTOS!$A:$A,$A6,MOVIMIENTOS!$B:$B,"ENVÍO A SUPESA",MOVIMIENTOS!$C:$C,"C")+SUMIFS(MOVIMIENTOS!$E:$E,MOVIMIENTOS!$A:$A,$A6,MOVIMIENTOS!$B:$B,"ENVÍO A TOTTUS",MOVIMIENTOS!$C:$C,"C")+SUMIFS(MOVIMIENTOS!$E:$E,MOVIMIENTOS!$A:$A,$A6,MOVIMIENTOS!$B:$B,"ENVIO A TOTTUS",MOVIMIENTOS!$C:$C,"C")</f>
        <v>0</v>
      </c>
      <c r="R6" s="80">
        <f>SUMIFS(MOVIMIENTOS!$E:$E,MOVIMIENTOS!$A:$A,$A6,MOVIMIENTOS!$B:$B,"ENVÍO A SUPESA",MOVIMIENTOS!$C:$C,"M")+SUMIFS(MOVIMIENTOS!$E:$E,MOVIMIENTOS!$A:$A,$A6,MOVIMIENTOS!$B:$B,"ENVÍO A TOTTUS",MOVIMIENTOS!$C:$C,"M")+SUMIFS(MOVIMIENTOS!$E:$E,MOVIMIENTOS!$A:$A,$A6,MOVIMIENTOS!$B:$B,"ENVIO A TOTTUS",MOVIMIENTOS!$C:$C,"M")</f>
        <v>0</v>
      </c>
      <c r="S6" s="80">
        <f t="shared" ref="S6:S39" si="2">SUM(O6:R6)</f>
        <v>0</v>
      </c>
      <c r="T6" s="81">
        <f>SUMIFS(MOVIMIENTOS!$F:$F,MOVIMIENTOS!$A:$A,$A6,MOVIMIENTOS!$B:$B,"ENVÍO A SUPESA",MOVIMIENTOS!$C:$C,"&lt;&gt;Chancho")+SUMIFS(MOVIMIENTOS!$F:$F,MOVIMIENTOS!$A:$A,$A6,MOVIMIENTOS!$B:$B,"ENVÍO A TOTTUS",MOVIMIENTOS!$C:$C,"&lt;&gt;Chancho")+SUMIFS(MOVIMIENTOS!$F:$F,MOVIMIENTOS!$A:$A,$A6,MOVIMIENTOS!$B:$B,"ENVIO A TOTTUS",MOVIMIENTOS!$C:$C,"&lt;&gt;Chancho")</f>
        <v>0</v>
      </c>
      <c r="U6" s="80">
        <f>IFERROR(INDEX('SALDO DIARIO'!$B:$B,MATCH($A6,'SALDO DIARIO'!$A:$A,0)),0)</f>
        <v>0</v>
      </c>
      <c r="V6" s="80">
        <f>IFERROR(INDEX('SALDO DIARIO'!$C:$C,MATCH($A6,'SALDO DIARIO'!$A:$A,0)),0)</f>
        <v>0</v>
      </c>
      <c r="W6" s="80">
        <f>IFERROR(INDEX('SALDO DIARIO'!$D:$D,MATCH($A6,'SALDO DIARIO'!$A:$A,0)),0)</f>
        <v>0</v>
      </c>
      <c r="X6" s="80">
        <f>IFERROR(INDEX('SALDO DIARIO'!$E:$E,MATCH($A6,'SALDO DIARIO'!$A:$A,0)),0)</f>
        <v>0</v>
      </c>
      <c r="Y6" s="80">
        <f>IFERROR(INDEX('SALDO DIARIO'!$G:$G,MATCH($A6,'SALDO DIARIO'!$A:$A,0)),0)</f>
        <v>0</v>
      </c>
      <c r="Z6" s="80">
        <f>SUMIFS(MOVIMIENTOS!$E:$E,MOVIMIENTOS!$A:$A,$A6,MOVIMIENTOS!$B:$B,"PROCESO",MOVIMIENTOS!$C:$C,"Chancho")</f>
        <v>0</v>
      </c>
      <c r="AA6" s="81">
        <f>SUMIFS(MOVIMIENTOS!$F:$F,MOVIMIENTOS!$A:$A,$A6,MOVIMIENTOS!$B:$B,"PROCESO",MOVIMIENTOS!$C:$C,"Chancho")</f>
        <v>0</v>
      </c>
      <c r="AB6" s="80">
        <f>SUMIFS(MOVIMIENTOS!$E:$E,MOVIMIENTOS!$A:$A,$A6,MOVIMIENTOS!$B:$B,"VENTA CHANCHO",MOVIMIENTOS!$C:$C,"Chancho")</f>
        <v>0</v>
      </c>
      <c r="AC6" s="81">
        <f>SUMIFS(MOVIMIENTOS!$F:$F,MOVIMIENTOS!$A:$A,$A6,MOVIMIENTOS!$B:$B,"VENTA CHANCHO",MOVIMIENTOS!$C:$C,"Chancho")</f>
        <v>0</v>
      </c>
      <c r="AD6" s="80" t="str">
        <f>IFERROR(LOOKUP(2,1/((MOVIMIENTOS!$A$5:$A$1017=$A6)*(MOVIMIENTOS!$B$5:$B$1017="VENTA CHANCHO")*(MOVIMIENTOS!$C$5:$C$1017="Chancho")*(MOVIMIENTOS!$G$5:$G$1017&lt;&gt;"")),MOVIMIENTOS!$G$5:$G$1017),IFERROR(LOOKUP(2,1/((MOVIMIENTOS!$A$5:$A$1017=$A6)*(MOVIMIENTOS!$B$5:$B$1017="VENTA CHANCHO")*(MOVIMIENTOS!$C$5:$C$1017="Chancho")*(MOVIMIENTOS!$H$5:$H$1017&lt;&gt;"")),MOVIMIENTOS!$H$5:$H$1017),""))</f>
        <v/>
      </c>
      <c r="AE6" s="80">
        <f>IFERROR(INDEX('SALDO DIARIO'!$F:$F,MATCH($A6,'SALDO DIARIO'!$A:$A,0)),0)</f>
        <v>0</v>
      </c>
      <c r="AF6" s="81">
        <f t="shared" ref="AF6:AF38" si="3">E6-(K6+AA6)</f>
        <v>0</v>
      </c>
      <c r="AG6" s="82">
        <f t="shared" ref="AG6:AG38" si="4">IF(E6=0,0,ROUND(AF6/E6*100,1))</f>
        <v>0</v>
      </c>
      <c r="AI6" s="83">
        <f t="shared" ref="AI6:AI38" si="5">A6</f>
        <v>46208</v>
      </c>
      <c r="AJ6" s="81">
        <f t="shared" ref="AJ6:AJ38" si="6">E6</f>
        <v>0</v>
      </c>
      <c r="AK6" s="81">
        <f t="shared" ref="AK6:AK38" si="7">K6</f>
        <v>0</v>
      </c>
      <c r="AL6" s="81">
        <f t="shared" ref="AL6:AL38" si="8">T6</f>
        <v>0</v>
      </c>
      <c r="AM6" s="84">
        <f t="shared" ref="AM6:AM38" si="9">Z6</f>
        <v>0</v>
      </c>
      <c r="AN6" s="81">
        <f t="shared" ref="AN6:AN38" si="10">AA6</f>
        <v>0</v>
      </c>
      <c r="AO6" s="81">
        <f t="shared" ref="AO6:AO38" si="11">AF6</f>
        <v>0</v>
      </c>
      <c r="AP6" s="82">
        <f t="shared" ref="AP6:AP38" si="12">AG6</f>
        <v>0</v>
      </c>
      <c r="AR6" s="80" t="s">
        <v>221</v>
      </c>
      <c r="AS6" s="81">
        <f>SUMIF($C$6:$C$200,$AR6,$E$6:$E$200)</f>
        <v>0</v>
      </c>
      <c r="AT6" s="81">
        <f>SUMIF($C$6:$C$200,$AR6,$K$6:$K$200)</f>
        <v>0</v>
      </c>
      <c r="AU6" s="81">
        <f>SUMIF($C$6:$C$200,$AR6,$T$6:$T$200)</f>
        <v>0</v>
      </c>
      <c r="AV6" s="84">
        <f>SUMIF($C$6:$C$200,$AR6,$Z$6:$Z$200)</f>
        <v>0</v>
      </c>
      <c r="AW6" s="81">
        <f>SUMIF($C$6:$C$200,$AR6,$AA$6:$AA$200)</f>
        <v>0</v>
      </c>
      <c r="AX6" s="81">
        <f>SUMIF($C$6:$C$200,$AR6,$AF$6:$AF$200)</f>
        <v>0</v>
      </c>
      <c r="AY6" s="82">
        <f t="shared" ref="AY6:AY11" si="13">IF(AS6=0,0,ROUND(AX6/AS6*100,1))</f>
        <v>0</v>
      </c>
    </row>
    <row r="7" spans="1:51" ht="15" customHeight="1" x14ac:dyDescent="0.2">
      <c r="A7" s="78">
        <v>46209</v>
      </c>
      <c r="B7" s="79" t="s">
        <v>222</v>
      </c>
      <c r="C7" s="79" t="s">
        <v>221</v>
      </c>
      <c r="D7" s="80">
        <f>SUMIFS(MOVIMIENTOS!$E:$E,MOVIMIENTOS!$A:$A,$A7,MOVIMIENTOS!$B:$B,"COMPRA")</f>
        <v>0</v>
      </c>
      <c r="E7" s="81">
        <f>SUMIFS(MOVIMIENTOS!$F:$F,MOVIMIENTOS!$A:$A,$A7,MOVIMIENTOS!$B:$B,"COMPRA")</f>
        <v>0</v>
      </c>
      <c r="F7" s="80">
        <f>SUMIFS(MOVIMIENTOS!$E:$E,MOVIMIENTOS!$A:$A,$A7,MOVIMIENTOS!$B:$B,"PROCESO",MOVIMIENTOS!$C:$C,"A")</f>
        <v>0</v>
      </c>
      <c r="G7" s="80">
        <f>SUMIFS(MOVIMIENTOS!$E:$E,MOVIMIENTOS!$A:$A,$A7,MOVIMIENTOS!$B:$B,"PROCESO",MOVIMIENTOS!$C:$C,"P")</f>
        <v>0</v>
      </c>
      <c r="H7" s="80">
        <f>SUMIFS(MOVIMIENTOS!$E:$E,MOVIMIENTOS!$A:$A,$A7,MOVIMIENTOS!$B:$B,"PROCESO",MOVIMIENTOS!$C:$C,"C")</f>
        <v>0</v>
      </c>
      <c r="I7" s="80">
        <f>SUMIFS(MOVIMIENTOS!$E:$E,MOVIMIENTOS!$A:$A,$A7,MOVIMIENTOS!$B:$B,"PROCESO",MOVIMIENTOS!$C:$C,"M")</f>
        <v>0</v>
      </c>
      <c r="J7" s="80">
        <f t="shared" si="0"/>
        <v>0</v>
      </c>
      <c r="K7" s="81">
        <f t="shared" si="1"/>
        <v>0</v>
      </c>
      <c r="L7" s="81">
        <f>SUMIFS(MOVIMIENTOS!$F:$F,MOVIMIENTOS!$A:$A,$A7,MOVIMIENTOS!$B:$B,"REPROCESO")</f>
        <v>0</v>
      </c>
      <c r="M7" s="80" t="str">
        <f>TRIM(IF(SUMIFS(MOVIMIENTOS!$E:$E,MOVIMIENTOS!$A:$A,$A7,MOVIMIENTOS!$B:$B,"ENVÍO A SUPESA")&gt;0,"Supesa ","")&amp;IF(SUMIFS(MOVIMIENTOS!$E:$E,MOVIMIENTOS!$A:$A,$A7,MOVIMIENTOS!$B:$B,"ENVÍO A TOTTUS")+SUMIFS(MOVIMIENTOS!$E:$E,MOVIMIENTOS!$A:$A,$A7,MOVIMIENTOS!$B:$B,"ENVIO A TOTTUS")&gt;0,"Tottus",""))</f>
        <v/>
      </c>
      <c r="N7" s="80" t="str">
        <f>IFERROR(IF(LOOKUP(2,1/((MOVIMIENTOS!$A$5:$A$1017=$A7)*((MOVIMIENTOS!$B$5:$B$1017="ENVÍO A SUPESA")+(MOVIMIENTOS!$B$5:$B$1017="ENVÍO A TOTTUS")+(MOVIMIENTOS!$B$5:$B$1017="ENVIO A TOTTUS"))*(MOVIMIENTOS!$G$5:$G$1017&lt;&gt;"")),MOVIMIENTOS!$G$5:$G$1017)&lt;&gt;"","G-"&amp;LOOKUP(2,1/((MOVIMIENTOS!$A$5:$A$1017=$A7)*((MOVIMIENTOS!$B$5:$B$1017="ENVÍO A SUPESA")+(MOVIMIENTOS!$B$5:$B$1017="ENVÍO A TOTTUS")+(MOVIMIENTOS!$B$5:$B$1017="ENVIO A TOTTUS"))*(MOVIMIENTOS!$G$5:$G$1017&lt;&gt;"")),MOVIMIENTOS!$G$5:$G$1017),""),"")</f>
        <v/>
      </c>
      <c r="O7" s="80">
        <f>SUMIFS(MOVIMIENTOS!$E:$E,MOVIMIENTOS!$A:$A,$A7,MOVIMIENTOS!$B:$B,"ENVÍO A SUPESA",MOVIMIENTOS!$C:$C,"A")+SUMIFS(MOVIMIENTOS!$E:$E,MOVIMIENTOS!$A:$A,$A7,MOVIMIENTOS!$B:$B,"ENVÍO A TOTTUS",MOVIMIENTOS!$C:$C,"A")+SUMIFS(MOVIMIENTOS!$E:$E,MOVIMIENTOS!$A:$A,$A7,MOVIMIENTOS!$B:$B,"ENVIO A TOTTUS",MOVIMIENTOS!$C:$C,"A")</f>
        <v>0</v>
      </c>
      <c r="P7" s="80">
        <f>SUMIFS(MOVIMIENTOS!$E:$E,MOVIMIENTOS!$A:$A,$A7,MOVIMIENTOS!$B:$B,"ENVÍO A SUPESA",MOVIMIENTOS!$C:$C,"P")+SUMIFS(MOVIMIENTOS!$E:$E,MOVIMIENTOS!$A:$A,$A7,MOVIMIENTOS!$B:$B,"ENVÍO A TOTTUS",MOVIMIENTOS!$C:$C,"P")+SUMIFS(MOVIMIENTOS!$E:$E,MOVIMIENTOS!$A:$A,$A7,MOVIMIENTOS!$B:$B,"ENVIO A TOTTUS",MOVIMIENTOS!$C:$C,"P")</f>
        <v>0</v>
      </c>
      <c r="Q7" s="80">
        <f>SUMIFS(MOVIMIENTOS!$E:$E,MOVIMIENTOS!$A:$A,$A7,MOVIMIENTOS!$B:$B,"ENVÍO A SUPESA",MOVIMIENTOS!$C:$C,"C")+SUMIFS(MOVIMIENTOS!$E:$E,MOVIMIENTOS!$A:$A,$A7,MOVIMIENTOS!$B:$B,"ENVÍO A TOTTUS",MOVIMIENTOS!$C:$C,"C")+SUMIFS(MOVIMIENTOS!$E:$E,MOVIMIENTOS!$A:$A,$A7,MOVIMIENTOS!$B:$B,"ENVIO A TOTTUS",MOVIMIENTOS!$C:$C,"C")</f>
        <v>0</v>
      </c>
      <c r="R7" s="80">
        <f>SUMIFS(MOVIMIENTOS!$E:$E,MOVIMIENTOS!$A:$A,$A7,MOVIMIENTOS!$B:$B,"ENVÍO A SUPESA",MOVIMIENTOS!$C:$C,"M")+SUMIFS(MOVIMIENTOS!$E:$E,MOVIMIENTOS!$A:$A,$A7,MOVIMIENTOS!$B:$B,"ENVÍO A TOTTUS",MOVIMIENTOS!$C:$C,"M")+SUMIFS(MOVIMIENTOS!$E:$E,MOVIMIENTOS!$A:$A,$A7,MOVIMIENTOS!$B:$B,"ENVIO A TOTTUS",MOVIMIENTOS!$C:$C,"M")</f>
        <v>0</v>
      </c>
      <c r="S7" s="80">
        <f t="shared" si="2"/>
        <v>0</v>
      </c>
      <c r="T7" s="81">
        <f>SUMIFS(MOVIMIENTOS!$F:$F,MOVIMIENTOS!$A:$A,$A7,MOVIMIENTOS!$B:$B,"ENVÍO A SUPESA",MOVIMIENTOS!$C:$C,"&lt;&gt;Chancho")+SUMIFS(MOVIMIENTOS!$F:$F,MOVIMIENTOS!$A:$A,$A7,MOVIMIENTOS!$B:$B,"ENVÍO A TOTTUS",MOVIMIENTOS!$C:$C,"&lt;&gt;Chancho")+SUMIFS(MOVIMIENTOS!$F:$F,MOVIMIENTOS!$A:$A,$A7,MOVIMIENTOS!$B:$B,"ENVIO A TOTTUS",MOVIMIENTOS!$C:$C,"&lt;&gt;Chancho")</f>
        <v>0</v>
      </c>
      <c r="U7" s="80">
        <f>IFERROR(INDEX('SALDO DIARIO'!$B:$B,MATCH($A7,'SALDO DIARIO'!$A:$A,0)),0)</f>
        <v>0</v>
      </c>
      <c r="V7" s="80">
        <f>IFERROR(INDEX('SALDO DIARIO'!$C:$C,MATCH($A7,'SALDO DIARIO'!$A:$A,0)),0)</f>
        <v>0</v>
      </c>
      <c r="W7" s="80">
        <f>IFERROR(INDEX('SALDO DIARIO'!$D:$D,MATCH($A7,'SALDO DIARIO'!$A:$A,0)),0)</f>
        <v>0</v>
      </c>
      <c r="X7" s="80">
        <f>IFERROR(INDEX('SALDO DIARIO'!$E:$E,MATCH($A7,'SALDO DIARIO'!$A:$A,0)),0)</f>
        <v>0</v>
      </c>
      <c r="Y7" s="80">
        <f>IFERROR(INDEX('SALDO DIARIO'!$G:$G,MATCH($A7,'SALDO DIARIO'!$A:$A,0)),0)</f>
        <v>0</v>
      </c>
      <c r="Z7" s="80">
        <f>SUMIFS(MOVIMIENTOS!$E:$E,MOVIMIENTOS!$A:$A,$A7,MOVIMIENTOS!$B:$B,"PROCESO",MOVIMIENTOS!$C:$C,"Chancho")</f>
        <v>0</v>
      </c>
      <c r="AA7" s="81">
        <f>SUMIFS(MOVIMIENTOS!$F:$F,MOVIMIENTOS!$A:$A,$A7,MOVIMIENTOS!$B:$B,"PROCESO",MOVIMIENTOS!$C:$C,"Chancho")</f>
        <v>0</v>
      </c>
      <c r="AB7" s="80">
        <f>SUMIFS(MOVIMIENTOS!$E:$E,MOVIMIENTOS!$A:$A,$A7,MOVIMIENTOS!$B:$B,"VENTA CHANCHO",MOVIMIENTOS!$C:$C,"Chancho")</f>
        <v>0</v>
      </c>
      <c r="AC7" s="81">
        <f>SUMIFS(MOVIMIENTOS!$F:$F,MOVIMIENTOS!$A:$A,$A7,MOVIMIENTOS!$B:$B,"VENTA CHANCHO",MOVIMIENTOS!$C:$C,"Chancho")</f>
        <v>0</v>
      </c>
      <c r="AD7" s="80" t="str">
        <f>IFERROR(LOOKUP(2,1/((MOVIMIENTOS!$A$5:$A$1017=$A7)*(MOVIMIENTOS!$B$5:$B$1017="VENTA CHANCHO")*(MOVIMIENTOS!$C$5:$C$1017="Chancho")*(MOVIMIENTOS!$G$5:$G$1017&lt;&gt;"")),MOVIMIENTOS!$G$5:$G$1017),IFERROR(LOOKUP(2,1/((MOVIMIENTOS!$A$5:$A$1017=$A7)*(MOVIMIENTOS!$B$5:$B$1017="VENTA CHANCHO")*(MOVIMIENTOS!$C$5:$C$1017="Chancho")*(MOVIMIENTOS!$H$5:$H$1017&lt;&gt;"")),MOVIMIENTOS!$H$5:$H$1017),""))</f>
        <v/>
      </c>
      <c r="AE7" s="80">
        <f>IFERROR(INDEX('SALDO DIARIO'!$F:$F,MATCH($A7,'SALDO DIARIO'!$A:$A,0)),0)</f>
        <v>0</v>
      </c>
      <c r="AF7" s="81">
        <f t="shared" si="3"/>
        <v>0</v>
      </c>
      <c r="AG7" s="82">
        <f t="shared" si="4"/>
        <v>0</v>
      </c>
      <c r="AI7" s="83">
        <f t="shared" si="5"/>
        <v>46209</v>
      </c>
      <c r="AJ7" s="81">
        <f t="shared" si="6"/>
        <v>0</v>
      </c>
      <c r="AK7" s="81">
        <f t="shared" si="7"/>
        <v>0</v>
      </c>
      <c r="AL7" s="81">
        <f t="shared" si="8"/>
        <v>0</v>
      </c>
      <c r="AM7" s="84">
        <f t="shared" si="9"/>
        <v>0</v>
      </c>
      <c r="AN7" s="81">
        <f t="shared" si="10"/>
        <v>0</v>
      </c>
      <c r="AO7" s="81">
        <f t="shared" si="11"/>
        <v>0</v>
      </c>
      <c r="AP7" s="82">
        <f t="shared" si="12"/>
        <v>0</v>
      </c>
      <c r="AR7" s="80" t="s">
        <v>223</v>
      </c>
      <c r="AS7" s="81">
        <f>SUMIF($C$6:$C$200,$AR7,$E$6:$E$200)</f>
        <v>27936</v>
      </c>
      <c r="AT7" s="81">
        <f>SUMIF($C$6:$C$200,$AR7,$K$6:$K$200)</f>
        <v>23556</v>
      </c>
      <c r="AU7" s="81">
        <f>SUMIF($C$6:$C$200,$AR7,$T$6:$T$200)</f>
        <v>21410</v>
      </c>
      <c r="AV7" s="84">
        <f>SUMIF($C$6:$C$200,$AR7,$Z$6:$Z$200)</f>
        <v>45</v>
      </c>
      <c r="AW7" s="81">
        <f>SUMIF($C$6:$C$200,$AR7,$AA$6:$AA$200)</f>
        <v>4365</v>
      </c>
      <c r="AX7" s="81">
        <f>SUMIF($C$6:$C$200,$AR7,$AF$6:$AF$200)</f>
        <v>15</v>
      </c>
      <c r="AY7" s="82">
        <f t="shared" si="13"/>
        <v>0.1</v>
      </c>
    </row>
    <row r="8" spans="1:51" ht="15" customHeight="1" x14ac:dyDescent="0.2">
      <c r="A8" s="78">
        <v>46210</v>
      </c>
      <c r="B8" s="79" t="s">
        <v>224</v>
      </c>
      <c r="C8" s="79" t="s">
        <v>221</v>
      </c>
      <c r="D8" s="80">
        <f>SUMIFS(MOVIMIENTOS!$E:$E,MOVIMIENTOS!$A:$A,$A8,MOVIMIENTOS!$B:$B,"COMPRA")</f>
        <v>0</v>
      </c>
      <c r="E8" s="81">
        <f>SUMIFS(MOVIMIENTOS!$F:$F,MOVIMIENTOS!$A:$A,$A8,MOVIMIENTOS!$B:$B,"COMPRA")</f>
        <v>0</v>
      </c>
      <c r="F8" s="80">
        <f>SUMIFS(MOVIMIENTOS!$E:$E,MOVIMIENTOS!$A:$A,$A8,MOVIMIENTOS!$B:$B,"PROCESO",MOVIMIENTOS!$C:$C,"A")</f>
        <v>0</v>
      </c>
      <c r="G8" s="80">
        <f>SUMIFS(MOVIMIENTOS!$E:$E,MOVIMIENTOS!$A:$A,$A8,MOVIMIENTOS!$B:$B,"PROCESO",MOVIMIENTOS!$C:$C,"P")</f>
        <v>0</v>
      </c>
      <c r="H8" s="80">
        <f>SUMIFS(MOVIMIENTOS!$E:$E,MOVIMIENTOS!$A:$A,$A8,MOVIMIENTOS!$B:$B,"PROCESO",MOVIMIENTOS!$C:$C,"C")</f>
        <v>0</v>
      </c>
      <c r="I8" s="80">
        <f>SUMIFS(MOVIMIENTOS!$E:$E,MOVIMIENTOS!$A:$A,$A8,MOVIMIENTOS!$B:$B,"PROCESO",MOVIMIENTOS!$C:$C,"M")</f>
        <v>0</v>
      </c>
      <c r="J8" s="80">
        <f t="shared" si="0"/>
        <v>0</v>
      </c>
      <c r="K8" s="81">
        <f t="shared" si="1"/>
        <v>0</v>
      </c>
      <c r="L8" s="81">
        <f>SUMIFS(MOVIMIENTOS!$F:$F,MOVIMIENTOS!$A:$A,$A8,MOVIMIENTOS!$B:$B,"REPROCESO")</f>
        <v>0</v>
      </c>
      <c r="M8" s="80" t="str">
        <f>TRIM(IF(SUMIFS(MOVIMIENTOS!$E:$E,MOVIMIENTOS!$A:$A,$A8,MOVIMIENTOS!$B:$B,"ENVÍO A SUPESA")&gt;0,"Supesa ","")&amp;IF(SUMIFS(MOVIMIENTOS!$E:$E,MOVIMIENTOS!$A:$A,$A8,MOVIMIENTOS!$B:$B,"ENVÍO A TOTTUS")+SUMIFS(MOVIMIENTOS!$E:$E,MOVIMIENTOS!$A:$A,$A8,MOVIMIENTOS!$B:$B,"ENVIO A TOTTUS")&gt;0,"Tottus",""))</f>
        <v/>
      </c>
      <c r="N8" s="80" t="str">
        <f>IFERROR(IF(LOOKUP(2,1/((MOVIMIENTOS!$A$5:$A$1017=$A8)*((MOVIMIENTOS!$B$5:$B$1017="ENVÍO A SUPESA")+(MOVIMIENTOS!$B$5:$B$1017="ENVÍO A TOTTUS")+(MOVIMIENTOS!$B$5:$B$1017="ENVIO A TOTTUS"))*(MOVIMIENTOS!$G$5:$G$1017&lt;&gt;"")),MOVIMIENTOS!$G$5:$G$1017)&lt;&gt;"","G-"&amp;LOOKUP(2,1/((MOVIMIENTOS!$A$5:$A$1017=$A8)*((MOVIMIENTOS!$B$5:$B$1017="ENVÍO A SUPESA")+(MOVIMIENTOS!$B$5:$B$1017="ENVÍO A TOTTUS")+(MOVIMIENTOS!$B$5:$B$1017="ENVIO A TOTTUS"))*(MOVIMIENTOS!$G$5:$G$1017&lt;&gt;"")),MOVIMIENTOS!$G$5:$G$1017),""),"")</f>
        <v/>
      </c>
      <c r="O8" s="80">
        <f>SUMIFS(MOVIMIENTOS!$E:$E,MOVIMIENTOS!$A:$A,$A8,MOVIMIENTOS!$B:$B,"ENVÍO A SUPESA",MOVIMIENTOS!$C:$C,"A")+SUMIFS(MOVIMIENTOS!$E:$E,MOVIMIENTOS!$A:$A,$A8,MOVIMIENTOS!$B:$B,"ENVÍO A TOTTUS",MOVIMIENTOS!$C:$C,"A")+SUMIFS(MOVIMIENTOS!$E:$E,MOVIMIENTOS!$A:$A,$A8,MOVIMIENTOS!$B:$B,"ENVIO A TOTTUS",MOVIMIENTOS!$C:$C,"A")</f>
        <v>0</v>
      </c>
      <c r="P8" s="80">
        <f>SUMIFS(MOVIMIENTOS!$E:$E,MOVIMIENTOS!$A:$A,$A8,MOVIMIENTOS!$B:$B,"ENVÍO A SUPESA",MOVIMIENTOS!$C:$C,"P")+SUMIFS(MOVIMIENTOS!$E:$E,MOVIMIENTOS!$A:$A,$A8,MOVIMIENTOS!$B:$B,"ENVÍO A TOTTUS",MOVIMIENTOS!$C:$C,"P")+SUMIFS(MOVIMIENTOS!$E:$E,MOVIMIENTOS!$A:$A,$A8,MOVIMIENTOS!$B:$B,"ENVIO A TOTTUS",MOVIMIENTOS!$C:$C,"P")</f>
        <v>0</v>
      </c>
      <c r="Q8" s="80">
        <f>SUMIFS(MOVIMIENTOS!$E:$E,MOVIMIENTOS!$A:$A,$A8,MOVIMIENTOS!$B:$B,"ENVÍO A SUPESA",MOVIMIENTOS!$C:$C,"C")+SUMIFS(MOVIMIENTOS!$E:$E,MOVIMIENTOS!$A:$A,$A8,MOVIMIENTOS!$B:$B,"ENVÍO A TOTTUS",MOVIMIENTOS!$C:$C,"C")+SUMIFS(MOVIMIENTOS!$E:$E,MOVIMIENTOS!$A:$A,$A8,MOVIMIENTOS!$B:$B,"ENVIO A TOTTUS",MOVIMIENTOS!$C:$C,"C")</f>
        <v>0</v>
      </c>
      <c r="R8" s="80">
        <f>SUMIFS(MOVIMIENTOS!$E:$E,MOVIMIENTOS!$A:$A,$A8,MOVIMIENTOS!$B:$B,"ENVÍO A SUPESA",MOVIMIENTOS!$C:$C,"M")+SUMIFS(MOVIMIENTOS!$E:$E,MOVIMIENTOS!$A:$A,$A8,MOVIMIENTOS!$B:$B,"ENVÍO A TOTTUS",MOVIMIENTOS!$C:$C,"M")+SUMIFS(MOVIMIENTOS!$E:$E,MOVIMIENTOS!$A:$A,$A8,MOVIMIENTOS!$B:$B,"ENVIO A TOTTUS",MOVIMIENTOS!$C:$C,"M")</f>
        <v>0</v>
      </c>
      <c r="S8" s="80">
        <f t="shared" si="2"/>
        <v>0</v>
      </c>
      <c r="T8" s="81">
        <f>SUMIFS(MOVIMIENTOS!$F:$F,MOVIMIENTOS!$A:$A,$A8,MOVIMIENTOS!$B:$B,"ENVÍO A SUPESA",MOVIMIENTOS!$C:$C,"&lt;&gt;Chancho")+SUMIFS(MOVIMIENTOS!$F:$F,MOVIMIENTOS!$A:$A,$A8,MOVIMIENTOS!$B:$B,"ENVÍO A TOTTUS",MOVIMIENTOS!$C:$C,"&lt;&gt;Chancho")+SUMIFS(MOVIMIENTOS!$F:$F,MOVIMIENTOS!$A:$A,$A8,MOVIMIENTOS!$B:$B,"ENVIO A TOTTUS",MOVIMIENTOS!$C:$C,"&lt;&gt;Chancho")</f>
        <v>0</v>
      </c>
      <c r="U8" s="80">
        <f>IFERROR(INDEX('SALDO DIARIO'!$B:$B,MATCH($A8,'SALDO DIARIO'!$A:$A,0)),0)</f>
        <v>0</v>
      </c>
      <c r="V8" s="80">
        <f>IFERROR(INDEX('SALDO DIARIO'!$C:$C,MATCH($A8,'SALDO DIARIO'!$A:$A,0)),0)</f>
        <v>0</v>
      </c>
      <c r="W8" s="80">
        <f>IFERROR(INDEX('SALDO DIARIO'!$D:$D,MATCH($A8,'SALDO DIARIO'!$A:$A,0)),0)</f>
        <v>0</v>
      </c>
      <c r="X8" s="80">
        <f>IFERROR(INDEX('SALDO DIARIO'!$E:$E,MATCH($A8,'SALDO DIARIO'!$A:$A,0)),0)</f>
        <v>0</v>
      </c>
      <c r="Y8" s="80">
        <f>IFERROR(INDEX('SALDO DIARIO'!$G:$G,MATCH($A8,'SALDO DIARIO'!$A:$A,0)),0)</f>
        <v>0</v>
      </c>
      <c r="Z8" s="80">
        <f>SUMIFS(MOVIMIENTOS!$E:$E,MOVIMIENTOS!$A:$A,$A8,MOVIMIENTOS!$B:$B,"PROCESO",MOVIMIENTOS!$C:$C,"Chancho")</f>
        <v>0</v>
      </c>
      <c r="AA8" s="81">
        <f>SUMIFS(MOVIMIENTOS!$F:$F,MOVIMIENTOS!$A:$A,$A8,MOVIMIENTOS!$B:$B,"PROCESO",MOVIMIENTOS!$C:$C,"Chancho")</f>
        <v>0</v>
      </c>
      <c r="AB8" s="80">
        <f>SUMIFS(MOVIMIENTOS!$E:$E,MOVIMIENTOS!$A:$A,$A8,MOVIMIENTOS!$B:$B,"VENTA CHANCHO",MOVIMIENTOS!$C:$C,"Chancho")</f>
        <v>0</v>
      </c>
      <c r="AC8" s="81">
        <f>SUMIFS(MOVIMIENTOS!$F:$F,MOVIMIENTOS!$A:$A,$A8,MOVIMIENTOS!$B:$B,"VENTA CHANCHO",MOVIMIENTOS!$C:$C,"Chancho")</f>
        <v>0</v>
      </c>
      <c r="AD8" s="80" t="str">
        <f>IFERROR(LOOKUP(2,1/((MOVIMIENTOS!$A$5:$A$1017=$A8)*(MOVIMIENTOS!$B$5:$B$1017="VENTA CHANCHO")*(MOVIMIENTOS!$C$5:$C$1017="Chancho")*(MOVIMIENTOS!$G$5:$G$1017&lt;&gt;"")),MOVIMIENTOS!$G$5:$G$1017),IFERROR(LOOKUP(2,1/((MOVIMIENTOS!$A$5:$A$1017=$A8)*(MOVIMIENTOS!$B$5:$B$1017="VENTA CHANCHO")*(MOVIMIENTOS!$C$5:$C$1017="Chancho")*(MOVIMIENTOS!$H$5:$H$1017&lt;&gt;"")),MOVIMIENTOS!$H$5:$H$1017),""))</f>
        <v/>
      </c>
      <c r="AE8" s="80">
        <f>IFERROR(INDEX('SALDO DIARIO'!$F:$F,MATCH($A8,'SALDO DIARIO'!$A:$A,0)),0)</f>
        <v>0</v>
      </c>
      <c r="AF8" s="81">
        <f t="shared" si="3"/>
        <v>0</v>
      </c>
      <c r="AG8" s="82">
        <f t="shared" si="4"/>
        <v>0</v>
      </c>
      <c r="AI8" s="83">
        <f t="shared" si="5"/>
        <v>46210</v>
      </c>
      <c r="AJ8" s="81">
        <f t="shared" si="6"/>
        <v>0</v>
      </c>
      <c r="AK8" s="81">
        <f t="shared" si="7"/>
        <v>0</v>
      </c>
      <c r="AL8" s="81">
        <f t="shared" si="8"/>
        <v>0</v>
      </c>
      <c r="AM8" s="84">
        <f t="shared" si="9"/>
        <v>0</v>
      </c>
      <c r="AN8" s="81">
        <f t="shared" si="10"/>
        <v>0</v>
      </c>
      <c r="AO8" s="81">
        <f t="shared" si="11"/>
        <v>0</v>
      </c>
      <c r="AP8" s="82">
        <f t="shared" si="12"/>
        <v>0</v>
      </c>
      <c r="AR8" s="80" t="s">
        <v>225</v>
      </c>
      <c r="AS8" s="81">
        <f>SUMIF($C$6:$C$200,$AR8,$E$6:$E$200)</f>
        <v>26869</v>
      </c>
      <c r="AT8" s="81">
        <f>SUMIF($C$6:$C$200,$AR8,$K$6:$K$200)</f>
        <v>22181</v>
      </c>
      <c r="AU8" s="81">
        <f>SUMIF($C$6:$C$200,$AR8,$T$6:$T$200)</f>
        <v>21773</v>
      </c>
      <c r="AV8" s="84">
        <f>SUMIF($C$6:$C$200,$AR8,$Z$6:$Z$200)</f>
        <v>46.5</v>
      </c>
      <c r="AW8" s="81">
        <f>SUMIF($C$6:$C$200,$AR8,$AA$6:$AA$200)</f>
        <v>4510.5</v>
      </c>
      <c r="AX8" s="81">
        <f>SUMIF($C$6:$C$200,$AR8,$AF$6:$AF$200)</f>
        <v>177.5</v>
      </c>
      <c r="AY8" s="82">
        <f t="shared" si="13"/>
        <v>0.7</v>
      </c>
    </row>
    <row r="9" spans="1:51" ht="15" customHeight="1" x14ac:dyDescent="0.2">
      <c r="A9" s="78">
        <v>46211</v>
      </c>
      <c r="B9" s="79" t="s">
        <v>226</v>
      </c>
      <c r="C9" s="79" t="s">
        <v>221</v>
      </c>
      <c r="D9" s="80">
        <f>SUMIFS(MOVIMIENTOS!$E:$E,MOVIMIENTOS!$A:$A,$A9,MOVIMIENTOS!$B:$B,"COMPRA")</f>
        <v>0</v>
      </c>
      <c r="E9" s="81">
        <f>SUMIFS(MOVIMIENTOS!$F:$F,MOVIMIENTOS!$A:$A,$A9,MOVIMIENTOS!$B:$B,"COMPRA")</f>
        <v>0</v>
      </c>
      <c r="F9" s="80">
        <f>SUMIFS(MOVIMIENTOS!$E:$E,MOVIMIENTOS!$A:$A,$A9,MOVIMIENTOS!$B:$B,"PROCESO",MOVIMIENTOS!$C:$C,"A")</f>
        <v>0</v>
      </c>
      <c r="G9" s="80">
        <f>SUMIFS(MOVIMIENTOS!$E:$E,MOVIMIENTOS!$A:$A,$A9,MOVIMIENTOS!$B:$B,"PROCESO",MOVIMIENTOS!$C:$C,"P")</f>
        <v>0</v>
      </c>
      <c r="H9" s="80">
        <f>SUMIFS(MOVIMIENTOS!$E:$E,MOVIMIENTOS!$A:$A,$A9,MOVIMIENTOS!$B:$B,"PROCESO",MOVIMIENTOS!$C:$C,"C")</f>
        <v>0</v>
      </c>
      <c r="I9" s="80">
        <f>SUMIFS(MOVIMIENTOS!$E:$E,MOVIMIENTOS!$A:$A,$A9,MOVIMIENTOS!$B:$B,"PROCESO",MOVIMIENTOS!$C:$C,"M")</f>
        <v>0</v>
      </c>
      <c r="J9" s="80">
        <f t="shared" si="0"/>
        <v>0</v>
      </c>
      <c r="K9" s="81">
        <f t="shared" si="1"/>
        <v>0</v>
      </c>
      <c r="L9" s="81">
        <f>SUMIFS(MOVIMIENTOS!$F:$F,MOVIMIENTOS!$A:$A,$A9,MOVIMIENTOS!$B:$B,"REPROCESO")</f>
        <v>0</v>
      </c>
      <c r="M9" s="80" t="str">
        <f>TRIM(IF(SUMIFS(MOVIMIENTOS!$E:$E,MOVIMIENTOS!$A:$A,$A9,MOVIMIENTOS!$B:$B,"ENVÍO A SUPESA")&gt;0,"Supesa ","")&amp;IF(SUMIFS(MOVIMIENTOS!$E:$E,MOVIMIENTOS!$A:$A,$A9,MOVIMIENTOS!$B:$B,"ENVÍO A TOTTUS")+SUMIFS(MOVIMIENTOS!$E:$E,MOVIMIENTOS!$A:$A,$A9,MOVIMIENTOS!$B:$B,"ENVIO A TOTTUS")&gt;0,"Tottus",""))</f>
        <v/>
      </c>
      <c r="N9" s="80" t="str">
        <f>IFERROR(IF(LOOKUP(2,1/((MOVIMIENTOS!$A$5:$A$1017=$A9)*((MOVIMIENTOS!$B$5:$B$1017="ENVÍO A SUPESA")+(MOVIMIENTOS!$B$5:$B$1017="ENVÍO A TOTTUS")+(MOVIMIENTOS!$B$5:$B$1017="ENVIO A TOTTUS"))*(MOVIMIENTOS!$G$5:$G$1017&lt;&gt;"")),MOVIMIENTOS!$G$5:$G$1017)&lt;&gt;"","G-"&amp;LOOKUP(2,1/((MOVIMIENTOS!$A$5:$A$1017=$A9)*((MOVIMIENTOS!$B$5:$B$1017="ENVÍO A SUPESA")+(MOVIMIENTOS!$B$5:$B$1017="ENVÍO A TOTTUS")+(MOVIMIENTOS!$B$5:$B$1017="ENVIO A TOTTUS"))*(MOVIMIENTOS!$G$5:$G$1017&lt;&gt;"")),MOVIMIENTOS!$G$5:$G$1017),""),"")</f>
        <v/>
      </c>
      <c r="O9" s="80">
        <f>SUMIFS(MOVIMIENTOS!$E:$E,MOVIMIENTOS!$A:$A,$A9,MOVIMIENTOS!$B:$B,"ENVÍO A SUPESA",MOVIMIENTOS!$C:$C,"A")+SUMIFS(MOVIMIENTOS!$E:$E,MOVIMIENTOS!$A:$A,$A9,MOVIMIENTOS!$B:$B,"ENVÍO A TOTTUS",MOVIMIENTOS!$C:$C,"A")+SUMIFS(MOVIMIENTOS!$E:$E,MOVIMIENTOS!$A:$A,$A9,MOVIMIENTOS!$B:$B,"ENVIO A TOTTUS",MOVIMIENTOS!$C:$C,"A")</f>
        <v>0</v>
      </c>
      <c r="P9" s="80">
        <f>SUMIFS(MOVIMIENTOS!$E:$E,MOVIMIENTOS!$A:$A,$A9,MOVIMIENTOS!$B:$B,"ENVÍO A SUPESA",MOVIMIENTOS!$C:$C,"P")+SUMIFS(MOVIMIENTOS!$E:$E,MOVIMIENTOS!$A:$A,$A9,MOVIMIENTOS!$B:$B,"ENVÍO A TOTTUS",MOVIMIENTOS!$C:$C,"P")+SUMIFS(MOVIMIENTOS!$E:$E,MOVIMIENTOS!$A:$A,$A9,MOVIMIENTOS!$B:$B,"ENVIO A TOTTUS",MOVIMIENTOS!$C:$C,"P")</f>
        <v>0</v>
      </c>
      <c r="Q9" s="80">
        <f>SUMIFS(MOVIMIENTOS!$E:$E,MOVIMIENTOS!$A:$A,$A9,MOVIMIENTOS!$B:$B,"ENVÍO A SUPESA",MOVIMIENTOS!$C:$C,"C")+SUMIFS(MOVIMIENTOS!$E:$E,MOVIMIENTOS!$A:$A,$A9,MOVIMIENTOS!$B:$B,"ENVÍO A TOTTUS",MOVIMIENTOS!$C:$C,"C")+SUMIFS(MOVIMIENTOS!$E:$E,MOVIMIENTOS!$A:$A,$A9,MOVIMIENTOS!$B:$B,"ENVIO A TOTTUS",MOVIMIENTOS!$C:$C,"C")</f>
        <v>0</v>
      </c>
      <c r="R9" s="80">
        <f>SUMIFS(MOVIMIENTOS!$E:$E,MOVIMIENTOS!$A:$A,$A9,MOVIMIENTOS!$B:$B,"ENVÍO A SUPESA",MOVIMIENTOS!$C:$C,"M")+SUMIFS(MOVIMIENTOS!$E:$E,MOVIMIENTOS!$A:$A,$A9,MOVIMIENTOS!$B:$B,"ENVÍO A TOTTUS",MOVIMIENTOS!$C:$C,"M")+SUMIFS(MOVIMIENTOS!$E:$E,MOVIMIENTOS!$A:$A,$A9,MOVIMIENTOS!$B:$B,"ENVIO A TOTTUS",MOVIMIENTOS!$C:$C,"M")</f>
        <v>0</v>
      </c>
      <c r="S9" s="80">
        <f t="shared" si="2"/>
        <v>0</v>
      </c>
      <c r="T9" s="81">
        <f>SUMIFS(MOVIMIENTOS!$F:$F,MOVIMIENTOS!$A:$A,$A9,MOVIMIENTOS!$B:$B,"ENVÍO A SUPESA",MOVIMIENTOS!$C:$C,"&lt;&gt;Chancho")+SUMIFS(MOVIMIENTOS!$F:$F,MOVIMIENTOS!$A:$A,$A9,MOVIMIENTOS!$B:$B,"ENVÍO A TOTTUS",MOVIMIENTOS!$C:$C,"&lt;&gt;Chancho")+SUMIFS(MOVIMIENTOS!$F:$F,MOVIMIENTOS!$A:$A,$A9,MOVIMIENTOS!$B:$B,"ENVIO A TOTTUS",MOVIMIENTOS!$C:$C,"&lt;&gt;Chancho")</f>
        <v>0</v>
      </c>
      <c r="U9" s="80">
        <f>IFERROR(INDEX('SALDO DIARIO'!$B:$B,MATCH($A9,'SALDO DIARIO'!$A:$A,0)),0)</f>
        <v>0</v>
      </c>
      <c r="V9" s="80">
        <f>IFERROR(INDEX('SALDO DIARIO'!$C:$C,MATCH($A9,'SALDO DIARIO'!$A:$A,0)),0)</f>
        <v>0</v>
      </c>
      <c r="W9" s="80">
        <f>IFERROR(INDEX('SALDO DIARIO'!$D:$D,MATCH($A9,'SALDO DIARIO'!$A:$A,0)),0)</f>
        <v>0</v>
      </c>
      <c r="X9" s="80">
        <f>IFERROR(INDEX('SALDO DIARIO'!$E:$E,MATCH($A9,'SALDO DIARIO'!$A:$A,0)),0)</f>
        <v>0</v>
      </c>
      <c r="Y9" s="80">
        <f>IFERROR(INDEX('SALDO DIARIO'!$G:$G,MATCH($A9,'SALDO DIARIO'!$A:$A,0)),0)</f>
        <v>0</v>
      </c>
      <c r="Z9" s="80">
        <f>SUMIFS(MOVIMIENTOS!$E:$E,MOVIMIENTOS!$A:$A,$A9,MOVIMIENTOS!$B:$B,"PROCESO",MOVIMIENTOS!$C:$C,"Chancho")</f>
        <v>0</v>
      </c>
      <c r="AA9" s="81">
        <f>SUMIFS(MOVIMIENTOS!$F:$F,MOVIMIENTOS!$A:$A,$A9,MOVIMIENTOS!$B:$B,"PROCESO",MOVIMIENTOS!$C:$C,"Chancho")</f>
        <v>0</v>
      </c>
      <c r="AB9" s="80">
        <f>SUMIFS(MOVIMIENTOS!$E:$E,MOVIMIENTOS!$A:$A,$A9,MOVIMIENTOS!$B:$B,"VENTA CHANCHO",MOVIMIENTOS!$C:$C,"Chancho")</f>
        <v>0</v>
      </c>
      <c r="AC9" s="81">
        <f>SUMIFS(MOVIMIENTOS!$F:$F,MOVIMIENTOS!$A:$A,$A9,MOVIMIENTOS!$B:$B,"VENTA CHANCHO",MOVIMIENTOS!$C:$C,"Chancho")</f>
        <v>0</v>
      </c>
      <c r="AD9" s="80" t="str">
        <f>IFERROR(LOOKUP(2,1/((MOVIMIENTOS!$A$5:$A$1017=$A9)*(MOVIMIENTOS!$B$5:$B$1017="VENTA CHANCHO")*(MOVIMIENTOS!$C$5:$C$1017="Chancho")*(MOVIMIENTOS!$G$5:$G$1017&lt;&gt;"")),MOVIMIENTOS!$G$5:$G$1017),IFERROR(LOOKUP(2,1/((MOVIMIENTOS!$A$5:$A$1017=$A9)*(MOVIMIENTOS!$B$5:$B$1017="VENTA CHANCHO")*(MOVIMIENTOS!$C$5:$C$1017="Chancho")*(MOVIMIENTOS!$H$5:$H$1017&lt;&gt;"")),MOVIMIENTOS!$H$5:$H$1017),""))</f>
        <v/>
      </c>
      <c r="AE9" s="80">
        <f>IFERROR(INDEX('SALDO DIARIO'!$F:$F,MATCH($A9,'SALDO DIARIO'!$A:$A,0)),0)</f>
        <v>0</v>
      </c>
      <c r="AF9" s="81">
        <f t="shared" si="3"/>
        <v>0</v>
      </c>
      <c r="AG9" s="82">
        <f t="shared" si="4"/>
        <v>0</v>
      </c>
      <c r="AI9" s="83">
        <f t="shared" si="5"/>
        <v>46211</v>
      </c>
      <c r="AJ9" s="81">
        <f t="shared" si="6"/>
        <v>0</v>
      </c>
      <c r="AK9" s="81">
        <f t="shared" si="7"/>
        <v>0</v>
      </c>
      <c r="AL9" s="81">
        <f t="shared" si="8"/>
        <v>0</v>
      </c>
      <c r="AM9" s="84">
        <f t="shared" si="9"/>
        <v>0</v>
      </c>
      <c r="AN9" s="81">
        <f t="shared" si="10"/>
        <v>0</v>
      </c>
      <c r="AO9" s="81">
        <f t="shared" si="11"/>
        <v>0</v>
      </c>
      <c r="AP9" s="82">
        <f t="shared" si="12"/>
        <v>0</v>
      </c>
      <c r="AR9" s="80" t="s">
        <v>227</v>
      </c>
      <c r="AS9" s="81">
        <f>SUMIF($C$6:$C$200,$AR9,$E$6:$E$200)</f>
        <v>23460</v>
      </c>
      <c r="AT9" s="81">
        <f>SUMIF($C$6:$C$200,$AR9,$K$6:$K$200)</f>
        <v>18175</v>
      </c>
      <c r="AU9" s="81">
        <f>SUMIF($C$6:$C$200,$AR9,$T$6:$T$200)</f>
        <v>18915</v>
      </c>
      <c r="AV9" s="84">
        <f>SUMIF($C$6:$C$200,$AR9,$Z$6:$Z$200)</f>
        <v>50.5</v>
      </c>
      <c r="AW9" s="81">
        <f>SUMIF($C$6:$C$200,$AR9,$AA$6:$AA$200)</f>
        <v>4898.5</v>
      </c>
      <c r="AX9" s="81">
        <f>SUMIF($C$6:$C$200,$AR9,$AF$6:$AF$200)</f>
        <v>386.5</v>
      </c>
      <c r="AY9" s="82">
        <f t="shared" si="13"/>
        <v>1.6</v>
      </c>
    </row>
    <row r="10" spans="1:51" ht="15" customHeight="1" x14ac:dyDescent="0.2">
      <c r="A10" s="78">
        <v>46212</v>
      </c>
      <c r="B10" s="79" t="s">
        <v>228</v>
      </c>
      <c r="C10" s="79" t="s">
        <v>221</v>
      </c>
      <c r="D10" s="80">
        <f>SUMIFS(MOVIMIENTOS!$E:$E,MOVIMIENTOS!$A:$A,$A10,MOVIMIENTOS!$B:$B,"COMPRA")</f>
        <v>0</v>
      </c>
      <c r="E10" s="81">
        <f>SUMIFS(MOVIMIENTOS!$F:$F,MOVIMIENTOS!$A:$A,$A10,MOVIMIENTOS!$B:$B,"COMPRA")</f>
        <v>0</v>
      </c>
      <c r="F10" s="80">
        <f>SUMIFS(MOVIMIENTOS!$E:$E,MOVIMIENTOS!$A:$A,$A10,MOVIMIENTOS!$B:$B,"PROCESO",MOVIMIENTOS!$C:$C,"A")</f>
        <v>0</v>
      </c>
      <c r="G10" s="80">
        <f>SUMIFS(MOVIMIENTOS!$E:$E,MOVIMIENTOS!$A:$A,$A10,MOVIMIENTOS!$B:$B,"PROCESO",MOVIMIENTOS!$C:$C,"P")</f>
        <v>0</v>
      </c>
      <c r="H10" s="80">
        <f>SUMIFS(MOVIMIENTOS!$E:$E,MOVIMIENTOS!$A:$A,$A10,MOVIMIENTOS!$B:$B,"PROCESO",MOVIMIENTOS!$C:$C,"C")</f>
        <v>0</v>
      </c>
      <c r="I10" s="80">
        <f>SUMIFS(MOVIMIENTOS!$E:$E,MOVIMIENTOS!$A:$A,$A10,MOVIMIENTOS!$B:$B,"PROCESO",MOVIMIENTOS!$C:$C,"M")</f>
        <v>0</v>
      </c>
      <c r="J10" s="80">
        <f t="shared" si="0"/>
        <v>0</v>
      </c>
      <c r="K10" s="81">
        <f t="shared" si="1"/>
        <v>0</v>
      </c>
      <c r="L10" s="81">
        <f>SUMIFS(MOVIMIENTOS!$F:$F,MOVIMIENTOS!$A:$A,$A10,MOVIMIENTOS!$B:$B,"REPROCESO")</f>
        <v>0</v>
      </c>
      <c r="M10" s="80" t="str">
        <f>TRIM(IF(SUMIFS(MOVIMIENTOS!$E:$E,MOVIMIENTOS!$A:$A,$A10,MOVIMIENTOS!$B:$B,"ENVÍO A SUPESA")&gt;0,"Supesa ","")&amp;IF(SUMIFS(MOVIMIENTOS!$E:$E,MOVIMIENTOS!$A:$A,$A10,MOVIMIENTOS!$B:$B,"ENVÍO A TOTTUS")+SUMIFS(MOVIMIENTOS!$E:$E,MOVIMIENTOS!$A:$A,$A10,MOVIMIENTOS!$B:$B,"ENVIO A TOTTUS")&gt;0,"Tottus",""))</f>
        <v/>
      </c>
      <c r="N10" s="80" t="str">
        <f>IFERROR(IF(LOOKUP(2,1/((MOVIMIENTOS!$A$5:$A$1017=$A10)*((MOVIMIENTOS!$B$5:$B$1017="ENVÍO A SUPESA")+(MOVIMIENTOS!$B$5:$B$1017="ENVÍO A TOTTUS")+(MOVIMIENTOS!$B$5:$B$1017="ENVIO A TOTTUS"))*(MOVIMIENTOS!$G$5:$G$1017&lt;&gt;"")),MOVIMIENTOS!$G$5:$G$1017)&lt;&gt;"","G-"&amp;LOOKUP(2,1/((MOVIMIENTOS!$A$5:$A$1017=$A10)*((MOVIMIENTOS!$B$5:$B$1017="ENVÍO A SUPESA")+(MOVIMIENTOS!$B$5:$B$1017="ENVÍO A TOTTUS")+(MOVIMIENTOS!$B$5:$B$1017="ENVIO A TOTTUS"))*(MOVIMIENTOS!$G$5:$G$1017&lt;&gt;"")),MOVIMIENTOS!$G$5:$G$1017),""),"")</f>
        <v/>
      </c>
      <c r="O10" s="80">
        <f>SUMIFS(MOVIMIENTOS!$E:$E,MOVIMIENTOS!$A:$A,$A10,MOVIMIENTOS!$B:$B,"ENVÍO A SUPESA",MOVIMIENTOS!$C:$C,"A")+SUMIFS(MOVIMIENTOS!$E:$E,MOVIMIENTOS!$A:$A,$A10,MOVIMIENTOS!$B:$B,"ENVÍO A TOTTUS",MOVIMIENTOS!$C:$C,"A")+SUMIFS(MOVIMIENTOS!$E:$E,MOVIMIENTOS!$A:$A,$A10,MOVIMIENTOS!$B:$B,"ENVIO A TOTTUS",MOVIMIENTOS!$C:$C,"A")</f>
        <v>0</v>
      </c>
      <c r="P10" s="80">
        <f>SUMIFS(MOVIMIENTOS!$E:$E,MOVIMIENTOS!$A:$A,$A10,MOVIMIENTOS!$B:$B,"ENVÍO A SUPESA",MOVIMIENTOS!$C:$C,"P")+SUMIFS(MOVIMIENTOS!$E:$E,MOVIMIENTOS!$A:$A,$A10,MOVIMIENTOS!$B:$B,"ENVÍO A TOTTUS",MOVIMIENTOS!$C:$C,"P")+SUMIFS(MOVIMIENTOS!$E:$E,MOVIMIENTOS!$A:$A,$A10,MOVIMIENTOS!$B:$B,"ENVIO A TOTTUS",MOVIMIENTOS!$C:$C,"P")</f>
        <v>0</v>
      </c>
      <c r="Q10" s="80">
        <f>SUMIFS(MOVIMIENTOS!$E:$E,MOVIMIENTOS!$A:$A,$A10,MOVIMIENTOS!$B:$B,"ENVÍO A SUPESA",MOVIMIENTOS!$C:$C,"C")+SUMIFS(MOVIMIENTOS!$E:$E,MOVIMIENTOS!$A:$A,$A10,MOVIMIENTOS!$B:$B,"ENVÍO A TOTTUS",MOVIMIENTOS!$C:$C,"C")+SUMIFS(MOVIMIENTOS!$E:$E,MOVIMIENTOS!$A:$A,$A10,MOVIMIENTOS!$B:$B,"ENVIO A TOTTUS",MOVIMIENTOS!$C:$C,"C")</f>
        <v>0</v>
      </c>
      <c r="R10" s="80">
        <f>SUMIFS(MOVIMIENTOS!$E:$E,MOVIMIENTOS!$A:$A,$A10,MOVIMIENTOS!$B:$B,"ENVÍO A SUPESA",MOVIMIENTOS!$C:$C,"M")+SUMIFS(MOVIMIENTOS!$E:$E,MOVIMIENTOS!$A:$A,$A10,MOVIMIENTOS!$B:$B,"ENVÍO A TOTTUS",MOVIMIENTOS!$C:$C,"M")+SUMIFS(MOVIMIENTOS!$E:$E,MOVIMIENTOS!$A:$A,$A10,MOVIMIENTOS!$B:$B,"ENVIO A TOTTUS",MOVIMIENTOS!$C:$C,"M")</f>
        <v>0</v>
      </c>
      <c r="S10" s="80">
        <f t="shared" si="2"/>
        <v>0</v>
      </c>
      <c r="T10" s="81">
        <f>SUMIFS(MOVIMIENTOS!$F:$F,MOVIMIENTOS!$A:$A,$A10,MOVIMIENTOS!$B:$B,"ENVÍO A SUPESA",MOVIMIENTOS!$C:$C,"&lt;&gt;Chancho")+SUMIFS(MOVIMIENTOS!$F:$F,MOVIMIENTOS!$A:$A,$A10,MOVIMIENTOS!$B:$B,"ENVÍO A TOTTUS",MOVIMIENTOS!$C:$C,"&lt;&gt;Chancho")+SUMIFS(MOVIMIENTOS!$F:$F,MOVIMIENTOS!$A:$A,$A10,MOVIMIENTOS!$B:$B,"ENVIO A TOTTUS",MOVIMIENTOS!$C:$C,"&lt;&gt;Chancho")</f>
        <v>0</v>
      </c>
      <c r="U10" s="80">
        <f>IFERROR(INDEX('SALDO DIARIO'!$B:$B,MATCH($A10,'SALDO DIARIO'!$A:$A,0)),0)</f>
        <v>0</v>
      </c>
      <c r="V10" s="80">
        <f>IFERROR(INDEX('SALDO DIARIO'!$C:$C,MATCH($A10,'SALDO DIARIO'!$A:$A,0)),0)</f>
        <v>0</v>
      </c>
      <c r="W10" s="80">
        <f>IFERROR(INDEX('SALDO DIARIO'!$D:$D,MATCH($A10,'SALDO DIARIO'!$A:$A,0)),0)</f>
        <v>0</v>
      </c>
      <c r="X10" s="80">
        <f>IFERROR(INDEX('SALDO DIARIO'!$E:$E,MATCH($A10,'SALDO DIARIO'!$A:$A,0)),0)</f>
        <v>0</v>
      </c>
      <c r="Y10" s="80">
        <f>IFERROR(INDEX('SALDO DIARIO'!$G:$G,MATCH($A10,'SALDO DIARIO'!$A:$A,0)),0)</f>
        <v>0</v>
      </c>
      <c r="Z10" s="80">
        <f>SUMIFS(MOVIMIENTOS!$E:$E,MOVIMIENTOS!$A:$A,$A10,MOVIMIENTOS!$B:$B,"PROCESO",MOVIMIENTOS!$C:$C,"Chancho")</f>
        <v>0</v>
      </c>
      <c r="AA10" s="81">
        <f>SUMIFS(MOVIMIENTOS!$F:$F,MOVIMIENTOS!$A:$A,$A10,MOVIMIENTOS!$B:$B,"PROCESO",MOVIMIENTOS!$C:$C,"Chancho")</f>
        <v>0</v>
      </c>
      <c r="AB10" s="80">
        <f>SUMIFS(MOVIMIENTOS!$E:$E,MOVIMIENTOS!$A:$A,$A10,MOVIMIENTOS!$B:$B,"VENTA CHANCHO",MOVIMIENTOS!$C:$C,"Chancho")</f>
        <v>0</v>
      </c>
      <c r="AC10" s="81">
        <f>SUMIFS(MOVIMIENTOS!$F:$F,MOVIMIENTOS!$A:$A,$A10,MOVIMIENTOS!$B:$B,"VENTA CHANCHO",MOVIMIENTOS!$C:$C,"Chancho")</f>
        <v>0</v>
      </c>
      <c r="AD10" s="80" t="str">
        <f>IFERROR(LOOKUP(2,1/((MOVIMIENTOS!$A$5:$A$1017=$A10)*(MOVIMIENTOS!$B$5:$B$1017="VENTA CHANCHO")*(MOVIMIENTOS!$C$5:$C$1017="Chancho")*(MOVIMIENTOS!$G$5:$G$1017&lt;&gt;"")),MOVIMIENTOS!$G$5:$G$1017),IFERROR(LOOKUP(2,1/((MOVIMIENTOS!$A$5:$A$1017=$A10)*(MOVIMIENTOS!$B$5:$B$1017="VENTA CHANCHO")*(MOVIMIENTOS!$C$5:$C$1017="Chancho")*(MOVIMIENTOS!$H$5:$H$1017&lt;&gt;"")),MOVIMIENTOS!$H$5:$H$1017),""))</f>
        <v/>
      </c>
      <c r="AE10" s="80">
        <f>IFERROR(INDEX('SALDO DIARIO'!$F:$F,MATCH($A10,'SALDO DIARIO'!$A:$A,0)),0)</f>
        <v>0</v>
      </c>
      <c r="AF10" s="81">
        <f t="shared" si="3"/>
        <v>0</v>
      </c>
      <c r="AG10" s="82">
        <f t="shared" si="4"/>
        <v>0</v>
      </c>
      <c r="AI10" s="83">
        <f t="shared" si="5"/>
        <v>46212</v>
      </c>
      <c r="AJ10" s="81">
        <f t="shared" si="6"/>
        <v>0</v>
      </c>
      <c r="AK10" s="81">
        <f t="shared" si="7"/>
        <v>0</v>
      </c>
      <c r="AL10" s="81">
        <f t="shared" si="8"/>
        <v>0</v>
      </c>
      <c r="AM10" s="84">
        <f t="shared" si="9"/>
        <v>0</v>
      </c>
      <c r="AN10" s="81">
        <f t="shared" si="10"/>
        <v>0</v>
      </c>
      <c r="AO10" s="81">
        <f t="shared" si="11"/>
        <v>0</v>
      </c>
      <c r="AP10" s="82">
        <f t="shared" si="12"/>
        <v>0</v>
      </c>
      <c r="AR10" s="80" t="s">
        <v>229</v>
      </c>
      <c r="AS10" s="81">
        <f>SUMIF($C$6:$C$200,$AR10,$E$6:$E$200)</f>
        <v>20279.82</v>
      </c>
      <c r="AT10" s="81">
        <f>SUMIF($C$6:$C$200,$AR10,$K$6:$K$200)</f>
        <v>16778</v>
      </c>
      <c r="AU10" s="81">
        <f>SUMIF($C$6:$C$200,$AR10,$T$6:$T$200)</f>
        <v>18761</v>
      </c>
      <c r="AV10" s="84">
        <f>SUMIF($C$6:$C$200,$AR10,$Z$6:$Z$200)</f>
        <v>38.5</v>
      </c>
      <c r="AW10" s="81">
        <f>SUMIF($C$6:$C$200,$AR10,$AA$6:$AA$200)</f>
        <v>3734.5</v>
      </c>
      <c r="AX10" s="81">
        <f>SUMIF($C$6:$C$200,$AR10,$AF$6:$AF$200)</f>
        <v>-124.68000000000029</v>
      </c>
      <c r="AY10" s="82">
        <f t="shared" si="13"/>
        <v>-0.6</v>
      </c>
    </row>
    <row r="11" spans="1:51" ht="15" customHeight="1" x14ac:dyDescent="0.2">
      <c r="A11" s="78">
        <v>46213</v>
      </c>
      <c r="B11" s="79" t="s">
        <v>230</v>
      </c>
      <c r="C11" s="79" t="s">
        <v>221</v>
      </c>
      <c r="D11" s="80">
        <f>SUMIFS(MOVIMIENTOS!$E:$E,MOVIMIENTOS!$A:$A,$A11,MOVIMIENTOS!$B:$B,"COMPRA")</f>
        <v>0</v>
      </c>
      <c r="E11" s="81">
        <f>SUMIFS(MOVIMIENTOS!$F:$F,MOVIMIENTOS!$A:$A,$A11,MOVIMIENTOS!$B:$B,"COMPRA")</f>
        <v>0</v>
      </c>
      <c r="F11" s="80">
        <f>SUMIFS(MOVIMIENTOS!$E:$E,MOVIMIENTOS!$A:$A,$A11,MOVIMIENTOS!$B:$B,"PROCESO",MOVIMIENTOS!$C:$C,"A")</f>
        <v>0</v>
      </c>
      <c r="G11" s="80">
        <f>SUMIFS(MOVIMIENTOS!$E:$E,MOVIMIENTOS!$A:$A,$A11,MOVIMIENTOS!$B:$B,"PROCESO",MOVIMIENTOS!$C:$C,"P")</f>
        <v>0</v>
      </c>
      <c r="H11" s="80">
        <f>SUMIFS(MOVIMIENTOS!$E:$E,MOVIMIENTOS!$A:$A,$A11,MOVIMIENTOS!$B:$B,"PROCESO",MOVIMIENTOS!$C:$C,"C")</f>
        <v>0</v>
      </c>
      <c r="I11" s="80">
        <f>SUMIFS(MOVIMIENTOS!$E:$E,MOVIMIENTOS!$A:$A,$A11,MOVIMIENTOS!$B:$B,"PROCESO",MOVIMIENTOS!$C:$C,"M")</f>
        <v>0</v>
      </c>
      <c r="J11" s="80">
        <f t="shared" si="0"/>
        <v>0</v>
      </c>
      <c r="K11" s="81">
        <f t="shared" si="1"/>
        <v>0</v>
      </c>
      <c r="L11" s="81">
        <f>SUMIFS(MOVIMIENTOS!$F:$F,MOVIMIENTOS!$A:$A,$A11,MOVIMIENTOS!$B:$B,"REPROCESO")</f>
        <v>0</v>
      </c>
      <c r="M11" s="80" t="str">
        <f>TRIM(IF(SUMIFS(MOVIMIENTOS!$E:$E,MOVIMIENTOS!$A:$A,$A11,MOVIMIENTOS!$B:$B,"ENVÍO A SUPESA")&gt;0,"Supesa ","")&amp;IF(SUMIFS(MOVIMIENTOS!$E:$E,MOVIMIENTOS!$A:$A,$A11,MOVIMIENTOS!$B:$B,"ENVÍO A TOTTUS")+SUMIFS(MOVIMIENTOS!$E:$E,MOVIMIENTOS!$A:$A,$A11,MOVIMIENTOS!$B:$B,"ENVIO A TOTTUS")&gt;0,"Tottus",""))</f>
        <v/>
      </c>
      <c r="N11" s="80" t="str">
        <f>IFERROR(IF(LOOKUP(2,1/((MOVIMIENTOS!$A$5:$A$1017=$A11)*((MOVIMIENTOS!$B$5:$B$1017="ENVÍO A SUPESA")+(MOVIMIENTOS!$B$5:$B$1017="ENVÍO A TOTTUS")+(MOVIMIENTOS!$B$5:$B$1017="ENVIO A TOTTUS"))*(MOVIMIENTOS!$G$5:$G$1017&lt;&gt;"")),MOVIMIENTOS!$G$5:$G$1017)&lt;&gt;"","G-"&amp;LOOKUP(2,1/((MOVIMIENTOS!$A$5:$A$1017=$A11)*((MOVIMIENTOS!$B$5:$B$1017="ENVÍO A SUPESA")+(MOVIMIENTOS!$B$5:$B$1017="ENVÍO A TOTTUS")+(MOVIMIENTOS!$B$5:$B$1017="ENVIO A TOTTUS"))*(MOVIMIENTOS!$G$5:$G$1017&lt;&gt;"")),MOVIMIENTOS!$G$5:$G$1017),""),"")</f>
        <v/>
      </c>
      <c r="O11" s="80">
        <f>SUMIFS(MOVIMIENTOS!$E:$E,MOVIMIENTOS!$A:$A,$A11,MOVIMIENTOS!$B:$B,"ENVÍO A SUPESA",MOVIMIENTOS!$C:$C,"A")+SUMIFS(MOVIMIENTOS!$E:$E,MOVIMIENTOS!$A:$A,$A11,MOVIMIENTOS!$B:$B,"ENVÍO A TOTTUS",MOVIMIENTOS!$C:$C,"A")+SUMIFS(MOVIMIENTOS!$E:$E,MOVIMIENTOS!$A:$A,$A11,MOVIMIENTOS!$B:$B,"ENVIO A TOTTUS",MOVIMIENTOS!$C:$C,"A")</f>
        <v>0</v>
      </c>
      <c r="P11" s="80">
        <f>SUMIFS(MOVIMIENTOS!$E:$E,MOVIMIENTOS!$A:$A,$A11,MOVIMIENTOS!$B:$B,"ENVÍO A SUPESA",MOVIMIENTOS!$C:$C,"P")+SUMIFS(MOVIMIENTOS!$E:$E,MOVIMIENTOS!$A:$A,$A11,MOVIMIENTOS!$B:$B,"ENVÍO A TOTTUS",MOVIMIENTOS!$C:$C,"P")+SUMIFS(MOVIMIENTOS!$E:$E,MOVIMIENTOS!$A:$A,$A11,MOVIMIENTOS!$B:$B,"ENVIO A TOTTUS",MOVIMIENTOS!$C:$C,"P")</f>
        <v>0</v>
      </c>
      <c r="Q11" s="80">
        <f>SUMIFS(MOVIMIENTOS!$E:$E,MOVIMIENTOS!$A:$A,$A11,MOVIMIENTOS!$B:$B,"ENVÍO A SUPESA",MOVIMIENTOS!$C:$C,"C")+SUMIFS(MOVIMIENTOS!$E:$E,MOVIMIENTOS!$A:$A,$A11,MOVIMIENTOS!$B:$B,"ENVÍO A TOTTUS",MOVIMIENTOS!$C:$C,"C")+SUMIFS(MOVIMIENTOS!$E:$E,MOVIMIENTOS!$A:$A,$A11,MOVIMIENTOS!$B:$B,"ENVIO A TOTTUS",MOVIMIENTOS!$C:$C,"C")</f>
        <v>0</v>
      </c>
      <c r="R11" s="80">
        <f>SUMIFS(MOVIMIENTOS!$E:$E,MOVIMIENTOS!$A:$A,$A11,MOVIMIENTOS!$B:$B,"ENVÍO A SUPESA",MOVIMIENTOS!$C:$C,"M")+SUMIFS(MOVIMIENTOS!$E:$E,MOVIMIENTOS!$A:$A,$A11,MOVIMIENTOS!$B:$B,"ENVÍO A TOTTUS",MOVIMIENTOS!$C:$C,"M")+SUMIFS(MOVIMIENTOS!$E:$E,MOVIMIENTOS!$A:$A,$A11,MOVIMIENTOS!$B:$B,"ENVIO A TOTTUS",MOVIMIENTOS!$C:$C,"M")</f>
        <v>0</v>
      </c>
      <c r="S11" s="80">
        <f t="shared" si="2"/>
        <v>0</v>
      </c>
      <c r="T11" s="81">
        <f>SUMIFS(MOVIMIENTOS!$F:$F,MOVIMIENTOS!$A:$A,$A11,MOVIMIENTOS!$B:$B,"ENVÍO A SUPESA",MOVIMIENTOS!$C:$C,"&lt;&gt;Chancho")+SUMIFS(MOVIMIENTOS!$F:$F,MOVIMIENTOS!$A:$A,$A11,MOVIMIENTOS!$B:$B,"ENVÍO A TOTTUS",MOVIMIENTOS!$C:$C,"&lt;&gt;Chancho")+SUMIFS(MOVIMIENTOS!$F:$F,MOVIMIENTOS!$A:$A,$A11,MOVIMIENTOS!$B:$B,"ENVIO A TOTTUS",MOVIMIENTOS!$C:$C,"&lt;&gt;Chancho")</f>
        <v>0</v>
      </c>
      <c r="U11" s="80">
        <f>IFERROR(INDEX('SALDO DIARIO'!$B:$B,MATCH($A11,'SALDO DIARIO'!$A:$A,0)),0)</f>
        <v>0</v>
      </c>
      <c r="V11" s="80">
        <f>IFERROR(INDEX('SALDO DIARIO'!$C:$C,MATCH($A11,'SALDO DIARIO'!$A:$A,0)),0)</f>
        <v>0</v>
      </c>
      <c r="W11" s="80">
        <f>IFERROR(INDEX('SALDO DIARIO'!$D:$D,MATCH($A11,'SALDO DIARIO'!$A:$A,0)),0)</f>
        <v>0</v>
      </c>
      <c r="X11" s="80">
        <f>IFERROR(INDEX('SALDO DIARIO'!$E:$E,MATCH($A11,'SALDO DIARIO'!$A:$A,0)),0)</f>
        <v>0</v>
      </c>
      <c r="Y11" s="80">
        <f>IFERROR(INDEX('SALDO DIARIO'!$G:$G,MATCH($A11,'SALDO DIARIO'!$A:$A,0)),0)</f>
        <v>0</v>
      </c>
      <c r="Z11" s="80">
        <f>SUMIFS(MOVIMIENTOS!$E:$E,MOVIMIENTOS!$A:$A,$A11,MOVIMIENTOS!$B:$B,"PROCESO",MOVIMIENTOS!$C:$C,"Chancho")</f>
        <v>0</v>
      </c>
      <c r="AA11" s="81">
        <f>SUMIFS(MOVIMIENTOS!$F:$F,MOVIMIENTOS!$A:$A,$A11,MOVIMIENTOS!$B:$B,"PROCESO",MOVIMIENTOS!$C:$C,"Chancho")</f>
        <v>0</v>
      </c>
      <c r="AB11" s="80">
        <f>SUMIFS(MOVIMIENTOS!$E:$E,MOVIMIENTOS!$A:$A,$A11,MOVIMIENTOS!$B:$B,"VENTA CHANCHO",MOVIMIENTOS!$C:$C,"Chancho")</f>
        <v>0</v>
      </c>
      <c r="AC11" s="81">
        <f>SUMIFS(MOVIMIENTOS!$F:$F,MOVIMIENTOS!$A:$A,$A11,MOVIMIENTOS!$B:$B,"VENTA CHANCHO",MOVIMIENTOS!$C:$C,"Chancho")</f>
        <v>0</v>
      </c>
      <c r="AD11" s="80" t="str">
        <f>IFERROR(LOOKUP(2,1/((MOVIMIENTOS!$A$5:$A$1017=$A11)*(MOVIMIENTOS!$B$5:$B$1017="VENTA CHANCHO")*(MOVIMIENTOS!$C$5:$C$1017="Chancho")*(MOVIMIENTOS!$G$5:$G$1017&lt;&gt;"")),MOVIMIENTOS!$G$5:$G$1017),IFERROR(LOOKUP(2,1/((MOVIMIENTOS!$A$5:$A$1017=$A11)*(MOVIMIENTOS!$B$5:$B$1017="VENTA CHANCHO")*(MOVIMIENTOS!$C$5:$C$1017="Chancho")*(MOVIMIENTOS!$H$5:$H$1017&lt;&gt;"")),MOVIMIENTOS!$H$5:$H$1017),""))</f>
        <v/>
      </c>
      <c r="AE11" s="80">
        <f>IFERROR(INDEX('SALDO DIARIO'!$F:$F,MATCH($A11,'SALDO DIARIO'!$A:$A,0)),0)</f>
        <v>0</v>
      </c>
      <c r="AF11" s="81">
        <f t="shared" si="3"/>
        <v>0</v>
      </c>
      <c r="AG11" s="82">
        <f t="shared" si="4"/>
        <v>0</v>
      </c>
      <c r="AI11" s="83">
        <f t="shared" si="5"/>
        <v>46213</v>
      </c>
      <c r="AJ11" s="81">
        <f t="shared" si="6"/>
        <v>0</v>
      </c>
      <c r="AK11" s="81">
        <f t="shared" si="7"/>
        <v>0</v>
      </c>
      <c r="AL11" s="81">
        <f t="shared" si="8"/>
        <v>0</v>
      </c>
      <c r="AM11" s="84">
        <f t="shared" si="9"/>
        <v>0</v>
      </c>
      <c r="AN11" s="81">
        <f t="shared" si="10"/>
        <v>0</v>
      </c>
      <c r="AO11" s="81">
        <f t="shared" si="11"/>
        <v>0</v>
      </c>
      <c r="AP11" s="82">
        <f t="shared" si="12"/>
        <v>0</v>
      </c>
      <c r="AR11" s="80" t="s">
        <v>231</v>
      </c>
      <c r="AS11" s="81">
        <f t="shared" ref="AS11:AX11" si="14">SUM(AS6:AS10)</f>
        <v>98544.82</v>
      </c>
      <c r="AT11" s="81">
        <f t="shared" si="14"/>
        <v>80690</v>
      </c>
      <c r="AU11" s="81">
        <f t="shared" si="14"/>
        <v>80859</v>
      </c>
      <c r="AV11" s="84">
        <f t="shared" si="14"/>
        <v>180.5</v>
      </c>
      <c r="AW11" s="81">
        <f t="shared" si="14"/>
        <v>17508.5</v>
      </c>
      <c r="AX11" s="81">
        <f t="shared" si="14"/>
        <v>454.31999999999971</v>
      </c>
      <c r="AY11" s="82">
        <f t="shared" si="13"/>
        <v>0.5</v>
      </c>
    </row>
    <row r="12" spans="1:51" ht="15" customHeight="1" x14ac:dyDescent="0.2">
      <c r="A12" s="78">
        <v>46214</v>
      </c>
      <c r="B12" s="79" t="s">
        <v>232</v>
      </c>
      <c r="C12" s="79" t="s">
        <v>221</v>
      </c>
      <c r="D12" s="80">
        <f>SUMIFS(MOVIMIENTOS!$E:$E,MOVIMIENTOS!$A:$A,$A12,MOVIMIENTOS!$B:$B,"COMPRA")</f>
        <v>0</v>
      </c>
      <c r="E12" s="81">
        <f>SUMIFS(MOVIMIENTOS!$F:$F,MOVIMIENTOS!$A:$A,$A12,MOVIMIENTOS!$B:$B,"COMPRA")</f>
        <v>0</v>
      </c>
      <c r="F12" s="80">
        <f>SUMIFS(MOVIMIENTOS!$E:$E,MOVIMIENTOS!$A:$A,$A12,MOVIMIENTOS!$B:$B,"PROCESO",MOVIMIENTOS!$C:$C,"A")</f>
        <v>0</v>
      </c>
      <c r="G12" s="80">
        <f>SUMIFS(MOVIMIENTOS!$E:$E,MOVIMIENTOS!$A:$A,$A12,MOVIMIENTOS!$B:$B,"PROCESO",MOVIMIENTOS!$C:$C,"P")</f>
        <v>0</v>
      </c>
      <c r="H12" s="80">
        <f>SUMIFS(MOVIMIENTOS!$E:$E,MOVIMIENTOS!$A:$A,$A12,MOVIMIENTOS!$B:$B,"PROCESO",MOVIMIENTOS!$C:$C,"C")</f>
        <v>0</v>
      </c>
      <c r="I12" s="80">
        <f>SUMIFS(MOVIMIENTOS!$E:$E,MOVIMIENTOS!$A:$A,$A12,MOVIMIENTOS!$B:$B,"PROCESO",MOVIMIENTOS!$C:$C,"M")</f>
        <v>0</v>
      </c>
      <c r="J12" s="80">
        <f t="shared" si="0"/>
        <v>0</v>
      </c>
      <c r="K12" s="81">
        <f t="shared" si="1"/>
        <v>0</v>
      </c>
      <c r="L12" s="81">
        <f>SUMIFS(MOVIMIENTOS!$F:$F,MOVIMIENTOS!$A:$A,$A12,MOVIMIENTOS!$B:$B,"REPROCESO")</f>
        <v>0</v>
      </c>
      <c r="M12" s="80" t="str">
        <f>TRIM(IF(SUMIFS(MOVIMIENTOS!$E:$E,MOVIMIENTOS!$A:$A,$A12,MOVIMIENTOS!$B:$B,"ENVÍO A SUPESA")&gt;0,"Supesa ","")&amp;IF(SUMIFS(MOVIMIENTOS!$E:$E,MOVIMIENTOS!$A:$A,$A12,MOVIMIENTOS!$B:$B,"ENVÍO A TOTTUS")+SUMIFS(MOVIMIENTOS!$E:$E,MOVIMIENTOS!$A:$A,$A12,MOVIMIENTOS!$B:$B,"ENVIO A TOTTUS")&gt;0,"Tottus",""))</f>
        <v/>
      </c>
      <c r="N12" s="80" t="str">
        <f>IFERROR(IF(LOOKUP(2,1/((MOVIMIENTOS!$A$5:$A$1017=$A12)*((MOVIMIENTOS!$B$5:$B$1017="ENVÍO A SUPESA")+(MOVIMIENTOS!$B$5:$B$1017="ENVÍO A TOTTUS")+(MOVIMIENTOS!$B$5:$B$1017="ENVIO A TOTTUS"))*(MOVIMIENTOS!$G$5:$G$1017&lt;&gt;"")),MOVIMIENTOS!$G$5:$G$1017)&lt;&gt;"","G-"&amp;LOOKUP(2,1/((MOVIMIENTOS!$A$5:$A$1017=$A12)*((MOVIMIENTOS!$B$5:$B$1017="ENVÍO A SUPESA")+(MOVIMIENTOS!$B$5:$B$1017="ENVÍO A TOTTUS")+(MOVIMIENTOS!$B$5:$B$1017="ENVIO A TOTTUS"))*(MOVIMIENTOS!$G$5:$G$1017&lt;&gt;"")),MOVIMIENTOS!$G$5:$G$1017),""),"")</f>
        <v/>
      </c>
      <c r="O12" s="80">
        <f>SUMIFS(MOVIMIENTOS!$E:$E,MOVIMIENTOS!$A:$A,$A12,MOVIMIENTOS!$B:$B,"ENVÍO A SUPESA",MOVIMIENTOS!$C:$C,"A")+SUMIFS(MOVIMIENTOS!$E:$E,MOVIMIENTOS!$A:$A,$A12,MOVIMIENTOS!$B:$B,"ENVÍO A TOTTUS",MOVIMIENTOS!$C:$C,"A")+SUMIFS(MOVIMIENTOS!$E:$E,MOVIMIENTOS!$A:$A,$A12,MOVIMIENTOS!$B:$B,"ENVIO A TOTTUS",MOVIMIENTOS!$C:$C,"A")</f>
        <v>0</v>
      </c>
      <c r="P12" s="80">
        <f>SUMIFS(MOVIMIENTOS!$E:$E,MOVIMIENTOS!$A:$A,$A12,MOVIMIENTOS!$B:$B,"ENVÍO A SUPESA",MOVIMIENTOS!$C:$C,"P")+SUMIFS(MOVIMIENTOS!$E:$E,MOVIMIENTOS!$A:$A,$A12,MOVIMIENTOS!$B:$B,"ENVÍO A TOTTUS",MOVIMIENTOS!$C:$C,"P")+SUMIFS(MOVIMIENTOS!$E:$E,MOVIMIENTOS!$A:$A,$A12,MOVIMIENTOS!$B:$B,"ENVIO A TOTTUS",MOVIMIENTOS!$C:$C,"P")</f>
        <v>0</v>
      </c>
      <c r="Q12" s="80">
        <f>SUMIFS(MOVIMIENTOS!$E:$E,MOVIMIENTOS!$A:$A,$A12,MOVIMIENTOS!$B:$B,"ENVÍO A SUPESA",MOVIMIENTOS!$C:$C,"C")+SUMIFS(MOVIMIENTOS!$E:$E,MOVIMIENTOS!$A:$A,$A12,MOVIMIENTOS!$B:$B,"ENVÍO A TOTTUS",MOVIMIENTOS!$C:$C,"C")+SUMIFS(MOVIMIENTOS!$E:$E,MOVIMIENTOS!$A:$A,$A12,MOVIMIENTOS!$B:$B,"ENVIO A TOTTUS",MOVIMIENTOS!$C:$C,"C")</f>
        <v>0</v>
      </c>
      <c r="R12" s="80">
        <f>SUMIFS(MOVIMIENTOS!$E:$E,MOVIMIENTOS!$A:$A,$A12,MOVIMIENTOS!$B:$B,"ENVÍO A SUPESA",MOVIMIENTOS!$C:$C,"M")+SUMIFS(MOVIMIENTOS!$E:$E,MOVIMIENTOS!$A:$A,$A12,MOVIMIENTOS!$B:$B,"ENVÍO A TOTTUS",MOVIMIENTOS!$C:$C,"M")+SUMIFS(MOVIMIENTOS!$E:$E,MOVIMIENTOS!$A:$A,$A12,MOVIMIENTOS!$B:$B,"ENVIO A TOTTUS",MOVIMIENTOS!$C:$C,"M")</f>
        <v>0</v>
      </c>
      <c r="S12" s="80">
        <f t="shared" si="2"/>
        <v>0</v>
      </c>
      <c r="T12" s="81">
        <f>SUMIFS(MOVIMIENTOS!$F:$F,MOVIMIENTOS!$A:$A,$A12,MOVIMIENTOS!$B:$B,"ENVÍO A SUPESA",MOVIMIENTOS!$C:$C,"&lt;&gt;Chancho")+SUMIFS(MOVIMIENTOS!$F:$F,MOVIMIENTOS!$A:$A,$A12,MOVIMIENTOS!$B:$B,"ENVÍO A TOTTUS",MOVIMIENTOS!$C:$C,"&lt;&gt;Chancho")+SUMIFS(MOVIMIENTOS!$F:$F,MOVIMIENTOS!$A:$A,$A12,MOVIMIENTOS!$B:$B,"ENVIO A TOTTUS",MOVIMIENTOS!$C:$C,"&lt;&gt;Chancho")</f>
        <v>0</v>
      </c>
      <c r="U12" s="85">
        <f>IFERROR(INDEX('SALDO DIARIO'!$B:$B,MATCH($A12,'SALDO DIARIO'!$A:$A,0)),0)</f>
        <v>2</v>
      </c>
      <c r="V12" s="85">
        <f>IFERROR(INDEX('SALDO DIARIO'!$C:$C,MATCH($A12,'SALDO DIARIO'!$A:$A,0)),0)</f>
        <v>0</v>
      </c>
      <c r="W12" s="85">
        <f>IFERROR(INDEX('SALDO DIARIO'!$D:$D,MATCH($A12,'SALDO DIARIO'!$A:$A,0)),0)</f>
        <v>0</v>
      </c>
      <c r="X12" s="85">
        <f>IFERROR(INDEX('SALDO DIARIO'!$E:$E,MATCH($A12,'SALDO DIARIO'!$A:$A,0)),0)</f>
        <v>8</v>
      </c>
      <c r="Y12" s="85">
        <f>IFERROR(INDEX('SALDO DIARIO'!$G:$G,MATCH($A12,'SALDO DIARIO'!$A:$A,0)),0)</f>
        <v>10</v>
      </c>
      <c r="Z12" s="80">
        <f>SUMIFS(MOVIMIENTOS!$E:$E,MOVIMIENTOS!$A:$A,$A12,MOVIMIENTOS!$B:$B,"PROCESO",MOVIMIENTOS!$C:$C,"Chancho")</f>
        <v>0</v>
      </c>
      <c r="AA12" s="81">
        <f>SUMIFS(MOVIMIENTOS!$F:$F,MOVIMIENTOS!$A:$A,$A12,MOVIMIENTOS!$B:$B,"PROCESO",MOVIMIENTOS!$C:$C,"Chancho")</f>
        <v>0</v>
      </c>
      <c r="AB12" s="80">
        <f>SUMIFS(MOVIMIENTOS!$E:$E,MOVIMIENTOS!$A:$A,$A12,MOVIMIENTOS!$B:$B,"VENTA CHANCHO",MOVIMIENTOS!$C:$C,"Chancho")</f>
        <v>0</v>
      </c>
      <c r="AC12" s="81">
        <f>SUMIFS(MOVIMIENTOS!$F:$F,MOVIMIENTOS!$A:$A,$A12,MOVIMIENTOS!$B:$B,"VENTA CHANCHO",MOVIMIENTOS!$C:$C,"Chancho")</f>
        <v>0</v>
      </c>
      <c r="AD12" s="80" t="str">
        <f>IFERROR(LOOKUP(2,1/((MOVIMIENTOS!$A$5:$A$1017=$A12)*(MOVIMIENTOS!$B$5:$B$1017="VENTA CHANCHO")*(MOVIMIENTOS!$C$5:$C$1017="Chancho")*(MOVIMIENTOS!$G$5:$G$1017&lt;&gt;"")),MOVIMIENTOS!$G$5:$G$1017),IFERROR(LOOKUP(2,1/((MOVIMIENTOS!$A$5:$A$1017=$A12)*(MOVIMIENTOS!$B$5:$B$1017="VENTA CHANCHO")*(MOVIMIENTOS!$C$5:$C$1017="Chancho")*(MOVIMIENTOS!$H$5:$H$1017&lt;&gt;"")),MOVIMIENTOS!$H$5:$H$1017),""))</f>
        <v/>
      </c>
      <c r="AE12" s="85">
        <f>IFERROR(INDEX('SALDO DIARIO'!$F:$F,MATCH($A12,'SALDO DIARIO'!$A:$A,0)),0)</f>
        <v>20</v>
      </c>
      <c r="AF12" s="81">
        <f t="shared" si="3"/>
        <v>0</v>
      </c>
      <c r="AG12" s="82">
        <f t="shared" si="4"/>
        <v>0</v>
      </c>
      <c r="AI12" s="83">
        <f t="shared" si="5"/>
        <v>46214</v>
      </c>
      <c r="AJ12" s="81">
        <f t="shared" si="6"/>
        <v>0</v>
      </c>
      <c r="AK12" s="81">
        <f t="shared" si="7"/>
        <v>0</v>
      </c>
      <c r="AL12" s="81">
        <f t="shared" si="8"/>
        <v>0</v>
      </c>
      <c r="AM12" s="84">
        <f t="shared" si="9"/>
        <v>0</v>
      </c>
      <c r="AN12" s="81">
        <f t="shared" si="10"/>
        <v>0</v>
      </c>
      <c r="AO12" s="81">
        <f t="shared" si="11"/>
        <v>0</v>
      </c>
      <c r="AP12" s="82">
        <f t="shared" si="12"/>
        <v>0</v>
      </c>
      <c r="AR12" s="80"/>
      <c r="AS12" s="81"/>
      <c r="AT12" s="81"/>
      <c r="AU12" s="81"/>
      <c r="AV12" s="84"/>
      <c r="AW12" s="81"/>
      <c r="AX12" s="81"/>
      <c r="AY12" s="82"/>
    </row>
    <row r="13" spans="1:51" ht="15" customHeight="1" x14ac:dyDescent="0.2">
      <c r="A13" s="78">
        <v>46215</v>
      </c>
      <c r="B13" s="79" t="s">
        <v>220</v>
      </c>
      <c r="C13" s="79" t="s">
        <v>223</v>
      </c>
      <c r="D13" s="80">
        <f>SUMIFS(MOVIMIENTOS!$E:$E,MOVIMIENTOS!$A:$A,$A13,MOVIMIENTOS!$B:$B,"COMPRA")</f>
        <v>30</v>
      </c>
      <c r="E13" s="81">
        <f>SUMIFS(MOVIMIENTOS!$F:$F,MOVIMIENTOS!$A:$A,$A13,MOVIMIENTOS!$B:$B,"COMPRA")</f>
        <v>2910</v>
      </c>
      <c r="F13" s="80">
        <f>SUMIFS(MOVIMIENTOS!$E:$E,MOVIMIENTOS!$A:$A,$A13,MOVIMIENTOS!$B:$B,"PROCESO",MOVIMIENTOS!$C:$C,"A")</f>
        <v>59</v>
      </c>
      <c r="G13" s="80">
        <f>SUMIFS(MOVIMIENTOS!$E:$E,MOVIMIENTOS!$A:$A,$A13,MOVIMIENTOS!$B:$B,"PROCESO",MOVIMIENTOS!$C:$C,"P")</f>
        <v>11</v>
      </c>
      <c r="H13" s="80">
        <f>SUMIFS(MOVIMIENTOS!$E:$E,MOVIMIENTOS!$A:$A,$A13,MOVIMIENTOS!$B:$B,"PROCESO",MOVIMIENTOS!$C:$C,"C")</f>
        <v>12</v>
      </c>
      <c r="I13" s="80">
        <f>SUMIFS(MOVIMIENTOS!$E:$E,MOVIMIENTOS!$A:$A,$A13,MOVIMIENTOS!$B:$B,"PROCESO",MOVIMIENTOS!$C:$C,"M")</f>
        <v>64</v>
      </c>
      <c r="J13" s="80">
        <f t="shared" si="0"/>
        <v>146</v>
      </c>
      <c r="K13" s="81">
        <f t="shared" si="1"/>
        <v>2375</v>
      </c>
      <c r="L13" s="81">
        <f>SUMIFS(MOVIMIENTOS!$F:$F,MOVIMIENTOS!$A:$A,$A13,MOVIMIENTOS!$B:$B,"REPROCESO")</f>
        <v>0</v>
      </c>
      <c r="M13" s="80" t="str">
        <f>TRIM(IF(SUMIFS(MOVIMIENTOS!$E:$E,MOVIMIENTOS!$A:$A,$A13,MOVIMIENTOS!$B:$B,"ENVÍO A SUPESA")&gt;0,"Supesa ","")&amp;IF(SUMIFS(MOVIMIENTOS!$E:$E,MOVIMIENTOS!$A:$A,$A13,MOVIMIENTOS!$B:$B,"ENVÍO A TOTTUS")+SUMIFS(MOVIMIENTOS!$E:$E,MOVIMIENTOS!$A:$A,$A13,MOVIMIENTOS!$B:$B,"ENVIO A TOTTUS")&gt;0,"Tottus",""))</f>
        <v>Supesa</v>
      </c>
      <c r="N13" s="80" t="str">
        <f>IFERROR(IF(LOOKUP(2,1/((MOVIMIENTOS!$A$5:$A$1017=$A13)*((MOVIMIENTOS!$B$5:$B$1017="ENVÍO A SUPESA")+(MOVIMIENTOS!$B$5:$B$1017="ENVÍO A TOTTUS")+(MOVIMIENTOS!$B$5:$B$1017="ENVIO A TOTTUS"))*(MOVIMIENTOS!$G$5:$G$1017&lt;&gt;"")),MOVIMIENTOS!$G$5:$G$1017)&lt;&gt;"","G-"&amp;LOOKUP(2,1/((MOVIMIENTOS!$A$5:$A$1017=$A13)*((MOVIMIENTOS!$B$5:$B$1017="ENVÍO A SUPESA")+(MOVIMIENTOS!$B$5:$B$1017="ENVÍO A TOTTUS")+(MOVIMIENTOS!$B$5:$B$1017="ENVIO A TOTTUS"))*(MOVIMIENTOS!$G$5:$G$1017&lt;&gt;"")),MOVIMIENTOS!$G$5:$G$1017),""),"")</f>
        <v>G-2977</v>
      </c>
      <c r="O13" s="80">
        <f>SUMIFS(MOVIMIENTOS!$E:$E,MOVIMIENTOS!$A:$A,$A13,MOVIMIENTOS!$B:$B,"ENVÍO A SUPESA",MOVIMIENTOS!$C:$C,"A")+SUMIFS(MOVIMIENTOS!$E:$E,MOVIMIENTOS!$A:$A,$A13,MOVIMIENTOS!$B:$B,"ENVÍO A TOTTUS",MOVIMIENTOS!$C:$C,"A")+SUMIFS(MOVIMIENTOS!$E:$E,MOVIMIENTOS!$A:$A,$A13,MOVIMIENTOS!$B:$B,"ENVIO A TOTTUS",MOVIMIENTOS!$C:$C,"A")</f>
        <v>67</v>
      </c>
      <c r="P13" s="80">
        <f>SUMIFS(MOVIMIENTOS!$E:$E,MOVIMIENTOS!$A:$A,$A13,MOVIMIENTOS!$B:$B,"ENVÍO A SUPESA",MOVIMIENTOS!$C:$C,"P")+SUMIFS(MOVIMIENTOS!$E:$E,MOVIMIENTOS!$A:$A,$A13,MOVIMIENTOS!$B:$B,"ENVÍO A TOTTUS",MOVIMIENTOS!$C:$C,"P")+SUMIFS(MOVIMIENTOS!$E:$E,MOVIMIENTOS!$A:$A,$A13,MOVIMIENTOS!$B:$B,"ENVIO A TOTTUS",MOVIMIENTOS!$C:$C,"P")</f>
        <v>11</v>
      </c>
      <c r="Q13" s="80">
        <f>SUMIFS(MOVIMIENTOS!$E:$E,MOVIMIENTOS!$A:$A,$A13,MOVIMIENTOS!$B:$B,"ENVÍO A SUPESA",MOVIMIENTOS!$C:$C,"C")+SUMIFS(MOVIMIENTOS!$E:$E,MOVIMIENTOS!$A:$A,$A13,MOVIMIENTOS!$B:$B,"ENVÍO A TOTTUS",MOVIMIENTOS!$C:$C,"C")+SUMIFS(MOVIMIENTOS!$E:$E,MOVIMIENTOS!$A:$A,$A13,MOVIMIENTOS!$B:$B,"ENVIO A TOTTUS",MOVIMIENTOS!$C:$C,"C")</f>
        <v>12</v>
      </c>
      <c r="R13" s="80">
        <f>SUMIFS(MOVIMIENTOS!$E:$E,MOVIMIENTOS!$A:$A,$A13,MOVIMIENTOS!$B:$B,"ENVÍO A SUPESA",MOVIMIENTOS!$C:$C,"M")+SUMIFS(MOVIMIENTOS!$E:$E,MOVIMIENTOS!$A:$A,$A13,MOVIMIENTOS!$B:$B,"ENVÍO A TOTTUS",MOVIMIENTOS!$C:$C,"M")+SUMIFS(MOVIMIENTOS!$E:$E,MOVIMIENTOS!$A:$A,$A13,MOVIMIENTOS!$B:$B,"ENVIO A TOTTUS",MOVIMIENTOS!$C:$C,"M")</f>
        <v>42</v>
      </c>
      <c r="S13" s="80">
        <f t="shared" si="2"/>
        <v>132</v>
      </c>
      <c r="T13" s="81">
        <f>SUMIFS(MOVIMIENTOS!$F:$F,MOVIMIENTOS!$A:$A,$A13,MOVIMIENTOS!$B:$B,"ENVÍO A SUPESA",MOVIMIENTOS!$C:$C,"&lt;&gt;Chancho")+SUMIFS(MOVIMIENTOS!$F:$F,MOVIMIENTOS!$A:$A,$A13,MOVIMIENTOS!$B:$B,"ENVÍO A TOTTUS",MOVIMIENTOS!$C:$C,"&lt;&gt;Chancho")+SUMIFS(MOVIMIENTOS!$F:$F,MOVIMIENTOS!$A:$A,$A13,MOVIMIENTOS!$B:$B,"ENVIO A TOTTUS",MOVIMIENTOS!$C:$C,"&lt;&gt;Chancho")</f>
        <v>2121</v>
      </c>
      <c r="U13" s="85">
        <f>IFERROR(INDEX('SALDO DIARIO'!$B:$B,MATCH($A13,'SALDO DIARIO'!$A:$A,0)),0)</f>
        <v>-6</v>
      </c>
      <c r="V13" s="85">
        <f>IFERROR(INDEX('SALDO DIARIO'!$C:$C,MATCH($A13,'SALDO DIARIO'!$A:$A,0)),0)</f>
        <v>0</v>
      </c>
      <c r="W13" s="85">
        <f>IFERROR(INDEX('SALDO DIARIO'!$D:$D,MATCH($A13,'SALDO DIARIO'!$A:$A,0)),0)</f>
        <v>0</v>
      </c>
      <c r="X13" s="85">
        <f>IFERROR(INDEX('SALDO DIARIO'!$E:$E,MATCH($A13,'SALDO DIARIO'!$A:$A,0)),0)</f>
        <v>30</v>
      </c>
      <c r="Y13" s="85">
        <f>IFERROR(INDEX('SALDO DIARIO'!$G:$G,MATCH($A13,'SALDO DIARIO'!$A:$A,0)),0)</f>
        <v>24</v>
      </c>
      <c r="Z13" s="80">
        <f>SUMIFS(MOVIMIENTOS!$E:$E,MOVIMIENTOS!$A:$A,$A13,MOVIMIENTOS!$B:$B,"PROCESO",MOVIMIENTOS!$C:$C,"Chancho")</f>
        <v>6</v>
      </c>
      <c r="AA13" s="81">
        <f>SUMIFS(MOVIMIENTOS!$F:$F,MOVIMIENTOS!$A:$A,$A13,MOVIMIENTOS!$B:$B,"PROCESO",MOVIMIENTOS!$C:$C,"Chancho")</f>
        <v>582</v>
      </c>
      <c r="AB13" s="80">
        <f>SUMIFS(MOVIMIENTOS!$E:$E,MOVIMIENTOS!$A:$A,$A13,MOVIMIENTOS!$B:$B,"VENTA CHANCHO",MOVIMIENTOS!$C:$C,"Chancho")</f>
        <v>0</v>
      </c>
      <c r="AC13" s="81">
        <f>SUMIFS(MOVIMIENTOS!$F:$F,MOVIMIENTOS!$A:$A,$A13,MOVIMIENTOS!$B:$B,"VENTA CHANCHO",MOVIMIENTOS!$C:$C,"Chancho")</f>
        <v>0</v>
      </c>
      <c r="AD13" s="80" t="str">
        <f>IFERROR(LOOKUP(2,1/((MOVIMIENTOS!$A$5:$A$1017=$A13)*(MOVIMIENTOS!$B$5:$B$1017="VENTA CHANCHO")*(MOVIMIENTOS!$C$5:$C$1017="Chancho")*(MOVIMIENTOS!$G$5:$G$1017&lt;&gt;"")),MOVIMIENTOS!$G$5:$G$1017),IFERROR(LOOKUP(2,1/((MOVIMIENTOS!$A$5:$A$1017=$A13)*(MOVIMIENTOS!$B$5:$B$1017="VENTA CHANCHO")*(MOVIMIENTOS!$C$5:$C$1017="Chancho")*(MOVIMIENTOS!$H$5:$H$1017&lt;&gt;"")),MOVIMIENTOS!$H$5:$H$1017),""))</f>
        <v/>
      </c>
      <c r="AE13" s="85">
        <f>IFERROR(INDEX('SALDO DIARIO'!$F:$F,MATCH($A13,'SALDO DIARIO'!$A:$A,0)),0)</f>
        <v>26</v>
      </c>
      <c r="AF13" s="81">
        <f t="shared" si="3"/>
        <v>-47</v>
      </c>
      <c r="AG13" s="82">
        <f t="shared" si="4"/>
        <v>-1.6</v>
      </c>
      <c r="AI13" s="83">
        <f t="shared" si="5"/>
        <v>46215</v>
      </c>
      <c r="AJ13" s="81">
        <f t="shared" si="6"/>
        <v>2910</v>
      </c>
      <c r="AK13" s="81">
        <f t="shared" si="7"/>
        <v>2375</v>
      </c>
      <c r="AL13" s="81">
        <f t="shared" si="8"/>
        <v>2121</v>
      </c>
      <c r="AM13" s="84">
        <f t="shared" si="9"/>
        <v>6</v>
      </c>
      <c r="AN13" s="81">
        <f t="shared" si="10"/>
        <v>582</v>
      </c>
      <c r="AO13" s="81">
        <f t="shared" si="11"/>
        <v>-47</v>
      </c>
      <c r="AP13" s="82">
        <f t="shared" si="12"/>
        <v>-1.6</v>
      </c>
      <c r="AR13" s="80"/>
      <c r="AS13" s="81"/>
      <c r="AT13" s="81"/>
      <c r="AU13" s="81"/>
      <c r="AV13" s="84"/>
      <c r="AW13" s="81"/>
      <c r="AX13" s="81"/>
      <c r="AY13" s="82"/>
    </row>
    <row r="14" spans="1:51" ht="15" customHeight="1" x14ac:dyDescent="0.2">
      <c r="A14" s="78">
        <v>46216</v>
      </c>
      <c r="B14" s="79" t="s">
        <v>222</v>
      </c>
      <c r="C14" s="79" t="s">
        <v>223</v>
      </c>
      <c r="D14" s="80">
        <f>SUMIFS(MOVIMIENTOS!$E:$E,MOVIMIENTOS!$A:$A,$A14,MOVIMIENTOS!$B:$B,"COMPRA")</f>
        <v>40</v>
      </c>
      <c r="E14" s="81">
        <f>SUMIFS(MOVIMIENTOS!$F:$F,MOVIMIENTOS!$A:$A,$A14,MOVIMIENTOS!$B:$B,"COMPRA")</f>
        <v>3880</v>
      </c>
      <c r="F14" s="80">
        <f>SUMIFS(MOVIMIENTOS!$E:$E,MOVIMIENTOS!$A:$A,$A14,MOVIMIENTOS!$B:$B,"PROCESO",MOVIMIENTOS!$C:$C,"A")</f>
        <v>107</v>
      </c>
      <c r="G14" s="80">
        <f>SUMIFS(MOVIMIENTOS!$E:$E,MOVIMIENTOS!$A:$A,$A14,MOVIMIENTOS!$B:$B,"PROCESO",MOVIMIENTOS!$C:$C,"P")</f>
        <v>11</v>
      </c>
      <c r="H14" s="80">
        <f>SUMIFS(MOVIMIENTOS!$E:$E,MOVIMIENTOS!$A:$A,$A14,MOVIMIENTOS!$B:$B,"PROCESO",MOVIMIENTOS!$C:$C,"C")</f>
        <v>12</v>
      </c>
      <c r="I14" s="80">
        <f>SUMIFS(MOVIMIENTOS!$E:$E,MOVIMIENTOS!$A:$A,$A14,MOVIMIENTOS!$B:$B,"PROCESO",MOVIMIENTOS!$C:$C,"M")</f>
        <v>110</v>
      </c>
      <c r="J14" s="80">
        <f t="shared" si="0"/>
        <v>240</v>
      </c>
      <c r="K14" s="81">
        <f t="shared" si="1"/>
        <v>3877</v>
      </c>
      <c r="L14" s="81">
        <f>SUMIFS(MOVIMIENTOS!$F:$F,MOVIMIENTOS!$A:$A,$A14,MOVIMIENTOS!$B:$B,"REPROCESO")</f>
        <v>0</v>
      </c>
      <c r="M14" s="80" t="str">
        <f>TRIM(IF(SUMIFS(MOVIMIENTOS!$E:$E,MOVIMIENTOS!$A:$A,$A14,MOVIMIENTOS!$B:$B,"ENVÍO A SUPESA")&gt;0,"Supesa ","")&amp;IF(SUMIFS(MOVIMIENTOS!$E:$E,MOVIMIENTOS!$A:$A,$A14,MOVIMIENTOS!$B:$B,"ENVÍO A TOTTUS")+SUMIFS(MOVIMIENTOS!$E:$E,MOVIMIENTOS!$A:$A,$A14,MOVIMIENTOS!$B:$B,"ENVIO A TOTTUS")&gt;0,"Tottus",""))</f>
        <v>Supesa</v>
      </c>
      <c r="N14" s="80" t="str">
        <f>IFERROR(IF(LOOKUP(2,1/((MOVIMIENTOS!$A$5:$A$1017=$A14)*((MOVIMIENTOS!$B$5:$B$1017="ENVÍO A SUPESA")+(MOVIMIENTOS!$B$5:$B$1017="ENVÍO A TOTTUS")+(MOVIMIENTOS!$B$5:$B$1017="ENVIO A TOTTUS"))*(MOVIMIENTOS!$G$5:$G$1017&lt;&gt;"")),MOVIMIENTOS!$G$5:$G$1017)&lt;&gt;"","G-"&amp;LOOKUP(2,1/((MOVIMIENTOS!$A$5:$A$1017=$A14)*((MOVIMIENTOS!$B$5:$B$1017="ENVÍO A SUPESA")+(MOVIMIENTOS!$B$5:$B$1017="ENVÍO A TOTTUS")+(MOVIMIENTOS!$B$5:$B$1017="ENVIO A TOTTUS"))*(MOVIMIENTOS!$G$5:$G$1017&lt;&gt;"")),MOVIMIENTOS!$G$5:$G$1017),""),"")</f>
        <v>G-2980</v>
      </c>
      <c r="O14" s="80">
        <f>SUMIFS(MOVIMIENTOS!$E:$E,MOVIMIENTOS!$A:$A,$A14,MOVIMIENTOS!$B:$B,"ENVÍO A SUPESA",MOVIMIENTOS!$C:$C,"A")+SUMIFS(MOVIMIENTOS!$E:$E,MOVIMIENTOS!$A:$A,$A14,MOVIMIENTOS!$B:$B,"ENVÍO A TOTTUS",MOVIMIENTOS!$C:$C,"A")+SUMIFS(MOVIMIENTOS!$E:$E,MOVIMIENTOS!$A:$A,$A14,MOVIMIENTOS!$B:$B,"ENVIO A TOTTUS",MOVIMIENTOS!$C:$C,"A")</f>
        <v>67</v>
      </c>
      <c r="P14" s="80">
        <f>SUMIFS(MOVIMIENTOS!$E:$E,MOVIMIENTOS!$A:$A,$A14,MOVIMIENTOS!$B:$B,"ENVÍO A SUPESA",MOVIMIENTOS!$C:$C,"P")+SUMIFS(MOVIMIENTOS!$E:$E,MOVIMIENTOS!$A:$A,$A14,MOVIMIENTOS!$B:$B,"ENVÍO A TOTTUS",MOVIMIENTOS!$C:$C,"P")+SUMIFS(MOVIMIENTOS!$E:$E,MOVIMIENTOS!$A:$A,$A14,MOVIMIENTOS!$B:$B,"ENVIO A TOTTUS",MOVIMIENTOS!$C:$C,"P")</f>
        <v>11</v>
      </c>
      <c r="Q14" s="80">
        <f>SUMIFS(MOVIMIENTOS!$E:$E,MOVIMIENTOS!$A:$A,$A14,MOVIMIENTOS!$B:$B,"ENVÍO A SUPESA",MOVIMIENTOS!$C:$C,"C")+SUMIFS(MOVIMIENTOS!$E:$E,MOVIMIENTOS!$A:$A,$A14,MOVIMIENTOS!$B:$B,"ENVÍO A TOTTUS",MOVIMIENTOS!$C:$C,"C")+SUMIFS(MOVIMIENTOS!$E:$E,MOVIMIENTOS!$A:$A,$A14,MOVIMIENTOS!$B:$B,"ENVIO A TOTTUS",MOVIMIENTOS!$C:$C,"C")</f>
        <v>12</v>
      </c>
      <c r="R14" s="80">
        <f>SUMIFS(MOVIMIENTOS!$E:$E,MOVIMIENTOS!$A:$A,$A14,MOVIMIENTOS!$B:$B,"ENVÍO A SUPESA",MOVIMIENTOS!$C:$C,"M")+SUMIFS(MOVIMIENTOS!$E:$E,MOVIMIENTOS!$A:$A,$A14,MOVIMIENTOS!$B:$B,"ENVÍO A TOTTUS",MOVIMIENTOS!$C:$C,"M")+SUMIFS(MOVIMIENTOS!$E:$E,MOVIMIENTOS!$A:$A,$A14,MOVIMIENTOS!$B:$B,"ENVIO A TOTTUS",MOVIMIENTOS!$C:$C,"M")</f>
        <v>97</v>
      </c>
      <c r="S14" s="80">
        <f t="shared" si="2"/>
        <v>187</v>
      </c>
      <c r="T14" s="81">
        <f>SUMIFS(MOVIMIENTOS!$F:$F,MOVIMIENTOS!$A:$A,$A14,MOVIMIENTOS!$B:$B,"ENVÍO A SUPESA",MOVIMIENTOS!$C:$C,"&lt;&gt;Chancho")+SUMIFS(MOVIMIENTOS!$F:$F,MOVIMIENTOS!$A:$A,$A14,MOVIMIENTOS!$B:$B,"ENVÍO A TOTTUS",MOVIMIENTOS!$C:$C,"&lt;&gt;Chancho")+SUMIFS(MOVIMIENTOS!$F:$F,MOVIMIENTOS!$A:$A,$A14,MOVIMIENTOS!$B:$B,"ENVIO A TOTTUS",MOVIMIENTOS!$C:$C,"&lt;&gt;Chancho")</f>
        <v>3056</v>
      </c>
      <c r="U14" s="85">
        <f>IFERROR(INDEX('SALDO DIARIO'!$B:$B,MATCH($A14,'SALDO DIARIO'!$A:$A,0)),0)</f>
        <v>34</v>
      </c>
      <c r="V14" s="85">
        <f>IFERROR(INDEX('SALDO DIARIO'!$C:$C,MATCH($A14,'SALDO DIARIO'!$A:$A,0)),0)</f>
        <v>0</v>
      </c>
      <c r="W14" s="85">
        <f>IFERROR(INDEX('SALDO DIARIO'!$D:$D,MATCH($A14,'SALDO DIARIO'!$A:$A,0)),0)</f>
        <v>0</v>
      </c>
      <c r="X14" s="85">
        <f>IFERROR(INDEX('SALDO DIARIO'!$E:$E,MATCH($A14,'SALDO DIARIO'!$A:$A,0)),0)</f>
        <v>43</v>
      </c>
      <c r="Y14" s="85">
        <f>IFERROR(INDEX('SALDO DIARIO'!$G:$G,MATCH($A14,'SALDO DIARIO'!$A:$A,0)),0)</f>
        <v>77</v>
      </c>
      <c r="Z14" s="80">
        <f>SUMIFS(MOVIMIENTOS!$E:$E,MOVIMIENTOS!$A:$A,$A14,MOVIMIENTOS!$B:$B,"PROCESO",MOVIMIENTOS!$C:$C,"Chancho")</f>
        <v>2</v>
      </c>
      <c r="AA14" s="81">
        <f>SUMIFS(MOVIMIENTOS!$F:$F,MOVIMIENTOS!$A:$A,$A14,MOVIMIENTOS!$B:$B,"PROCESO",MOVIMIENTOS!$C:$C,"Chancho")</f>
        <v>194</v>
      </c>
      <c r="AB14" s="80">
        <f>SUMIFS(MOVIMIENTOS!$E:$E,MOVIMIENTOS!$A:$A,$A14,MOVIMIENTOS!$B:$B,"VENTA CHANCHO",MOVIMIENTOS!$C:$C,"Chancho")</f>
        <v>0</v>
      </c>
      <c r="AC14" s="81">
        <f>SUMIFS(MOVIMIENTOS!$F:$F,MOVIMIENTOS!$A:$A,$A14,MOVIMIENTOS!$B:$B,"VENTA CHANCHO",MOVIMIENTOS!$C:$C,"Chancho")</f>
        <v>0</v>
      </c>
      <c r="AD14" s="80" t="str">
        <f>IFERROR(LOOKUP(2,1/((MOVIMIENTOS!$A$5:$A$1017=$A14)*(MOVIMIENTOS!$B$5:$B$1017="VENTA CHANCHO")*(MOVIMIENTOS!$C$5:$C$1017="Chancho")*(MOVIMIENTOS!$G$5:$G$1017&lt;&gt;"")),MOVIMIENTOS!$G$5:$G$1017),IFERROR(LOOKUP(2,1/((MOVIMIENTOS!$A$5:$A$1017=$A14)*(MOVIMIENTOS!$B$5:$B$1017="VENTA CHANCHO")*(MOVIMIENTOS!$C$5:$C$1017="Chancho")*(MOVIMIENTOS!$H$5:$H$1017&lt;&gt;"")),MOVIMIENTOS!$H$5:$H$1017),""))</f>
        <v/>
      </c>
      <c r="AE14" s="85">
        <f>IFERROR(INDEX('SALDO DIARIO'!$F:$F,MATCH($A14,'SALDO DIARIO'!$A:$A,0)),0)</f>
        <v>28</v>
      </c>
      <c r="AF14" s="81">
        <f t="shared" si="3"/>
        <v>-191</v>
      </c>
      <c r="AG14" s="82">
        <f t="shared" si="4"/>
        <v>-4.9000000000000004</v>
      </c>
      <c r="AI14" s="83">
        <f t="shared" si="5"/>
        <v>46216</v>
      </c>
      <c r="AJ14" s="81">
        <f t="shared" si="6"/>
        <v>3880</v>
      </c>
      <c r="AK14" s="81">
        <f t="shared" si="7"/>
        <v>3877</v>
      </c>
      <c r="AL14" s="81">
        <f t="shared" si="8"/>
        <v>3056</v>
      </c>
      <c r="AM14" s="84">
        <f t="shared" si="9"/>
        <v>2</v>
      </c>
      <c r="AN14" s="81">
        <f t="shared" si="10"/>
        <v>194</v>
      </c>
      <c r="AO14" s="81">
        <f t="shared" si="11"/>
        <v>-191</v>
      </c>
      <c r="AP14" s="82">
        <f t="shared" si="12"/>
        <v>-4.9000000000000004</v>
      </c>
      <c r="AR14" s="80"/>
      <c r="AS14" s="81"/>
      <c r="AT14" s="81"/>
      <c r="AU14" s="81"/>
      <c r="AV14" s="84"/>
      <c r="AW14" s="81"/>
      <c r="AX14" s="81"/>
      <c r="AY14" s="82"/>
    </row>
    <row r="15" spans="1:51" ht="15" customHeight="1" x14ac:dyDescent="0.2">
      <c r="A15" s="78">
        <v>46217</v>
      </c>
      <c r="B15" s="79" t="s">
        <v>224</v>
      </c>
      <c r="C15" s="79" t="s">
        <v>223</v>
      </c>
      <c r="D15" s="80">
        <f>SUMIFS(MOVIMIENTOS!$E:$E,MOVIMIENTOS!$A:$A,$A15,MOVIMIENTOS!$B:$B,"COMPRA")</f>
        <v>40</v>
      </c>
      <c r="E15" s="81">
        <f>SUMIFS(MOVIMIENTOS!$F:$F,MOVIMIENTOS!$A:$A,$A15,MOVIMIENTOS!$B:$B,"COMPRA")</f>
        <v>3880</v>
      </c>
      <c r="F15" s="80">
        <f>SUMIFS(MOVIMIENTOS!$E:$E,MOVIMIENTOS!$A:$A,$A15,MOVIMIENTOS!$B:$B,"PROCESO",MOVIMIENTOS!$C:$C,"A")</f>
        <v>45</v>
      </c>
      <c r="G15" s="80">
        <f>SUMIFS(MOVIMIENTOS!$E:$E,MOVIMIENTOS!$A:$A,$A15,MOVIMIENTOS!$B:$B,"PROCESO",MOVIMIENTOS!$C:$C,"P")</f>
        <v>11</v>
      </c>
      <c r="H15" s="80">
        <f>SUMIFS(MOVIMIENTOS!$E:$E,MOVIMIENTOS!$A:$A,$A15,MOVIMIENTOS!$B:$B,"PROCESO",MOVIMIENTOS!$C:$C,"C")</f>
        <v>12</v>
      </c>
      <c r="I15" s="80">
        <f>SUMIFS(MOVIMIENTOS!$E:$E,MOVIMIENTOS!$A:$A,$A15,MOVIMIENTOS!$B:$B,"PROCESO",MOVIMIENTOS!$C:$C,"M")</f>
        <v>121</v>
      </c>
      <c r="J15" s="80">
        <f t="shared" si="0"/>
        <v>189</v>
      </c>
      <c r="K15" s="81">
        <f t="shared" si="1"/>
        <v>3134</v>
      </c>
      <c r="L15" s="81">
        <f>SUMIFS(MOVIMIENTOS!$F:$F,MOVIMIENTOS!$A:$A,$A15,MOVIMIENTOS!$B:$B,"REPROCESO")</f>
        <v>0</v>
      </c>
      <c r="M15" s="80" t="str">
        <f>TRIM(IF(SUMIFS(MOVIMIENTOS!$E:$E,MOVIMIENTOS!$A:$A,$A15,MOVIMIENTOS!$B:$B,"ENVÍO A SUPESA")&gt;0,"Supesa ","")&amp;IF(SUMIFS(MOVIMIENTOS!$E:$E,MOVIMIENTOS!$A:$A,$A15,MOVIMIENTOS!$B:$B,"ENVÍO A TOTTUS")+SUMIFS(MOVIMIENTOS!$E:$E,MOVIMIENTOS!$A:$A,$A15,MOVIMIENTOS!$B:$B,"ENVIO A TOTTUS")&gt;0,"Tottus",""))</f>
        <v>Supesa</v>
      </c>
      <c r="N15" s="80" t="str">
        <f>IFERROR(IF(LOOKUP(2,1/((MOVIMIENTOS!$A$5:$A$1017=$A15)*((MOVIMIENTOS!$B$5:$B$1017="ENVÍO A SUPESA")+(MOVIMIENTOS!$B$5:$B$1017="ENVÍO A TOTTUS")+(MOVIMIENTOS!$B$5:$B$1017="ENVIO A TOTTUS"))*(MOVIMIENTOS!$G$5:$G$1017&lt;&gt;"")),MOVIMIENTOS!$G$5:$G$1017)&lt;&gt;"","G-"&amp;LOOKUP(2,1/((MOVIMIENTOS!$A$5:$A$1017=$A15)*((MOVIMIENTOS!$B$5:$B$1017="ENVÍO A SUPESA")+(MOVIMIENTOS!$B$5:$B$1017="ENVÍO A TOTTUS")+(MOVIMIENTOS!$B$5:$B$1017="ENVIO A TOTTUS"))*(MOVIMIENTOS!$G$5:$G$1017&lt;&gt;"")),MOVIMIENTOS!$G$5:$G$1017),""),"")</f>
        <v>G-2984</v>
      </c>
      <c r="O15" s="80">
        <f>SUMIFS(MOVIMIENTOS!$E:$E,MOVIMIENTOS!$A:$A,$A15,MOVIMIENTOS!$B:$B,"ENVÍO A SUPESA",MOVIMIENTOS!$C:$C,"A")+SUMIFS(MOVIMIENTOS!$E:$E,MOVIMIENTOS!$A:$A,$A15,MOVIMIENTOS!$B:$B,"ENVÍO A TOTTUS",MOVIMIENTOS!$C:$C,"A")+SUMIFS(MOVIMIENTOS!$E:$E,MOVIMIENTOS!$A:$A,$A15,MOVIMIENTOS!$B:$B,"ENVIO A TOTTUS",MOVIMIENTOS!$C:$C,"A")</f>
        <v>67</v>
      </c>
      <c r="P15" s="80">
        <f>SUMIFS(MOVIMIENTOS!$E:$E,MOVIMIENTOS!$A:$A,$A15,MOVIMIENTOS!$B:$B,"ENVÍO A SUPESA",MOVIMIENTOS!$C:$C,"P")+SUMIFS(MOVIMIENTOS!$E:$E,MOVIMIENTOS!$A:$A,$A15,MOVIMIENTOS!$B:$B,"ENVÍO A TOTTUS",MOVIMIENTOS!$C:$C,"P")+SUMIFS(MOVIMIENTOS!$E:$E,MOVIMIENTOS!$A:$A,$A15,MOVIMIENTOS!$B:$B,"ENVIO A TOTTUS",MOVIMIENTOS!$C:$C,"P")</f>
        <v>11</v>
      </c>
      <c r="Q15" s="80">
        <f>SUMIFS(MOVIMIENTOS!$E:$E,MOVIMIENTOS!$A:$A,$A15,MOVIMIENTOS!$B:$B,"ENVÍO A SUPESA",MOVIMIENTOS!$C:$C,"C")+SUMIFS(MOVIMIENTOS!$E:$E,MOVIMIENTOS!$A:$A,$A15,MOVIMIENTOS!$B:$B,"ENVÍO A TOTTUS",MOVIMIENTOS!$C:$C,"C")+SUMIFS(MOVIMIENTOS!$E:$E,MOVIMIENTOS!$A:$A,$A15,MOVIMIENTOS!$B:$B,"ENVIO A TOTTUS",MOVIMIENTOS!$C:$C,"C")</f>
        <v>12</v>
      </c>
      <c r="R15" s="80">
        <f>SUMIFS(MOVIMIENTOS!$E:$E,MOVIMIENTOS!$A:$A,$A15,MOVIMIENTOS!$B:$B,"ENVÍO A SUPESA",MOVIMIENTOS!$C:$C,"M")+SUMIFS(MOVIMIENTOS!$E:$E,MOVIMIENTOS!$A:$A,$A15,MOVIMIENTOS!$B:$B,"ENVÍO A TOTTUS",MOVIMIENTOS!$C:$C,"M")+SUMIFS(MOVIMIENTOS!$E:$E,MOVIMIENTOS!$A:$A,$A15,MOVIMIENTOS!$B:$B,"ENVIO A TOTTUS",MOVIMIENTOS!$C:$C,"M")</f>
        <v>116</v>
      </c>
      <c r="S15" s="80">
        <f t="shared" si="2"/>
        <v>206</v>
      </c>
      <c r="T15" s="81">
        <f>SUMIFS(MOVIMIENTOS!$F:$F,MOVIMIENTOS!$A:$A,$A15,MOVIMIENTOS!$B:$B,"ENVÍO A SUPESA",MOVIMIENTOS!$C:$C,"&lt;&gt;Chancho")+SUMIFS(MOVIMIENTOS!$F:$F,MOVIMIENTOS!$A:$A,$A15,MOVIMIENTOS!$B:$B,"ENVÍO A TOTTUS",MOVIMIENTOS!$C:$C,"&lt;&gt;Chancho")+SUMIFS(MOVIMIENTOS!$F:$F,MOVIMIENTOS!$A:$A,$A15,MOVIMIENTOS!$B:$B,"ENVIO A TOTTUS",MOVIMIENTOS!$C:$C,"&lt;&gt;Chancho")</f>
        <v>3379</v>
      </c>
      <c r="U15" s="85">
        <f>IFERROR(INDEX('SALDO DIARIO'!$B:$B,MATCH($A15,'SALDO DIARIO'!$A:$A,0)),0)</f>
        <v>12</v>
      </c>
      <c r="V15" s="85">
        <f>IFERROR(INDEX('SALDO DIARIO'!$C:$C,MATCH($A15,'SALDO DIARIO'!$A:$A,0)),0)</f>
        <v>0</v>
      </c>
      <c r="W15" s="85">
        <f>IFERROR(INDEX('SALDO DIARIO'!$D:$D,MATCH($A15,'SALDO DIARIO'!$A:$A,0)),0)</f>
        <v>0</v>
      </c>
      <c r="X15" s="85">
        <f>IFERROR(INDEX('SALDO DIARIO'!$E:$E,MATCH($A15,'SALDO DIARIO'!$A:$A,0)),0)</f>
        <v>48</v>
      </c>
      <c r="Y15" s="85">
        <f>IFERROR(INDEX('SALDO DIARIO'!$G:$G,MATCH($A15,'SALDO DIARIO'!$A:$A,0)),0)</f>
        <v>60</v>
      </c>
      <c r="Z15" s="80">
        <f>SUMIFS(MOVIMIENTOS!$E:$E,MOVIMIENTOS!$A:$A,$A15,MOVIMIENTOS!$B:$B,"PROCESO",MOVIMIENTOS!$C:$C,"Chancho")</f>
        <v>7</v>
      </c>
      <c r="AA15" s="81">
        <f>SUMIFS(MOVIMIENTOS!$F:$F,MOVIMIENTOS!$A:$A,$A15,MOVIMIENTOS!$B:$B,"PROCESO",MOVIMIENTOS!$C:$C,"Chancho")</f>
        <v>679</v>
      </c>
      <c r="AB15" s="80">
        <f>SUMIFS(MOVIMIENTOS!$E:$E,MOVIMIENTOS!$A:$A,$A15,MOVIMIENTOS!$B:$B,"VENTA CHANCHO",MOVIMIENTOS!$C:$C,"Chancho")</f>
        <v>0</v>
      </c>
      <c r="AC15" s="81">
        <f>SUMIFS(MOVIMIENTOS!$F:$F,MOVIMIENTOS!$A:$A,$A15,MOVIMIENTOS!$B:$B,"VENTA CHANCHO",MOVIMIENTOS!$C:$C,"Chancho")</f>
        <v>0</v>
      </c>
      <c r="AD15" s="80" t="str">
        <f>IFERROR(LOOKUP(2,1/((MOVIMIENTOS!$A$5:$A$1017=$A15)*(MOVIMIENTOS!$B$5:$B$1017="VENTA CHANCHO")*(MOVIMIENTOS!$C$5:$C$1017="Chancho")*(MOVIMIENTOS!$G$5:$G$1017&lt;&gt;"")),MOVIMIENTOS!$G$5:$G$1017),IFERROR(LOOKUP(2,1/((MOVIMIENTOS!$A$5:$A$1017=$A15)*(MOVIMIENTOS!$B$5:$B$1017="VENTA CHANCHO")*(MOVIMIENTOS!$C$5:$C$1017="Chancho")*(MOVIMIENTOS!$H$5:$H$1017&lt;&gt;"")),MOVIMIENTOS!$H$5:$H$1017),""))</f>
        <v/>
      </c>
      <c r="AE15" s="85">
        <f>IFERROR(INDEX('SALDO DIARIO'!$F:$F,MATCH($A15,'SALDO DIARIO'!$A:$A,0)),0)</f>
        <v>35</v>
      </c>
      <c r="AF15" s="81">
        <f t="shared" si="3"/>
        <v>67</v>
      </c>
      <c r="AG15" s="82">
        <f t="shared" si="4"/>
        <v>1.7</v>
      </c>
      <c r="AI15" s="83">
        <f t="shared" si="5"/>
        <v>46217</v>
      </c>
      <c r="AJ15" s="81">
        <f t="shared" si="6"/>
        <v>3880</v>
      </c>
      <c r="AK15" s="81">
        <f t="shared" si="7"/>
        <v>3134</v>
      </c>
      <c r="AL15" s="81">
        <f t="shared" si="8"/>
        <v>3379</v>
      </c>
      <c r="AM15" s="84">
        <f t="shared" si="9"/>
        <v>7</v>
      </c>
      <c r="AN15" s="81">
        <f t="shared" si="10"/>
        <v>679</v>
      </c>
      <c r="AO15" s="81">
        <f t="shared" si="11"/>
        <v>67</v>
      </c>
      <c r="AP15" s="82">
        <f t="shared" si="12"/>
        <v>1.7</v>
      </c>
      <c r="AR15" s="80"/>
      <c r="AS15" s="81"/>
      <c r="AT15" s="81"/>
      <c r="AU15" s="81"/>
      <c r="AV15" s="84"/>
      <c r="AW15" s="81"/>
      <c r="AX15" s="81"/>
      <c r="AY15" s="82"/>
    </row>
    <row r="16" spans="1:51" ht="15" customHeight="1" x14ac:dyDescent="0.2">
      <c r="A16" s="78">
        <v>46218</v>
      </c>
      <c r="B16" s="79" t="s">
        <v>226</v>
      </c>
      <c r="C16" s="79" t="s">
        <v>223</v>
      </c>
      <c r="D16" s="80">
        <f>SUMIFS(MOVIMIENTOS!$E:$E,MOVIMIENTOS!$A:$A,$A16,MOVIMIENTOS!$B:$B,"COMPRA")</f>
        <v>40</v>
      </c>
      <c r="E16" s="81">
        <f>SUMIFS(MOVIMIENTOS!$F:$F,MOVIMIENTOS!$A:$A,$A16,MOVIMIENTOS!$B:$B,"COMPRA")</f>
        <v>3880</v>
      </c>
      <c r="F16" s="80">
        <f>SUMIFS(MOVIMIENTOS!$E:$E,MOVIMIENTOS!$A:$A,$A16,MOVIMIENTOS!$B:$B,"PROCESO",MOVIMIENTOS!$C:$C,"A")</f>
        <v>79</v>
      </c>
      <c r="G16" s="80">
        <f>SUMIFS(MOVIMIENTOS!$E:$E,MOVIMIENTOS!$A:$A,$A16,MOVIMIENTOS!$B:$B,"PROCESO",MOVIMIENTOS!$C:$C,"P")</f>
        <v>22</v>
      </c>
      <c r="H16" s="80">
        <f>SUMIFS(MOVIMIENTOS!$E:$E,MOVIMIENTOS!$A:$A,$A16,MOVIMIENTOS!$B:$B,"PROCESO",MOVIMIENTOS!$C:$C,"C")</f>
        <v>21</v>
      </c>
      <c r="I16" s="80">
        <f>SUMIFS(MOVIMIENTOS!$E:$E,MOVIMIENTOS!$A:$A,$A16,MOVIMIENTOS!$B:$B,"PROCESO",MOVIMIENTOS!$C:$C,"M")</f>
        <v>83</v>
      </c>
      <c r="J16" s="80">
        <f t="shared" si="0"/>
        <v>205</v>
      </c>
      <c r="K16" s="81">
        <f t="shared" si="1"/>
        <v>3349</v>
      </c>
      <c r="L16" s="81">
        <f>SUMIFS(MOVIMIENTOS!$F:$F,MOVIMIENTOS!$A:$A,$A16,MOVIMIENTOS!$B:$B,"REPROCESO")</f>
        <v>0</v>
      </c>
      <c r="M16" s="80" t="str">
        <f>TRIM(IF(SUMIFS(MOVIMIENTOS!$E:$E,MOVIMIENTOS!$A:$A,$A16,MOVIMIENTOS!$B:$B,"ENVÍO A SUPESA")&gt;0,"Supesa ","")&amp;IF(SUMIFS(MOVIMIENTOS!$E:$E,MOVIMIENTOS!$A:$A,$A16,MOVIMIENTOS!$B:$B,"ENVÍO A TOTTUS")+SUMIFS(MOVIMIENTOS!$E:$E,MOVIMIENTOS!$A:$A,$A16,MOVIMIENTOS!$B:$B,"ENVIO A TOTTUS")&gt;0,"Tottus",""))</f>
        <v>Supesa</v>
      </c>
      <c r="N16" s="80" t="str">
        <f>IFERROR(IF(LOOKUP(2,1/((MOVIMIENTOS!$A$5:$A$1017=$A16)*((MOVIMIENTOS!$B$5:$B$1017="ENVÍO A SUPESA")+(MOVIMIENTOS!$B$5:$B$1017="ENVÍO A TOTTUS")+(MOVIMIENTOS!$B$5:$B$1017="ENVIO A TOTTUS"))*(MOVIMIENTOS!$G$5:$G$1017&lt;&gt;"")),MOVIMIENTOS!$G$5:$G$1017)&lt;&gt;"","G-"&amp;LOOKUP(2,1/((MOVIMIENTOS!$A$5:$A$1017=$A16)*((MOVIMIENTOS!$B$5:$B$1017="ENVÍO A SUPESA")+(MOVIMIENTOS!$B$5:$B$1017="ENVÍO A TOTTUS")+(MOVIMIENTOS!$B$5:$B$1017="ENVIO A TOTTUS"))*(MOVIMIENTOS!$G$5:$G$1017&lt;&gt;"")),MOVIMIENTOS!$G$5:$G$1017),""),"")</f>
        <v>G-2986</v>
      </c>
      <c r="O16" s="80">
        <f>SUMIFS(MOVIMIENTOS!$E:$E,MOVIMIENTOS!$A:$A,$A16,MOVIMIENTOS!$B:$B,"ENVÍO A SUPESA",MOVIMIENTOS!$C:$C,"A")+SUMIFS(MOVIMIENTOS!$E:$E,MOVIMIENTOS!$A:$A,$A16,MOVIMIENTOS!$B:$B,"ENVÍO A TOTTUS",MOVIMIENTOS!$C:$C,"A")+SUMIFS(MOVIMIENTOS!$E:$E,MOVIMIENTOS!$A:$A,$A16,MOVIMIENTOS!$B:$B,"ENVIO A TOTTUS",MOVIMIENTOS!$C:$C,"A")</f>
        <v>67</v>
      </c>
      <c r="P16" s="80">
        <f>SUMIFS(MOVIMIENTOS!$E:$E,MOVIMIENTOS!$A:$A,$A16,MOVIMIENTOS!$B:$B,"ENVÍO A SUPESA",MOVIMIENTOS!$C:$C,"P")+SUMIFS(MOVIMIENTOS!$E:$E,MOVIMIENTOS!$A:$A,$A16,MOVIMIENTOS!$B:$B,"ENVÍO A TOTTUS",MOVIMIENTOS!$C:$C,"P")+SUMIFS(MOVIMIENTOS!$E:$E,MOVIMIENTOS!$A:$A,$A16,MOVIMIENTOS!$B:$B,"ENVIO A TOTTUS",MOVIMIENTOS!$C:$C,"P")</f>
        <v>11</v>
      </c>
      <c r="Q16" s="80">
        <f>SUMIFS(MOVIMIENTOS!$E:$E,MOVIMIENTOS!$A:$A,$A16,MOVIMIENTOS!$B:$B,"ENVÍO A SUPESA",MOVIMIENTOS!$C:$C,"C")+SUMIFS(MOVIMIENTOS!$E:$E,MOVIMIENTOS!$A:$A,$A16,MOVIMIENTOS!$B:$B,"ENVÍO A TOTTUS",MOVIMIENTOS!$C:$C,"C")+SUMIFS(MOVIMIENTOS!$E:$E,MOVIMIENTOS!$A:$A,$A16,MOVIMIENTOS!$B:$B,"ENVIO A TOTTUS",MOVIMIENTOS!$C:$C,"C")</f>
        <v>9</v>
      </c>
      <c r="R16" s="80">
        <f>SUMIFS(MOVIMIENTOS!$E:$E,MOVIMIENTOS!$A:$A,$A16,MOVIMIENTOS!$B:$B,"ENVÍO A SUPESA",MOVIMIENTOS!$C:$C,"M")+SUMIFS(MOVIMIENTOS!$E:$E,MOVIMIENTOS!$A:$A,$A16,MOVIMIENTOS!$B:$B,"ENVÍO A TOTTUS",MOVIMIENTOS!$C:$C,"M")+SUMIFS(MOVIMIENTOS!$E:$E,MOVIMIENTOS!$A:$A,$A16,MOVIMIENTOS!$B:$B,"ENVIO A TOTTUS",MOVIMIENTOS!$C:$C,"M")</f>
        <v>95</v>
      </c>
      <c r="S16" s="80">
        <f t="shared" si="2"/>
        <v>182</v>
      </c>
      <c r="T16" s="81">
        <f>SUMIFS(MOVIMIENTOS!$F:$F,MOVIMIENTOS!$A:$A,$A16,MOVIMIENTOS!$B:$B,"ENVÍO A SUPESA",MOVIMIENTOS!$C:$C,"&lt;&gt;Chancho")+SUMIFS(MOVIMIENTOS!$F:$F,MOVIMIENTOS!$A:$A,$A16,MOVIMIENTOS!$B:$B,"ENVÍO A TOTTUS",MOVIMIENTOS!$C:$C,"&lt;&gt;Chancho")+SUMIFS(MOVIMIENTOS!$F:$F,MOVIMIENTOS!$A:$A,$A16,MOVIMIENTOS!$B:$B,"ENVIO A TOTTUS",MOVIMIENTOS!$C:$C,"&lt;&gt;Chancho")</f>
        <v>2971</v>
      </c>
      <c r="U16" s="85">
        <f>IFERROR(INDEX('SALDO DIARIO'!$B:$B,MATCH($A16,'SALDO DIARIO'!$A:$A,0)),0)</f>
        <v>24</v>
      </c>
      <c r="V16" s="85">
        <f>IFERROR(INDEX('SALDO DIARIO'!$C:$C,MATCH($A16,'SALDO DIARIO'!$A:$A,0)),0)</f>
        <v>11</v>
      </c>
      <c r="W16" s="85">
        <f>IFERROR(INDEX('SALDO DIARIO'!$D:$D,MATCH($A16,'SALDO DIARIO'!$A:$A,0)),0)</f>
        <v>12</v>
      </c>
      <c r="X16" s="85">
        <f>IFERROR(INDEX('SALDO DIARIO'!$E:$E,MATCH($A16,'SALDO DIARIO'!$A:$A,0)),0)</f>
        <v>36</v>
      </c>
      <c r="Y16" s="85">
        <f>IFERROR(INDEX('SALDO DIARIO'!$G:$G,MATCH($A16,'SALDO DIARIO'!$A:$A,0)),0)</f>
        <v>83</v>
      </c>
      <c r="Z16" s="80">
        <f>SUMIFS(MOVIMIENTOS!$E:$E,MOVIMIENTOS!$A:$A,$A16,MOVIMIENTOS!$B:$B,"PROCESO",MOVIMIENTOS!$C:$C,"Chancho")</f>
        <v>5</v>
      </c>
      <c r="AA16" s="81">
        <f>SUMIFS(MOVIMIENTOS!$F:$F,MOVIMIENTOS!$A:$A,$A16,MOVIMIENTOS!$B:$B,"PROCESO",MOVIMIENTOS!$C:$C,"Chancho")</f>
        <v>485</v>
      </c>
      <c r="AB16" s="80">
        <f>SUMIFS(MOVIMIENTOS!$E:$E,MOVIMIENTOS!$A:$A,$A16,MOVIMIENTOS!$B:$B,"VENTA CHANCHO",MOVIMIENTOS!$C:$C,"Chancho")</f>
        <v>35</v>
      </c>
      <c r="AC16" s="81">
        <f>SUMIFS(MOVIMIENTOS!$F:$F,MOVIMIENTOS!$A:$A,$A16,MOVIMIENTOS!$B:$B,"VENTA CHANCHO",MOVIMIENTOS!$C:$C,"Chancho")</f>
        <v>3395</v>
      </c>
      <c r="AD16" s="80" t="str">
        <f>IFERROR(LOOKUP(2,1/((MOVIMIENTOS!$A$5:$A$1017=$A16)*(MOVIMIENTOS!$B$5:$B$1017="VENTA CHANCHO")*(MOVIMIENTOS!$C$5:$C$1017="Chancho")*(MOVIMIENTOS!$G$5:$G$1017&lt;&gt;"")),MOVIMIENTOS!$G$5:$G$1017),IFERROR(LOOKUP(2,1/((MOVIMIENTOS!$A$5:$A$1017=$A16)*(MOVIMIENTOS!$B$5:$B$1017="VENTA CHANCHO")*(MOVIMIENTOS!$C$5:$C$1017="Chancho")*(MOVIMIENTOS!$H$5:$H$1017&lt;&gt;"")),MOVIMIENTOS!$H$5:$H$1017),""))</f>
        <v>TCK002-724</v>
      </c>
      <c r="AE16" s="85">
        <f>IFERROR(INDEX('SALDO DIARIO'!$F:$F,MATCH($A16,'SALDO DIARIO'!$A:$A,0)),0)</f>
        <v>5</v>
      </c>
      <c r="AF16" s="81">
        <f t="shared" si="3"/>
        <v>46</v>
      </c>
      <c r="AG16" s="82">
        <f t="shared" si="4"/>
        <v>1.2</v>
      </c>
      <c r="AI16" s="83">
        <f t="shared" si="5"/>
        <v>46218</v>
      </c>
      <c r="AJ16" s="81">
        <f t="shared" si="6"/>
        <v>3880</v>
      </c>
      <c r="AK16" s="81">
        <f t="shared" si="7"/>
        <v>3349</v>
      </c>
      <c r="AL16" s="81">
        <f t="shared" si="8"/>
        <v>2971</v>
      </c>
      <c r="AM16" s="84">
        <f t="shared" si="9"/>
        <v>5</v>
      </c>
      <c r="AN16" s="81">
        <f t="shared" si="10"/>
        <v>485</v>
      </c>
      <c r="AO16" s="81">
        <f t="shared" si="11"/>
        <v>46</v>
      </c>
      <c r="AP16" s="82">
        <f t="shared" si="12"/>
        <v>1.2</v>
      </c>
      <c r="AR16" s="80"/>
      <c r="AS16" s="81"/>
      <c r="AT16" s="81"/>
      <c r="AU16" s="81"/>
      <c r="AV16" s="84"/>
      <c r="AW16" s="81"/>
      <c r="AX16" s="81"/>
      <c r="AY16" s="82"/>
    </row>
    <row r="17" spans="1:51" ht="15" customHeight="1" x14ac:dyDescent="0.2">
      <c r="A17" s="78">
        <v>46219</v>
      </c>
      <c r="B17" s="79" t="s">
        <v>228</v>
      </c>
      <c r="C17" s="79" t="s">
        <v>223</v>
      </c>
      <c r="D17" s="80">
        <f>SUMIFS(MOVIMIENTOS!$E:$E,MOVIMIENTOS!$A:$A,$A17,MOVIMIENTOS!$B:$B,"COMPRA")</f>
        <v>40</v>
      </c>
      <c r="E17" s="81">
        <f>SUMIFS(MOVIMIENTOS!$F:$F,MOVIMIENTOS!$A:$A,$A17,MOVIMIENTOS!$B:$B,"COMPRA")</f>
        <v>3880</v>
      </c>
      <c r="F17" s="80">
        <f>SUMIFS(MOVIMIENTOS!$E:$E,MOVIMIENTOS!$A:$A,$A17,MOVIMIENTOS!$B:$B,"PROCESO",MOVIMIENTOS!$C:$C,"A")</f>
        <v>68</v>
      </c>
      <c r="G17" s="80">
        <f>SUMIFS(MOVIMIENTOS!$E:$E,MOVIMIENTOS!$A:$A,$A17,MOVIMIENTOS!$B:$B,"PROCESO",MOVIMIENTOS!$C:$C,"P")</f>
        <v>11</v>
      </c>
      <c r="H17" s="80">
        <f>SUMIFS(MOVIMIENTOS!$E:$E,MOVIMIENTOS!$A:$A,$A17,MOVIMIENTOS!$B:$B,"PROCESO",MOVIMIENTOS!$C:$C,"C")</f>
        <v>12</v>
      </c>
      <c r="I17" s="80">
        <f>SUMIFS(MOVIMIENTOS!$E:$E,MOVIMIENTOS!$A:$A,$A17,MOVIMIENTOS!$B:$B,"PROCESO",MOVIMIENTOS!$C:$C,"M")</f>
        <v>116</v>
      </c>
      <c r="J17" s="80">
        <f t="shared" si="0"/>
        <v>207</v>
      </c>
      <c r="K17" s="81">
        <f t="shared" si="1"/>
        <v>3394</v>
      </c>
      <c r="L17" s="81">
        <f>SUMIFS(MOVIMIENTOS!$F:$F,MOVIMIENTOS!$A:$A,$A17,MOVIMIENTOS!$B:$B,"REPROCESO")</f>
        <v>0</v>
      </c>
      <c r="M17" s="80" t="str">
        <f>TRIM(IF(SUMIFS(MOVIMIENTOS!$E:$E,MOVIMIENTOS!$A:$A,$A17,MOVIMIENTOS!$B:$B,"ENVÍO A SUPESA")&gt;0,"Supesa ","")&amp;IF(SUMIFS(MOVIMIENTOS!$E:$E,MOVIMIENTOS!$A:$A,$A17,MOVIMIENTOS!$B:$B,"ENVÍO A TOTTUS")+SUMIFS(MOVIMIENTOS!$E:$E,MOVIMIENTOS!$A:$A,$A17,MOVIMIENTOS!$B:$B,"ENVIO A TOTTUS")&gt;0,"Tottus",""))</f>
        <v>Supesa</v>
      </c>
      <c r="N17" s="80" t="str">
        <f>IFERROR(IF(LOOKUP(2,1/((MOVIMIENTOS!$A$5:$A$1017=$A17)*((MOVIMIENTOS!$B$5:$B$1017="ENVÍO A SUPESA")+(MOVIMIENTOS!$B$5:$B$1017="ENVÍO A TOTTUS")+(MOVIMIENTOS!$B$5:$B$1017="ENVIO A TOTTUS"))*(MOVIMIENTOS!$G$5:$G$1017&lt;&gt;"")),MOVIMIENTOS!$G$5:$G$1017)&lt;&gt;"","G-"&amp;LOOKUP(2,1/((MOVIMIENTOS!$A$5:$A$1017=$A17)*((MOVIMIENTOS!$B$5:$B$1017="ENVÍO A SUPESA")+(MOVIMIENTOS!$B$5:$B$1017="ENVÍO A TOTTUS")+(MOVIMIENTOS!$B$5:$B$1017="ENVIO A TOTTUS"))*(MOVIMIENTOS!$G$5:$G$1017&lt;&gt;"")),MOVIMIENTOS!$G$5:$G$1017),""),"")</f>
        <v>G-2992</v>
      </c>
      <c r="O17" s="80">
        <f>SUMIFS(MOVIMIENTOS!$E:$E,MOVIMIENTOS!$A:$A,$A17,MOVIMIENTOS!$B:$B,"ENVÍO A SUPESA",MOVIMIENTOS!$C:$C,"A")+SUMIFS(MOVIMIENTOS!$E:$E,MOVIMIENTOS!$A:$A,$A17,MOVIMIENTOS!$B:$B,"ENVÍO A TOTTUS",MOVIMIENTOS!$C:$C,"A")+SUMIFS(MOVIMIENTOS!$E:$E,MOVIMIENTOS!$A:$A,$A17,MOVIMIENTOS!$B:$B,"ENVIO A TOTTUS",MOVIMIENTOS!$C:$C,"A")</f>
        <v>63</v>
      </c>
      <c r="P17" s="80">
        <f>SUMIFS(MOVIMIENTOS!$E:$E,MOVIMIENTOS!$A:$A,$A17,MOVIMIENTOS!$B:$B,"ENVÍO A SUPESA",MOVIMIENTOS!$C:$C,"P")+SUMIFS(MOVIMIENTOS!$E:$E,MOVIMIENTOS!$A:$A,$A17,MOVIMIENTOS!$B:$B,"ENVÍO A TOTTUS",MOVIMIENTOS!$C:$C,"P")+SUMIFS(MOVIMIENTOS!$E:$E,MOVIMIENTOS!$A:$A,$A17,MOVIMIENTOS!$B:$B,"ENVIO A TOTTUS",MOVIMIENTOS!$C:$C,"P")</f>
        <v>11</v>
      </c>
      <c r="Q17" s="80">
        <f>SUMIFS(MOVIMIENTOS!$E:$E,MOVIMIENTOS!$A:$A,$A17,MOVIMIENTOS!$B:$B,"ENVÍO A SUPESA",MOVIMIENTOS!$C:$C,"C")+SUMIFS(MOVIMIENTOS!$E:$E,MOVIMIENTOS!$A:$A,$A17,MOVIMIENTOS!$B:$B,"ENVÍO A TOTTUS",MOVIMIENTOS!$C:$C,"C")+SUMIFS(MOVIMIENTOS!$E:$E,MOVIMIENTOS!$A:$A,$A17,MOVIMIENTOS!$B:$B,"ENVIO A TOTTUS",MOVIMIENTOS!$C:$C,"C")</f>
        <v>12</v>
      </c>
      <c r="R17" s="80">
        <f>SUMIFS(MOVIMIENTOS!$E:$E,MOVIMIENTOS!$A:$A,$A17,MOVIMIENTOS!$B:$B,"ENVÍO A SUPESA",MOVIMIENTOS!$C:$C,"M")+SUMIFS(MOVIMIENTOS!$E:$E,MOVIMIENTOS!$A:$A,$A17,MOVIMIENTOS!$B:$B,"ENVÍO A TOTTUS",MOVIMIENTOS!$C:$C,"M")+SUMIFS(MOVIMIENTOS!$E:$E,MOVIMIENTOS!$A:$A,$A17,MOVIMIENTOS!$B:$B,"ENVIO A TOTTUS",MOVIMIENTOS!$C:$C,"M")</f>
        <v>115</v>
      </c>
      <c r="S17" s="80">
        <f t="shared" si="2"/>
        <v>201</v>
      </c>
      <c r="T17" s="81">
        <f>SUMIFS(MOVIMIENTOS!$F:$F,MOVIMIENTOS!$A:$A,$A17,MOVIMIENTOS!$B:$B,"ENVÍO A SUPESA",MOVIMIENTOS!$C:$C,"&lt;&gt;Chancho")+SUMIFS(MOVIMIENTOS!$F:$F,MOVIMIENTOS!$A:$A,$A17,MOVIMIENTOS!$B:$B,"ENVÍO A TOTTUS",MOVIMIENTOS!$C:$C,"&lt;&gt;Chancho")+SUMIFS(MOVIMIENTOS!$F:$F,MOVIMIENTOS!$A:$A,$A17,MOVIMIENTOS!$B:$B,"ENVIO A TOTTUS",MOVIMIENTOS!$C:$C,"&lt;&gt;Chancho")</f>
        <v>3302</v>
      </c>
      <c r="U17" s="85">
        <f>IFERROR(INDEX('SALDO DIARIO'!$B:$B,MATCH($A17,'SALDO DIARIO'!$A:$A,0)),0)</f>
        <v>29</v>
      </c>
      <c r="V17" s="85">
        <f>IFERROR(INDEX('SALDO DIARIO'!$C:$C,MATCH($A17,'SALDO DIARIO'!$A:$A,0)),0)</f>
        <v>11</v>
      </c>
      <c r="W17" s="85">
        <f>IFERROR(INDEX('SALDO DIARIO'!$D:$D,MATCH($A17,'SALDO DIARIO'!$A:$A,0)),0)</f>
        <v>12</v>
      </c>
      <c r="X17" s="85">
        <f>IFERROR(INDEX('SALDO DIARIO'!$E:$E,MATCH($A17,'SALDO DIARIO'!$A:$A,0)),0)</f>
        <v>37</v>
      </c>
      <c r="Y17" s="85">
        <f>IFERROR(INDEX('SALDO DIARIO'!$G:$G,MATCH($A17,'SALDO DIARIO'!$A:$A,0)),0)</f>
        <v>89</v>
      </c>
      <c r="Z17" s="80">
        <f>SUMIFS(MOVIMIENTOS!$E:$E,MOVIMIENTOS!$A:$A,$A17,MOVIMIENTOS!$B:$B,"PROCESO",MOVIMIENTOS!$C:$C,"Chancho")</f>
        <v>4</v>
      </c>
      <c r="AA17" s="81">
        <f>SUMIFS(MOVIMIENTOS!$F:$F,MOVIMIENTOS!$A:$A,$A17,MOVIMIENTOS!$B:$B,"PROCESO",MOVIMIENTOS!$C:$C,"Chancho")</f>
        <v>388</v>
      </c>
      <c r="AB17" s="80">
        <f>SUMIFS(MOVIMIENTOS!$E:$E,MOVIMIENTOS!$A:$A,$A17,MOVIMIENTOS!$B:$B,"VENTA CHANCHO",MOVIMIENTOS!$C:$C,"Chancho")</f>
        <v>0</v>
      </c>
      <c r="AC17" s="81">
        <f>SUMIFS(MOVIMIENTOS!$F:$F,MOVIMIENTOS!$A:$A,$A17,MOVIMIENTOS!$B:$B,"VENTA CHANCHO",MOVIMIENTOS!$C:$C,"Chancho")</f>
        <v>0</v>
      </c>
      <c r="AD17" s="80" t="str">
        <f>IFERROR(LOOKUP(2,1/((MOVIMIENTOS!$A$5:$A$1017=$A17)*(MOVIMIENTOS!$B$5:$B$1017="VENTA CHANCHO")*(MOVIMIENTOS!$C$5:$C$1017="Chancho")*(MOVIMIENTOS!$G$5:$G$1017&lt;&gt;"")),MOVIMIENTOS!$G$5:$G$1017),IFERROR(LOOKUP(2,1/((MOVIMIENTOS!$A$5:$A$1017=$A17)*(MOVIMIENTOS!$B$5:$B$1017="VENTA CHANCHO")*(MOVIMIENTOS!$C$5:$C$1017="Chancho")*(MOVIMIENTOS!$H$5:$H$1017&lt;&gt;"")),MOVIMIENTOS!$H$5:$H$1017),""))</f>
        <v/>
      </c>
      <c r="AE17" s="85">
        <f>IFERROR(INDEX('SALDO DIARIO'!$F:$F,MATCH($A17,'SALDO DIARIO'!$A:$A,0)),0)</f>
        <v>9</v>
      </c>
      <c r="AF17" s="81">
        <f t="shared" si="3"/>
        <v>98</v>
      </c>
      <c r="AG17" s="82">
        <f t="shared" si="4"/>
        <v>2.5</v>
      </c>
      <c r="AI17" s="83">
        <f t="shared" si="5"/>
        <v>46219</v>
      </c>
      <c r="AJ17" s="81">
        <f t="shared" si="6"/>
        <v>3880</v>
      </c>
      <c r="AK17" s="81">
        <f t="shared" si="7"/>
        <v>3394</v>
      </c>
      <c r="AL17" s="81">
        <f t="shared" si="8"/>
        <v>3302</v>
      </c>
      <c r="AM17" s="84">
        <f t="shared" si="9"/>
        <v>4</v>
      </c>
      <c r="AN17" s="81">
        <f t="shared" si="10"/>
        <v>388</v>
      </c>
      <c r="AO17" s="81">
        <f t="shared" si="11"/>
        <v>98</v>
      </c>
      <c r="AP17" s="82">
        <f t="shared" si="12"/>
        <v>2.5</v>
      </c>
      <c r="AR17" s="80"/>
      <c r="AS17" s="81"/>
      <c r="AT17" s="81"/>
      <c r="AU17" s="81"/>
      <c r="AV17" s="84"/>
      <c r="AW17" s="81"/>
      <c r="AX17" s="81"/>
      <c r="AY17" s="82"/>
    </row>
    <row r="18" spans="1:51" ht="15" customHeight="1" x14ac:dyDescent="0.2">
      <c r="A18" s="78">
        <v>46220</v>
      </c>
      <c r="B18" s="79" t="s">
        <v>230</v>
      </c>
      <c r="C18" s="79" t="s">
        <v>223</v>
      </c>
      <c r="D18" s="80">
        <f>SUMIFS(MOVIMIENTOS!$E:$E,MOVIMIENTOS!$A:$A,$A18,MOVIMIENTOS!$B:$B,"COMPRA")</f>
        <v>65</v>
      </c>
      <c r="E18" s="81">
        <f>SUMIFS(MOVIMIENTOS!$F:$F,MOVIMIENTOS!$A:$A,$A18,MOVIMIENTOS!$B:$B,"COMPRA")</f>
        <v>6305</v>
      </c>
      <c r="F18" s="80">
        <f>SUMIFS(MOVIMIENTOS!$E:$E,MOVIMIENTOS!$A:$A,$A18,MOVIMIENTOS!$B:$B,"PROCESO",MOVIMIENTOS!$C:$C,"A")</f>
        <v>103</v>
      </c>
      <c r="G18" s="80">
        <f>SUMIFS(MOVIMIENTOS!$E:$E,MOVIMIENTOS!$A:$A,$A18,MOVIMIENTOS!$B:$B,"PROCESO",MOVIMIENTOS!$C:$C,"P")</f>
        <v>4</v>
      </c>
      <c r="H18" s="80">
        <f>SUMIFS(MOVIMIENTOS!$E:$E,MOVIMIENTOS!$A:$A,$A18,MOVIMIENTOS!$B:$B,"PROCESO",MOVIMIENTOS!$C:$C,"C")</f>
        <v>9</v>
      </c>
      <c r="I18" s="80">
        <f>SUMIFS(MOVIMIENTOS!$E:$E,MOVIMIENTOS!$A:$A,$A18,MOVIMIENTOS!$B:$B,"PROCESO",MOVIMIENTOS!$C:$C,"M")</f>
        <v>196</v>
      </c>
      <c r="J18" s="80">
        <f t="shared" si="0"/>
        <v>312</v>
      </c>
      <c r="K18" s="81">
        <f t="shared" si="1"/>
        <v>5102</v>
      </c>
      <c r="L18" s="81">
        <f>SUMIFS(MOVIMIENTOS!$F:$F,MOVIMIENTOS!$A:$A,$A18,MOVIMIENTOS!$B:$B,"REPROCESO")</f>
        <v>0</v>
      </c>
      <c r="M18" s="80" t="str">
        <f>TRIM(IF(SUMIFS(MOVIMIENTOS!$E:$E,MOVIMIENTOS!$A:$A,$A18,MOVIMIENTOS!$B:$B,"ENVÍO A SUPESA")&gt;0,"Supesa ","")&amp;IF(SUMIFS(MOVIMIENTOS!$E:$E,MOVIMIENTOS!$A:$A,$A18,MOVIMIENTOS!$B:$B,"ENVÍO A TOTTUS")+SUMIFS(MOVIMIENTOS!$E:$E,MOVIMIENTOS!$A:$A,$A18,MOVIMIENTOS!$B:$B,"ENVIO A TOTTUS")&gt;0,"Tottus",""))</f>
        <v>Supesa</v>
      </c>
      <c r="N18" s="80" t="str">
        <f>IFERROR(IF(LOOKUP(2,1/((MOVIMIENTOS!$A$5:$A$1017=$A18)*((MOVIMIENTOS!$B$5:$B$1017="ENVÍO A SUPESA")+(MOVIMIENTOS!$B$5:$B$1017="ENVÍO A TOTTUS")+(MOVIMIENTOS!$B$5:$B$1017="ENVIO A TOTTUS"))*(MOVIMIENTOS!$G$5:$G$1017&lt;&gt;"")),MOVIMIENTOS!$G$5:$G$1017)&lt;&gt;"","G-"&amp;LOOKUP(2,1/((MOVIMIENTOS!$A$5:$A$1017=$A18)*((MOVIMIENTOS!$B$5:$B$1017="ENVÍO A SUPESA")+(MOVIMIENTOS!$B$5:$B$1017="ENVÍO A TOTTUS")+(MOVIMIENTOS!$B$5:$B$1017="ENVIO A TOTTUS"))*(MOVIMIENTOS!$G$5:$G$1017&lt;&gt;"")),MOVIMIENTOS!$G$5:$G$1017),""),"")</f>
        <v>G-2994</v>
      </c>
      <c r="O18" s="80">
        <f>SUMIFS(MOVIMIENTOS!$E:$E,MOVIMIENTOS!$A:$A,$A18,MOVIMIENTOS!$B:$B,"ENVÍO A SUPESA",MOVIMIENTOS!$C:$C,"A")+SUMIFS(MOVIMIENTOS!$E:$E,MOVIMIENTOS!$A:$A,$A18,MOVIMIENTOS!$B:$B,"ENVÍO A TOTTUS",MOVIMIENTOS!$C:$C,"A")+SUMIFS(MOVIMIENTOS!$E:$E,MOVIMIENTOS!$A:$A,$A18,MOVIMIENTOS!$B:$B,"ENVIO A TOTTUS",MOVIMIENTOS!$C:$C,"A")</f>
        <v>67</v>
      </c>
      <c r="P18" s="80">
        <f>SUMIFS(MOVIMIENTOS!$E:$E,MOVIMIENTOS!$A:$A,$A18,MOVIMIENTOS!$B:$B,"ENVÍO A SUPESA",MOVIMIENTOS!$C:$C,"P")+SUMIFS(MOVIMIENTOS!$E:$E,MOVIMIENTOS!$A:$A,$A18,MOVIMIENTOS!$B:$B,"ENVÍO A TOTTUS",MOVIMIENTOS!$C:$C,"P")+SUMIFS(MOVIMIENTOS!$E:$E,MOVIMIENTOS!$A:$A,$A18,MOVIMIENTOS!$B:$B,"ENVIO A TOTTUS",MOVIMIENTOS!$C:$C,"P")</f>
        <v>11</v>
      </c>
      <c r="Q18" s="80">
        <f>SUMIFS(MOVIMIENTOS!$E:$E,MOVIMIENTOS!$A:$A,$A18,MOVIMIENTOS!$B:$B,"ENVÍO A SUPESA",MOVIMIENTOS!$C:$C,"C")+SUMIFS(MOVIMIENTOS!$E:$E,MOVIMIENTOS!$A:$A,$A18,MOVIMIENTOS!$B:$B,"ENVÍO A TOTTUS",MOVIMIENTOS!$C:$C,"C")+SUMIFS(MOVIMIENTOS!$E:$E,MOVIMIENTOS!$A:$A,$A18,MOVIMIENTOS!$B:$B,"ENVIO A TOTTUS",MOVIMIENTOS!$C:$C,"C")</f>
        <v>12</v>
      </c>
      <c r="R18" s="80">
        <f>SUMIFS(MOVIMIENTOS!$E:$E,MOVIMIENTOS!$A:$A,$A18,MOVIMIENTOS!$B:$B,"ENVÍO A SUPESA",MOVIMIENTOS!$C:$C,"M")+SUMIFS(MOVIMIENTOS!$E:$E,MOVIMIENTOS!$A:$A,$A18,MOVIMIENTOS!$B:$B,"ENVÍO A TOTTUS",MOVIMIENTOS!$C:$C,"M")+SUMIFS(MOVIMIENTOS!$E:$E,MOVIMIENTOS!$A:$A,$A18,MOVIMIENTOS!$B:$B,"ENVIO A TOTTUS",MOVIMIENTOS!$C:$C,"M")</f>
        <v>118</v>
      </c>
      <c r="S18" s="80">
        <f t="shared" si="2"/>
        <v>208</v>
      </c>
      <c r="T18" s="81">
        <f>SUMIFS(MOVIMIENTOS!$F:$F,MOVIMIENTOS!$A:$A,$A18,MOVIMIENTOS!$B:$B,"ENVÍO A SUPESA",MOVIMIENTOS!$C:$C,"&lt;&gt;Chancho")+SUMIFS(MOVIMIENTOS!$F:$F,MOVIMIENTOS!$A:$A,$A18,MOVIMIENTOS!$B:$B,"ENVÍO A TOTTUS",MOVIMIENTOS!$C:$C,"&lt;&gt;Chancho")+SUMIFS(MOVIMIENTOS!$F:$F,MOVIMIENTOS!$A:$A,$A18,MOVIMIENTOS!$B:$B,"ENVIO A TOTTUS",MOVIMIENTOS!$C:$C,"&lt;&gt;Chancho")</f>
        <v>3413</v>
      </c>
      <c r="U18" s="85">
        <f>IFERROR(INDEX('SALDO DIARIO'!$B:$B,MATCH($A18,'SALDO DIARIO'!$A:$A,0)),0)</f>
        <v>65</v>
      </c>
      <c r="V18" s="85">
        <f>IFERROR(INDEX('SALDO DIARIO'!$C:$C,MATCH($A18,'SALDO DIARIO'!$A:$A,0)),0)</f>
        <v>4</v>
      </c>
      <c r="W18" s="85">
        <f>IFERROR(INDEX('SALDO DIARIO'!$D:$D,MATCH($A18,'SALDO DIARIO'!$A:$A,0)),0)</f>
        <v>9</v>
      </c>
      <c r="X18" s="85">
        <f>IFERROR(INDEX('SALDO DIARIO'!$E:$E,MATCH($A18,'SALDO DIARIO'!$A:$A,0)),0)</f>
        <v>115</v>
      </c>
      <c r="Y18" s="85">
        <f>IFERROR(INDEX('SALDO DIARIO'!$G:$G,MATCH($A18,'SALDO DIARIO'!$A:$A,0)),0)</f>
        <v>193</v>
      </c>
      <c r="Z18" s="80">
        <f>SUMIFS(MOVIMIENTOS!$E:$E,MOVIMIENTOS!$A:$A,$A18,MOVIMIENTOS!$B:$B,"PROCESO",MOVIMIENTOS!$C:$C,"Chancho")</f>
        <v>11</v>
      </c>
      <c r="AA18" s="81">
        <f>SUMIFS(MOVIMIENTOS!$F:$F,MOVIMIENTOS!$A:$A,$A18,MOVIMIENTOS!$B:$B,"PROCESO",MOVIMIENTOS!$C:$C,"Chancho")</f>
        <v>1067</v>
      </c>
      <c r="AB18" s="80">
        <f>SUMIFS(MOVIMIENTOS!$E:$E,MOVIMIENTOS!$A:$A,$A18,MOVIMIENTOS!$B:$B,"VENTA CHANCHO",MOVIMIENTOS!$C:$C,"Chancho")</f>
        <v>15</v>
      </c>
      <c r="AC18" s="81">
        <f>SUMIFS(MOVIMIENTOS!$F:$F,MOVIMIENTOS!$A:$A,$A18,MOVIMIENTOS!$B:$B,"VENTA CHANCHO",MOVIMIENTOS!$C:$C,"Chancho")</f>
        <v>1455</v>
      </c>
      <c r="AD18" s="80" t="str">
        <f>IFERROR(LOOKUP(2,1/((MOVIMIENTOS!$A$5:$A$1017=$A18)*(MOVIMIENTOS!$B$5:$B$1017="VENTA CHANCHO")*(MOVIMIENTOS!$C$5:$C$1017="Chancho")*(MOVIMIENTOS!$G$5:$G$1017&lt;&gt;"")),MOVIMIENTOS!$G$5:$G$1017),IFERROR(LOOKUP(2,1/((MOVIMIENTOS!$A$5:$A$1017=$A18)*(MOVIMIENTOS!$B$5:$B$1017="VENTA CHANCHO")*(MOVIMIENTOS!$C$5:$C$1017="Chancho")*(MOVIMIENTOS!$H$5:$H$1017&lt;&gt;"")),MOVIMIENTOS!$H$5:$H$1017),""))</f>
        <v>TCK002-725</v>
      </c>
      <c r="AE18" s="85">
        <f>IFERROR(INDEX('SALDO DIARIO'!$F:$F,MATCH($A18,'SALDO DIARIO'!$A:$A,0)),0)</f>
        <v>5</v>
      </c>
      <c r="AF18" s="81">
        <f t="shared" si="3"/>
        <v>136</v>
      </c>
      <c r="AG18" s="82">
        <f t="shared" si="4"/>
        <v>2.2000000000000002</v>
      </c>
      <c r="AI18" s="83">
        <f t="shared" si="5"/>
        <v>46220</v>
      </c>
      <c r="AJ18" s="81">
        <f t="shared" si="6"/>
        <v>6305</v>
      </c>
      <c r="AK18" s="81">
        <f t="shared" si="7"/>
        <v>5102</v>
      </c>
      <c r="AL18" s="81">
        <f t="shared" si="8"/>
        <v>3413</v>
      </c>
      <c r="AM18" s="84">
        <f t="shared" si="9"/>
        <v>11</v>
      </c>
      <c r="AN18" s="81">
        <f t="shared" si="10"/>
        <v>1067</v>
      </c>
      <c r="AO18" s="81">
        <f t="shared" si="11"/>
        <v>136</v>
      </c>
      <c r="AP18" s="82">
        <f t="shared" si="12"/>
        <v>2.2000000000000002</v>
      </c>
      <c r="AR18" s="80"/>
      <c r="AS18" s="81"/>
      <c r="AT18" s="81"/>
      <c r="AU18" s="81"/>
      <c r="AV18" s="84"/>
      <c r="AW18" s="81"/>
      <c r="AX18" s="81"/>
      <c r="AY18" s="82"/>
    </row>
    <row r="19" spans="1:51" ht="15" customHeight="1" x14ac:dyDescent="0.2">
      <c r="A19" s="78">
        <v>46221</v>
      </c>
      <c r="B19" s="79" t="s">
        <v>232</v>
      </c>
      <c r="C19" s="79" t="s">
        <v>223</v>
      </c>
      <c r="D19" s="80">
        <f>SUMIFS(MOVIMIENTOS!$E:$E,MOVIMIENTOS!$A:$A,$A19,MOVIMIENTOS!$B:$B,"COMPRA")</f>
        <v>33</v>
      </c>
      <c r="E19" s="81">
        <f>SUMIFS(MOVIMIENTOS!$F:$F,MOVIMIENTOS!$A:$A,$A19,MOVIMIENTOS!$B:$B,"COMPRA")</f>
        <v>3201</v>
      </c>
      <c r="F19" s="80">
        <f>SUMIFS(MOVIMIENTOS!$E:$E,MOVIMIENTOS!$A:$A,$A19,MOVIMIENTOS!$B:$B,"PROCESO",MOVIMIENTOS!$C:$C,"A")</f>
        <v>67</v>
      </c>
      <c r="G19" s="80">
        <f>SUMIFS(MOVIMIENTOS!$E:$E,MOVIMIENTOS!$A:$A,$A19,MOVIMIENTOS!$B:$B,"PROCESO",MOVIMIENTOS!$C:$C,"P")</f>
        <v>11</v>
      </c>
      <c r="H19" s="80">
        <f>SUMIFS(MOVIMIENTOS!$E:$E,MOVIMIENTOS!$A:$A,$A19,MOVIMIENTOS!$B:$B,"PROCESO",MOVIMIENTOS!$C:$C,"C")</f>
        <v>12</v>
      </c>
      <c r="I19" s="80">
        <f>SUMIFS(MOVIMIENTOS!$E:$E,MOVIMIENTOS!$A:$A,$A19,MOVIMIENTOS!$B:$B,"PROCESO",MOVIMIENTOS!$C:$C,"M")</f>
        <v>54</v>
      </c>
      <c r="J19" s="80">
        <f t="shared" si="0"/>
        <v>144</v>
      </c>
      <c r="K19" s="81">
        <f t="shared" si="1"/>
        <v>2325</v>
      </c>
      <c r="L19" s="81">
        <f>SUMIFS(MOVIMIENTOS!$F:$F,MOVIMIENTOS!$A:$A,$A19,MOVIMIENTOS!$B:$B,"REPROCESO")</f>
        <v>0</v>
      </c>
      <c r="M19" s="80" t="str">
        <f>TRIM(IF(SUMIFS(MOVIMIENTOS!$E:$E,MOVIMIENTOS!$A:$A,$A19,MOVIMIENTOS!$B:$B,"ENVÍO A SUPESA")&gt;0,"Supesa ","")&amp;IF(SUMIFS(MOVIMIENTOS!$E:$E,MOVIMIENTOS!$A:$A,$A19,MOVIMIENTOS!$B:$B,"ENVÍO A TOTTUS")+SUMIFS(MOVIMIENTOS!$E:$E,MOVIMIENTOS!$A:$A,$A19,MOVIMIENTOS!$B:$B,"ENVIO A TOTTUS")&gt;0,"Tottus",""))</f>
        <v>Supesa</v>
      </c>
      <c r="N19" s="80" t="str">
        <f>IFERROR(IF(LOOKUP(2,1/((MOVIMIENTOS!$A$5:$A$1017=$A19)*((MOVIMIENTOS!$B$5:$B$1017="ENVÍO A SUPESA")+(MOVIMIENTOS!$B$5:$B$1017="ENVÍO A TOTTUS")+(MOVIMIENTOS!$B$5:$B$1017="ENVIO A TOTTUS"))*(MOVIMIENTOS!$G$5:$G$1017&lt;&gt;"")),MOVIMIENTOS!$G$5:$G$1017)&lt;&gt;"","G-"&amp;LOOKUP(2,1/((MOVIMIENTOS!$A$5:$A$1017=$A19)*((MOVIMIENTOS!$B$5:$B$1017="ENVÍO A SUPESA")+(MOVIMIENTOS!$B$5:$B$1017="ENVÍO A TOTTUS")+(MOVIMIENTOS!$B$5:$B$1017="ENVIO A TOTTUS"))*(MOVIMIENTOS!$G$5:$G$1017&lt;&gt;"")),MOVIMIENTOS!$G$5:$G$1017),""),"")</f>
        <v>G-2996</v>
      </c>
      <c r="O19" s="80">
        <f>SUMIFS(MOVIMIENTOS!$E:$E,MOVIMIENTOS!$A:$A,$A19,MOVIMIENTOS!$B:$B,"ENVÍO A SUPESA",MOVIMIENTOS!$C:$C,"A")+SUMIFS(MOVIMIENTOS!$E:$E,MOVIMIENTOS!$A:$A,$A19,MOVIMIENTOS!$B:$B,"ENVÍO A TOTTUS",MOVIMIENTOS!$C:$C,"A")+SUMIFS(MOVIMIENTOS!$E:$E,MOVIMIENTOS!$A:$A,$A19,MOVIMIENTOS!$B:$B,"ENVIO A TOTTUS",MOVIMIENTOS!$C:$C,"A")</f>
        <v>67</v>
      </c>
      <c r="P19" s="80">
        <f>SUMIFS(MOVIMIENTOS!$E:$E,MOVIMIENTOS!$A:$A,$A19,MOVIMIENTOS!$B:$B,"ENVÍO A SUPESA",MOVIMIENTOS!$C:$C,"P")+SUMIFS(MOVIMIENTOS!$E:$E,MOVIMIENTOS!$A:$A,$A19,MOVIMIENTOS!$B:$B,"ENVÍO A TOTTUS",MOVIMIENTOS!$C:$C,"P")+SUMIFS(MOVIMIENTOS!$E:$E,MOVIMIENTOS!$A:$A,$A19,MOVIMIENTOS!$B:$B,"ENVIO A TOTTUS",MOVIMIENTOS!$C:$C,"P")</f>
        <v>4</v>
      </c>
      <c r="Q19" s="80">
        <f>SUMIFS(MOVIMIENTOS!$E:$E,MOVIMIENTOS!$A:$A,$A19,MOVIMIENTOS!$B:$B,"ENVÍO A SUPESA",MOVIMIENTOS!$C:$C,"C")+SUMIFS(MOVIMIENTOS!$E:$E,MOVIMIENTOS!$A:$A,$A19,MOVIMIENTOS!$B:$B,"ENVÍO A TOTTUS",MOVIMIENTOS!$C:$C,"C")+SUMIFS(MOVIMIENTOS!$E:$E,MOVIMIENTOS!$A:$A,$A19,MOVIMIENTOS!$B:$B,"ENVIO A TOTTUS",MOVIMIENTOS!$C:$C,"C")</f>
        <v>9</v>
      </c>
      <c r="R19" s="80">
        <f>SUMIFS(MOVIMIENTOS!$E:$E,MOVIMIENTOS!$A:$A,$A19,MOVIMIENTOS!$B:$B,"ENVÍO A SUPESA",MOVIMIENTOS!$C:$C,"M")+SUMIFS(MOVIMIENTOS!$E:$E,MOVIMIENTOS!$A:$A,$A19,MOVIMIENTOS!$B:$B,"ENVÍO A TOTTUS",MOVIMIENTOS!$C:$C,"M")+SUMIFS(MOVIMIENTOS!$E:$E,MOVIMIENTOS!$A:$A,$A19,MOVIMIENTOS!$B:$B,"ENVIO A TOTTUS",MOVIMIENTOS!$C:$C,"M")</f>
        <v>114</v>
      </c>
      <c r="S19" s="80">
        <f t="shared" si="2"/>
        <v>194</v>
      </c>
      <c r="T19" s="81">
        <f>SUMIFS(MOVIMIENTOS!$F:$F,MOVIMIENTOS!$A:$A,$A19,MOVIMIENTOS!$B:$B,"ENVÍO A SUPESA",MOVIMIENTOS!$C:$C,"&lt;&gt;Chancho")+SUMIFS(MOVIMIENTOS!$F:$F,MOVIMIENTOS!$A:$A,$A19,MOVIMIENTOS!$B:$B,"ENVÍO A TOTTUS",MOVIMIENTOS!$C:$C,"&lt;&gt;Chancho")+SUMIFS(MOVIMIENTOS!$F:$F,MOVIMIENTOS!$A:$A,$A19,MOVIMIENTOS!$B:$B,"ENVIO A TOTTUS",MOVIMIENTOS!$C:$C,"&lt;&gt;Chancho")</f>
        <v>3168</v>
      </c>
      <c r="U19" s="85">
        <f>IFERROR(INDEX('SALDO DIARIO'!$B:$B,MATCH($A19,'SALDO DIARIO'!$A:$A,0)),0)</f>
        <v>64</v>
      </c>
      <c r="V19" s="85">
        <f>IFERROR(INDEX('SALDO DIARIO'!$C:$C,MATCH($A19,'SALDO DIARIO'!$A:$A,0)),0)</f>
        <v>11</v>
      </c>
      <c r="W19" s="85">
        <f>IFERROR(INDEX('SALDO DIARIO'!$D:$D,MATCH($A19,'SALDO DIARIO'!$A:$A,0)),0)</f>
        <v>12</v>
      </c>
      <c r="X19" s="85">
        <f>IFERROR(INDEX('SALDO DIARIO'!$E:$E,MATCH($A19,'SALDO DIARIO'!$A:$A,0)),0)</f>
        <v>55</v>
      </c>
      <c r="Y19" s="85">
        <f>IFERROR(INDEX('SALDO DIARIO'!$G:$G,MATCH($A19,'SALDO DIARIO'!$A:$A,0)),0)</f>
        <v>142</v>
      </c>
      <c r="Z19" s="80">
        <f>SUMIFS(MOVIMIENTOS!$E:$E,MOVIMIENTOS!$A:$A,$A19,MOVIMIENTOS!$B:$B,"PROCESO",MOVIMIENTOS!$C:$C,"Chancho")</f>
        <v>10</v>
      </c>
      <c r="AA19" s="81">
        <f>SUMIFS(MOVIMIENTOS!$F:$F,MOVIMIENTOS!$A:$A,$A19,MOVIMIENTOS!$B:$B,"PROCESO",MOVIMIENTOS!$C:$C,"Chancho")</f>
        <v>970</v>
      </c>
      <c r="AB19" s="80">
        <f>SUMIFS(MOVIMIENTOS!$E:$E,MOVIMIENTOS!$A:$A,$A19,MOVIMIENTOS!$B:$B,"VENTA CHANCHO",MOVIMIENTOS!$C:$C,"Chancho")</f>
        <v>0</v>
      </c>
      <c r="AC19" s="81">
        <f>SUMIFS(MOVIMIENTOS!$F:$F,MOVIMIENTOS!$A:$A,$A19,MOVIMIENTOS!$B:$B,"VENTA CHANCHO",MOVIMIENTOS!$C:$C,"Chancho")</f>
        <v>0</v>
      </c>
      <c r="AD19" s="80" t="str">
        <f>IFERROR(LOOKUP(2,1/((MOVIMIENTOS!$A$5:$A$1017=$A19)*(MOVIMIENTOS!$B$5:$B$1017="VENTA CHANCHO")*(MOVIMIENTOS!$C$5:$C$1017="Chancho")*(MOVIMIENTOS!$G$5:$G$1017&lt;&gt;"")),MOVIMIENTOS!$G$5:$G$1017),IFERROR(LOOKUP(2,1/((MOVIMIENTOS!$A$5:$A$1017=$A19)*(MOVIMIENTOS!$B$5:$B$1017="VENTA CHANCHO")*(MOVIMIENTOS!$C$5:$C$1017="Chancho")*(MOVIMIENTOS!$H$5:$H$1017&lt;&gt;"")),MOVIMIENTOS!$H$5:$H$1017),""))</f>
        <v/>
      </c>
      <c r="AE19" s="85">
        <f>IFERROR(INDEX('SALDO DIARIO'!$F:$F,MATCH($A19,'SALDO DIARIO'!$A:$A,0)),0)</f>
        <v>15</v>
      </c>
      <c r="AF19" s="81">
        <f t="shared" si="3"/>
        <v>-94</v>
      </c>
      <c r="AG19" s="82">
        <f t="shared" si="4"/>
        <v>-2.9</v>
      </c>
      <c r="AI19" s="83">
        <f t="shared" si="5"/>
        <v>46221</v>
      </c>
      <c r="AJ19" s="81">
        <f t="shared" si="6"/>
        <v>3201</v>
      </c>
      <c r="AK19" s="81">
        <f t="shared" si="7"/>
        <v>2325</v>
      </c>
      <c r="AL19" s="81">
        <f t="shared" si="8"/>
        <v>3168</v>
      </c>
      <c r="AM19" s="84">
        <f t="shared" si="9"/>
        <v>10</v>
      </c>
      <c r="AN19" s="81">
        <f t="shared" si="10"/>
        <v>970</v>
      </c>
      <c r="AO19" s="81">
        <f t="shared" si="11"/>
        <v>-94</v>
      </c>
      <c r="AP19" s="82">
        <f t="shared" si="12"/>
        <v>-2.9</v>
      </c>
      <c r="AR19" s="80"/>
      <c r="AS19" s="81"/>
      <c r="AT19" s="81"/>
      <c r="AU19" s="81"/>
      <c r="AV19" s="84"/>
      <c r="AW19" s="81"/>
      <c r="AX19" s="81"/>
      <c r="AY19" s="82"/>
    </row>
    <row r="20" spans="1:51" ht="15" customHeight="1" x14ac:dyDescent="0.2">
      <c r="A20" s="78">
        <v>46222</v>
      </c>
      <c r="B20" s="79" t="s">
        <v>220</v>
      </c>
      <c r="C20" s="79" t="s">
        <v>225</v>
      </c>
      <c r="D20" s="80">
        <f>SUMIFS(MOVIMIENTOS!$E:$E,MOVIMIENTOS!$A:$A,$A20,MOVIMIENTOS!$B:$B,"COMPRA")</f>
        <v>17</v>
      </c>
      <c r="E20" s="81">
        <f>SUMIFS(MOVIMIENTOS!$F:$F,MOVIMIENTOS!$A:$A,$A20,MOVIMIENTOS!$B:$B,"COMPRA")</f>
        <v>1649</v>
      </c>
      <c r="F20" s="80">
        <f>SUMIFS(MOVIMIENTOS!$E:$E,MOVIMIENTOS!$A:$A,$A20,MOVIMIENTOS!$B:$B,"PROCESO",MOVIMIENTOS!$C:$C,"A")</f>
        <v>40</v>
      </c>
      <c r="G20" s="80">
        <f>SUMIFS(MOVIMIENTOS!$E:$E,MOVIMIENTOS!$A:$A,$A20,MOVIMIENTOS!$B:$B,"PROCESO",MOVIMIENTOS!$C:$C,"P")</f>
        <v>0</v>
      </c>
      <c r="H20" s="80">
        <f>SUMIFS(MOVIMIENTOS!$E:$E,MOVIMIENTOS!$A:$A,$A20,MOVIMIENTOS!$B:$B,"PROCESO",MOVIMIENTOS!$C:$C,"C")</f>
        <v>0</v>
      </c>
      <c r="I20" s="80">
        <f>SUMIFS(MOVIMIENTOS!$E:$E,MOVIMIENTOS!$A:$A,$A20,MOVIMIENTOS!$B:$B,"PROCESO",MOVIMIENTOS!$C:$C,"M")</f>
        <v>34</v>
      </c>
      <c r="J20" s="80">
        <f t="shared" si="0"/>
        <v>74</v>
      </c>
      <c r="K20" s="81">
        <f t="shared" si="1"/>
        <v>1178</v>
      </c>
      <c r="L20" s="81">
        <f>SUMIFS(MOVIMIENTOS!$F:$F,MOVIMIENTOS!$A:$A,$A20,MOVIMIENTOS!$B:$B,"REPROCESO")</f>
        <v>0</v>
      </c>
      <c r="M20" s="80" t="str">
        <f>TRIM(IF(SUMIFS(MOVIMIENTOS!$E:$E,MOVIMIENTOS!$A:$A,$A20,MOVIMIENTOS!$B:$B,"ENVÍO A SUPESA")&gt;0,"Supesa ","")&amp;IF(SUMIFS(MOVIMIENTOS!$E:$E,MOVIMIENTOS!$A:$A,$A20,MOVIMIENTOS!$B:$B,"ENVÍO A TOTTUS")+SUMIFS(MOVIMIENTOS!$E:$E,MOVIMIENTOS!$A:$A,$A20,MOVIMIENTOS!$B:$B,"ENVIO A TOTTUS")&gt;0,"Tottus",""))</f>
        <v>Supesa</v>
      </c>
      <c r="N20" s="80" t="str">
        <f>IFERROR(IF(LOOKUP(2,1/((MOVIMIENTOS!$A$5:$A$1017=$A20)*((MOVIMIENTOS!$B$5:$B$1017="ENVÍO A SUPESA")+(MOVIMIENTOS!$B$5:$B$1017="ENVÍO A TOTTUS")+(MOVIMIENTOS!$B$5:$B$1017="ENVIO A TOTTUS"))*(MOVIMIENTOS!$G$5:$G$1017&lt;&gt;"")),MOVIMIENTOS!$G$5:$G$1017)&lt;&gt;"","G-"&amp;LOOKUP(2,1/((MOVIMIENTOS!$A$5:$A$1017=$A20)*((MOVIMIENTOS!$B$5:$B$1017="ENVÍO A SUPESA")+(MOVIMIENTOS!$B$5:$B$1017="ENVÍO A TOTTUS")+(MOVIMIENTOS!$B$5:$B$1017="ENVIO A TOTTUS"))*(MOVIMIENTOS!$G$5:$G$1017&lt;&gt;"")),MOVIMIENTOS!$G$5:$G$1017),""),"")</f>
        <v>G-2998</v>
      </c>
      <c r="O20" s="80">
        <f>SUMIFS(MOVIMIENTOS!$E:$E,MOVIMIENTOS!$A:$A,$A20,MOVIMIENTOS!$B:$B,"ENVÍO A SUPESA",MOVIMIENTOS!$C:$C,"A")+SUMIFS(MOVIMIENTOS!$E:$E,MOVIMIENTOS!$A:$A,$A20,MOVIMIENTOS!$B:$B,"ENVÍO A TOTTUS",MOVIMIENTOS!$C:$C,"A")+SUMIFS(MOVIMIENTOS!$E:$E,MOVIMIENTOS!$A:$A,$A20,MOVIMIENTOS!$B:$B,"ENVIO A TOTTUS",MOVIMIENTOS!$C:$C,"A")</f>
        <v>67</v>
      </c>
      <c r="P20" s="80">
        <f>SUMIFS(MOVIMIENTOS!$E:$E,MOVIMIENTOS!$A:$A,$A20,MOVIMIENTOS!$B:$B,"ENVÍO A SUPESA",MOVIMIENTOS!$C:$C,"P")+SUMIFS(MOVIMIENTOS!$E:$E,MOVIMIENTOS!$A:$A,$A20,MOVIMIENTOS!$B:$B,"ENVÍO A TOTTUS",MOVIMIENTOS!$C:$C,"P")+SUMIFS(MOVIMIENTOS!$E:$E,MOVIMIENTOS!$A:$A,$A20,MOVIMIENTOS!$B:$B,"ENVIO A TOTTUS",MOVIMIENTOS!$C:$C,"P")</f>
        <v>11</v>
      </c>
      <c r="Q20" s="80">
        <f>SUMIFS(MOVIMIENTOS!$E:$E,MOVIMIENTOS!$A:$A,$A20,MOVIMIENTOS!$B:$B,"ENVÍO A SUPESA",MOVIMIENTOS!$C:$C,"C")+SUMIFS(MOVIMIENTOS!$E:$E,MOVIMIENTOS!$A:$A,$A20,MOVIMIENTOS!$B:$B,"ENVÍO A TOTTUS",MOVIMIENTOS!$C:$C,"C")+SUMIFS(MOVIMIENTOS!$E:$E,MOVIMIENTOS!$A:$A,$A20,MOVIMIENTOS!$B:$B,"ENVIO A TOTTUS",MOVIMIENTOS!$C:$C,"C")</f>
        <v>12</v>
      </c>
      <c r="R20" s="80">
        <f>SUMIFS(MOVIMIENTOS!$E:$E,MOVIMIENTOS!$A:$A,$A20,MOVIMIENTOS!$B:$B,"ENVÍO A SUPESA",MOVIMIENTOS!$C:$C,"M")+SUMIFS(MOVIMIENTOS!$E:$E,MOVIMIENTOS!$A:$A,$A20,MOVIMIENTOS!$B:$B,"ENVÍO A TOTTUS",MOVIMIENTOS!$C:$C,"M")+SUMIFS(MOVIMIENTOS!$E:$E,MOVIMIENTOS!$A:$A,$A20,MOVIMIENTOS!$B:$B,"ENVIO A TOTTUS",MOVIMIENTOS!$C:$C,"M")</f>
        <v>28</v>
      </c>
      <c r="S20" s="80">
        <f t="shared" si="2"/>
        <v>118</v>
      </c>
      <c r="T20" s="81">
        <f>SUMIFS(MOVIMIENTOS!$F:$F,MOVIMIENTOS!$A:$A,$A20,MOVIMIENTOS!$B:$B,"ENVÍO A SUPESA",MOVIMIENTOS!$C:$C,"&lt;&gt;Chancho")+SUMIFS(MOVIMIENTOS!$F:$F,MOVIMIENTOS!$A:$A,$A20,MOVIMIENTOS!$B:$B,"ENVÍO A TOTTUS",MOVIMIENTOS!$C:$C,"&lt;&gt;Chancho")+SUMIFS(MOVIMIENTOS!$F:$F,MOVIMIENTOS!$A:$A,$A20,MOVIMIENTOS!$B:$B,"ENVIO A TOTTUS",MOVIMIENTOS!$C:$C,"&lt;&gt;Chancho")</f>
        <v>1883</v>
      </c>
      <c r="U20" s="85">
        <f>IFERROR(INDEX('SALDO DIARIO'!$B:$B,MATCH($A20,'SALDO DIARIO'!$A:$A,0)),0)</f>
        <v>37</v>
      </c>
      <c r="V20" s="85">
        <f>IFERROR(INDEX('SALDO DIARIO'!$C:$C,MATCH($A20,'SALDO DIARIO'!$A:$A,0)),0)</f>
        <v>0</v>
      </c>
      <c r="W20" s="85">
        <f>IFERROR(INDEX('SALDO DIARIO'!$D:$D,MATCH($A20,'SALDO DIARIO'!$A:$A,0)),0)</f>
        <v>0</v>
      </c>
      <c r="X20" s="85">
        <f>IFERROR(INDEX('SALDO DIARIO'!$E:$E,MATCH($A20,'SALDO DIARIO'!$A:$A,0)),0)</f>
        <v>61</v>
      </c>
      <c r="Y20" s="85">
        <f>IFERROR(INDEX('SALDO DIARIO'!$G:$G,MATCH($A20,'SALDO DIARIO'!$A:$A,0)),0)</f>
        <v>98</v>
      </c>
      <c r="Z20" s="80">
        <f>SUMIFS(MOVIMIENTOS!$E:$E,MOVIMIENTOS!$A:$A,$A20,MOVIMIENTOS!$B:$B,"PROCESO",MOVIMIENTOS!$C:$C,"Chancho")</f>
        <v>3</v>
      </c>
      <c r="AA20" s="81">
        <f>SUMIFS(MOVIMIENTOS!$F:$F,MOVIMIENTOS!$A:$A,$A20,MOVIMIENTOS!$B:$B,"PROCESO",MOVIMIENTOS!$C:$C,"Chancho")</f>
        <v>291</v>
      </c>
      <c r="AB20" s="80">
        <f>SUMIFS(MOVIMIENTOS!$E:$E,MOVIMIENTOS!$A:$A,$A20,MOVIMIENTOS!$B:$B,"VENTA CHANCHO",MOVIMIENTOS!$C:$C,"Chancho")</f>
        <v>0</v>
      </c>
      <c r="AC20" s="81">
        <f>SUMIFS(MOVIMIENTOS!$F:$F,MOVIMIENTOS!$A:$A,$A20,MOVIMIENTOS!$B:$B,"VENTA CHANCHO",MOVIMIENTOS!$C:$C,"Chancho")</f>
        <v>0</v>
      </c>
      <c r="AD20" s="80" t="str">
        <f>IFERROR(LOOKUP(2,1/((MOVIMIENTOS!$A$5:$A$1017=$A20)*(MOVIMIENTOS!$B$5:$B$1017="VENTA CHANCHO")*(MOVIMIENTOS!$C$5:$C$1017="Chancho")*(MOVIMIENTOS!$G$5:$G$1017&lt;&gt;"")),MOVIMIENTOS!$G$5:$G$1017),IFERROR(LOOKUP(2,1/((MOVIMIENTOS!$A$5:$A$1017=$A20)*(MOVIMIENTOS!$B$5:$B$1017="VENTA CHANCHO")*(MOVIMIENTOS!$C$5:$C$1017="Chancho")*(MOVIMIENTOS!$H$5:$H$1017&lt;&gt;"")),MOVIMIENTOS!$H$5:$H$1017),""))</f>
        <v/>
      </c>
      <c r="AE20" s="85">
        <f>IFERROR(INDEX('SALDO DIARIO'!$F:$F,MATCH($A20,'SALDO DIARIO'!$A:$A,0)),0)</f>
        <v>18</v>
      </c>
      <c r="AF20" s="81">
        <f t="shared" si="3"/>
        <v>180</v>
      </c>
      <c r="AG20" s="82">
        <f t="shared" si="4"/>
        <v>10.9</v>
      </c>
      <c r="AI20" s="83">
        <f t="shared" si="5"/>
        <v>46222</v>
      </c>
      <c r="AJ20" s="81">
        <f t="shared" si="6"/>
        <v>1649</v>
      </c>
      <c r="AK20" s="81">
        <f t="shared" si="7"/>
        <v>1178</v>
      </c>
      <c r="AL20" s="81">
        <f t="shared" si="8"/>
        <v>1883</v>
      </c>
      <c r="AM20" s="84">
        <f t="shared" si="9"/>
        <v>3</v>
      </c>
      <c r="AN20" s="81">
        <f t="shared" si="10"/>
        <v>291</v>
      </c>
      <c r="AO20" s="81">
        <f t="shared" si="11"/>
        <v>180</v>
      </c>
      <c r="AP20" s="82">
        <f t="shared" si="12"/>
        <v>10.9</v>
      </c>
      <c r="AR20" s="80"/>
      <c r="AS20" s="81"/>
      <c r="AT20" s="81"/>
      <c r="AU20" s="81"/>
      <c r="AV20" s="84"/>
      <c r="AW20" s="81"/>
      <c r="AX20" s="81"/>
      <c r="AY20" s="82"/>
    </row>
    <row r="21" spans="1:51" ht="15" customHeight="1" x14ac:dyDescent="0.2">
      <c r="A21" s="78">
        <v>46223</v>
      </c>
      <c r="B21" s="79" t="s">
        <v>222</v>
      </c>
      <c r="C21" s="79" t="s">
        <v>225</v>
      </c>
      <c r="D21" s="80">
        <f>SUMIFS(MOVIMIENTOS!$E:$E,MOVIMIENTOS!$A:$A,$A21,MOVIMIENTOS!$B:$B,"COMPRA")</f>
        <v>48</v>
      </c>
      <c r="E21" s="81">
        <f>SUMIFS(MOVIMIENTOS!$F:$F,MOVIMIENTOS!$A:$A,$A21,MOVIMIENTOS!$B:$B,"COMPRA")</f>
        <v>4656</v>
      </c>
      <c r="F21" s="80">
        <f>SUMIFS(MOVIMIENTOS!$E:$E,MOVIMIENTOS!$A:$A,$A21,MOVIMIENTOS!$B:$B,"PROCESO",MOVIMIENTOS!$C:$C,"A")</f>
        <v>68</v>
      </c>
      <c r="G21" s="80">
        <f>SUMIFS(MOVIMIENTOS!$E:$E,MOVIMIENTOS!$A:$A,$A21,MOVIMIENTOS!$B:$B,"PROCESO",MOVIMIENTOS!$C:$C,"P")</f>
        <v>23</v>
      </c>
      <c r="H21" s="80">
        <f>SUMIFS(MOVIMIENTOS!$E:$E,MOVIMIENTOS!$A:$A,$A21,MOVIMIENTOS!$B:$B,"PROCESO",MOVIMIENTOS!$C:$C,"C")</f>
        <v>23</v>
      </c>
      <c r="I21" s="80">
        <f>SUMIFS(MOVIMIENTOS!$E:$E,MOVIMIENTOS!$A:$A,$A21,MOVIMIENTOS!$B:$B,"PROCESO",MOVIMIENTOS!$C:$C,"M")</f>
        <v>129</v>
      </c>
      <c r="J21" s="80">
        <f t="shared" si="0"/>
        <v>243</v>
      </c>
      <c r="K21" s="81">
        <f t="shared" si="1"/>
        <v>4018</v>
      </c>
      <c r="L21" s="81">
        <f>SUMIFS(MOVIMIENTOS!$F:$F,MOVIMIENTOS!$A:$A,$A21,MOVIMIENTOS!$B:$B,"REPROCESO")</f>
        <v>0</v>
      </c>
      <c r="M21" s="80" t="str">
        <f>TRIM(IF(SUMIFS(MOVIMIENTOS!$E:$E,MOVIMIENTOS!$A:$A,$A21,MOVIMIENTOS!$B:$B,"ENVÍO A SUPESA")&gt;0,"Supesa ","")&amp;IF(SUMIFS(MOVIMIENTOS!$E:$E,MOVIMIENTOS!$A:$A,$A21,MOVIMIENTOS!$B:$B,"ENVÍO A TOTTUS")+SUMIFS(MOVIMIENTOS!$E:$E,MOVIMIENTOS!$A:$A,$A21,MOVIMIENTOS!$B:$B,"ENVIO A TOTTUS")&gt;0,"Tottus",""))</f>
        <v>Supesa</v>
      </c>
      <c r="N21" s="80" t="str">
        <f>IFERROR(IF(LOOKUP(2,1/((MOVIMIENTOS!$A$5:$A$1017=$A21)*((MOVIMIENTOS!$B$5:$B$1017="ENVÍO A SUPESA")+(MOVIMIENTOS!$B$5:$B$1017="ENVÍO A TOTTUS")+(MOVIMIENTOS!$B$5:$B$1017="ENVIO A TOTTUS"))*(MOVIMIENTOS!$G$5:$G$1017&lt;&gt;"")),MOVIMIENTOS!$G$5:$G$1017)&lt;&gt;"","G-"&amp;LOOKUP(2,1/((MOVIMIENTOS!$A$5:$A$1017=$A21)*((MOVIMIENTOS!$B$5:$B$1017="ENVÍO A SUPESA")+(MOVIMIENTOS!$B$5:$B$1017="ENVÍO A TOTTUS")+(MOVIMIENTOS!$B$5:$B$1017="ENVIO A TOTTUS"))*(MOVIMIENTOS!$G$5:$G$1017&lt;&gt;"")),MOVIMIENTOS!$G$5:$G$1017),""),"")</f>
        <v>G-3001</v>
      </c>
      <c r="O21" s="80">
        <f>SUMIFS(MOVIMIENTOS!$E:$E,MOVIMIENTOS!$A:$A,$A21,MOVIMIENTOS!$B:$B,"ENVÍO A SUPESA",MOVIMIENTOS!$C:$C,"A")+SUMIFS(MOVIMIENTOS!$E:$E,MOVIMIENTOS!$A:$A,$A21,MOVIMIENTOS!$B:$B,"ENVÍO A TOTTUS",MOVIMIENTOS!$C:$C,"A")+SUMIFS(MOVIMIENTOS!$E:$E,MOVIMIENTOS!$A:$A,$A21,MOVIMIENTOS!$B:$B,"ENVIO A TOTTUS",MOVIMIENTOS!$C:$C,"A")</f>
        <v>67</v>
      </c>
      <c r="P21" s="80">
        <f>SUMIFS(MOVIMIENTOS!$E:$E,MOVIMIENTOS!$A:$A,$A21,MOVIMIENTOS!$B:$B,"ENVÍO A SUPESA",MOVIMIENTOS!$C:$C,"P")+SUMIFS(MOVIMIENTOS!$E:$E,MOVIMIENTOS!$A:$A,$A21,MOVIMIENTOS!$B:$B,"ENVÍO A TOTTUS",MOVIMIENTOS!$C:$C,"P")+SUMIFS(MOVIMIENTOS!$E:$E,MOVIMIENTOS!$A:$A,$A21,MOVIMIENTOS!$B:$B,"ENVIO A TOTTUS",MOVIMIENTOS!$C:$C,"P")</f>
        <v>11</v>
      </c>
      <c r="Q21" s="80">
        <f>SUMIFS(MOVIMIENTOS!$E:$E,MOVIMIENTOS!$A:$A,$A21,MOVIMIENTOS!$B:$B,"ENVÍO A SUPESA",MOVIMIENTOS!$C:$C,"C")+SUMIFS(MOVIMIENTOS!$E:$E,MOVIMIENTOS!$A:$A,$A21,MOVIMIENTOS!$B:$B,"ENVÍO A TOTTUS",MOVIMIENTOS!$C:$C,"C")+SUMIFS(MOVIMIENTOS!$E:$E,MOVIMIENTOS!$A:$A,$A21,MOVIMIENTOS!$B:$B,"ENVIO A TOTTUS",MOVIMIENTOS!$C:$C,"C")</f>
        <v>12</v>
      </c>
      <c r="R21" s="80">
        <f>SUMIFS(MOVIMIENTOS!$E:$E,MOVIMIENTOS!$A:$A,$A21,MOVIMIENTOS!$B:$B,"ENVÍO A SUPESA",MOVIMIENTOS!$C:$C,"M")+SUMIFS(MOVIMIENTOS!$E:$E,MOVIMIENTOS!$A:$A,$A21,MOVIMIENTOS!$B:$B,"ENVÍO A TOTTUS",MOVIMIENTOS!$C:$C,"M")+SUMIFS(MOVIMIENTOS!$E:$E,MOVIMIENTOS!$A:$A,$A21,MOVIMIENTOS!$B:$B,"ENVIO A TOTTUS",MOVIMIENTOS!$C:$C,"M")</f>
        <v>111</v>
      </c>
      <c r="S21" s="80">
        <f t="shared" si="2"/>
        <v>201</v>
      </c>
      <c r="T21" s="81">
        <f>SUMIFS(MOVIMIENTOS!$F:$F,MOVIMIENTOS!$A:$A,$A21,MOVIMIENTOS!$B:$B,"ENVÍO A SUPESA",MOVIMIENTOS!$C:$C,"&lt;&gt;Chancho")+SUMIFS(MOVIMIENTOS!$F:$F,MOVIMIENTOS!$A:$A,$A21,MOVIMIENTOS!$B:$B,"ENVÍO A TOTTUS",MOVIMIENTOS!$C:$C,"&lt;&gt;Chancho")+SUMIFS(MOVIMIENTOS!$F:$F,MOVIMIENTOS!$A:$A,$A21,MOVIMIENTOS!$B:$B,"ENVIO A TOTTUS",MOVIMIENTOS!$C:$C,"&lt;&gt;Chancho")</f>
        <v>3294</v>
      </c>
      <c r="U21" s="85">
        <f>IFERROR(INDEX('SALDO DIARIO'!$B:$B,MATCH($A21,'SALDO DIARIO'!$A:$A,0)),0)</f>
        <v>38</v>
      </c>
      <c r="V21" s="85">
        <f>IFERROR(INDEX('SALDO DIARIO'!$C:$C,MATCH($A21,'SALDO DIARIO'!$A:$A,0)),0)</f>
        <v>11</v>
      </c>
      <c r="W21" s="85">
        <f>IFERROR(INDEX('SALDO DIARIO'!$D:$D,MATCH($A21,'SALDO DIARIO'!$A:$A,0)),0)</f>
        <v>10</v>
      </c>
      <c r="X21" s="85">
        <f>IFERROR(INDEX('SALDO DIARIO'!$E:$E,MATCH($A21,'SALDO DIARIO'!$A:$A,0)),0)</f>
        <v>79</v>
      </c>
      <c r="Y21" s="85">
        <f>IFERROR(INDEX('SALDO DIARIO'!$G:$G,MATCH($A21,'SALDO DIARIO'!$A:$A,0)),0)</f>
        <v>138</v>
      </c>
      <c r="Z21" s="80">
        <f>SUMIFS(MOVIMIENTOS!$E:$E,MOVIMIENTOS!$A:$A,$A21,MOVIMIENTOS!$B:$B,"PROCESO",MOVIMIENTOS!$C:$C,"Chancho")</f>
        <v>6.5</v>
      </c>
      <c r="AA21" s="81">
        <f>SUMIFS(MOVIMIENTOS!$F:$F,MOVIMIENTOS!$A:$A,$A21,MOVIMIENTOS!$B:$B,"PROCESO",MOVIMIENTOS!$C:$C,"Chancho")</f>
        <v>630.5</v>
      </c>
      <c r="AB21" s="80">
        <f>SUMIFS(MOVIMIENTOS!$E:$E,MOVIMIENTOS!$A:$A,$A21,MOVIMIENTOS!$B:$B,"VENTA CHANCHO",MOVIMIENTOS!$C:$C,"Chancho")</f>
        <v>18</v>
      </c>
      <c r="AC21" s="81">
        <f>SUMIFS(MOVIMIENTOS!$F:$F,MOVIMIENTOS!$A:$A,$A21,MOVIMIENTOS!$B:$B,"VENTA CHANCHO",MOVIMIENTOS!$C:$C,"Chancho")</f>
        <v>1746</v>
      </c>
      <c r="AD21" s="80" t="str">
        <f>IFERROR(LOOKUP(2,1/((MOVIMIENTOS!$A$5:$A$1017=$A21)*(MOVIMIENTOS!$B$5:$B$1017="VENTA CHANCHO")*(MOVIMIENTOS!$C$5:$C$1017="Chancho")*(MOVIMIENTOS!$G$5:$G$1017&lt;&gt;"")),MOVIMIENTOS!$G$5:$G$1017),IFERROR(LOOKUP(2,1/((MOVIMIENTOS!$A$5:$A$1017=$A21)*(MOVIMIENTOS!$B$5:$B$1017="VENTA CHANCHO")*(MOVIMIENTOS!$C$5:$C$1017="Chancho")*(MOVIMIENTOS!$H$5:$H$1017&lt;&gt;"")),MOVIMIENTOS!$H$5:$H$1017),""))</f>
        <v>TCK002-726</v>
      </c>
      <c r="AE21" s="85">
        <f>IFERROR(INDEX('SALDO DIARIO'!$F:$F,MATCH($A21,'SALDO DIARIO'!$A:$A,0)),0)</f>
        <v>6.5</v>
      </c>
      <c r="AF21" s="81">
        <f t="shared" si="3"/>
        <v>7.5</v>
      </c>
      <c r="AG21" s="82">
        <f t="shared" si="4"/>
        <v>0.2</v>
      </c>
      <c r="AI21" s="83">
        <f t="shared" si="5"/>
        <v>46223</v>
      </c>
      <c r="AJ21" s="81">
        <f t="shared" si="6"/>
        <v>4656</v>
      </c>
      <c r="AK21" s="81">
        <f t="shared" si="7"/>
        <v>4018</v>
      </c>
      <c r="AL21" s="81">
        <f t="shared" si="8"/>
        <v>3294</v>
      </c>
      <c r="AM21" s="84">
        <f t="shared" si="9"/>
        <v>6.5</v>
      </c>
      <c r="AN21" s="81">
        <f t="shared" si="10"/>
        <v>630.5</v>
      </c>
      <c r="AO21" s="81">
        <f t="shared" si="11"/>
        <v>7.5</v>
      </c>
      <c r="AP21" s="82">
        <f t="shared" si="12"/>
        <v>0.2</v>
      </c>
      <c r="AR21" s="80"/>
      <c r="AS21" s="81"/>
      <c r="AT21" s="81"/>
      <c r="AU21" s="81"/>
      <c r="AV21" s="84"/>
      <c r="AW21" s="81"/>
      <c r="AX21" s="81"/>
      <c r="AY21" s="82"/>
    </row>
    <row r="22" spans="1:51" ht="15" customHeight="1" x14ac:dyDescent="0.2">
      <c r="A22" s="78">
        <v>46224</v>
      </c>
      <c r="B22" s="79" t="s">
        <v>224</v>
      </c>
      <c r="C22" s="79" t="s">
        <v>225</v>
      </c>
      <c r="D22" s="80">
        <f>SUMIFS(MOVIMIENTOS!$E:$E,MOVIMIENTOS!$A:$A,$A22,MOVIMIENTOS!$B:$B,"COMPRA")</f>
        <v>22</v>
      </c>
      <c r="E22" s="81">
        <f>SUMIFS(MOVIMIENTOS!$F:$F,MOVIMIENTOS!$A:$A,$A22,MOVIMIENTOS!$B:$B,"COMPRA")</f>
        <v>2134</v>
      </c>
      <c r="F22" s="80">
        <f>SUMIFS(MOVIMIENTOS!$E:$E,MOVIMIENTOS!$A:$A,$A22,MOVIMIENTOS!$B:$B,"PROCESO",MOVIMIENTOS!$C:$C,"A")</f>
        <v>90</v>
      </c>
      <c r="G22" s="80">
        <f>SUMIFS(MOVIMIENTOS!$E:$E,MOVIMIENTOS!$A:$A,$A22,MOVIMIENTOS!$B:$B,"PROCESO",MOVIMIENTOS!$C:$C,"P")</f>
        <v>11</v>
      </c>
      <c r="H22" s="80">
        <f>SUMIFS(MOVIMIENTOS!$E:$E,MOVIMIENTOS!$A:$A,$A22,MOVIMIENTOS!$B:$B,"PROCESO",MOVIMIENTOS!$C:$C,"C")</f>
        <v>12</v>
      </c>
      <c r="I22" s="80">
        <f>SUMIFS(MOVIMIENTOS!$E:$E,MOVIMIENTOS!$A:$A,$A22,MOVIMIENTOS!$B:$B,"PROCESO",MOVIMIENTOS!$C:$C,"M")</f>
        <v>144</v>
      </c>
      <c r="J22" s="80">
        <f t="shared" si="0"/>
        <v>257</v>
      </c>
      <c r="K22" s="81">
        <f t="shared" si="1"/>
        <v>4200</v>
      </c>
      <c r="L22" s="81">
        <f>SUMIFS(MOVIMIENTOS!$F:$F,MOVIMIENTOS!$A:$A,$A22,MOVIMIENTOS!$B:$B,"REPROCESO")</f>
        <v>17</v>
      </c>
      <c r="M22" s="80" t="str">
        <f>TRIM(IF(SUMIFS(MOVIMIENTOS!$E:$E,MOVIMIENTOS!$A:$A,$A22,MOVIMIENTOS!$B:$B,"ENVÍO A SUPESA")&gt;0,"Supesa ","")&amp;IF(SUMIFS(MOVIMIENTOS!$E:$E,MOVIMIENTOS!$A:$A,$A22,MOVIMIENTOS!$B:$B,"ENVÍO A TOTTUS")+SUMIFS(MOVIMIENTOS!$E:$E,MOVIMIENTOS!$A:$A,$A22,MOVIMIENTOS!$B:$B,"ENVIO A TOTTUS")&gt;0,"Tottus",""))</f>
        <v>Supesa</v>
      </c>
      <c r="N22" s="80" t="str">
        <f>IFERROR(IF(LOOKUP(2,1/((MOVIMIENTOS!$A$5:$A$1017=$A22)*((MOVIMIENTOS!$B$5:$B$1017="ENVÍO A SUPESA")+(MOVIMIENTOS!$B$5:$B$1017="ENVÍO A TOTTUS")+(MOVIMIENTOS!$B$5:$B$1017="ENVIO A TOTTUS"))*(MOVIMIENTOS!$G$5:$G$1017&lt;&gt;"")),MOVIMIENTOS!$G$5:$G$1017)&lt;&gt;"","G-"&amp;LOOKUP(2,1/((MOVIMIENTOS!$A$5:$A$1017=$A22)*((MOVIMIENTOS!$B$5:$B$1017="ENVÍO A SUPESA")+(MOVIMIENTOS!$B$5:$B$1017="ENVÍO A TOTTUS")+(MOVIMIENTOS!$B$5:$B$1017="ENVIO A TOTTUS"))*(MOVIMIENTOS!$G$5:$G$1017&lt;&gt;"")),MOVIMIENTOS!$G$5:$G$1017),""),"")</f>
        <v>G-3004</v>
      </c>
      <c r="O22" s="80">
        <f>SUMIFS(MOVIMIENTOS!$E:$E,MOVIMIENTOS!$A:$A,$A22,MOVIMIENTOS!$B:$B,"ENVÍO A SUPESA",MOVIMIENTOS!$C:$C,"A")+SUMIFS(MOVIMIENTOS!$E:$E,MOVIMIENTOS!$A:$A,$A22,MOVIMIENTOS!$B:$B,"ENVÍO A TOTTUS",MOVIMIENTOS!$C:$C,"A")+SUMIFS(MOVIMIENTOS!$E:$E,MOVIMIENTOS!$A:$A,$A22,MOVIMIENTOS!$B:$B,"ENVIO A TOTTUS",MOVIMIENTOS!$C:$C,"A")</f>
        <v>67</v>
      </c>
      <c r="P22" s="80">
        <f>SUMIFS(MOVIMIENTOS!$E:$E,MOVIMIENTOS!$A:$A,$A22,MOVIMIENTOS!$B:$B,"ENVÍO A SUPESA",MOVIMIENTOS!$C:$C,"P")+SUMIFS(MOVIMIENTOS!$E:$E,MOVIMIENTOS!$A:$A,$A22,MOVIMIENTOS!$B:$B,"ENVÍO A TOTTUS",MOVIMIENTOS!$C:$C,"P")+SUMIFS(MOVIMIENTOS!$E:$E,MOVIMIENTOS!$A:$A,$A22,MOVIMIENTOS!$B:$B,"ENVIO A TOTTUS",MOVIMIENTOS!$C:$C,"P")</f>
        <v>11</v>
      </c>
      <c r="Q22" s="80">
        <f>SUMIFS(MOVIMIENTOS!$E:$E,MOVIMIENTOS!$A:$A,$A22,MOVIMIENTOS!$B:$B,"ENVÍO A SUPESA",MOVIMIENTOS!$C:$C,"C")+SUMIFS(MOVIMIENTOS!$E:$E,MOVIMIENTOS!$A:$A,$A22,MOVIMIENTOS!$B:$B,"ENVÍO A TOTTUS",MOVIMIENTOS!$C:$C,"C")+SUMIFS(MOVIMIENTOS!$E:$E,MOVIMIENTOS!$A:$A,$A22,MOVIMIENTOS!$B:$B,"ENVIO A TOTTUS",MOVIMIENTOS!$C:$C,"C")</f>
        <v>10</v>
      </c>
      <c r="R22" s="80">
        <f>SUMIFS(MOVIMIENTOS!$E:$E,MOVIMIENTOS!$A:$A,$A22,MOVIMIENTOS!$B:$B,"ENVÍO A SUPESA",MOVIMIENTOS!$C:$C,"M")+SUMIFS(MOVIMIENTOS!$E:$E,MOVIMIENTOS!$A:$A,$A22,MOVIMIENTOS!$B:$B,"ENVÍO A TOTTUS",MOVIMIENTOS!$C:$C,"M")+SUMIFS(MOVIMIENTOS!$E:$E,MOVIMIENTOS!$A:$A,$A22,MOVIMIENTOS!$B:$B,"ENVIO A TOTTUS",MOVIMIENTOS!$C:$C,"M")</f>
        <v>111</v>
      </c>
      <c r="S22" s="80">
        <f t="shared" si="2"/>
        <v>199</v>
      </c>
      <c r="T22" s="81">
        <f>SUMIFS(MOVIMIENTOS!$F:$F,MOVIMIENTOS!$A:$A,$A22,MOVIMIENTOS!$B:$B,"ENVÍO A SUPESA",MOVIMIENTOS!$C:$C,"&lt;&gt;Chancho")+SUMIFS(MOVIMIENTOS!$F:$F,MOVIMIENTOS!$A:$A,$A22,MOVIMIENTOS!$B:$B,"ENVÍO A TOTTUS",MOVIMIENTOS!$C:$C,"&lt;&gt;Chancho")+SUMIFS(MOVIMIENTOS!$F:$F,MOVIMIENTOS!$A:$A,$A22,MOVIMIENTOS!$B:$B,"ENVIO A TOTTUS",MOVIMIENTOS!$C:$C,"&lt;&gt;Chancho")</f>
        <v>3260</v>
      </c>
      <c r="U22" s="85">
        <f>IFERROR(INDEX('SALDO DIARIO'!$B:$B,MATCH($A22,'SALDO DIARIO'!$A:$A,0)),0)</f>
        <v>60</v>
      </c>
      <c r="V22" s="85">
        <f>IFERROR(INDEX('SALDO DIARIO'!$C:$C,MATCH($A22,'SALDO DIARIO'!$A:$A,0)),0)</f>
        <v>11</v>
      </c>
      <c r="W22" s="85">
        <f>IFERROR(INDEX('SALDO DIARIO'!$D:$D,MATCH($A22,'SALDO DIARIO'!$A:$A,0)),0)</f>
        <v>12</v>
      </c>
      <c r="X22" s="85">
        <f>IFERROR(INDEX('SALDO DIARIO'!$E:$E,MATCH($A22,'SALDO DIARIO'!$A:$A,0)),0)</f>
        <v>111</v>
      </c>
      <c r="Y22" s="85">
        <f>IFERROR(INDEX('SALDO DIARIO'!$G:$G,MATCH($A22,'SALDO DIARIO'!$A:$A,0)),0)</f>
        <v>194</v>
      </c>
      <c r="Z22" s="80">
        <f>SUMIFS(MOVIMIENTOS!$E:$E,MOVIMIENTOS!$A:$A,$A22,MOVIMIENTOS!$B:$B,"PROCESO",MOVIMIENTOS!$C:$C,"Chancho")</f>
        <v>7</v>
      </c>
      <c r="AA22" s="81">
        <f>SUMIFS(MOVIMIENTOS!$F:$F,MOVIMIENTOS!$A:$A,$A22,MOVIMIENTOS!$B:$B,"PROCESO",MOVIMIENTOS!$C:$C,"Chancho")</f>
        <v>679</v>
      </c>
      <c r="AB22" s="80">
        <f>SUMIFS(MOVIMIENTOS!$E:$E,MOVIMIENTOS!$A:$A,$A22,MOVIMIENTOS!$B:$B,"VENTA CHANCHO",MOVIMIENTOS!$C:$C,"Chancho")</f>
        <v>0</v>
      </c>
      <c r="AC22" s="81">
        <f>SUMIFS(MOVIMIENTOS!$F:$F,MOVIMIENTOS!$A:$A,$A22,MOVIMIENTOS!$B:$B,"VENTA CHANCHO",MOVIMIENTOS!$C:$C,"Chancho")</f>
        <v>0</v>
      </c>
      <c r="AD22" s="80" t="str">
        <f>IFERROR(LOOKUP(2,1/((MOVIMIENTOS!$A$5:$A$1017=$A22)*(MOVIMIENTOS!$B$5:$B$1017="VENTA CHANCHO")*(MOVIMIENTOS!$C$5:$C$1017="Chancho")*(MOVIMIENTOS!$G$5:$G$1017&lt;&gt;"")),MOVIMIENTOS!$G$5:$G$1017),IFERROR(LOOKUP(2,1/((MOVIMIENTOS!$A$5:$A$1017=$A22)*(MOVIMIENTOS!$B$5:$B$1017="VENTA CHANCHO")*(MOVIMIENTOS!$C$5:$C$1017="Chancho")*(MOVIMIENTOS!$H$5:$H$1017&lt;&gt;"")),MOVIMIENTOS!$H$5:$H$1017),""))</f>
        <v/>
      </c>
      <c r="AE22" s="85">
        <f>IFERROR(INDEX('SALDO DIARIO'!$F:$F,MATCH($A22,'SALDO DIARIO'!$A:$A,0)),0)</f>
        <v>13.5</v>
      </c>
      <c r="AF22" s="81">
        <f t="shared" si="3"/>
        <v>-2745</v>
      </c>
      <c r="AG22" s="82">
        <f t="shared" si="4"/>
        <v>-128.6</v>
      </c>
      <c r="AI22" s="83">
        <f t="shared" si="5"/>
        <v>46224</v>
      </c>
      <c r="AJ22" s="81">
        <f t="shared" si="6"/>
        <v>2134</v>
      </c>
      <c r="AK22" s="81">
        <f t="shared" si="7"/>
        <v>4200</v>
      </c>
      <c r="AL22" s="81">
        <f t="shared" si="8"/>
        <v>3260</v>
      </c>
      <c r="AM22" s="84">
        <f t="shared" si="9"/>
        <v>7</v>
      </c>
      <c r="AN22" s="81">
        <f t="shared" si="10"/>
        <v>679</v>
      </c>
      <c r="AO22" s="81">
        <f t="shared" si="11"/>
        <v>-2745</v>
      </c>
      <c r="AP22" s="82">
        <f t="shared" si="12"/>
        <v>-128.6</v>
      </c>
      <c r="AR22" s="80"/>
      <c r="AS22" s="81"/>
      <c r="AT22" s="81"/>
      <c r="AU22" s="81"/>
      <c r="AV22" s="84"/>
      <c r="AW22" s="81"/>
      <c r="AX22" s="81"/>
      <c r="AY22" s="82"/>
    </row>
    <row r="23" spans="1:51" ht="15" customHeight="1" x14ac:dyDescent="0.2">
      <c r="A23" s="78">
        <v>46225</v>
      </c>
      <c r="B23" s="79" t="s">
        <v>226</v>
      </c>
      <c r="C23" s="79" t="s">
        <v>225</v>
      </c>
      <c r="D23" s="80">
        <f>SUMIFS(MOVIMIENTOS!$E:$E,MOVIMIENTOS!$A:$A,$A23,MOVIMIENTOS!$B:$B,"COMPRA")</f>
        <v>70</v>
      </c>
      <c r="E23" s="81">
        <f>SUMIFS(MOVIMIENTOS!$F:$F,MOVIMIENTOS!$A:$A,$A23,MOVIMIENTOS!$B:$B,"COMPRA")</f>
        <v>6790</v>
      </c>
      <c r="F23" s="80">
        <f>SUMIFS(MOVIMIENTOS!$E:$E,MOVIMIENTOS!$A:$A,$A23,MOVIMIENTOS!$B:$B,"PROCESO",MOVIMIENTOS!$C:$C,"A")</f>
        <v>64</v>
      </c>
      <c r="G23" s="80">
        <f>SUMIFS(MOVIMIENTOS!$E:$E,MOVIMIENTOS!$A:$A,$A23,MOVIMIENTOS!$B:$B,"PROCESO",MOVIMIENTOS!$C:$C,"P")</f>
        <v>11</v>
      </c>
      <c r="H23" s="80">
        <f>SUMIFS(MOVIMIENTOS!$E:$E,MOVIMIENTOS!$A:$A,$A23,MOVIMIENTOS!$B:$B,"PROCESO",MOVIMIENTOS!$C:$C,"C")</f>
        <v>12</v>
      </c>
      <c r="I23" s="80">
        <f>SUMIFS(MOVIMIENTOS!$E:$E,MOVIMIENTOS!$A:$A,$A23,MOVIMIENTOS!$B:$B,"PROCESO",MOVIMIENTOS!$C:$C,"M")</f>
        <v>111</v>
      </c>
      <c r="J23" s="80">
        <f t="shared" si="0"/>
        <v>198</v>
      </c>
      <c r="K23" s="81">
        <f t="shared" si="1"/>
        <v>3249</v>
      </c>
      <c r="L23" s="81">
        <f>SUMIFS(MOVIMIENTOS!$F:$F,MOVIMIENTOS!$A:$A,$A23,MOVIMIENTOS!$B:$B,"REPROCESO")</f>
        <v>9</v>
      </c>
      <c r="M23" s="80" t="str">
        <f>TRIM(IF(SUMIFS(MOVIMIENTOS!$E:$E,MOVIMIENTOS!$A:$A,$A23,MOVIMIENTOS!$B:$B,"ENVÍO A SUPESA")&gt;0,"Supesa ","")&amp;IF(SUMIFS(MOVIMIENTOS!$E:$E,MOVIMIENTOS!$A:$A,$A23,MOVIMIENTOS!$B:$B,"ENVÍO A TOTTUS")+SUMIFS(MOVIMIENTOS!$E:$E,MOVIMIENTOS!$A:$A,$A23,MOVIMIENTOS!$B:$B,"ENVIO A TOTTUS")&gt;0,"Tottus",""))</f>
        <v>Supesa</v>
      </c>
      <c r="N23" s="80" t="str">
        <f>IFERROR(IF(LOOKUP(2,1/((MOVIMIENTOS!$A$5:$A$1017=$A23)*((MOVIMIENTOS!$B$5:$B$1017="ENVÍO A SUPESA")+(MOVIMIENTOS!$B$5:$B$1017="ENVÍO A TOTTUS")+(MOVIMIENTOS!$B$5:$B$1017="ENVIO A TOTTUS"))*(MOVIMIENTOS!$G$5:$G$1017&lt;&gt;"")),MOVIMIENTOS!$G$5:$G$1017)&lt;&gt;"","G-"&amp;LOOKUP(2,1/((MOVIMIENTOS!$A$5:$A$1017=$A23)*((MOVIMIENTOS!$B$5:$B$1017="ENVÍO A SUPESA")+(MOVIMIENTOS!$B$5:$B$1017="ENVÍO A TOTTUS")+(MOVIMIENTOS!$B$5:$B$1017="ENVIO A TOTTUS"))*(MOVIMIENTOS!$G$5:$G$1017&lt;&gt;"")),MOVIMIENTOS!$G$5:$G$1017),""),"")</f>
        <v>G-3006</v>
      </c>
      <c r="O23" s="80">
        <f>SUMIFS(MOVIMIENTOS!$E:$E,MOVIMIENTOS!$A:$A,$A23,MOVIMIENTOS!$B:$B,"ENVÍO A SUPESA",MOVIMIENTOS!$C:$C,"A")+SUMIFS(MOVIMIENTOS!$E:$E,MOVIMIENTOS!$A:$A,$A23,MOVIMIENTOS!$B:$B,"ENVÍO A TOTTUS",MOVIMIENTOS!$C:$C,"A")+SUMIFS(MOVIMIENTOS!$E:$E,MOVIMIENTOS!$A:$A,$A23,MOVIMIENTOS!$B:$B,"ENVIO A TOTTUS",MOVIMIENTOS!$C:$C,"A")</f>
        <v>67</v>
      </c>
      <c r="P23" s="80">
        <f>SUMIFS(MOVIMIENTOS!$E:$E,MOVIMIENTOS!$A:$A,$A23,MOVIMIENTOS!$B:$B,"ENVÍO A SUPESA",MOVIMIENTOS!$C:$C,"P")+SUMIFS(MOVIMIENTOS!$E:$E,MOVIMIENTOS!$A:$A,$A23,MOVIMIENTOS!$B:$B,"ENVÍO A TOTTUS",MOVIMIENTOS!$C:$C,"P")+SUMIFS(MOVIMIENTOS!$E:$E,MOVIMIENTOS!$A:$A,$A23,MOVIMIENTOS!$B:$B,"ENVIO A TOTTUS",MOVIMIENTOS!$C:$C,"P")</f>
        <v>11</v>
      </c>
      <c r="Q23" s="80">
        <f>SUMIFS(MOVIMIENTOS!$E:$E,MOVIMIENTOS!$A:$A,$A23,MOVIMIENTOS!$B:$B,"ENVÍO A SUPESA",MOVIMIENTOS!$C:$C,"C")+SUMIFS(MOVIMIENTOS!$E:$E,MOVIMIENTOS!$A:$A,$A23,MOVIMIENTOS!$B:$B,"ENVÍO A TOTTUS",MOVIMIENTOS!$C:$C,"C")+SUMIFS(MOVIMIENTOS!$E:$E,MOVIMIENTOS!$A:$A,$A23,MOVIMIENTOS!$B:$B,"ENVIO A TOTTUS",MOVIMIENTOS!$C:$C,"C")</f>
        <v>12</v>
      </c>
      <c r="R23" s="80">
        <f>SUMIFS(MOVIMIENTOS!$E:$E,MOVIMIENTOS!$A:$A,$A23,MOVIMIENTOS!$B:$B,"ENVÍO A SUPESA",MOVIMIENTOS!$C:$C,"M")+SUMIFS(MOVIMIENTOS!$E:$E,MOVIMIENTOS!$A:$A,$A23,MOVIMIENTOS!$B:$B,"ENVÍO A TOTTUS",MOVIMIENTOS!$C:$C,"M")+SUMIFS(MOVIMIENTOS!$E:$E,MOVIMIENTOS!$A:$A,$A23,MOVIMIENTOS!$B:$B,"ENVIO A TOTTUS",MOVIMIENTOS!$C:$C,"M")</f>
        <v>111</v>
      </c>
      <c r="S23" s="80">
        <f t="shared" si="2"/>
        <v>201</v>
      </c>
      <c r="T23" s="81">
        <f>SUMIFS(MOVIMIENTOS!$F:$F,MOVIMIENTOS!$A:$A,$A23,MOVIMIENTOS!$B:$B,"ENVÍO A SUPESA",MOVIMIENTOS!$C:$C,"&lt;&gt;Chancho")+SUMIFS(MOVIMIENTOS!$F:$F,MOVIMIENTOS!$A:$A,$A23,MOVIMIENTOS!$B:$B,"ENVÍO A TOTTUS",MOVIMIENTOS!$C:$C,"&lt;&gt;Chancho")+SUMIFS(MOVIMIENTOS!$F:$F,MOVIMIENTOS!$A:$A,$A23,MOVIMIENTOS!$B:$B,"ENVIO A TOTTUS",MOVIMIENTOS!$C:$C,"&lt;&gt;Chancho")</f>
        <v>3294</v>
      </c>
      <c r="U23" s="85">
        <f>IFERROR(INDEX('SALDO DIARIO'!$B:$B,MATCH($A23,'SALDO DIARIO'!$A:$A,0)),0)</f>
        <v>56</v>
      </c>
      <c r="V23" s="85">
        <f>IFERROR(INDEX('SALDO DIARIO'!$C:$C,MATCH($A23,'SALDO DIARIO'!$A:$A,0)),0)</f>
        <v>11</v>
      </c>
      <c r="W23" s="85">
        <f>IFERROR(INDEX('SALDO DIARIO'!$D:$D,MATCH($A23,'SALDO DIARIO'!$A:$A,0)),0)</f>
        <v>12</v>
      </c>
      <c r="X23" s="85">
        <f>IFERROR(INDEX('SALDO DIARIO'!$E:$E,MATCH($A23,'SALDO DIARIO'!$A:$A,0)),0)</f>
        <v>120</v>
      </c>
      <c r="Y23" s="85">
        <f>IFERROR(INDEX('SALDO DIARIO'!$G:$G,MATCH($A23,'SALDO DIARIO'!$A:$A,0)),0)</f>
        <v>199</v>
      </c>
      <c r="Z23" s="80">
        <f>SUMIFS(MOVIMIENTOS!$E:$E,MOVIMIENTOS!$A:$A,$A23,MOVIMIENTOS!$B:$B,"PROCESO",MOVIMIENTOS!$C:$C,"Chancho")</f>
        <v>8</v>
      </c>
      <c r="AA23" s="81">
        <f>SUMIFS(MOVIMIENTOS!$F:$F,MOVIMIENTOS!$A:$A,$A23,MOVIMIENTOS!$B:$B,"PROCESO",MOVIMIENTOS!$C:$C,"Chancho")</f>
        <v>776</v>
      </c>
      <c r="AB23" s="80">
        <f>SUMIFS(MOVIMIENTOS!$E:$E,MOVIMIENTOS!$A:$A,$A23,MOVIMIENTOS!$B:$B,"VENTA CHANCHO",MOVIMIENTOS!$C:$C,"Chancho")</f>
        <v>10</v>
      </c>
      <c r="AC23" s="81">
        <f>SUMIFS(MOVIMIENTOS!$F:$F,MOVIMIENTOS!$A:$A,$A23,MOVIMIENTOS!$B:$B,"VENTA CHANCHO",MOVIMIENTOS!$C:$C,"Chancho")</f>
        <v>970</v>
      </c>
      <c r="AD23" s="80" t="str">
        <f>IFERROR(LOOKUP(2,1/((MOVIMIENTOS!$A$5:$A$1017=$A23)*(MOVIMIENTOS!$B$5:$B$1017="VENTA CHANCHO")*(MOVIMIENTOS!$C$5:$C$1017="Chancho")*(MOVIMIENTOS!$G$5:$G$1017&lt;&gt;"")),MOVIMIENTOS!$G$5:$G$1017),IFERROR(LOOKUP(2,1/((MOVIMIENTOS!$A$5:$A$1017=$A23)*(MOVIMIENTOS!$B$5:$B$1017="VENTA CHANCHO")*(MOVIMIENTOS!$C$5:$C$1017="Chancho")*(MOVIMIENTOS!$H$5:$H$1017&lt;&gt;"")),MOVIMIENTOS!$H$5:$H$1017),""))</f>
        <v>S/T</v>
      </c>
      <c r="AE23" s="85">
        <f>IFERROR(INDEX('SALDO DIARIO'!$F:$F,MATCH($A23,'SALDO DIARIO'!$A:$A,0)),0)</f>
        <v>11.5</v>
      </c>
      <c r="AF23" s="81">
        <f t="shared" si="3"/>
        <v>2765</v>
      </c>
      <c r="AG23" s="82">
        <f t="shared" si="4"/>
        <v>40.700000000000003</v>
      </c>
      <c r="AI23" s="83">
        <f t="shared" si="5"/>
        <v>46225</v>
      </c>
      <c r="AJ23" s="81">
        <f t="shared" si="6"/>
        <v>6790</v>
      </c>
      <c r="AK23" s="81">
        <f t="shared" si="7"/>
        <v>3249</v>
      </c>
      <c r="AL23" s="81">
        <f t="shared" si="8"/>
        <v>3294</v>
      </c>
      <c r="AM23" s="84">
        <f t="shared" si="9"/>
        <v>8</v>
      </c>
      <c r="AN23" s="81">
        <f t="shared" si="10"/>
        <v>776</v>
      </c>
      <c r="AO23" s="81">
        <f t="shared" si="11"/>
        <v>2765</v>
      </c>
      <c r="AP23" s="82">
        <f t="shared" si="12"/>
        <v>40.700000000000003</v>
      </c>
      <c r="AR23" s="80"/>
      <c r="AS23" s="81"/>
      <c r="AT23" s="81"/>
      <c r="AU23" s="81"/>
      <c r="AV23" s="84"/>
      <c r="AW23" s="81"/>
      <c r="AX23" s="81"/>
      <c r="AY23" s="82"/>
    </row>
    <row r="24" spans="1:51" ht="15" customHeight="1" x14ac:dyDescent="0.2">
      <c r="A24" s="78">
        <v>46226</v>
      </c>
      <c r="B24" s="79" t="s">
        <v>228</v>
      </c>
      <c r="C24" s="79" t="s">
        <v>225</v>
      </c>
      <c r="D24" s="80">
        <f>SUMIFS(MOVIMIENTOS!$E:$E,MOVIMIENTOS!$A:$A,$A24,MOVIMIENTOS!$B:$B,"COMPRA")</f>
        <v>40</v>
      </c>
      <c r="E24" s="81">
        <f>SUMIFS(MOVIMIENTOS!$F:$F,MOVIMIENTOS!$A:$A,$A24,MOVIMIENTOS!$B:$B,"COMPRA")</f>
        <v>3880</v>
      </c>
      <c r="F24" s="80">
        <f>SUMIFS(MOVIMIENTOS!$E:$E,MOVIMIENTOS!$A:$A,$A24,MOVIMIENTOS!$B:$B,"PROCESO",MOVIMIENTOS!$C:$C,"A")</f>
        <v>78</v>
      </c>
      <c r="G24" s="80">
        <f>SUMIFS(MOVIMIENTOS!$E:$E,MOVIMIENTOS!$A:$A,$A24,MOVIMIENTOS!$B:$B,"PROCESO",MOVIMIENTOS!$C:$C,"P")</f>
        <v>11</v>
      </c>
      <c r="H24" s="80">
        <f>SUMIFS(MOVIMIENTOS!$E:$E,MOVIMIENTOS!$A:$A,$A24,MOVIMIENTOS!$B:$B,"PROCESO",MOVIMIENTOS!$C:$C,"C")</f>
        <v>12</v>
      </c>
      <c r="I24" s="80">
        <f>SUMIFS(MOVIMIENTOS!$E:$E,MOVIMIENTOS!$A:$A,$A24,MOVIMIENTOS!$B:$B,"PROCESO",MOVIMIENTOS!$C:$C,"M")</f>
        <v>94</v>
      </c>
      <c r="J24" s="80">
        <f t="shared" si="0"/>
        <v>195</v>
      </c>
      <c r="K24" s="81">
        <f t="shared" si="1"/>
        <v>3170</v>
      </c>
      <c r="L24" s="81">
        <f>SUMIFS(MOVIMIENTOS!$F:$F,MOVIMIENTOS!$A:$A,$A24,MOVIMIENTOS!$B:$B,"REPROCESO")</f>
        <v>0</v>
      </c>
      <c r="M24" s="80" t="str">
        <f>TRIM(IF(SUMIFS(MOVIMIENTOS!$E:$E,MOVIMIENTOS!$A:$A,$A24,MOVIMIENTOS!$B:$B,"ENVÍO A SUPESA")&gt;0,"Supesa ","")&amp;IF(SUMIFS(MOVIMIENTOS!$E:$E,MOVIMIENTOS!$A:$A,$A24,MOVIMIENTOS!$B:$B,"ENVÍO A TOTTUS")+SUMIFS(MOVIMIENTOS!$E:$E,MOVIMIENTOS!$A:$A,$A24,MOVIMIENTOS!$B:$B,"ENVIO A TOTTUS")&gt;0,"Tottus",""))</f>
        <v>Supesa</v>
      </c>
      <c r="N24" s="80" t="str">
        <f>IFERROR(IF(LOOKUP(2,1/((MOVIMIENTOS!$A$5:$A$1017=$A24)*((MOVIMIENTOS!$B$5:$B$1017="ENVÍO A SUPESA")+(MOVIMIENTOS!$B$5:$B$1017="ENVÍO A TOTTUS")+(MOVIMIENTOS!$B$5:$B$1017="ENVIO A TOTTUS"))*(MOVIMIENTOS!$G$5:$G$1017&lt;&gt;"")),MOVIMIENTOS!$G$5:$G$1017)&lt;&gt;"","G-"&amp;LOOKUP(2,1/((MOVIMIENTOS!$A$5:$A$1017=$A24)*((MOVIMIENTOS!$B$5:$B$1017="ENVÍO A SUPESA")+(MOVIMIENTOS!$B$5:$B$1017="ENVÍO A TOTTUS")+(MOVIMIENTOS!$B$5:$B$1017="ENVIO A TOTTUS"))*(MOVIMIENTOS!$G$5:$G$1017&lt;&gt;"")),MOVIMIENTOS!$G$5:$G$1017),""),"")</f>
        <v>G-3008</v>
      </c>
      <c r="O24" s="80">
        <f>SUMIFS(MOVIMIENTOS!$E:$E,MOVIMIENTOS!$A:$A,$A24,MOVIMIENTOS!$B:$B,"ENVÍO A SUPESA",MOVIMIENTOS!$C:$C,"A")+SUMIFS(MOVIMIENTOS!$E:$E,MOVIMIENTOS!$A:$A,$A24,MOVIMIENTOS!$B:$B,"ENVÍO A TOTTUS",MOVIMIENTOS!$C:$C,"A")+SUMIFS(MOVIMIENTOS!$E:$E,MOVIMIENTOS!$A:$A,$A24,MOVIMIENTOS!$B:$B,"ENVIO A TOTTUS",MOVIMIENTOS!$C:$C,"A")</f>
        <v>67</v>
      </c>
      <c r="P24" s="80">
        <f>SUMIFS(MOVIMIENTOS!$E:$E,MOVIMIENTOS!$A:$A,$A24,MOVIMIENTOS!$B:$B,"ENVÍO A SUPESA",MOVIMIENTOS!$C:$C,"P")+SUMIFS(MOVIMIENTOS!$E:$E,MOVIMIENTOS!$A:$A,$A24,MOVIMIENTOS!$B:$B,"ENVÍO A TOTTUS",MOVIMIENTOS!$C:$C,"P")+SUMIFS(MOVIMIENTOS!$E:$E,MOVIMIENTOS!$A:$A,$A24,MOVIMIENTOS!$B:$B,"ENVIO A TOTTUS",MOVIMIENTOS!$C:$C,"P")</f>
        <v>11</v>
      </c>
      <c r="Q24" s="80">
        <f>SUMIFS(MOVIMIENTOS!$E:$E,MOVIMIENTOS!$A:$A,$A24,MOVIMIENTOS!$B:$B,"ENVÍO A SUPESA",MOVIMIENTOS!$C:$C,"C")+SUMIFS(MOVIMIENTOS!$E:$E,MOVIMIENTOS!$A:$A,$A24,MOVIMIENTOS!$B:$B,"ENVÍO A TOTTUS",MOVIMIENTOS!$C:$C,"C")+SUMIFS(MOVIMIENTOS!$E:$E,MOVIMIENTOS!$A:$A,$A24,MOVIMIENTOS!$B:$B,"ENVIO A TOTTUS",MOVIMIENTOS!$C:$C,"C")</f>
        <v>12</v>
      </c>
      <c r="R24" s="80">
        <f>SUMIFS(MOVIMIENTOS!$E:$E,MOVIMIENTOS!$A:$A,$A24,MOVIMIENTOS!$B:$B,"ENVÍO A SUPESA",MOVIMIENTOS!$C:$C,"M")+SUMIFS(MOVIMIENTOS!$E:$E,MOVIMIENTOS!$A:$A,$A24,MOVIMIENTOS!$B:$B,"ENVÍO A TOTTUS",MOVIMIENTOS!$C:$C,"M")+SUMIFS(MOVIMIENTOS!$E:$E,MOVIMIENTOS!$A:$A,$A24,MOVIMIENTOS!$B:$B,"ENVIO A TOTTUS",MOVIMIENTOS!$C:$C,"M")</f>
        <v>118</v>
      </c>
      <c r="S24" s="80">
        <f t="shared" si="2"/>
        <v>208</v>
      </c>
      <c r="T24" s="81">
        <f>SUMIFS(MOVIMIENTOS!$F:$F,MOVIMIENTOS!$A:$A,$A24,MOVIMIENTOS!$B:$B,"ENVÍO A SUPESA",MOVIMIENTOS!$C:$C,"&lt;&gt;Chancho")+SUMIFS(MOVIMIENTOS!$F:$F,MOVIMIENTOS!$A:$A,$A24,MOVIMIENTOS!$B:$B,"ENVÍO A TOTTUS",MOVIMIENTOS!$C:$C,"&lt;&gt;Chancho")+SUMIFS(MOVIMIENTOS!$F:$F,MOVIMIENTOS!$A:$A,$A24,MOVIMIENTOS!$B:$B,"ENVIO A TOTTUS",MOVIMIENTOS!$C:$C,"&lt;&gt;Chancho")</f>
        <v>3413</v>
      </c>
      <c r="U24" s="85">
        <f>IFERROR(INDEX('SALDO DIARIO'!$B:$B,MATCH($A24,'SALDO DIARIO'!$A:$A,0)),0)</f>
        <v>67</v>
      </c>
      <c r="V24" s="85">
        <f>IFERROR(INDEX('SALDO DIARIO'!$C:$C,MATCH($A24,'SALDO DIARIO'!$A:$A,0)),0)</f>
        <v>11</v>
      </c>
      <c r="W24" s="85">
        <f>IFERROR(INDEX('SALDO DIARIO'!$D:$D,MATCH($A24,'SALDO DIARIO'!$A:$A,0)),0)</f>
        <v>12</v>
      </c>
      <c r="X24" s="85">
        <f>IFERROR(INDEX('SALDO DIARIO'!$E:$E,MATCH($A24,'SALDO DIARIO'!$A:$A,0)),0)</f>
        <v>96</v>
      </c>
      <c r="Y24" s="85">
        <f>IFERROR(INDEX('SALDO DIARIO'!$G:$G,MATCH($A24,'SALDO DIARIO'!$A:$A,0)),0)</f>
        <v>186</v>
      </c>
      <c r="Z24" s="80">
        <f>SUMIFS(MOVIMIENTOS!$E:$E,MOVIMIENTOS!$A:$A,$A24,MOVIMIENTOS!$B:$B,"PROCESO",MOVIMIENTOS!$C:$C,"Chancho")</f>
        <v>6.5</v>
      </c>
      <c r="AA24" s="81">
        <f>SUMIFS(MOVIMIENTOS!$F:$F,MOVIMIENTOS!$A:$A,$A24,MOVIMIENTOS!$B:$B,"PROCESO",MOVIMIENTOS!$C:$C,"Chancho")</f>
        <v>630.5</v>
      </c>
      <c r="AB24" s="80">
        <f>SUMIFS(MOVIMIENTOS!$E:$E,MOVIMIENTOS!$A:$A,$A24,MOVIMIENTOS!$B:$B,"VENTA CHANCHO",MOVIMIENTOS!$C:$C,"Chancho")</f>
        <v>0</v>
      </c>
      <c r="AC24" s="81">
        <f>SUMIFS(MOVIMIENTOS!$F:$F,MOVIMIENTOS!$A:$A,$A24,MOVIMIENTOS!$B:$B,"VENTA CHANCHO",MOVIMIENTOS!$C:$C,"Chancho")</f>
        <v>0</v>
      </c>
      <c r="AD24" s="80" t="str">
        <f>IFERROR(LOOKUP(2,1/((MOVIMIENTOS!$A$5:$A$1017=$A24)*(MOVIMIENTOS!$B$5:$B$1017="VENTA CHANCHO")*(MOVIMIENTOS!$C$5:$C$1017="Chancho")*(MOVIMIENTOS!$G$5:$G$1017&lt;&gt;"")),MOVIMIENTOS!$G$5:$G$1017),IFERROR(LOOKUP(2,1/((MOVIMIENTOS!$A$5:$A$1017=$A24)*(MOVIMIENTOS!$B$5:$B$1017="VENTA CHANCHO")*(MOVIMIENTOS!$C$5:$C$1017="Chancho")*(MOVIMIENTOS!$H$5:$H$1017&lt;&gt;"")),MOVIMIENTOS!$H$5:$H$1017),""))</f>
        <v/>
      </c>
      <c r="AE24" s="85">
        <f>IFERROR(INDEX('SALDO DIARIO'!$F:$F,MATCH($A24,'SALDO DIARIO'!$A:$A,0)),0)</f>
        <v>18</v>
      </c>
      <c r="AF24" s="81">
        <f t="shared" si="3"/>
        <v>79.5</v>
      </c>
      <c r="AG24" s="82">
        <f t="shared" si="4"/>
        <v>2</v>
      </c>
      <c r="AI24" s="83">
        <f t="shared" si="5"/>
        <v>46226</v>
      </c>
      <c r="AJ24" s="81">
        <f t="shared" si="6"/>
        <v>3880</v>
      </c>
      <c r="AK24" s="81">
        <f t="shared" si="7"/>
        <v>3170</v>
      </c>
      <c r="AL24" s="81">
        <f t="shared" si="8"/>
        <v>3413</v>
      </c>
      <c r="AM24" s="84">
        <f t="shared" si="9"/>
        <v>6.5</v>
      </c>
      <c r="AN24" s="81">
        <f t="shared" si="10"/>
        <v>630.5</v>
      </c>
      <c r="AO24" s="81">
        <f t="shared" si="11"/>
        <v>79.5</v>
      </c>
      <c r="AP24" s="82">
        <f t="shared" si="12"/>
        <v>2</v>
      </c>
    </row>
    <row r="25" spans="1:51" ht="15" customHeight="1" x14ac:dyDescent="0.2">
      <c r="A25" s="78">
        <v>46227</v>
      </c>
      <c r="B25" s="79" t="s">
        <v>230</v>
      </c>
      <c r="C25" s="79" t="s">
        <v>225</v>
      </c>
      <c r="D25" s="80">
        <f>SUMIFS(MOVIMIENTOS!$E:$E,MOVIMIENTOS!$A:$A,$A25,MOVIMIENTOS!$B:$B,"COMPRA")</f>
        <v>43</v>
      </c>
      <c r="E25" s="81">
        <f>SUMIFS(MOVIMIENTOS!$F:$F,MOVIMIENTOS!$A:$A,$A25,MOVIMIENTOS!$B:$B,"COMPRA")</f>
        <v>4171</v>
      </c>
      <c r="F25" s="80">
        <f>SUMIFS(MOVIMIENTOS!$E:$E,MOVIMIENTOS!$A:$A,$A25,MOVIMIENTOS!$B:$B,"PROCESO",MOVIMIENTOS!$C:$C,"A")</f>
        <v>48</v>
      </c>
      <c r="G25" s="80">
        <f>SUMIFS(MOVIMIENTOS!$E:$E,MOVIMIENTOS!$A:$A,$A25,MOVIMIENTOS!$B:$B,"PROCESO",MOVIMIENTOS!$C:$C,"P")</f>
        <v>3</v>
      </c>
      <c r="H25" s="80">
        <f>SUMIFS(MOVIMIENTOS!$E:$E,MOVIMIENTOS!$A:$A,$A25,MOVIMIENTOS!$B:$B,"PROCESO",MOVIMIENTOS!$C:$C,"C")</f>
        <v>5</v>
      </c>
      <c r="I25" s="80">
        <f>SUMIFS(MOVIMIENTOS!$E:$E,MOVIMIENTOS!$A:$A,$A25,MOVIMIENTOS!$B:$B,"PROCESO",MOVIMIENTOS!$C:$C,"M")</f>
        <v>95</v>
      </c>
      <c r="J25" s="80">
        <f t="shared" si="0"/>
        <v>151</v>
      </c>
      <c r="K25" s="81">
        <f t="shared" si="1"/>
        <v>2474</v>
      </c>
      <c r="L25" s="81">
        <f>SUMIFS(MOVIMIENTOS!$F:$F,MOVIMIENTOS!$A:$A,$A25,MOVIMIENTOS!$B:$B,"REPROCESO")</f>
        <v>21</v>
      </c>
      <c r="M25" s="80" t="str">
        <f>TRIM(IF(SUMIFS(MOVIMIENTOS!$E:$E,MOVIMIENTOS!$A:$A,$A25,MOVIMIENTOS!$B:$B,"ENVÍO A SUPESA")&gt;0,"Supesa ","")&amp;IF(SUMIFS(MOVIMIENTOS!$E:$E,MOVIMIENTOS!$A:$A,$A25,MOVIMIENTOS!$B:$B,"ENVÍO A TOTTUS")+SUMIFS(MOVIMIENTOS!$E:$E,MOVIMIENTOS!$A:$A,$A25,MOVIMIENTOS!$B:$B,"ENVIO A TOTTUS")&gt;0,"Tottus",""))</f>
        <v>Supesa Tottus</v>
      </c>
      <c r="N25" s="80" t="str">
        <f>IFERROR(IF(LOOKUP(2,1/((MOVIMIENTOS!$A$5:$A$1017=$A25)*((MOVIMIENTOS!$B$5:$B$1017="ENVÍO A SUPESA")+(MOVIMIENTOS!$B$5:$B$1017="ENVÍO A TOTTUS")+(MOVIMIENTOS!$B$5:$B$1017="ENVIO A TOTTUS"))*(MOVIMIENTOS!$G$5:$G$1017&lt;&gt;"")),MOVIMIENTOS!$G$5:$G$1017)&lt;&gt;"","G-"&amp;LOOKUP(2,1/((MOVIMIENTOS!$A$5:$A$1017=$A25)*((MOVIMIENTOS!$B$5:$B$1017="ENVÍO A SUPESA")+(MOVIMIENTOS!$B$5:$B$1017="ENVÍO A TOTTUS")+(MOVIMIENTOS!$B$5:$B$1017="ENVIO A TOTTUS"))*(MOVIMIENTOS!$G$5:$G$1017&lt;&gt;"")),MOVIMIENTOS!$G$5:$G$1017),""),"")</f>
        <v>G-3011</v>
      </c>
      <c r="O25" s="80">
        <f>SUMIFS(MOVIMIENTOS!$E:$E,MOVIMIENTOS!$A:$A,$A25,MOVIMIENTOS!$B:$B,"ENVÍO A SUPESA",MOVIMIENTOS!$C:$C,"A")+SUMIFS(MOVIMIENTOS!$E:$E,MOVIMIENTOS!$A:$A,$A25,MOVIMIENTOS!$B:$B,"ENVÍO A TOTTUS",MOVIMIENTOS!$C:$C,"A")+SUMIFS(MOVIMIENTOS!$E:$E,MOVIMIENTOS!$A:$A,$A25,MOVIMIENTOS!$B:$B,"ENVIO A TOTTUS",MOVIMIENTOS!$C:$C,"A")</f>
        <v>67</v>
      </c>
      <c r="P25" s="80">
        <f>SUMIFS(MOVIMIENTOS!$E:$E,MOVIMIENTOS!$A:$A,$A25,MOVIMIENTOS!$B:$B,"ENVÍO A SUPESA",MOVIMIENTOS!$C:$C,"P")+SUMIFS(MOVIMIENTOS!$E:$E,MOVIMIENTOS!$A:$A,$A25,MOVIMIENTOS!$B:$B,"ENVÍO A TOTTUS",MOVIMIENTOS!$C:$C,"P")+SUMIFS(MOVIMIENTOS!$E:$E,MOVIMIENTOS!$A:$A,$A25,MOVIMIENTOS!$B:$B,"ENVIO A TOTTUS",MOVIMIENTOS!$C:$C,"P")</f>
        <v>11</v>
      </c>
      <c r="Q25" s="80">
        <f>SUMIFS(MOVIMIENTOS!$E:$E,MOVIMIENTOS!$A:$A,$A25,MOVIMIENTOS!$B:$B,"ENVÍO A SUPESA",MOVIMIENTOS!$C:$C,"C")+SUMIFS(MOVIMIENTOS!$E:$E,MOVIMIENTOS!$A:$A,$A25,MOVIMIENTOS!$B:$B,"ENVÍO A TOTTUS",MOVIMIENTOS!$C:$C,"C")+SUMIFS(MOVIMIENTOS!$E:$E,MOVIMIENTOS!$A:$A,$A25,MOVIMIENTOS!$B:$B,"ENVIO A TOTTUS",MOVIMIENTOS!$C:$C,"C")</f>
        <v>12</v>
      </c>
      <c r="R25" s="80">
        <f>SUMIFS(MOVIMIENTOS!$E:$E,MOVIMIENTOS!$A:$A,$A25,MOVIMIENTOS!$B:$B,"ENVÍO A SUPESA",MOVIMIENTOS!$C:$C,"M")+SUMIFS(MOVIMIENTOS!$E:$E,MOVIMIENTOS!$A:$A,$A25,MOVIMIENTOS!$B:$B,"ENVÍO A TOTTUS",MOVIMIENTOS!$C:$C,"M")+SUMIFS(MOVIMIENTOS!$E:$E,MOVIMIENTOS!$A:$A,$A25,MOVIMIENTOS!$B:$B,"ENVIO A TOTTUS",MOVIMIENTOS!$C:$C,"M")</f>
        <v>118</v>
      </c>
      <c r="S25" s="80">
        <f t="shared" si="2"/>
        <v>208</v>
      </c>
      <c r="T25" s="81">
        <f>SUMIFS(MOVIMIENTOS!$F:$F,MOVIMIENTOS!$A:$A,$A25,MOVIMIENTOS!$B:$B,"ENVÍO A SUPESA",MOVIMIENTOS!$C:$C,"&lt;&gt;Chancho")+SUMIFS(MOVIMIENTOS!$F:$F,MOVIMIENTOS!$A:$A,$A25,MOVIMIENTOS!$B:$B,"ENVÍO A TOTTUS",MOVIMIENTOS!$C:$C,"&lt;&gt;Chancho")+SUMIFS(MOVIMIENTOS!$F:$F,MOVIMIENTOS!$A:$A,$A25,MOVIMIENTOS!$B:$B,"ENVIO A TOTTUS",MOVIMIENTOS!$C:$C,"&lt;&gt;Chancho")</f>
        <v>3461</v>
      </c>
      <c r="U25" s="85">
        <f>IFERROR(INDEX('SALDO DIARIO'!$B:$B,MATCH($A25,'SALDO DIARIO'!$A:$A,0)),0)</f>
        <v>48</v>
      </c>
      <c r="V25" s="85">
        <f>IFERROR(INDEX('SALDO DIARIO'!$C:$C,MATCH($A25,'SALDO DIARIO'!$A:$A,0)),0)</f>
        <v>3</v>
      </c>
      <c r="W25" s="85">
        <f>IFERROR(INDEX('SALDO DIARIO'!$D:$D,MATCH($A25,'SALDO DIARIO'!$A:$A,0)),0)</f>
        <v>5</v>
      </c>
      <c r="X25" s="85">
        <f>IFERROR(INDEX('SALDO DIARIO'!$E:$E,MATCH($A25,'SALDO DIARIO'!$A:$A,0)),0)</f>
        <v>73</v>
      </c>
      <c r="Y25" s="85">
        <f>IFERROR(INDEX('SALDO DIARIO'!$G:$G,MATCH($A25,'SALDO DIARIO'!$A:$A,0)),0)</f>
        <v>129</v>
      </c>
      <c r="Z25" s="80">
        <f>SUMIFS(MOVIMIENTOS!$E:$E,MOVIMIENTOS!$A:$A,$A25,MOVIMIENTOS!$B:$B,"PROCESO",MOVIMIENTOS!$C:$C,"Chancho")</f>
        <v>6</v>
      </c>
      <c r="AA25" s="81">
        <f>SUMIFS(MOVIMIENTOS!$F:$F,MOVIMIENTOS!$A:$A,$A25,MOVIMIENTOS!$B:$B,"PROCESO",MOVIMIENTOS!$C:$C,"Chancho")</f>
        <v>582</v>
      </c>
      <c r="AB25" s="80">
        <f>SUMIFS(MOVIMIENTOS!$E:$E,MOVIMIENTOS!$A:$A,$A25,MOVIMIENTOS!$B:$B,"VENTA CHANCHO",MOVIMIENTOS!$C:$C,"Chancho")</f>
        <v>10</v>
      </c>
      <c r="AC25" s="81">
        <f>SUMIFS(MOVIMIENTOS!$F:$F,MOVIMIENTOS!$A:$A,$A25,MOVIMIENTOS!$B:$B,"VENTA CHANCHO",MOVIMIENTOS!$C:$C,"Chancho")</f>
        <v>970</v>
      </c>
      <c r="AD25" s="80" t="str">
        <f>IFERROR(LOOKUP(2,1/((MOVIMIENTOS!$A$5:$A$1017=$A25)*(MOVIMIENTOS!$B$5:$B$1017="VENTA CHANCHO")*(MOVIMIENTOS!$C$5:$C$1017="Chancho")*(MOVIMIENTOS!$G$5:$G$1017&lt;&gt;"")),MOVIMIENTOS!$G$5:$G$1017),IFERROR(LOOKUP(2,1/((MOVIMIENTOS!$A$5:$A$1017=$A25)*(MOVIMIENTOS!$B$5:$B$1017="VENTA CHANCHO")*(MOVIMIENTOS!$C$5:$C$1017="Chancho")*(MOVIMIENTOS!$H$5:$H$1017&lt;&gt;"")),MOVIMIENTOS!$H$5:$H$1017),""))</f>
        <v>TCK002-734</v>
      </c>
      <c r="AE25" s="85">
        <f>IFERROR(INDEX('SALDO DIARIO'!$F:$F,MATCH($A25,'SALDO DIARIO'!$A:$A,0)),0)</f>
        <v>14</v>
      </c>
      <c r="AF25" s="81">
        <f t="shared" si="3"/>
        <v>1115</v>
      </c>
      <c r="AG25" s="82">
        <f t="shared" si="4"/>
        <v>26.7</v>
      </c>
      <c r="AI25" s="83">
        <f t="shared" si="5"/>
        <v>46227</v>
      </c>
      <c r="AJ25" s="81">
        <f t="shared" si="6"/>
        <v>4171</v>
      </c>
      <c r="AK25" s="81">
        <f t="shared" si="7"/>
        <v>2474</v>
      </c>
      <c r="AL25" s="81">
        <f t="shared" si="8"/>
        <v>3461</v>
      </c>
      <c r="AM25" s="84">
        <f t="shared" si="9"/>
        <v>6</v>
      </c>
      <c r="AN25" s="81">
        <f t="shared" si="10"/>
        <v>582</v>
      </c>
      <c r="AO25" s="81">
        <f t="shared" si="11"/>
        <v>1115</v>
      </c>
      <c r="AP25" s="82">
        <f t="shared" si="12"/>
        <v>26.7</v>
      </c>
    </row>
    <row r="26" spans="1:51" ht="15" customHeight="1" x14ac:dyDescent="0.2">
      <c r="A26" s="78">
        <v>46228</v>
      </c>
      <c r="B26" s="79" t="s">
        <v>232</v>
      </c>
      <c r="C26" s="79" t="s">
        <v>225</v>
      </c>
      <c r="D26" s="80">
        <f>SUMIFS(MOVIMIENTOS!$E:$E,MOVIMIENTOS!$A:$A,$A26,MOVIMIENTOS!$B:$B,"COMPRA")</f>
        <v>37</v>
      </c>
      <c r="E26" s="81">
        <f>SUMIFS(MOVIMIENTOS!$F:$F,MOVIMIENTOS!$A:$A,$A26,MOVIMIENTOS!$B:$B,"COMPRA")</f>
        <v>3589</v>
      </c>
      <c r="F26" s="80">
        <f>SUMIFS(MOVIMIENTOS!$E:$E,MOVIMIENTOS!$A:$A,$A26,MOVIMIENTOS!$B:$B,"PROCESO",MOVIMIENTOS!$C:$C,"A")</f>
        <v>96</v>
      </c>
      <c r="G26" s="80">
        <f>SUMIFS(MOVIMIENTOS!$E:$E,MOVIMIENTOS!$A:$A,$A26,MOVIMIENTOS!$B:$B,"PROCESO",MOVIMIENTOS!$C:$C,"P")</f>
        <v>21</v>
      </c>
      <c r="H26" s="80">
        <f>SUMIFS(MOVIMIENTOS!$E:$E,MOVIMIENTOS!$A:$A,$A26,MOVIMIENTOS!$B:$B,"PROCESO",MOVIMIENTOS!$C:$C,"C")</f>
        <v>12</v>
      </c>
      <c r="I26" s="80">
        <f>SUMIFS(MOVIMIENTOS!$E:$E,MOVIMIENTOS!$A:$A,$A26,MOVIMIENTOS!$B:$B,"PROCESO",MOVIMIENTOS!$C:$C,"M")</f>
        <v>110</v>
      </c>
      <c r="J26" s="80">
        <f t="shared" si="0"/>
        <v>239</v>
      </c>
      <c r="K26" s="81">
        <f t="shared" si="1"/>
        <v>3892</v>
      </c>
      <c r="L26" s="81">
        <f>SUMIFS(MOVIMIENTOS!$F:$F,MOVIMIENTOS!$A:$A,$A26,MOVIMIENTOS!$B:$B,"REPROCESO")</f>
        <v>0</v>
      </c>
      <c r="M26" s="80" t="str">
        <f>TRIM(IF(SUMIFS(MOVIMIENTOS!$E:$E,MOVIMIENTOS!$A:$A,$A26,MOVIMIENTOS!$B:$B,"ENVÍO A SUPESA")&gt;0,"Supesa ","")&amp;IF(SUMIFS(MOVIMIENTOS!$E:$E,MOVIMIENTOS!$A:$A,$A26,MOVIMIENTOS!$B:$B,"ENVÍO A TOTTUS")+SUMIFS(MOVIMIENTOS!$E:$E,MOVIMIENTOS!$A:$A,$A26,MOVIMIENTOS!$B:$B,"ENVIO A TOTTUS")&gt;0,"Tottus",""))</f>
        <v>Supesa</v>
      </c>
      <c r="N26" s="80" t="str">
        <f>IFERROR(IF(LOOKUP(2,1/((MOVIMIENTOS!$A$5:$A$1017=$A26)*((MOVIMIENTOS!$B$5:$B$1017="ENVÍO A SUPESA")+(MOVIMIENTOS!$B$5:$B$1017="ENVÍO A TOTTUS")+(MOVIMIENTOS!$B$5:$B$1017="ENVIO A TOTTUS"))*(MOVIMIENTOS!$G$5:$G$1017&lt;&gt;"")),MOVIMIENTOS!$G$5:$G$1017)&lt;&gt;"","G-"&amp;LOOKUP(2,1/((MOVIMIENTOS!$A$5:$A$1017=$A26)*((MOVIMIENTOS!$B$5:$B$1017="ENVÍO A SUPESA")+(MOVIMIENTOS!$B$5:$B$1017="ENVÍO A TOTTUS")+(MOVIMIENTOS!$B$5:$B$1017="ENVIO A TOTTUS"))*(MOVIMIENTOS!$G$5:$G$1017&lt;&gt;"")),MOVIMIENTOS!$G$5:$G$1017),""),"")</f>
        <v>G-3014</v>
      </c>
      <c r="O26" s="80">
        <f>SUMIFS(MOVIMIENTOS!$E:$E,MOVIMIENTOS!$A:$A,$A26,MOVIMIENTOS!$B:$B,"ENVÍO A SUPESA",MOVIMIENTOS!$C:$C,"A")+SUMIFS(MOVIMIENTOS!$E:$E,MOVIMIENTOS!$A:$A,$A26,MOVIMIENTOS!$B:$B,"ENVÍO A TOTTUS",MOVIMIENTOS!$C:$C,"A")+SUMIFS(MOVIMIENTOS!$E:$E,MOVIMIENTOS!$A:$A,$A26,MOVIMIENTOS!$B:$B,"ENVIO A TOTTUS",MOVIMIENTOS!$C:$C,"A")</f>
        <v>67</v>
      </c>
      <c r="P26" s="80">
        <f>SUMIFS(MOVIMIENTOS!$E:$E,MOVIMIENTOS!$A:$A,$A26,MOVIMIENTOS!$B:$B,"ENVÍO A SUPESA",MOVIMIENTOS!$C:$C,"P")+SUMIFS(MOVIMIENTOS!$E:$E,MOVIMIENTOS!$A:$A,$A26,MOVIMIENTOS!$B:$B,"ENVÍO A TOTTUS",MOVIMIENTOS!$C:$C,"P")+SUMIFS(MOVIMIENTOS!$E:$E,MOVIMIENTOS!$A:$A,$A26,MOVIMIENTOS!$B:$B,"ENVIO A TOTTUS",MOVIMIENTOS!$C:$C,"P")</f>
        <v>4</v>
      </c>
      <c r="Q26" s="80">
        <f>SUMIFS(MOVIMIENTOS!$E:$E,MOVIMIENTOS!$A:$A,$A26,MOVIMIENTOS!$B:$B,"ENVÍO A SUPESA",MOVIMIENTOS!$C:$C,"C")+SUMIFS(MOVIMIENTOS!$E:$E,MOVIMIENTOS!$A:$A,$A26,MOVIMIENTOS!$B:$B,"ENVÍO A TOTTUS",MOVIMIENTOS!$C:$C,"C")+SUMIFS(MOVIMIENTOS!$E:$E,MOVIMIENTOS!$A:$A,$A26,MOVIMIENTOS!$B:$B,"ENVIO A TOTTUS",MOVIMIENTOS!$C:$C,"C")</f>
        <v>5</v>
      </c>
      <c r="R26" s="80">
        <f>SUMIFS(MOVIMIENTOS!$E:$E,MOVIMIENTOS!$A:$A,$A26,MOVIMIENTOS!$B:$B,"ENVÍO A SUPESA",MOVIMIENTOS!$C:$C,"M")+SUMIFS(MOVIMIENTOS!$E:$E,MOVIMIENTOS!$A:$A,$A26,MOVIMIENTOS!$B:$B,"ENVÍO A TOTTUS",MOVIMIENTOS!$C:$C,"M")+SUMIFS(MOVIMIENTOS!$E:$E,MOVIMIENTOS!$A:$A,$A26,MOVIMIENTOS!$B:$B,"ENVIO A TOTTUS",MOVIMIENTOS!$C:$C,"M")</f>
        <v>118</v>
      </c>
      <c r="S26" s="80">
        <f t="shared" si="2"/>
        <v>194</v>
      </c>
      <c r="T26" s="81">
        <f>SUMIFS(MOVIMIENTOS!$F:$F,MOVIMIENTOS!$A:$A,$A26,MOVIMIENTOS!$B:$B,"ENVÍO A SUPESA",MOVIMIENTOS!$C:$C,"&lt;&gt;Chancho")+SUMIFS(MOVIMIENTOS!$F:$F,MOVIMIENTOS!$A:$A,$A26,MOVIMIENTOS!$B:$B,"ENVÍO A TOTTUS",MOVIMIENTOS!$C:$C,"&lt;&gt;Chancho")+SUMIFS(MOVIMIENTOS!$F:$F,MOVIMIENTOS!$A:$A,$A26,MOVIMIENTOS!$B:$B,"ENVIO A TOTTUS",MOVIMIENTOS!$C:$C,"&lt;&gt;Chancho")</f>
        <v>3168</v>
      </c>
      <c r="U26" s="85">
        <f>IFERROR(INDEX('SALDO DIARIO'!$B:$B,MATCH($A26,'SALDO DIARIO'!$A:$A,0)),0)</f>
        <v>77</v>
      </c>
      <c r="V26" s="85">
        <f>IFERROR(INDEX('SALDO DIARIO'!$C:$C,MATCH($A26,'SALDO DIARIO'!$A:$A,0)),0)</f>
        <v>20</v>
      </c>
      <c r="W26" s="85">
        <f>IFERROR(INDEX('SALDO DIARIO'!$D:$D,MATCH($A26,'SALDO DIARIO'!$A:$A,0)),0)</f>
        <v>12</v>
      </c>
      <c r="X26" s="85">
        <f>IFERROR(INDEX('SALDO DIARIO'!$E:$E,MATCH($A26,'SALDO DIARIO'!$A:$A,0)),0)</f>
        <v>65</v>
      </c>
      <c r="Y26" s="85">
        <f>IFERROR(INDEX('SALDO DIARIO'!$G:$G,MATCH($A26,'SALDO DIARIO'!$A:$A,0)),0)</f>
        <v>174</v>
      </c>
      <c r="Z26" s="80">
        <f>SUMIFS(MOVIMIENTOS!$E:$E,MOVIMIENTOS!$A:$A,$A26,MOVIMIENTOS!$B:$B,"PROCESO",MOVIMIENTOS!$C:$C,"Chancho")</f>
        <v>9.5</v>
      </c>
      <c r="AA26" s="81">
        <f>SUMIFS(MOVIMIENTOS!$F:$F,MOVIMIENTOS!$A:$A,$A26,MOVIMIENTOS!$B:$B,"PROCESO",MOVIMIENTOS!$C:$C,"Chancho")</f>
        <v>921.5</v>
      </c>
      <c r="AB26" s="80">
        <f>SUMIFS(MOVIMIENTOS!$E:$E,MOVIMIENTOS!$A:$A,$A26,MOVIMIENTOS!$B:$B,"VENTA CHANCHO",MOVIMIENTOS!$C:$C,"Chancho")</f>
        <v>0</v>
      </c>
      <c r="AC26" s="81">
        <f>SUMIFS(MOVIMIENTOS!$F:$F,MOVIMIENTOS!$A:$A,$A26,MOVIMIENTOS!$B:$B,"VENTA CHANCHO",MOVIMIENTOS!$C:$C,"Chancho")</f>
        <v>0</v>
      </c>
      <c r="AD26" s="80" t="str">
        <f>IFERROR(LOOKUP(2,1/((MOVIMIENTOS!$A$5:$A$1017=$A26)*(MOVIMIENTOS!$B$5:$B$1017="VENTA CHANCHO")*(MOVIMIENTOS!$C$5:$C$1017="Chancho")*(MOVIMIENTOS!$G$5:$G$1017&lt;&gt;"")),MOVIMIENTOS!$G$5:$G$1017),IFERROR(LOOKUP(2,1/((MOVIMIENTOS!$A$5:$A$1017=$A26)*(MOVIMIENTOS!$B$5:$B$1017="VENTA CHANCHO")*(MOVIMIENTOS!$C$5:$C$1017="Chancho")*(MOVIMIENTOS!$H$5:$H$1017&lt;&gt;"")),MOVIMIENTOS!$H$5:$H$1017),""))</f>
        <v/>
      </c>
      <c r="AE26" s="85">
        <f>IFERROR(INDEX('SALDO DIARIO'!$F:$F,MATCH($A26,'SALDO DIARIO'!$A:$A,0)),0)</f>
        <v>23.5</v>
      </c>
      <c r="AF26" s="81">
        <f t="shared" si="3"/>
        <v>-1224.5</v>
      </c>
      <c r="AG26" s="82">
        <f t="shared" si="4"/>
        <v>-34.1</v>
      </c>
      <c r="AI26" s="83">
        <f t="shared" si="5"/>
        <v>46228</v>
      </c>
      <c r="AJ26" s="81">
        <f t="shared" si="6"/>
        <v>3589</v>
      </c>
      <c r="AK26" s="81">
        <f t="shared" si="7"/>
        <v>3892</v>
      </c>
      <c r="AL26" s="81">
        <f t="shared" si="8"/>
        <v>3168</v>
      </c>
      <c r="AM26" s="84">
        <f t="shared" si="9"/>
        <v>9.5</v>
      </c>
      <c r="AN26" s="81">
        <f t="shared" si="10"/>
        <v>921.5</v>
      </c>
      <c r="AO26" s="81">
        <f t="shared" si="11"/>
        <v>-1224.5</v>
      </c>
      <c r="AP26" s="82">
        <f t="shared" si="12"/>
        <v>-34.1</v>
      </c>
    </row>
    <row r="27" spans="1:51" ht="15" customHeight="1" x14ac:dyDescent="0.2">
      <c r="A27" s="78">
        <v>46229</v>
      </c>
      <c r="B27" s="79" t="s">
        <v>220</v>
      </c>
      <c r="C27" s="79" t="s">
        <v>227</v>
      </c>
      <c r="D27" s="80">
        <f>SUMIFS(MOVIMIENTOS!$E:$E,MOVIMIENTOS!$A:$A,$A27,MOVIMIENTOS!$B:$B,"COMPRA")</f>
        <v>0</v>
      </c>
      <c r="E27" s="81">
        <f>SUMIFS(MOVIMIENTOS!$F:$F,MOVIMIENTOS!$A:$A,$A27,MOVIMIENTOS!$B:$B,"COMPRA")</f>
        <v>0</v>
      </c>
      <c r="F27" s="80">
        <f>SUMIFS(MOVIMIENTOS!$E:$E,MOVIMIENTOS!$A:$A,$A27,MOVIMIENTOS!$B:$B,"PROCESO",MOVIMIENTOS!$C:$C,"A")</f>
        <v>0</v>
      </c>
      <c r="G27" s="80">
        <f>SUMIFS(MOVIMIENTOS!$E:$E,MOVIMIENTOS!$A:$A,$A27,MOVIMIENTOS!$B:$B,"PROCESO",MOVIMIENTOS!$C:$C,"P")</f>
        <v>0</v>
      </c>
      <c r="H27" s="80">
        <f>SUMIFS(MOVIMIENTOS!$E:$E,MOVIMIENTOS!$A:$A,$A27,MOVIMIENTOS!$B:$B,"PROCESO",MOVIMIENTOS!$C:$C,"C")</f>
        <v>0</v>
      </c>
      <c r="I27" s="80">
        <f>SUMIFS(MOVIMIENTOS!$E:$E,MOVIMIENTOS!$A:$A,$A27,MOVIMIENTOS!$B:$B,"PROCESO",MOVIMIENTOS!$C:$C,"M")</f>
        <v>0</v>
      </c>
      <c r="J27" s="80">
        <f t="shared" si="0"/>
        <v>0</v>
      </c>
      <c r="K27" s="81">
        <f t="shared" si="1"/>
        <v>0</v>
      </c>
      <c r="L27" s="81">
        <f>SUMIFS(MOVIMIENTOS!$F:$F,MOVIMIENTOS!$A:$A,$A27,MOVIMIENTOS!$B:$B,"REPROCESO")</f>
        <v>0</v>
      </c>
      <c r="M27" s="80" t="str">
        <f>TRIM(IF(SUMIFS(MOVIMIENTOS!$E:$E,MOVIMIENTOS!$A:$A,$A27,MOVIMIENTOS!$B:$B,"ENVÍO A SUPESA")&gt;0,"Supesa ","")&amp;IF(SUMIFS(MOVIMIENTOS!$E:$E,MOVIMIENTOS!$A:$A,$A27,MOVIMIENTOS!$B:$B,"ENVÍO A TOTTUS")+SUMIFS(MOVIMIENTOS!$E:$E,MOVIMIENTOS!$A:$A,$A27,MOVIMIENTOS!$B:$B,"ENVIO A TOTTUS")&gt;0,"Tottus",""))</f>
        <v>Supesa</v>
      </c>
      <c r="N27" s="80" t="str">
        <f>IFERROR(IF(LOOKUP(2,1/((MOVIMIENTOS!$A$5:$A$1017=$A27)*((MOVIMIENTOS!$B$5:$B$1017="ENVÍO A SUPESA")+(MOVIMIENTOS!$B$5:$B$1017="ENVÍO A TOTTUS")+(MOVIMIENTOS!$B$5:$B$1017="ENVIO A TOTTUS"))*(MOVIMIENTOS!$G$5:$G$1017&lt;&gt;"")),MOVIMIENTOS!$G$5:$G$1017)&lt;&gt;"","G-"&amp;LOOKUP(2,1/((MOVIMIENTOS!$A$5:$A$1017=$A27)*((MOVIMIENTOS!$B$5:$B$1017="ENVÍO A SUPESA")+(MOVIMIENTOS!$B$5:$B$1017="ENVÍO A TOTTUS")+(MOVIMIENTOS!$B$5:$B$1017="ENVIO A TOTTUS"))*(MOVIMIENTOS!$G$5:$G$1017&lt;&gt;"")),MOVIMIENTOS!$G$5:$G$1017),""),"")</f>
        <v>G-3018</v>
      </c>
      <c r="O27" s="80">
        <f>SUMIFS(MOVIMIENTOS!$E:$E,MOVIMIENTOS!$A:$A,$A27,MOVIMIENTOS!$B:$B,"ENVÍO A SUPESA",MOVIMIENTOS!$C:$C,"A")+SUMIFS(MOVIMIENTOS!$E:$E,MOVIMIENTOS!$A:$A,$A27,MOVIMIENTOS!$B:$B,"ENVÍO A TOTTUS",MOVIMIENTOS!$C:$C,"A")+SUMIFS(MOVIMIENTOS!$E:$E,MOVIMIENTOS!$A:$A,$A27,MOVIMIENTOS!$B:$B,"ENVIO A TOTTUS",MOVIMIENTOS!$C:$C,"A")</f>
        <v>67</v>
      </c>
      <c r="P27" s="80">
        <f>SUMIFS(MOVIMIENTOS!$E:$E,MOVIMIENTOS!$A:$A,$A27,MOVIMIENTOS!$B:$B,"ENVÍO A SUPESA",MOVIMIENTOS!$C:$C,"P")+SUMIFS(MOVIMIENTOS!$E:$E,MOVIMIENTOS!$A:$A,$A27,MOVIMIENTOS!$B:$B,"ENVÍO A TOTTUS",MOVIMIENTOS!$C:$C,"P")+SUMIFS(MOVIMIENTOS!$E:$E,MOVIMIENTOS!$A:$A,$A27,MOVIMIENTOS!$B:$B,"ENVIO A TOTTUS",MOVIMIENTOS!$C:$C,"P")</f>
        <v>11</v>
      </c>
      <c r="Q27" s="80">
        <f>SUMIFS(MOVIMIENTOS!$E:$E,MOVIMIENTOS!$A:$A,$A27,MOVIMIENTOS!$B:$B,"ENVÍO A SUPESA",MOVIMIENTOS!$C:$C,"C")+SUMIFS(MOVIMIENTOS!$E:$E,MOVIMIENTOS!$A:$A,$A27,MOVIMIENTOS!$B:$B,"ENVÍO A TOTTUS",MOVIMIENTOS!$C:$C,"C")+SUMIFS(MOVIMIENTOS!$E:$E,MOVIMIENTOS!$A:$A,$A27,MOVIMIENTOS!$B:$B,"ENVIO A TOTTUS",MOVIMIENTOS!$C:$C,"C")</f>
        <v>12</v>
      </c>
      <c r="R27" s="80">
        <f>SUMIFS(MOVIMIENTOS!$E:$E,MOVIMIENTOS!$A:$A,$A27,MOVIMIENTOS!$B:$B,"ENVÍO A SUPESA",MOVIMIENTOS!$C:$C,"M")+SUMIFS(MOVIMIENTOS!$E:$E,MOVIMIENTOS!$A:$A,$A27,MOVIMIENTOS!$B:$B,"ENVÍO A TOTTUS",MOVIMIENTOS!$C:$C,"M")+SUMIFS(MOVIMIENTOS!$E:$E,MOVIMIENTOS!$A:$A,$A27,MOVIMIENTOS!$B:$B,"ENVIO A TOTTUS",MOVIMIENTOS!$C:$C,"M")</f>
        <v>0</v>
      </c>
      <c r="S27" s="80">
        <f t="shared" si="2"/>
        <v>90</v>
      </c>
      <c r="T27" s="81">
        <f>SUMIFS(MOVIMIENTOS!$F:$F,MOVIMIENTOS!$A:$A,$A27,MOVIMIENTOS!$B:$B,"ENVÍO A SUPESA",MOVIMIENTOS!$C:$C,"&lt;&gt;Chancho")+SUMIFS(MOVIMIENTOS!$F:$F,MOVIMIENTOS!$A:$A,$A27,MOVIMIENTOS!$B:$B,"ENVÍO A TOTTUS",MOVIMIENTOS!$C:$C,"&lt;&gt;Chancho")+SUMIFS(MOVIMIENTOS!$F:$F,MOVIMIENTOS!$A:$A,$A27,MOVIMIENTOS!$B:$B,"ENVIO A TOTTUS",MOVIMIENTOS!$C:$C,"&lt;&gt;Chancho")</f>
        <v>1407</v>
      </c>
      <c r="U27" s="85">
        <f>IFERROR(INDEX('SALDO DIARIO'!$B:$B,MATCH($A27,'SALDO DIARIO'!$A:$A,0)),0)</f>
        <v>10</v>
      </c>
      <c r="V27" s="85">
        <f>IFERROR(INDEX('SALDO DIARIO'!$C:$C,MATCH($A27,'SALDO DIARIO'!$A:$A,0)),0)</f>
        <v>9</v>
      </c>
      <c r="W27" s="85">
        <f>IFERROR(INDEX('SALDO DIARIO'!$D:$D,MATCH($A27,'SALDO DIARIO'!$A:$A,0)),0)</f>
        <v>0</v>
      </c>
      <c r="X27" s="85">
        <f>IFERROR(INDEX('SALDO DIARIO'!$E:$E,MATCH($A27,'SALDO DIARIO'!$A:$A,0)),0)</f>
        <v>65</v>
      </c>
      <c r="Y27" s="85">
        <f>IFERROR(INDEX('SALDO DIARIO'!$G:$G,MATCH($A27,'SALDO DIARIO'!$A:$A,0)),0)</f>
        <v>84</v>
      </c>
      <c r="Z27" s="80">
        <f>SUMIFS(MOVIMIENTOS!$E:$E,MOVIMIENTOS!$A:$A,$A27,MOVIMIENTOS!$B:$B,"PROCESO",MOVIMIENTOS!$C:$C,"Chancho")</f>
        <v>0</v>
      </c>
      <c r="AA27" s="81">
        <f>SUMIFS(MOVIMIENTOS!$F:$F,MOVIMIENTOS!$A:$A,$A27,MOVIMIENTOS!$B:$B,"PROCESO",MOVIMIENTOS!$C:$C,"Chancho")</f>
        <v>0</v>
      </c>
      <c r="AB27" s="80">
        <f>SUMIFS(MOVIMIENTOS!$E:$E,MOVIMIENTOS!$A:$A,$A27,MOVIMIENTOS!$B:$B,"VENTA CHANCHO",MOVIMIENTOS!$C:$C,"Chancho")</f>
        <v>0</v>
      </c>
      <c r="AC27" s="81">
        <f>SUMIFS(MOVIMIENTOS!$F:$F,MOVIMIENTOS!$A:$A,$A27,MOVIMIENTOS!$B:$B,"VENTA CHANCHO",MOVIMIENTOS!$C:$C,"Chancho")</f>
        <v>0</v>
      </c>
      <c r="AD27" s="80" t="str">
        <f>IFERROR(LOOKUP(2,1/((MOVIMIENTOS!$A$5:$A$1017=$A27)*(MOVIMIENTOS!$B$5:$B$1017="VENTA CHANCHO")*(MOVIMIENTOS!$C$5:$C$1017="Chancho")*(MOVIMIENTOS!$G$5:$G$1017&lt;&gt;"")),MOVIMIENTOS!$G$5:$G$1017),IFERROR(LOOKUP(2,1/((MOVIMIENTOS!$A$5:$A$1017=$A27)*(MOVIMIENTOS!$B$5:$B$1017="VENTA CHANCHO")*(MOVIMIENTOS!$C$5:$C$1017="Chancho")*(MOVIMIENTOS!$H$5:$H$1017&lt;&gt;"")),MOVIMIENTOS!$H$5:$H$1017),""))</f>
        <v/>
      </c>
      <c r="AE27" s="85">
        <f>IFERROR(INDEX('SALDO DIARIO'!$F:$F,MATCH($A27,'SALDO DIARIO'!$A:$A,0)),0)</f>
        <v>23.5</v>
      </c>
      <c r="AF27" s="81">
        <f t="shared" si="3"/>
        <v>0</v>
      </c>
      <c r="AG27" s="82">
        <f t="shared" si="4"/>
        <v>0</v>
      </c>
      <c r="AI27" s="83">
        <f t="shared" si="5"/>
        <v>46229</v>
      </c>
      <c r="AJ27" s="81">
        <f t="shared" si="6"/>
        <v>0</v>
      </c>
      <c r="AK27" s="81">
        <f t="shared" si="7"/>
        <v>0</v>
      </c>
      <c r="AL27" s="81">
        <f t="shared" si="8"/>
        <v>1407</v>
      </c>
      <c r="AM27" s="84">
        <f t="shared" si="9"/>
        <v>0</v>
      </c>
      <c r="AN27" s="81">
        <f t="shared" si="10"/>
        <v>0</v>
      </c>
      <c r="AO27" s="81">
        <f t="shared" si="11"/>
        <v>0</v>
      </c>
      <c r="AP27" s="82">
        <f t="shared" si="12"/>
        <v>0</v>
      </c>
    </row>
    <row r="28" spans="1:51" ht="15" customHeight="1" x14ac:dyDescent="0.2">
      <c r="A28" s="78">
        <v>46230</v>
      </c>
      <c r="B28" s="79" t="s">
        <v>222</v>
      </c>
      <c r="C28" s="79" t="s">
        <v>227</v>
      </c>
      <c r="D28" s="80">
        <f>SUMIFS(MOVIMIENTOS!$E:$E,MOVIMIENTOS!$A:$A,$A28,MOVIMIENTOS!$B:$B,"COMPRA")</f>
        <v>45</v>
      </c>
      <c r="E28" s="81">
        <f>SUMIFS(MOVIMIENTOS!$F:$F,MOVIMIENTOS!$A:$A,$A28,MOVIMIENTOS!$B:$B,"COMPRA")</f>
        <v>4459</v>
      </c>
      <c r="F28" s="80">
        <f>SUMIFS(MOVIMIENTOS!$E:$E,MOVIMIENTOS!$A:$A,$A28,MOVIMIENTOS!$B:$B,"PROCESO",MOVIMIENTOS!$C:$C,"A")</f>
        <v>97</v>
      </c>
      <c r="G28" s="80">
        <f>SUMIFS(MOVIMIENTOS!$E:$E,MOVIMIENTOS!$A:$A,$A28,MOVIMIENTOS!$B:$B,"PROCESO",MOVIMIENTOS!$C:$C,"P")</f>
        <v>13</v>
      </c>
      <c r="H28" s="80">
        <f>SUMIFS(MOVIMIENTOS!$E:$E,MOVIMIENTOS!$A:$A,$A28,MOVIMIENTOS!$B:$B,"PROCESO",MOVIMIENTOS!$C:$C,"C")</f>
        <v>18</v>
      </c>
      <c r="I28" s="80">
        <f>SUMIFS(MOVIMIENTOS!$E:$E,MOVIMIENTOS!$A:$A,$A28,MOVIMIENTOS!$B:$B,"PROCESO",MOVIMIENTOS!$C:$C,"M")</f>
        <v>77</v>
      </c>
      <c r="J28" s="80">
        <f t="shared" si="0"/>
        <v>205</v>
      </c>
      <c r="K28" s="81">
        <f t="shared" si="1"/>
        <v>3304</v>
      </c>
      <c r="L28" s="81">
        <f>SUMIFS(MOVIMIENTOS!$F:$F,MOVIMIENTOS!$A:$A,$A28,MOVIMIENTOS!$B:$B,"REPROCESO")</f>
        <v>7</v>
      </c>
      <c r="M28" s="80" t="str">
        <f>TRIM(IF(SUMIFS(MOVIMIENTOS!$E:$E,MOVIMIENTOS!$A:$A,$A28,MOVIMIENTOS!$B:$B,"ENVÍO A SUPESA")&gt;0,"Supesa ","")&amp;IF(SUMIFS(MOVIMIENTOS!$E:$E,MOVIMIENTOS!$A:$A,$A28,MOVIMIENTOS!$B:$B,"ENVÍO A TOTTUS")+SUMIFS(MOVIMIENTOS!$E:$E,MOVIMIENTOS!$A:$A,$A28,MOVIMIENTOS!$B:$B,"ENVIO A TOTTUS")&gt;0,"Tottus",""))</f>
        <v>Supesa</v>
      </c>
      <c r="N28" s="80" t="str">
        <f>IFERROR(IF(LOOKUP(2,1/((MOVIMIENTOS!$A$5:$A$1017=$A28)*((MOVIMIENTOS!$B$5:$B$1017="ENVÍO A SUPESA")+(MOVIMIENTOS!$B$5:$B$1017="ENVÍO A TOTTUS")+(MOVIMIENTOS!$B$5:$B$1017="ENVIO A TOTTUS"))*(MOVIMIENTOS!$G$5:$G$1017&lt;&gt;"")),MOVIMIENTOS!$G$5:$G$1017)&lt;&gt;"","G-"&amp;LOOKUP(2,1/((MOVIMIENTOS!$A$5:$A$1017=$A28)*((MOVIMIENTOS!$B$5:$B$1017="ENVÍO A SUPESA")+(MOVIMIENTOS!$B$5:$B$1017="ENVÍO A TOTTUS")+(MOVIMIENTOS!$B$5:$B$1017="ENVIO A TOTTUS"))*(MOVIMIENTOS!$G$5:$G$1017&lt;&gt;"")),MOVIMIENTOS!$G$5:$G$1017),""),"")</f>
        <v>G-3021</v>
      </c>
      <c r="O28" s="80">
        <f>SUMIFS(MOVIMIENTOS!$E:$E,MOVIMIENTOS!$A:$A,$A28,MOVIMIENTOS!$B:$B,"ENVÍO A SUPESA",MOVIMIENTOS!$C:$C,"A")+SUMIFS(MOVIMIENTOS!$E:$E,MOVIMIENTOS!$A:$A,$A28,MOVIMIENTOS!$B:$B,"ENVÍO A TOTTUS",MOVIMIENTOS!$C:$C,"A")+SUMIFS(MOVIMIENTOS!$E:$E,MOVIMIENTOS!$A:$A,$A28,MOVIMIENTOS!$B:$B,"ENVIO A TOTTUS",MOVIMIENTOS!$C:$C,"A")</f>
        <v>67</v>
      </c>
      <c r="P28" s="80">
        <f>SUMIFS(MOVIMIENTOS!$E:$E,MOVIMIENTOS!$A:$A,$A28,MOVIMIENTOS!$B:$B,"ENVÍO A SUPESA",MOVIMIENTOS!$C:$C,"P")+SUMIFS(MOVIMIENTOS!$E:$E,MOVIMIENTOS!$A:$A,$A28,MOVIMIENTOS!$B:$B,"ENVÍO A TOTTUS",MOVIMIENTOS!$C:$C,"P")+SUMIFS(MOVIMIENTOS!$E:$E,MOVIMIENTOS!$A:$A,$A28,MOVIMIENTOS!$B:$B,"ENVIO A TOTTUS",MOVIMIENTOS!$C:$C,"P")</f>
        <v>11</v>
      </c>
      <c r="Q28" s="80">
        <f>SUMIFS(MOVIMIENTOS!$E:$E,MOVIMIENTOS!$A:$A,$A28,MOVIMIENTOS!$B:$B,"ENVÍO A SUPESA",MOVIMIENTOS!$C:$C,"C")+SUMIFS(MOVIMIENTOS!$E:$E,MOVIMIENTOS!$A:$A,$A28,MOVIMIENTOS!$B:$B,"ENVÍO A TOTTUS",MOVIMIENTOS!$C:$C,"C")+SUMIFS(MOVIMIENTOS!$E:$E,MOVIMIENTOS!$A:$A,$A28,MOVIMIENTOS!$B:$B,"ENVIO A TOTTUS",MOVIMIENTOS!$C:$C,"C")</f>
        <v>8</v>
      </c>
      <c r="R28" s="80">
        <f>SUMIFS(MOVIMIENTOS!$E:$E,MOVIMIENTOS!$A:$A,$A28,MOVIMIENTOS!$B:$B,"ENVÍO A SUPESA",MOVIMIENTOS!$C:$C,"M")+SUMIFS(MOVIMIENTOS!$E:$E,MOVIMIENTOS!$A:$A,$A28,MOVIMIENTOS!$B:$B,"ENVÍO A TOTTUS",MOVIMIENTOS!$C:$C,"M")+SUMIFS(MOVIMIENTOS!$E:$E,MOVIMIENTOS!$A:$A,$A28,MOVIMIENTOS!$B:$B,"ENVIO A TOTTUS",MOVIMIENTOS!$C:$C,"M")</f>
        <v>0</v>
      </c>
      <c r="S28" s="80">
        <f t="shared" si="2"/>
        <v>86</v>
      </c>
      <c r="T28" s="81">
        <f>SUMIFS(MOVIMIENTOS!$F:$F,MOVIMIENTOS!$A:$A,$A28,MOVIMIENTOS!$B:$B,"ENVÍO A SUPESA",MOVIMIENTOS!$C:$C,"&lt;&gt;Chancho")+SUMIFS(MOVIMIENTOS!$F:$F,MOVIMIENTOS!$A:$A,$A28,MOVIMIENTOS!$B:$B,"ENVÍO A TOTTUS",MOVIMIENTOS!$C:$C,"&lt;&gt;Chancho")+SUMIFS(MOVIMIENTOS!$F:$F,MOVIMIENTOS!$A:$A,$A28,MOVIMIENTOS!$B:$B,"ENVIO A TOTTUS",MOVIMIENTOS!$C:$C,"&lt;&gt;Chancho")</f>
        <v>1339</v>
      </c>
      <c r="U28" s="85">
        <f>IFERROR(INDEX('SALDO DIARIO'!$B:$B,MATCH($A28,'SALDO DIARIO'!$A:$A,0)),0)</f>
        <v>40</v>
      </c>
      <c r="V28" s="85">
        <f>IFERROR(INDEX('SALDO DIARIO'!$C:$C,MATCH($A28,'SALDO DIARIO'!$A:$A,0)),0)</f>
        <v>11</v>
      </c>
      <c r="W28" s="85">
        <f>IFERROR(INDEX('SALDO DIARIO'!$D:$D,MATCH($A28,'SALDO DIARIO'!$A:$A,0)),0)</f>
        <v>10</v>
      </c>
      <c r="X28" s="85">
        <f>IFERROR(INDEX('SALDO DIARIO'!$E:$E,MATCH($A28,'SALDO DIARIO'!$A:$A,0)),0)</f>
        <v>142</v>
      </c>
      <c r="Y28" s="85">
        <f>IFERROR(INDEX('SALDO DIARIO'!$G:$G,MATCH($A28,'SALDO DIARIO'!$A:$A,0)),0)</f>
        <v>203</v>
      </c>
      <c r="Z28" s="80">
        <f>SUMIFS(MOVIMIENTOS!$E:$E,MOVIMIENTOS!$A:$A,$A28,MOVIMIENTOS!$B:$B,"PROCESO",MOVIMIENTOS!$C:$C,"Chancho")</f>
        <v>8.5</v>
      </c>
      <c r="AA28" s="81">
        <f>SUMIFS(MOVIMIENTOS!$F:$F,MOVIMIENTOS!$A:$A,$A28,MOVIMIENTOS!$B:$B,"PROCESO",MOVIMIENTOS!$C:$C,"Chancho")</f>
        <v>824.5</v>
      </c>
      <c r="AB28" s="80">
        <f>SUMIFS(MOVIMIENTOS!$E:$E,MOVIMIENTOS!$A:$A,$A28,MOVIMIENTOS!$B:$B,"VENTA CHANCHO",MOVIMIENTOS!$C:$C,"Chancho")</f>
        <v>25</v>
      </c>
      <c r="AC28" s="81">
        <f>SUMIFS(MOVIMIENTOS!$F:$F,MOVIMIENTOS!$A:$A,$A28,MOVIMIENTOS!$B:$B,"VENTA CHANCHO",MOVIMIENTOS!$C:$C,"Chancho")</f>
        <v>2425</v>
      </c>
      <c r="AD28" s="80" t="str">
        <f>IFERROR(LOOKUP(2,1/((MOVIMIENTOS!$A$5:$A$1017=$A28)*(MOVIMIENTOS!$B$5:$B$1017="VENTA CHANCHO")*(MOVIMIENTOS!$C$5:$C$1017="Chancho")*(MOVIMIENTOS!$G$5:$G$1017&lt;&gt;"")),MOVIMIENTOS!$G$5:$G$1017),IFERROR(LOOKUP(2,1/((MOVIMIENTOS!$A$5:$A$1017=$A28)*(MOVIMIENTOS!$B$5:$B$1017="VENTA CHANCHO")*(MOVIMIENTOS!$C$5:$C$1017="Chancho")*(MOVIMIENTOS!$H$5:$H$1017&lt;&gt;"")),MOVIMIENTOS!$H$5:$H$1017),""))</f>
        <v>TCK002-731</v>
      </c>
      <c r="AE28" s="85">
        <f>IFERROR(INDEX('SALDO DIARIO'!$F:$F,MATCH($A28,'SALDO DIARIO'!$A:$A,0)),0)</f>
        <v>7</v>
      </c>
      <c r="AF28" s="81">
        <f t="shared" si="3"/>
        <v>330.5</v>
      </c>
      <c r="AG28" s="82">
        <f t="shared" si="4"/>
        <v>7.4</v>
      </c>
      <c r="AI28" s="83">
        <f t="shared" si="5"/>
        <v>46230</v>
      </c>
      <c r="AJ28" s="81">
        <f t="shared" si="6"/>
        <v>4459</v>
      </c>
      <c r="AK28" s="81">
        <f t="shared" si="7"/>
        <v>3304</v>
      </c>
      <c r="AL28" s="81">
        <f t="shared" si="8"/>
        <v>1339</v>
      </c>
      <c r="AM28" s="84">
        <f t="shared" si="9"/>
        <v>8.5</v>
      </c>
      <c r="AN28" s="81">
        <f t="shared" si="10"/>
        <v>824.5</v>
      </c>
      <c r="AO28" s="81">
        <f t="shared" si="11"/>
        <v>330.5</v>
      </c>
      <c r="AP28" s="82">
        <f t="shared" si="12"/>
        <v>7.4</v>
      </c>
    </row>
    <row r="29" spans="1:51" ht="15" customHeight="1" x14ac:dyDescent="0.2">
      <c r="A29" s="78">
        <v>46231</v>
      </c>
      <c r="B29" s="79" t="s">
        <v>224</v>
      </c>
      <c r="C29" s="79" t="s">
        <v>227</v>
      </c>
      <c r="D29" s="80">
        <f>SUMIFS(MOVIMIENTOS!$E:$E,MOVIMIENTOS!$A:$A,$A29,MOVIMIENTOS!$B:$B,"COMPRA")</f>
        <v>55</v>
      </c>
      <c r="E29" s="81">
        <f>SUMIFS(MOVIMIENTOS!$F:$F,MOVIMIENTOS!$A:$A,$A29,MOVIMIENTOS!$B:$B,"COMPRA")</f>
        <v>5451</v>
      </c>
      <c r="F29" s="80">
        <f>SUMIFS(MOVIMIENTOS!$E:$E,MOVIMIENTOS!$A:$A,$A29,MOVIMIENTOS!$B:$B,"PROCESO",MOVIMIENTOS!$C:$C,"A")</f>
        <v>133</v>
      </c>
      <c r="G29" s="80">
        <f>SUMIFS(MOVIMIENTOS!$E:$E,MOVIMIENTOS!$A:$A,$A29,MOVIMIENTOS!$B:$B,"PROCESO",MOVIMIENTOS!$C:$C,"P")</f>
        <v>4</v>
      </c>
      <c r="H29" s="80">
        <f>SUMIFS(MOVIMIENTOS!$E:$E,MOVIMIENTOS!$A:$A,$A29,MOVIMIENTOS!$B:$B,"PROCESO",MOVIMIENTOS!$C:$C,"C")</f>
        <v>12</v>
      </c>
      <c r="I29" s="80">
        <f>SUMIFS(MOVIMIENTOS!$E:$E,MOVIMIENTOS!$A:$A,$A29,MOVIMIENTOS!$B:$B,"PROCESO",MOVIMIENTOS!$C:$C,"M")</f>
        <v>94</v>
      </c>
      <c r="J29" s="80">
        <f t="shared" si="0"/>
        <v>243</v>
      </c>
      <c r="K29" s="81">
        <f t="shared" si="1"/>
        <v>3869</v>
      </c>
      <c r="L29" s="81">
        <f>SUMIFS(MOVIMIENTOS!$F:$F,MOVIMIENTOS!$A:$A,$A29,MOVIMIENTOS!$B:$B,"REPROCESO")</f>
        <v>0</v>
      </c>
      <c r="M29" s="80" t="str">
        <f>TRIM(IF(SUMIFS(MOVIMIENTOS!$E:$E,MOVIMIENTOS!$A:$A,$A29,MOVIMIENTOS!$B:$B,"ENVÍO A SUPESA")&gt;0,"Supesa ","")&amp;IF(SUMIFS(MOVIMIENTOS!$E:$E,MOVIMIENTOS!$A:$A,$A29,MOVIMIENTOS!$B:$B,"ENVÍO A TOTTUS")+SUMIFS(MOVIMIENTOS!$E:$E,MOVIMIENTOS!$A:$A,$A29,MOVIMIENTOS!$B:$B,"ENVIO A TOTTUS")&gt;0,"Tottus",""))</f>
        <v>Supesa</v>
      </c>
      <c r="N29" s="80" t="str">
        <f>IFERROR(IF(LOOKUP(2,1/((MOVIMIENTOS!$A$5:$A$1017=$A29)*((MOVIMIENTOS!$B$5:$B$1017="ENVÍO A SUPESA")+(MOVIMIENTOS!$B$5:$B$1017="ENVÍO A TOTTUS")+(MOVIMIENTOS!$B$5:$B$1017="ENVIO A TOTTUS"))*(MOVIMIENTOS!$G$5:$G$1017&lt;&gt;"")),MOVIMIENTOS!$G$5:$G$1017)&lt;&gt;"","G-"&amp;LOOKUP(2,1/((MOVIMIENTOS!$A$5:$A$1017=$A29)*((MOVIMIENTOS!$B$5:$B$1017="ENVÍO A SUPESA")+(MOVIMIENTOS!$B$5:$B$1017="ENVÍO A TOTTUS")+(MOVIMIENTOS!$B$5:$B$1017="ENVIO A TOTTUS"))*(MOVIMIENTOS!$G$5:$G$1017&lt;&gt;"")),MOVIMIENTOS!$G$5:$G$1017),""),"")</f>
        <v>G-3023</v>
      </c>
      <c r="O29" s="80">
        <f>SUMIFS(MOVIMIENTOS!$E:$E,MOVIMIENTOS!$A:$A,$A29,MOVIMIENTOS!$B:$B,"ENVÍO A SUPESA",MOVIMIENTOS!$C:$C,"A")+SUMIFS(MOVIMIENTOS!$E:$E,MOVIMIENTOS!$A:$A,$A29,MOVIMIENTOS!$B:$B,"ENVÍO A TOTTUS",MOVIMIENTOS!$C:$C,"A")+SUMIFS(MOVIMIENTOS!$E:$E,MOVIMIENTOS!$A:$A,$A29,MOVIMIENTOS!$B:$B,"ENVIO A TOTTUS",MOVIMIENTOS!$C:$C,"A")</f>
        <v>67</v>
      </c>
      <c r="P29" s="80">
        <f>SUMIFS(MOVIMIENTOS!$E:$E,MOVIMIENTOS!$A:$A,$A29,MOVIMIENTOS!$B:$B,"ENVÍO A SUPESA",MOVIMIENTOS!$C:$C,"P")+SUMIFS(MOVIMIENTOS!$E:$E,MOVIMIENTOS!$A:$A,$A29,MOVIMIENTOS!$B:$B,"ENVÍO A TOTTUS",MOVIMIENTOS!$C:$C,"P")+SUMIFS(MOVIMIENTOS!$E:$E,MOVIMIENTOS!$A:$A,$A29,MOVIMIENTOS!$B:$B,"ENVIO A TOTTUS",MOVIMIENTOS!$C:$C,"P")</f>
        <v>11</v>
      </c>
      <c r="Q29" s="80">
        <f>SUMIFS(MOVIMIENTOS!$E:$E,MOVIMIENTOS!$A:$A,$A29,MOVIMIENTOS!$B:$B,"ENVÍO A SUPESA",MOVIMIENTOS!$C:$C,"C")+SUMIFS(MOVIMIENTOS!$E:$E,MOVIMIENTOS!$A:$A,$A29,MOVIMIENTOS!$B:$B,"ENVÍO A TOTTUS",MOVIMIENTOS!$C:$C,"C")+SUMIFS(MOVIMIENTOS!$E:$E,MOVIMIENTOS!$A:$A,$A29,MOVIMIENTOS!$B:$B,"ENVIO A TOTTUS",MOVIMIENTOS!$C:$C,"C")</f>
        <v>10</v>
      </c>
      <c r="R29" s="80">
        <f>SUMIFS(MOVIMIENTOS!$E:$E,MOVIMIENTOS!$A:$A,$A29,MOVIMIENTOS!$B:$B,"ENVÍO A SUPESA",MOVIMIENTOS!$C:$C,"M")+SUMIFS(MOVIMIENTOS!$E:$E,MOVIMIENTOS!$A:$A,$A29,MOVIMIENTOS!$B:$B,"ENVÍO A TOTTUS",MOVIMIENTOS!$C:$C,"M")+SUMIFS(MOVIMIENTOS!$E:$E,MOVIMIENTOS!$A:$A,$A29,MOVIMIENTOS!$B:$B,"ENVIO A TOTTUS",MOVIMIENTOS!$C:$C,"M")</f>
        <v>118</v>
      </c>
      <c r="S29" s="80">
        <f t="shared" si="2"/>
        <v>206</v>
      </c>
      <c r="T29" s="81">
        <f>SUMIFS(MOVIMIENTOS!$F:$F,MOVIMIENTOS!$A:$A,$A29,MOVIMIENTOS!$B:$B,"ENVÍO A SUPESA",MOVIMIENTOS!$C:$C,"&lt;&gt;Chancho")+SUMIFS(MOVIMIENTOS!$F:$F,MOVIMIENTOS!$A:$A,$A29,MOVIMIENTOS!$B:$B,"ENVÍO A TOTTUS",MOVIMIENTOS!$C:$C,"&lt;&gt;Chancho")+SUMIFS(MOVIMIENTOS!$F:$F,MOVIMIENTOS!$A:$A,$A29,MOVIMIENTOS!$B:$B,"ENVIO A TOTTUS",MOVIMIENTOS!$C:$C,"&lt;&gt;Chancho")</f>
        <v>3379</v>
      </c>
      <c r="U29" s="85">
        <f>IFERROR(INDEX('SALDO DIARIO'!$B:$B,MATCH($A29,'SALDO DIARIO'!$A:$A,0)),0)</f>
        <v>106</v>
      </c>
      <c r="V29" s="85">
        <f>IFERROR(INDEX('SALDO DIARIO'!$C:$C,MATCH($A29,'SALDO DIARIO'!$A:$A,0)),0)</f>
        <v>4</v>
      </c>
      <c r="W29" s="85">
        <f>IFERROR(INDEX('SALDO DIARIO'!$D:$D,MATCH($A29,'SALDO DIARIO'!$A:$A,0)),0)</f>
        <v>12</v>
      </c>
      <c r="X29" s="85">
        <f>IFERROR(INDEX('SALDO DIARIO'!$E:$E,MATCH($A29,'SALDO DIARIO'!$A:$A,0)),0)</f>
        <v>118</v>
      </c>
      <c r="Y29" s="85">
        <f>IFERROR(INDEX('SALDO DIARIO'!$G:$G,MATCH($A29,'SALDO DIARIO'!$A:$A,0)),0)</f>
        <v>240</v>
      </c>
      <c r="Z29" s="80">
        <f>SUMIFS(MOVIMIENTOS!$E:$E,MOVIMIENTOS!$A:$A,$A29,MOVIMIENTOS!$B:$B,"PROCESO",MOVIMIENTOS!$C:$C,"Chancho")</f>
        <v>14.5</v>
      </c>
      <c r="AA29" s="81">
        <f>SUMIFS(MOVIMIENTOS!$F:$F,MOVIMIENTOS!$A:$A,$A29,MOVIMIENTOS!$B:$B,"PROCESO",MOVIMIENTOS!$C:$C,"Chancho")</f>
        <v>1406.5</v>
      </c>
      <c r="AB29" s="80">
        <f>SUMIFS(MOVIMIENTOS!$E:$E,MOVIMIENTOS!$A:$A,$A29,MOVIMIENTOS!$B:$B,"VENTA CHANCHO",MOVIMIENTOS!$C:$C,"Chancho")</f>
        <v>0</v>
      </c>
      <c r="AC29" s="81">
        <f>SUMIFS(MOVIMIENTOS!$F:$F,MOVIMIENTOS!$A:$A,$A29,MOVIMIENTOS!$B:$B,"VENTA CHANCHO",MOVIMIENTOS!$C:$C,"Chancho")</f>
        <v>0</v>
      </c>
      <c r="AD29" s="80" t="str">
        <f>IFERROR(LOOKUP(2,1/((MOVIMIENTOS!$A$5:$A$1017=$A29)*(MOVIMIENTOS!$B$5:$B$1017="VENTA CHANCHO")*(MOVIMIENTOS!$C$5:$C$1017="Chancho")*(MOVIMIENTOS!$G$5:$G$1017&lt;&gt;"")),MOVIMIENTOS!$G$5:$G$1017),IFERROR(LOOKUP(2,1/((MOVIMIENTOS!$A$5:$A$1017=$A29)*(MOVIMIENTOS!$B$5:$B$1017="VENTA CHANCHO")*(MOVIMIENTOS!$C$5:$C$1017="Chancho")*(MOVIMIENTOS!$H$5:$H$1017&lt;&gt;"")),MOVIMIENTOS!$H$5:$H$1017),""))</f>
        <v/>
      </c>
      <c r="AE29" s="85">
        <f>IFERROR(INDEX('SALDO DIARIO'!$F:$F,MATCH($A29,'SALDO DIARIO'!$A:$A,0)),0)</f>
        <v>21.5</v>
      </c>
      <c r="AF29" s="81">
        <f t="shared" si="3"/>
        <v>175.5</v>
      </c>
      <c r="AG29" s="82">
        <f t="shared" si="4"/>
        <v>3.2</v>
      </c>
      <c r="AI29" s="83">
        <f t="shared" si="5"/>
        <v>46231</v>
      </c>
      <c r="AJ29" s="81">
        <f t="shared" si="6"/>
        <v>5451</v>
      </c>
      <c r="AK29" s="81">
        <f t="shared" si="7"/>
        <v>3869</v>
      </c>
      <c r="AL29" s="81">
        <f t="shared" si="8"/>
        <v>3379</v>
      </c>
      <c r="AM29" s="84">
        <f t="shared" si="9"/>
        <v>14.5</v>
      </c>
      <c r="AN29" s="81">
        <f t="shared" si="10"/>
        <v>1406.5</v>
      </c>
      <c r="AO29" s="81">
        <f t="shared" si="11"/>
        <v>175.5</v>
      </c>
      <c r="AP29" s="82">
        <f t="shared" si="12"/>
        <v>3.2</v>
      </c>
    </row>
    <row r="30" spans="1:51" ht="15" customHeight="1" x14ac:dyDescent="0.2">
      <c r="A30" s="78">
        <v>46232</v>
      </c>
      <c r="B30" s="79" t="s">
        <v>226</v>
      </c>
      <c r="C30" s="79" t="s">
        <v>227</v>
      </c>
      <c r="D30" s="80">
        <f>SUMIFS(MOVIMIENTOS!$E:$E,MOVIMIENTOS!$A:$A,$A30,MOVIMIENTOS!$B:$B,"COMPRA")</f>
        <v>0</v>
      </c>
      <c r="E30" s="81">
        <f>SUMIFS(MOVIMIENTOS!$F:$F,MOVIMIENTOS!$A:$A,$A30,MOVIMIENTOS!$B:$B,"COMPRA")</f>
        <v>0</v>
      </c>
      <c r="F30" s="80">
        <f>SUMIFS(MOVIMIENTOS!$E:$E,MOVIMIENTOS!$A:$A,$A30,MOVIMIENTOS!$B:$B,"PROCESO",MOVIMIENTOS!$C:$C,"A")</f>
        <v>0</v>
      </c>
      <c r="G30" s="80">
        <f>SUMIFS(MOVIMIENTOS!$E:$E,MOVIMIENTOS!$A:$A,$A30,MOVIMIENTOS!$B:$B,"PROCESO",MOVIMIENTOS!$C:$C,"P")</f>
        <v>0</v>
      </c>
      <c r="H30" s="80">
        <f>SUMIFS(MOVIMIENTOS!$E:$E,MOVIMIENTOS!$A:$A,$A30,MOVIMIENTOS!$B:$B,"PROCESO",MOVIMIENTOS!$C:$C,"C")</f>
        <v>0</v>
      </c>
      <c r="I30" s="80">
        <f>SUMIFS(MOVIMIENTOS!$E:$E,MOVIMIENTOS!$A:$A,$A30,MOVIMIENTOS!$B:$B,"PROCESO",MOVIMIENTOS!$C:$C,"M")</f>
        <v>0</v>
      </c>
      <c r="J30" s="80">
        <f t="shared" si="0"/>
        <v>0</v>
      </c>
      <c r="K30" s="81">
        <f t="shared" si="1"/>
        <v>0</v>
      </c>
      <c r="L30" s="81">
        <f>SUMIFS(MOVIMIENTOS!$F:$F,MOVIMIENTOS!$A:$A,$A30,MOVIMIENTOS!$B:$B,"REPROCESO")</f>
        <v>0</v>
      </c>
      <c r="M30" s="80" t="str">
        <f>TRIM(IF(SUMIFS(MOVIMIENTOS!$E:$E,MOVIMIENTOS!$A:$A,$A30,MOVIMIENTOS!$B:$B,"ENVÍO A SUPESA")&gt;0,"Supesa ","")&amp;IF(SUMIFS(MOVIMIENTOS!$E:$E,MOVIMIENTOS!$A:$A,$A30,MOVIMIENTOS!$B:$B,"ENVÍO A TOTTUS")+SUMIFS(MOVIMIENTOS!$E:$E,MOVIMIENTOS!$A:$A,$A30,MOVIMIENTOS!$B:$B,"ENVIO A TOTTUS")&gt;0,"Tottus",""))</f>
        <v>Supesa</v>
      </c>
      <c r="N30" s="80" t="str">
        <f>IFERROR(IF(LOOKUP(2,1/((MOVIMIENTOS!$A$5:$A$1017=$A30)*((MOVIMIENTOS!$B$5:$B$1017="ENVÍO A SUPESA")+(MOVIMIENTOS!$B$5:$B$1017="ENVÍO A TOTTUS")+(MOVIMIENTOS!$B$5:$B$1017="ENVIO A TOTTUS"))*(MOVIMIENTOS!$G$5:$G$1017&lt;&gt;"")),MOVIMIENTOS!$G$5:$G$1017)&lt;&gt;"","G-"&amp;LOOKUP(2,1/((MOVIMIENTOS!$A$5:$A$1017=$A30)*((MOVIMIENTOS!$B$5:$B$1017="ENVÍO A SUPESA")+(MOVIMIENTOS!$B$5:$B$1017="ENVÍO A TOTTUS")+(MOVIMIENTOS!$B$5:$B$1017="ENVIO A TOTTUS"))*(MOVIMIENTOS!$G$5:$G$1017&lt;&gt;"")),MOVIMIENTOS!$G$5:$G$1017),""),"")</f>
        <v>G-3025</v>
      </c>
      <c r="O30" s="80">
        <f>SUMIFS(MOVIMIENTOS!$E:$E,MOVIMIENTOS!$A:$A,$A30,MOVIMIENTOS!$B:$B,"ENVÍO A SUPESA",MOVIMIENTOS!$C:$C,"A")+SUMIFS(MOVIMIENTOS!$E:$E,MOVIMIENTOS!$A:$A,$A30,MOVIMIENTOS!$B:$B,"ENVÍO A TOTTUS",MOVIMIENTOS!$C:$C,"A")+SUMIFS(MOVIMIENTOS!$E:$E,MOVIMIENTOS!$A:$A,$A30,MOVIMIENTOS!$B:$B,"ENVIO A TOTTUS",MOVIMIENTOS!$C:$C,"A")</f>
        <v>67</v>
      </c>
      <c r="P30" s="80">
        <f>SUMIFS(MOVIMIENTOS!$E:$E,MOVIMIENTOS!$A:$A,$A30,MOVIMIENTOS!$B:$B,"ENVÍO A SUPESA",MOVIMIENTOS!$C:$C,"P")+SUMIFS(MOVIMIENTOS!$E:$E,MOVIMIENTOS!$A:$A,$A30,MOVIMIENTOS!$B:$B,"ENVÍO A TOTTUS",MOVIMIENTOS!$C:$C,"P")+SUMIFS(MOVIMIENTOS!$E:$E,MOVIMIENTOS!$A:$A,$A30,MOVIMIENTOS!$B:$B,"ENVIO A TOTTUS",MOVIMIENTOS!$C:$C,"P")</f>
        <v>4</v>
      </c>
      <c r="Q30" s="80">
        <f>SUMIFS(MOVIMIENTOS!$E:$E,MOVIMIENTOS!$A:$A,$A30,MOVIMIENTOS!$B:$B,"ENVÍO A SUPESA",MOVIMIENTOS!$C:$C,"C")+SUMIFS(MOVIMIENTOS!$E:$E,MOVIMIENTOS!$A:$A,$A30,MOVIMIENTOS!$B:$B,"ENVÍO A TOTTUS",MOVIMIENTOS!$C:$C,"C")+SUMIFS(MOVIMIENTOS!$E:$E,MOVIMIENTOS!$A:$A,$A30,MOVIMIENTOS!$B:$B,"ENVIO A TOTTUS",MOVIMIENTOS!$C:$C,"C")</f>
        <v>12</v>
      </c>
      <c r="R30" s="80">
        <f>SUMIFS(MOVIMIENTOS!$E:$E,MOVIMIENTOS!$A:$A,$A30,MOVIMIENTOS!$B:$B,"ENVÍO A SUPESA",MOVIMIENTOS!$C:$C,"M")+SUMIFS(MOVIMIENTOS!$E:$E,MOVIMIENTOS!$A:$A,$A30,MOVIMIENTOS!$B:$B,"ENVÍO A TOTTUS",MOVIMIENTOS!$C:$C,"M")+SUMIFS(MOVIMIENTOS!$E:$E,MOVIMIENTOS!$A:$A,$A30,MOVIMIENTOS!$B:$B,"ENVIO A TOTTUS",MOVIMIENTOS!$C:$C,"M")</f>
        <v>89</v>
      </c>
      <c r="S30" s="80">
        <f t="shared" si="2"/>
        <v>172</v>
      </c>
      <c r="T30" s="81">
        <f>SUMIFS(MOVIMIENTOS!$F:$F,MOVIMIENTOS!$A:$A,$A30,MOVIMIENTOS!$B:$B,"ENVÍO A SUPESA",MOVIMIENTOS!$C:$C,"&lt;&gt;Chancho")+SUMIFS(MOVIMIENTOS!$F:$F,MOVIMIENTOS!$A:$A,$A30,MOVIMIENTOS!$B:$B,"ENVÍO A TOTTUS",MOVIMIENTOS!$C:$C,"&lt;&gt;Chancho")+SUMIFS(MOVIMIENTOS!$F:$F,MOVIMIENTOS!$A:$A,$A30,MOVIMIENTOS!$B:$B,"ENVIO A TOTTUS",MOVIMIENTOS!$C:$C,"&lt;&gt;Chancho")</f>
        <v>2794</v>
      </c>
      <c r="U30" s="85">
        <f>IFERROR(INDEX('SALDO DIARIO'!$B:$B,MATCH($A30,'SALDO DIARIO'!$A:$A,0)),0)</f>
        <v>39</v>
      </c>
      <c r="V30" s="85">
        <f>IFERROR(INDEX('SALDO DIARIO'!$C:$C,MATCH($A30,'SALDO DIARIO'!$A:$A,0)),0)</f>
        <v>0</v>
      </c>
      <c r="W30" s="85">
        <f>IFERROR(INDEX('SALDO DIARIO'!$D:$D,MATCH($A30,'SALDO DIARIO'!$A:$A,0)),0)</f>
        <v>0</v>
      </c>
      <c r="X30" s="85">
        <f>IFERROR(INDEX('SALDO DIARIO'!$E:$E,MATCH($A30,'SALDO DIARIO'!$A:$A,0)),0)</f>
        <v>29</v>
      </c>
      <c r="Y30" s="85">
        <f>IFERROR(INDEX('SALDO DIARIO'!$G:$G,MATCH($A30,'SALDO DIARIO'!$A:$A,0)),0)</f>
        <v>68</v>
      </c>
      <c r="Z30" s="80">
        <f>SUMIFS(MOVIMIENTOS!$E:$E,MOVIMIENTOS!$A:$A,$A30,MOVIMIENTOS!$B:$B,"PROCESO",MOVIMIENTOS!$C:$C,"Chancho")</f>
        <v>0</v>
      </c>
      <c r="AA30" s="81">
        <f>SUMIFS(MOVIMIENTOS!$F:$F,MOVIMIENTOS!$A:$A,$A30,MOVIMIENTOS!$B:$B,"PROCESO",MOVIMIENTOS!$C:$C,"Chancho")</f>
        <v>0</v>
      </c>
      <c r="AB30" s="80">
        <f>SUMIFS(MOVIMIENTOS!$E:$E,MOVIMIENTOS!$A:$A,$A30,MOVIMIENTOS!$B:$B,"VENTA CHANCHO",MOVIMIENTOS!$C:$C,"Chancho")</f>
        <v>10</v>
      </c>
      <c r="AC30" s="81">
        <f>SUMIFS(MOVIMIENTOS!$F:$F,MOVIMIENTOS!$A:$A,$A30,MOVIMIENTOS!$B:$B,"VENTA CHANCHO",MOVIMIENTOS!$C:$C,"Chancho")</f>
        <v>970</v>
      </c>
      <c r="AD30" s="80" t="str">
        <f>IFERROR(LOOKUP(2,1/((MOVIMIENTOS!$A$5:$A$1017=$A30)*(MOVIMIENTOS!$B$5:$B$1017="VENTA CHANCHO")*(MOVIMIENTOS!$C$5:$C$1017="Chancho")*(MOVIMIENTOS!$G$5:$G$1017&lt;&gt;"")),MOVIMIENTOS!$G$5:$G$1017),IFERROR(LOOKUP(2,1/((MOVIMIENTOS!$A$5:$A$1017=$A30)*(MOVIMIENTOS!$B$5:$B$1017="VENTA CHANCHO")*(MOVIMIENTOS!$C$5:$C$1017="Chancho")*(MOVIMIENTOS!$H$5:$H$1017&lt;&gt;"")),MOVIMIENTOS!$H$5:$H$1017),""))</f>
        <v>TCK002-730</v>
      </c>
      <c r="AE30" s="85">
        <f>IFERROR(INDEX('SALDO DIARIO'!$F:$F,MATCH($A30,'SALDO DIARIO'!$A:$A,0)),0)</f>
        <v>11.5</v>
      </c>
      <c r="AF30" s="81">
        <f t="shared" si="3"/>
        <v>0</v>
      </c>
      <c r="AG30" s="82">
        <f t="shared" si="4"/>
        <v>0</v>
      </c>
      <c r="AI30" s="83">
        <f t="shared" si="5"/>
        <v>46232</v>
      </c>
      <c r="AJ30" s="81">
        <f t="shared" si="6"/>
        <v>0</v>
      </c>
      <c r="AK30" s="81">
        <f t="shared" si="7"/>
        <v>0</v>
      </c>
      <c r="AL30" s="81">
        <f t="shared" si="8"/>
        <v>2794</v>
      </c>
      <c r="AM30" s="84">
        <f t="shared" si="9"/>
        <v>0</v>
      </c>
      <c r="AN30" s="81">
        <f t="shared" si="10"/>
        <v>0</v>
      </c>
      <c r="AO30" s="81">
        <f t="shared" si="11"/>
        <v>0</v>
      </c>
      <c r="AP30" s="82">
        <f t="shared" si="12"/>
        <v>0</v>
      </c>
    </row>
    <row r="31" spans="1:51" ht="15" customHeight="1" x14ac:dyDescent="0.2">
      <c r="A31" s="78">
        <v>46233</v>
      </c>
      <c r="B31" s="79" t="s">
        <v>228</v>
      </c>
      <c r="C31" s="79" t="s">
        <v>227</v>
      </c>
      <c r="D31" s="80">
        <f>SUMIFS(MOVIMIENTOS!$E:$E,MOVIMIENTOS!$A:$A,$A31,MOVIMIENTOS!$B:$B,"COMPRA")</f>
        <v>30</v>
      </c>
      <c r="E31" s="81">
        <f>SUMIFS(MOVIMIENTOS!$F:$F,MOVIMIENTOS!$A:$A,$A31,MOVIMIENTOS!$B:$B,"COMPRA")</f>
        <v>2910</v>
      </c>
      <c r="F31" s="80">
        <f>SUMIFS(MOVIMIENTOS!$E:$E,MOVIMIENTOS!$A:$A,$A31,MOVIMIENTOS!$B:$B,"PROCESO",MOVIMIENTOS!$C:$C,"A")</f>
        <v>46</v>
      </c>
      <c r="G31" s="80">
        <f>SUMIFS(MOVIMIENTOS!$E:$E,MOVIMIENTOS!$A:$A,$A31,MOVIMIENTOS!$B:$B,"PROCESO",MOVIMIENTOS!$C:$C,"P")</f>
        <v>11</v>
      </c>
      <c r="H31" s="80">
        <f>SUMIFS(MOVIMIENTOS!$E:$E,MOVIMIENTOS!$A:$A,$A31,MOVIMIENTOS!$B:$B,"PROCESO",MOVIMIENTOS!$C:$C,"C")</f>
        <v>5</v>
      </c>
      <c r="I31" s="80">
        <f>SUMIFS(MOVIMIENTOS!$E:$E,MOVIMIENTOS!$A:$A,$A31,MOVIMIENTOS!$B:$B,"PROCESO",MOVIMIENTOS!$C:$C,"M")</f>
        <v>90</v>
      </c>
      <c r="J31" s="80">
        <f t="shared" si="0"/>
        <v>152</v>
      </c>
      <c r="K31" s="81">
        <f t="shared" si="1"/>
        <v>2503</v>
      </c>
      <c r="L31" s="81">
        <f>SUMIFS(MOVIMIENTOS!$F:$F,MOVIMIENTOS!$A:$A,$A31,MOVIMIENTOS!$B:$B,"REPROCESO")</f>
        <v>0</v>
      </c>
      <c r="M31" s="80" t="str">
        <f>TRIM(IF(SUMIFS(MOVIMIENTOS!$E:$E,MOVIMIENTOS!$A:$A,$A31,MOVIMIENTOS!$B:$B,"ENVÍO A SUPESA")&gt;0,"Supesa ","")&amp;IF(SUMIFS(MOVIMIENTOS!$E:$E,MOVIMIENTOS!$A:$A,$A31,MOVIMIENTOS!$B:$B,"ENVÍO A TOTTUS")+SUMIFS(MOVIMIENTOS!$E:$E,MOVIMIENTOS!$A:$A,$A31,MOVIMIENTOS!$B:$B,"ENVIO A TOTTUS")&gt;0,"Tottus",""))</f>
        <v>Supesa</v>
      </c>
      <c r="N31" s="80" t="str">
        <f>IFERROR(IF(LOOKUP(2,1/((MOVIMIENTOS!$A$5:$A$1017=$A31)*((MOVIMIENTOS!$B$5:$B$1017="ENVÍO A SUPESA")+(MOVIMIENTOS!$B$5:$B$1017="ENVÍO A TOTTUS")+(MOVIMIENTOS!$B$5:$B$1017="ENVIO A TOTTUS"))*(MOVIMIENTOS!$G$5:$G$1017&lt;&gt;"")),MOVIMIENTOS!$G$5:$G$1017)&lt;&gt;"","G-"&amp;LOOKUP(2,1/((MOVIMIENTOS!$A$5:$A$1017=$A31)*((MOVIMIENTOS!$B$5:$B$1017="ENVÍO A SUPESA")+(MOVIMIENTOS!$B$5:$B$1017="ENVÍO A TOTTUS")+(MOVIMIENTOS!$B$5:$B$1017="ENVIO A TOTTUS"))*(MOVIMIENTOS!$G$5:$G$1017&lt;&gt;"")),MOVIMIENTOS!$G$5:$G$1017),""),"")</f>
        <v>G-3031</v>
      </c>
      <c r="O31" s="80">
        <f>SUMIFS(MOVIMIENTOS!$E:$E,MOVIMIENTOS!$A:$A,$A31,MOVIMIENTOS!$B:$B,"ENVÍO A SUPESA",MOVIMIENTOS!$C:$C,"A")+SUMIFS(MOVIMIENTOS!$E:$E,MOVIMIENTOS!$A:$A,$A31,MOVIMIENTOS!$B:$B,"ENVÍO A TOTTUS",MOVIMIENTOS!$C:$C,"A")+SUMIFS(MOVIMIENTOS!$E:$E,MOVIMIENTOS!$A:$A,$A31,MOVIMIENTOS!$B:$B,"ENVIO A TOTTUS",MOVIMIENTOS!$C:$C,"A")</f>
        <v>67</v>
      </c>
      <c r="P31" s="80">
        <f>SUMIFS(MOVIMIENTOS!$E:$E,MOVIMIENTOS!$A:$A,$A31,MOVIMIENTOS!$B:$B,"ENVÍO A SUPESA",MOVIMIENTOS!$C:$C,"P")+SUMIFS(MOVIMIENTOS!$E:$E,MOVIMIENTOS!$A:$A,$A31,MOVIMIENTOS!$B:$B,"ENVÍO A TOTTUS",MOVIMIENTOS!$C:$C,"P")+SUMIFS(MOVIMIENTOS!$E:$E,MOVIMIENTOS!$A:$A,$A31,MOVIMIENTOS!$B:$B,"ENVIO A TOTTUS",MOVIMIENTOS!$C:$C,"P")</f>
        <v>11</v>
      </c>
      <c r="Q31" s="80">
        <f>SUMIFS(MOVIMIENTOS!$E:$E,MOVIMIENTOS!$A:$A,$A31,MOVIMIENTOS!$B:$B,"ENVÍO A SUPESA",MOVIMIENTOS!$C:$C,"C")+SUMIFS(MOVIMIENTOS!$E:$E,MOVIMIENTOS!$A:$A,$A31,MOVIMIENTOS!$B:$B,"ENVÍO A TOTTUS",MOVIMIENTOS!$C:$C,"C")+SUMIFS(MOVIMIENTOS!$E:$E,MOVIMIENTOS!$A:$A,$A31,MOVIMIENTOS!$B:$B,"ENVIO A TOTTUS",MOVIMIENTOS!$C:$C,"C")</f>
        <v>5</v>
      </c>
      <c r="R31" s="80">
        <f>SUMIFS(MOVIMIENTOS!$E:$E,MOVIMIENTOS!$A:$A,$A31,MOVIMIENTOS!$B:$B,"ENVÍO A SUPESA",MOVIMIENTOS!$C:$C,"M")+SUMIFS(MOVIMIENTOS!$E:$E,MOVIMIENTOS!$A:$A,$A31,MOVIMIENTOS!$B:$B,"ENVÍO A TOTTUS",MOVIMIENTOS!$C:$C,"M")+SUMIFS(MOVIMIENTOS!$E:$E,MOVIMIENTOS!$A:$A,$A31,MOVIMIENTOS!$B:$B,"ENVIO A TOTTUS",MOVIMIENTOS!$C:$C,"M")</f>
        <v>118</v>
      </c>
      <c r="S31" s="80">
        <f t="shared" si="2"/>
        <v>201</v>
      </c>
      <c r="T31" s="81">
        <f>SUMIFS(MOVIMIENTOS!$F:$F,MOVIMIENTOS!$A:$A,$A31,MOVIMIENTOS!$B:$B,"ENVÍO A SUPESA",MOVIMIENTOS!$C:$C,"&lt;&gt;Chancho")+SUMIFS(MOVIMIENTOS!$F:$F,MOVIMIENTOS!$A:$A,$A31,MOVIMIENTOS!$B:$B,"ENVÍO A TOTTUS",MOVIMIENTOS!$C:$C,"&lt;&gt;Chancho")+SUMIFS(MOVIMIENTOS!$F:$F,MOVIMIENTOS!$A:$A,$A31,MOVIMIENTOS!$B:$B,"ENVIO A TOTTUS",MOVIMIENTOS!$C:$C,"&lt;&gt;Chancho")</f>
        <v>3294</v>
      </c>
      <c r="U31" s="85">
        <f>IFERROR(INDEX('SALDO DIARIO'!$B:$B,MATCH($A31,'SALDO DIARIO'!$A:$A,0)),0)</f>
        <v>18</v>
      </c>
      <c r="V31" s="85">
        <f>IFERROR(INDEX('SALDO DIARIO'!$C:$C,MATCH($A31,'SALDO DIARIO'!$A:$A,0)),0)</f>
        <v>0</v>
      </c>
      <c r="W31" s="85">
        <f>IFERROR(INDEX('SALDO DIARIO'!$D:$D,MATCH($A31,'SALDO DIARIO'!$A:$A,0)),0)</f>
        <v>0</v>
      </c>
      <c r="X31" s="85">
        <f>IFERROR(INDEX('SALDO DIARIO'!$E:$E,MATCH($A31,'SALDO DIARIO'!$A:$A,0)),0)</f>
        <v>0</v>
      </c>
      <c r="Y31" s="85">
        <f>IFERROR(INDEX('SALDO DIARIO'!$G:$G,MATCH($A31,'SALDO DIARIO'!$A:$A,0)),0)</f>
        <v>18</v>
      </c>
      <c r="Z31" s="80">
        <f>SUMIFS(MOVIMIENTOS!$E:$E,MOVIMIENTOS!$A:$A,$A31,MOVIMIENTOS!$B:$B,"PROCESO",MOVIMIENTOS!$C:$C,"Chancho")</f>
        <v>5</v>
      </c>
      <c r="AA31" s="81">
        <f>SUMIFS(MOVIMIENTOS!$F:$F,MOVIMIENTOS!$A:$A,$A31,MOVIMIENTOS!$B:$B,"PROCESO",MOVIMIENTOS!$C:$C,"Chancho")</f>
        <v>485</v>
      </c>
      <c r="AB31" s="80">
        <f>SUMIFS(MOVIMIENTOS!$E:$E,MOVIMIENTOS!$A:$A,$A31,MOVIMIENTOS!$B:$B,"VENTA CHANCHO",MOVIMIENTOS!$C:$C,"Chancho")</f>
        <v>0</v>
      </c>
      <c r="AC31" s="81">
        <f>SUMIFS(MOVIMIENTOS!$F:$F,MOVIMIENTOS!$A:$A,$A31,MOVIMIENTOS!$B:$B,"VENTA CHANCHO",MOVIMIENTOS!$C:$C,"Chancho")</f>
        <v>0</v>
      </c>
      <c r="AD31" s="80" t="str">
        <f>IFERROR(LOOKUP(2,1/((MOVIMIENTOS!$A$5:$A$1017=$A31)*(MOVIMIENTOS!$B$5:$B$1017="VENTA CHANCHO")*(MOVIMIENTOS!$C$5:$C$1017="Chancho")*(MOVIMIENTOS!$G$5:$G$1017&lt;&gt;"")),MOVIMIENTOS!$G$5:$G$1017),IFERROR(LOOKUP(2,1/((MOVIMIENTOS!$A$5:$A$1017=$A31)*(MOVIMIENTOS!$B$5:$B$1017="VENTA CHANCHO")*(MOVIMIENTOS!$C$5:$C$1017="Chancho")*(MOVIMIENTOS!$H$5:$H$1017&lt;&gt;"")),MOVIMIENTOS!$H$5:$H$1017),""))</f>
        <v/>
      </c>
      <c r="AE31" s="85">
        <f>IFERROR(INDEX('SALDO DIARIO'!$F:$F,MATCH($A31,'SALDO DIARIO'!$A:$A,0)),0)</f>
        <v>16.5</v>
      </c>
      <c r="AF31" s="81">
        <f t="shared" si="3"/>
        <v>-78</v>
      </c>
      <c r="AG31" s="82">
        <f t="shared" si="4"/>
        <v>-2.7</v>
      </c>
      <c r="AI31" s="83">
        <f t="shared" si="5"/>
        <v>46233</v>
      </c>
      <c r="AJ31" s="81">
        <f t="shared" si="6"/>
        <v>2910</v>
      </c>
      <c r="AK31" s="81">
        <f t="shared" si="7"/>
        <v>2503</v>
      </c>
      <c r="AL31" s="81">
        <f t="shared" si="8"/>
        <v>3294</v>
      </c>
      <c r="AM31" s="84">
        <f t="shared" si="9"/>
        <v>5</v>
      </c>
      <c r="AN31" s="81">
        <f t="shared" si="10"/>
        <v>485</v>
      </c>
      <c r="AO31" s="81">
        <f t="shared" si="11"/>
        <v>-78</v>
      </c>
      <c r="AP31" s="82">
        <f t="shared" si="12"/>
        <v>-2.7</v>
      </c>
    </row>
    <row r="32" spans="1:51" ht="15" customHeight="1" x14ac:dyDescent="0.2">
      <c r="A32" s="78">
        <v>46234</v>
      </c>
      <c r="B32" s="79" t="s">
        <v>230</v>
      </c>
      <c r="C32" s="79" t="s">
        <v>227</v>
      </c>
      <c r="D32" s="80">
        <f>SUMIFS(MOVIMIENTOS!$E:$E,MOVIMIENTOS!$A:$A,$A32,MOVIMIENTOS!$B:$B,"COMPRA")</f>
        <v>70</v>
      </c>
      <c r="E32" s="81">
        <f>SUMIFS(MOVIMIENTOS!$F:$F,MOVIMIENTOS!$A:$A,$A32,MOVIMIENTOS!$B:$B,"COMPRA")</f>
        <v>6790</v>
      </c>
      <c r="F32" s="80">
        <f>SUMIFS(MOVIMIENTOS!$E:$E,MOVIMIENTOS!$A:$A,$A32,MOVIMIENTOS!$B:$B,"PROCESO",MOVIMIENTOS!$C:$C,"A")</f>
        <v>137</v>
      </c>
      <c r="G32" s="80">
        <f>SUMIFS(MOVIMIENTOS!$E:$E,MOVIMIENTOS!$A:$A,$A32,MOVIMIENTOS!$B:$B,"PROCESO",MOVIMIENTOS!$C:$C,"P")</f>
        <v>11</v>
      </c>
      <c r="H32" s="80">
        <f>SUMIFS(MOVIMIENTOS!$E:$E,MOVIMIENTOS!$A:$A,$A32,MOVIMIENTOS!$B:$B,"PROCESO",MOVIMIENTOS!$C:$C,"C")</f>
        <v>12</v>
      </c>
      <c r="I32" s="80">
        <f>SUMIFS(MOVIMIENTOS!$E:$E,MOVIMIENTOS!$A:$A,$A32,MOVIMIENTOS!$B:$B,"PROCESO",MOVIMIENTOS!$C:$C,"M")</f>
        <v>182</v>
      </c>
      <c r="J32" s="80">
        <f t="shared" si="0"/>
        <v>342</v>
      </c>
      <c r="K32" s="81">
        <f t="shared" si="1"/>
        <v>5551</v>
      </c>
      <c r="L32" s="81">
        <f>SUMIFS(MOVIMIENTOS!$F:$F,MOVIMIENTOS!$A:$A,$A32,MOVIMIENTOS!$B:$B,"REPROCESO")</f>
        <v>5</v>
      </c>
      <c r="M32" s="80" t="str">
        <f>TRIM(IF(SUMIFS(MOVIMIENTOS!$E:$E,MOVIMIENTOS!$A:$A,$A32,MOVIMIENTOS!$B:$B,"ENVÍO A SUPESA")&gt;0,"Supesa ","")&amp;IF(SUMIFS(MOVIMIENTOS!$E:$E,MOVIMIENTOS!$A:$A,$A32,MOVIMIENTOS!$B:$B,"ENVÍO A TOTTUS")+SUMIFS(MOVIMIENTOS!$E:$E,MOVIMIENTOS!$A:$A,$A32,MOVIMIENTOS!$B:$B,"ENVIO A TOTTUS")&gt;0,"Tottus",""))</f>
        <v>Supesa</v>
      </c>
      <c r="N32" s="80" t="str">
        <f>IFERROR(IF(LOOKUP(2,1/((MOVIMIENTOS!$A$5:$A$1017=$A32)*((MOVIMIENTOS!$B$5:$B$1017="ENVÍO A SUPESA")+(MOVIMIENTOS!$B$5:$B$1017="ENVÍO A TOTTUS")+(MOVIMIENTOS!$B$5:$B$1017="ENVIO A TOTTUS"))*(MOVIMIENTOS!$G$5:$G$1017&lt;&gt;"")),MOVIMIENTOS!$G$5:$G$1017)&lt;&gt;"","G-"&amp;LOOKUP(2,1/((MOVIMIENTOS!$A$5:$A$1017=$A32)*((MOVIMIENTOS!$B$5:$B$1017="ENVÍO A SUPESA")+(MOVIMIENTOS!$B$5:$B$1017="ENVÍO A TOTTUS")+(MOVIMIENTOS!$B$5:$B$1017="ENVIO A TOTTUS"))*(MOVIMIENTOS!$G$5:$G$1017&lt;&gt;"")),MOVIMIENTOS!$G$5:$G$1017),""),"")</f>
        <v>G-3035</v>
      </c>
      <c r="O32" s="80">
        <f>SUMIFS(MOVIMIENTOS!$E:$E,MOVIMIENTOS!$A:$A,$A32,MOVIMIENTOS!$B:$B,"ENVÍO A SUPESA",MOVIMIENTOS!$C:$C,"A")+SUMIFS(MOVIMIENTOS!$E:$E,MOVIMIENTOS!$A:$A,$A32,MOVIMIENTOS!$B:$B,"ENVÍO A TOTTUS",MOVIMIENTOS!$C:$C,"A")+SUMIFS(MOVIMIENTOS!$E:$E,MOVIMIENTOS!$A:$A,$A32,MOVIMIENTOS!$B:$B,"ENVIO A TOTTUS",MOVIMIENTOS!$C:$C,"A")</f>
        <v>67</v>
      </c>
      <c r="P32" s="80">
        <f>SUMIFS(MOVIMIENTOS!$E:$E,MOVIMIENTOS!$A:$A,$A32,MOVIMIENTOS!$B:$B,"ENVÍO A SUPESA",MOVIMIENTOS!$C:$C,"P")+SUMIFS(MOVIMIENTOS!$E:$E,MOVIMIENTOS!$A:$A,$A32,MOVIMIENTOS!$B:$B,"ENVÍO A TOTTUS",MOVIMIENTOS!$C:$C,"P")+SUMIFS(MOVIMIENTOS!$E:$E,MOVIMIENTOS!$A:$A,$A32,MOVIMIENTOS!$B:$B,"ENVIO A TOTTUS",MOVIMIENTOS!$C:$C,"P")</f>
        <v>11</v>
      </c>
      <c r="Q32" s="80">
        <f>SUMIFS(MOVIMIENTOS!$E:$E,MOVIMIENTOS!$A:$A,$A32,MOVIMIENTOS!$B:$B,"ENVÍO A SUPESA",MOVIMIENTOS!$C:$C,"C")+SUMIFS(MOVIMIENTOS!$E:$E,MOVIMIENTOS!$A:$A,$A32,MOVIMIENTOS!$B:$B,"ENVÍO A TOTTUS",MOVIMIENTOS!$C:$C,"C")+SUMIFS(MOVIMIENTOS!$E:$E,MOVIMIENTOS!$A:$A,$A32,MOVIMIENTOS!$B:$B,"ENVIO A TOTTUS",MOVIMIENTOS!$C:$C,"C")</f>
        <v>12</v>
      </c>
      <c r="R32" s="80">
        <f>SUMIFS(MOVIMIENTOS!$E:$E,MOVIMIENTOS!$A:$A,$A32,MOVIMIENTOS!$B:$B,"ENVÍO A SUPESA",MOVIMIENTOS!$C:$C,"M")+SUMIFS(MOVIMIENTOS!$E:$E,MOVIMIENTOS!$A:$A,$A32,MOVIMIENTOS!$B:$B,"ENVÍO A TOTTUS",MOVIMIENTOS!$C:$C,"M")+SUMIFS(MOVIMIENTOS!$E:$E,MOVIMIENTOS!$A:$A,$A32,MOVIMIENTOS!$B:$B,"ENVIO A TOTTUS",MOVIMIENTOS!$C:$C,"M")</f>
        <v>118</v>
      </c>
      <c r="S32" s="80">
        <f t="shared" si="2"/>
        <v>208</v>
      </c>
      <c r="T32" s="81">
        <f>SUMIFS(MOVIMIENTOS!$F:$F,MOVIMIENTOS!$A:$A,$A32,MOVIMIENTOS!$B:$B,"ENVÍO A SUPESA",MOVIMIENTOS!$C:$C,"&lt;&gt;Chancho")+SUMIFS(MOVIMIENTOS!$F:$F,MOVIMIENTOS!$A:$A,$A32,MOVIMIENTOS!$B:$B,"ENVÍO A TOTTUS",MOVIMIENTOS!$C:$C,"&lt;&gt;Chancho")+SUMIFS(MOVIMIENTOS!$F:$F,MOVIMIENTOS!$A:$A,$A32,MOVIMIENTOS!$B:$B,"ENVIO A TOTTUS",MOVIMIENTOS!$C:$C,"&lt;&gt;Chancho")</f>
        <v>3413</v>
      </c>
      <c r="U32" s="85">
        <f>IFERROR(INDEX('SALDO DIARIO'!$B:$B,MATCH($A32,'SALDO DIARIO'!$A:$A,0)),0)</f>
        <v>88</v>
      </c>
      <c r="V32" s="85">
        <f>IFERROR(INDEX('SALDO DIARIO'!$C:$C,MATCH($A32,'SALDO DIARIO'!$A:$A,0)),0)</f>
        <v>0</v>
      </c>
      <c r="W32" s="85">
        <f>IFERROR(INDEX('SALDO DIARIO'!$D:$D,MATCH($A32,'SALDO DIARIO'!$A:$A,0)),0)</f>
        <v>0</v>
      </c>
      <c r="X32" s="85">
        <f>IFERROR(INDEX('SALDO DIARIO'!$E:$E,MATCH($A32,'SALDO DIARIO'!$A:$A,0)),0)</f>
        <v>64</v>
      </c>
      <c r="Y32" s="85">
        <f>IFERROR(INDEX('SALDO DIARIO'!$G:$G,MATCH($A32,'SALDO DIARIO'!$A:$A,0)),0)</f>
        <v>152</v>
      </c>
      <c r="Z32" s="80">
        <f>SUMIFS(MOVIMIENTOS!$E:$E,MOVIMIENTOS!$A:$A,$A32,MOVIMIENTOS!$B:$B,"PROCESO",MOVIMIENTOS!$C:$C,"Chancho")</f>
        <v>14.5</v>
      </c>
      <c r="AA32" s="81">
        <f>SUMIFS(MOVIMIENTOS!$F:$F,MOVIMIENTOS!$A:$A,$A32,MOVIMIENTOS!$B:$B,"PROCESO",MOVIMIENTOS!$C:$C,"Chancho")</f>
        <v>1406.5</v>
      </c>
      <c r="AB32" s="80">
        <f>SUMIFS(MOVIMIENTOS!$E:$E,MOVIMIENTOS!$A:$A,$A32,MOVIMIENTOS!$B:$B,"VENTA CHANCHO",MOVIMIENTOS!$C:$C,"Chancho")</f>
        <v>8</v>
      </c>
      <c r="AC32" s="81">
        <f>SUMIFS(MOVIMIENTOS!$F:$F,MOVIMIENTOS!$A:$A,$A32,MOVIMIENTOS!$B:$B,"VENTA CHANCHO",MOVIMIENTOS!$C:$C,"Chancho")</f>
        <v>776</v>
      </c>
      <c r="AD32" s="80" t="str">
        <f>IFERROR(LOOKUP(2,1/((MOVIMIENTOS!$A$5:$A$1017=$A32)*(MOVIMIENTOS!$B$5:$B$1017="VENTA CHANCHO")*(MOVIMIENTOS!$C$5:$C$1017="Chancho")*(MOVIMIENTOS!$G$5:$G$1017&lt;&gt;"")),MOVIMIENTOS!$G$5:$G$1017),IFERROR(LOOKUP(2,1/((MOVIMIENTOS!$A$5:$A$1017=$A32)*(MOVIMIENTOS!$B$5:$B$1017="VENTA CHANCHO")*(MOVIMIENTOS!$C$5:$C$1017="Chancho")*(MOVIMIENTOS!$H$5:$H$1017&lt;&gt;"")),MOVIMIENTOS!$H$5:$H$1017),""))</f>
        <v>TCK002-733</v>
      </c>
      <c r="AE32" s="85">
        <f>IFERROR(INDEX('SALDO DIARIO'!$F:$F,MATCH($A32,'SALDO DIARIO'!$A:$A,0)),0)</f>
        <v>23</v>
      </c>
      <c r="AF32" s="81">
        <f t="shared" si="3"/>
        <v>-167.5</v>
      </c>
      <c r="AG32" s="82">
        <f t="shared" si="4"/>
        <v>-2.5</v>
      </c>
      <c r="AI32" s="83">
        <f t="shared" si="5"/>
        <v>46234</v>
      </c>
      <c r="AJ32" s="81">
        <f t="shared" si="6"/>
        <v>6790</v>
      </c>
      <c r="AK32" s="81">
        <f t="shared" si="7"/>
        <v>5551</v>
      </c>
      <c r="AL32" s="81">
        <f t="shared" si="8"/>
        <v>3413</v>
      </c>
      <c r="AM32" s="84">
        <f t="shared" si="9"/>
        <v>14.5</v>
      </c>
      <c r="AN32" s="81">
        <f t="shared" si="10"/>
        <v>1406.5</v>
      </c>
      <c r="AO32" s="81">
        <f t="shared" si="11"/>
        <v>-167.5</v>
      </c>
      <c r="AP32" s="82">
        <f t="shared" si="12"/>
        <v>-2.5</v>
      </c>
    </row>
    <row r="33" spans="1:42" ht="15" customHeight="1" x14ac:dyDescent="0.2">
      <c r="A33" s="78">
        <v>46235</v>
      </c>
      <c r="B33" s="79" t="s">
        <v>232</v>
      </c>
      <c r="C33" s="79" t="s">
        <v>227</v>
      </c>
      <c r="D33" s="80">
        <f>SUMIFS(MOVIMIENTOS!$E:$E,MOVIMIENTOS!$A:$A,$A33,MOVIMIENTOS!$B:$B,"COMPRA")</f>
        <v>38</v>
      </c>
      <c r="E33" s="81">
        <f>SUMIFS(MOVIMIENTOS!$F:$F,MOVIMIENTOS!$A:$A,$A33,MOVIMIENTOS!$B:$B,"COMPRA")</f>
        <v>3850</v>
      </c>
      <c r="F33" s="80">
        <f>SUMIFS(MOVIMIENTOS!$E:$E,MOVIMIENTOS!$A:$A,$A33,MOVIMIENTOS!$B:$B,"PROCESO",MOVIMIENTOS!$C:$C,"A")</f>
        <v>46</v>
      </c>
      <c r="G33" s="80">
        <f>SUMIFS(MOVIMIENTOS!$E:$E,MOVIMIENTOS!$A:$A,$A33,MOVIMIENTOS!$B:$B,"PROCESO",MOVIMIENTOS!$C:$C,"P")</f>
        <v>14</v>
      </c>
      <c r="H33" s="80">
        <f>SUMIFS(MOVIMIENTOS!$E:$E,MOVIMIENTOS!$A:$A,$A33,MOVIMIENTOS!$B:$B,"PROCESO",MOVIMIENTOS!$C:$C,"C")</f>
        <v>10</v>
      </c>
      <c r="I33" s="80">
        <f>SUMIFS(MOVIMIENTOS!$E:$E,MOVIMIENTOS!$A:$A,$A33,MOVIMIENTOS!$B:$B,"PROCESO",MOVIMIENTOS!$C:$C,"M")</f>
        <v>108</v>
      </c>
      <c r="J33" s="80">
        <f t="shared" si="0"/>
        <v>178</v>
      </c>
      <c r="K33" s="81">
        <f t="shared" si="1"/>
        <v>2948</v>
      </c>
      <c r="L33" s="81">
        <f>SUMIFS(MOVIMIENTOS!$F:$F,MOVIMIENTOS!$A:$A,$A33,MOVIMIENTOS!$B:$B,"REPROCESO")</f>
        <v>9</v>
      </c>
      <c r="M33" s="80" t="str">
        <f>TRIM(IF(SUMIFS(MOVIMIENTOS!$E:$E,MOVIMIENTOS!$A:$A,$A33,MOVIMIENTOS!$B:$B,"ENVÍO A SUPESA")&gt;0,"Supesa ","")&amp;IF(SUMIFS(MOVIMIENTOS!$E:$E,MOVIMIENTOS!$A:$A,$A33,MOVIMIENTOS!$B:$B,"ENVÍO A TOTTUS")+SUMIFS(MOVIMIENTOS!$E:$E,MOVIMIENTOS!$A:$A,$A33,MOVIMIENTOS!$B:$B,"ENVIO A TOTTUS")&gt;0,"Tottus",""))</f>
        <v>Supesa</v>
      </c>
      <c r="N33" s="80" t="str">
        <f>IFERROR(IF(LOOKUP(2,1/((MOVIMIENTOS!$A$5:$A$1017=$A33)*((MOVIMIENTOS!$B$5:$B$1017="ENVÍO A SUPESA")+(MOVIMIENTOS!$B$5:$B$1017="ENVÍO A TOTTUS")+(MOVIMIENTOS!$B$5:$B$1017="ENVIO A TOTTUS"))*(MOVIMIENTOS!$G$5:$G$1017&lt;&gt;"")),MOVIMIENTOS!$G$5:$G$1017)&lt;&gt;"","G-"&amp;LOOKUP(2,1/((MOVIMIENTOS!$A$5:$A$1017=$A33)*((MOVIMIENTOS!$B$5:$B$1017="ENVÍO A SUPESA")+(MOVIMIENTOS!$B$5:$B$1017="ENVÍO A TOTTUS")+(MOVIMIENTOS!$B$5:$B$1017="ENVIO A TOTTUS"))*(MOVIMIENTOS!$G$5:$G$1017&lt;&gt;"")),MOVIMIENTOS!$G$5:$G$1017),""),"")</f>
        <v>G-3042</v>
      </c>
      <c r="O33" s="80">
        <f>SUMIFS(MOVIMIENTOS!$E:$E,MOVIMIENTOS!$A:$A,$A33,MOVIMIENTOS!$B:$B,"ENVÍO A SUPESA",MOVIMIENTOS!$C:$C,"A")+SUMIFS(MOVIMIENTOS!$E:$E,MOVIMIENTOS!$A:$A,$A33,MOVIMIENTOS!$B:$B,"ENVÍO A TOTTUS",MOVIMIENTOS!$C:$C,"A")+SUMIFS(MOVIMIENTOS!$E:$E,MOVIMIENTOS!$A:$A,$A33,MOVIMIENTOS!$B:$B,"ENVIO A TOTTUS",MOVIMIENTOS!$C:$C,"A")</f>
        <v>67</v>
      </c>
      <c r="P33" s="80">
        <f>SUMIFS(MOVIMIENTOS!$E:$E,MOVIMIENTOS!$A:$A,$A33,MOVIMIENTOS!$B:$B,"ENVÍO A SUPESA",MOVIMIENTOS!$C:$C,"P")+SUMIFS(MOVIMIENTOS!$E:$E,MOVIMIENTOS!$A:$A,$A33,MOVIMIENTOS!$B:$B,"ENVÍO A TOTTUS",MOVIMIENTOS!$C:$C,"P")+SUMIFS(MOVIMIENTOS!$E:$E,MOVIMIENTOS!$A:$A,$A33,MOVIMIENTOS!$B:$B,"ENVIO A TOTTUS",MOVIMIENTOS!$C:$C,"P")</f>
        <v>6</v>
      </c>
      <c r="Q33" s="80">
        <f>SUMIFS(MOVIMIENTOS!$E:$E,MOVIMIENTOS!$A:$A,$A33,MOVIMIENTOS!$B:$B,"ENVÍO A SUPESA",MOVIMIENTOS!$C:$C,"C")+SUMIFS(MOVIMIENTOS!$E:$E,MOVIMIENTOS!$A:$A,$A33,MOVIMIENTOS!$B:$B,"ENVÍO A TOTTUS",MOVIMIENTOS!$C:$C,"C")+SUMIFS(MOVIMIENTOS!$E:$E,MOVIMIENTOS!$A:$A,$A33,MOVIMIENTOS!$B:$B,"ENVIO A TOTTUS",MOVIMIENTOS!$C:$C,"C")</f>
        <v>10</v>
      </c>
      <c r="R33" s="80">
        <f>SUMIFS(MOVIMIENTOS!$E:$E,MOVIMIENTOS!$A:$A,$A33,MOVIMIENTOS!$B:$B,"ENVÍO A SUPESA",MOVIMIENTOS!$C:$C,"M")+SUMIFS(MOVIMIENTOS!$E:$E,MOVIMIENTOS!$A:$A,$A33,MOVIMIENTOS!$B:$B,"ENVÍO A TOTTUS",MOVIMIENTOS!$C:$C,"M")+SUMIFS(MOVIMIENTOS!$E:$E,MOVIMIENTOS!$A:$A,$A33,MOVIMIENTOS!$B:$B,"ENVIO A TOTTUS",MOVIMIENTOS!$C:$C,"M")</f>
        <v>118</v>
      </c>
      <c r="S33" s="80">
        <f t="shared" si="2"/>
        <v>201</v>
      </c>
      <c r="T33" s="81">
        <f>SUMIFS(MOVIMIENTOS!$F:$F,MOVIMIENTOS!$A:$A,$A33,MOVIMIENTOS!$B:$B,"ENVÍO A SUPESA",MOVIMIENTOS!$C:$C,"&lt;&gt;Chancho")+SUMIFS(MOVIMIENTOS!$F:$F,MOVIMIENTOS!$A:$A,$A33,MOVIMIENTOS!$B:$B,"ENVÍO A TOTTUS",MOVIMIENTOS!$C:$C,"&lt;&gt;Chancho")+SUMIFS(MOVIMIENTOS!$F:$F,MOVIMIENTOS!$A:$A,$A33,MOVIMIENTOS!$B:$B,"ENVIO A TOTTUS",MOVIMIENTOS!$C:$C,"&lt;&gt;Chancho")</f>
        <v>3289</v>
      </c>
      <c r="U33" s="85">
        <f>IFERROR(INDEX('SALDO DIARIO'!$B:$B,MATCH($A33,'SALDO DIARIO'!$A:$A,0)),0)</f>
        <v>67</v>
      </c>
      <c r="V33" s="85">
        <f>IFERROR(INDEX('SALDO DIARIO'!$C:$C,MATCH($A33,'SALDO DIARIO'!$A:$A,0)),0)</f>
        <v>8</v>
      </c>
      <c r="W33" s="85">
        <f>IFERROR(INDEX('SALDO DIARIO'!$D:$D,MATCH($A33,'SALDO DIARIO'!$A:$A,0)),0)</f>
        <v>0</v>
      </c>
      <c r="X33" s="85">
        <f>IFERROR(INDEX('SALDO DIARIO'!$E:$E,MATCH($A33,'SALDO DIARIO'!$A:$A,0)),0)</f>
        <v>54</v>
      </c>
      <c r="Y33" s="85">
        <f>IFERROR(INDEX('SALDO DIARIO'!$G:$G,MATCH($A33,'SALDO DIARIO'!$A:$A,0)),0)</f>
        <v>129</v>
      </c>
      <c r="Z33" s="80">
        <f>SUMIFS(MOVIMIENTOS!$E:$E,MOVIMIENTOS!$A:$A,$A33,MOVIMIENTOS!$B:$B,"PROCESO",MOVIMIENTOS!$C:$C,"Chancho")</f>
        <v>8</v>
      </c>
      <c r="AA33" s="81">
        <f>SUMIFS(MOVIMIENTOS!$F:$F,MOVIMIENTOS!$A:$A,$A33,MOVIMIENTOS!$B:$B,"PROCESO",MOVIMIENTOS!$C:$C,"Chancho")</f>
        <v>776</v>
      </c>
      <c r="AB33" s="80">
        <f>SUMIFS(MOVIMIENTOS!$E:$E,MOVIMIENTOS!$A:$A,$A33,MOVIMIENTOS!$B:$B,"VENTA CHANCHO",MOVIMIENTOS!$C:$C,"Chancho")</f>
        <v>5</v>
      </c>
      <c r="AC33" s="81">
        <f>SUMIFS(MOVIMIENTOS!$F:$F,MOVIMIENTOS!$A:$A,$A33,MOVIMIENTOS!$B:$B,"VENTA CHANCHO",MOVIMIENTOS!$C:$C,"Chancho")</f>
        <v>485</v>
      </c>
      <c r="AD33" s="80" t="str">
        <f>IFERROR(LOOKUP(2,1/((MOVIMIENTOS!$A$5:$A$1017=$A33)*(MOVIMIENTOS!$B$5:$B$1017="VENTA CHANCHO")*(MOVIMIENTOS!$C$5:$C$1017="Chancho")*(MOVIMIENTOS!$G$5:$G$1017&lt;&gt;"")),MOVIMIENTOS!$G$5:$G$1017),IFERROR(LOOKUP(2,1/((MOVIMIENTOS!$A$5:$A$1017=$A33)*(MOVIMIENTOS!$B$5:$B$1017="VENTA CHANCHO")*(MOVIMIENTOS!$C$5:$C$1017="Chancho")*(MOVIMIENTOS!$H$5:$H$1017&lt;&gt;"")),MOVIMIENTOS!$H$5:$H$1017),""))</f>
        <v>TCK002-735</v>
      </c>
      <c r="AE33" s="85">
        <f>IFERROR(INDEX('SALDO DIARIO'!$F:$F,MATCH($A33,'SALDO DIARIO'!$A:$A,0)),0)</f>
        <v>26</v>
      </c>
      <c r="AF33" s="81">
        <f t="shared" si="3"/>
        <v>126</v>
      </c>
      <c r="AG33" s="82">
        <f t="shared" si="4"/>
        <v>3.3</v>
      </c>
      <c r="AI33" s="83">
        <f t="shared" si="5"/>
        <v>46235</v>
      </c>
      <c r="AJ33" s="81">
        <f t="shared" si="6"/>
        <v>3850</v>
      </c>
      <c r="AK33" s="81">
        <f t="shared" si="7"/>
        <v>2948</v>
      </c>
      <c r="AL33" s="81">
        <f t="shared" si="8"/>
        <v>3289</v>
      </c>
      <c r="AM33" s="84">
        <f t="shared" si="9"/>
        <v>8</v>
      </c>
      <c r="AN33" s="81">
        <f t="shared" si="10"/>
        <v>776</v>
      </c>
      <c r="AO33" s="81">
        <f t="shared" si="11"/>
        <v>126</v>
      </c>
      <c r="AP33" s="82">
        <f t="shared" si="12"/>
        <v>3.3</v>
      </c>
    </row>
    <row r="34" spans="1:42" ht="15" customHeight="1" x14ac:dyDescent="0.2">
      <c r="A34" s="78">
        <v>46236</v>
      </c>
      <c r="B34" s="79" t="s">
        <v>220</v>
      </c>
      <c r="C34" s="79" t="s">
        <v>229</v>
      </c>
      <c r="D34" s="80">
        <f>SUMIFS(MOVIMIENTOS!$E:$E,MOVIMIENTOS!$A:$A,$A34,MOVIMIENTOS!$B:$B,"COMPRA")</f>
        <v>59</v>
      </c>
      <c r="E34" s="81">
        <f>SUMIFS(MOVIMIENTOS!$F:$F,MOVIMIENTOS!$A:$A,$A34,MOVIMIENTOS!$B:$B,"COMPRA")</f>
        <v>5965.82</v>
      </c>
      <c r="F34" s="80">
        <f>SUMIFS(MOVIMIENTOS!$E:$E,MOVIMIENTOS!$A:$A,$A34,MOVIMIENTOS!$B:$B,"PROCESO",MOVIMIENTOS!$C:$C,"A")</f>
        <v>98</v>
      </c>
      <c r="G34" s="80">
        <f>SUMIFS(MOVIMIENTOS!$E:$E,MOVIMIENTOS!$A:$A,$A34,MOVIMIENTOS!$B:$B,"PROCESO",MOVIMIENTOS!$C:$C,"P")</f>
        <v>14</v>
      </c>
      <c r="H34" s="80">
        <f>SUMIFS(MOVIMIENTOS!$E:$E,MOVIMIENTOS!$A:$A,$A34,MOVIMIENTOS!$B:$B,"PROCESO",MOVIMIENTOS!$C:$C,"C")</f>
        <v>23</v>
      </c>
      <c r="I34" s="80">
        <f>SUMIFS(MOVIMIENTOS!$E:$E,MOVIMIENTOS!$A:$A,$A34,MOVIMIENTOS!$B:$B,"PROCESO",MOVIMIENTOS!$C:$C,"M")</f>
        <v>152</v>
      </c>
      <c r="J34" s="80">
        <f t="shared" si="0"/>
        <v>287</v>
      </c>
      <c r="K34" s="81">
        <f t="shared" si="1"/>
        <v>4697</v>
      </c>
      <c r="L34" s="81">
        <f>SUMIFS(MOVIMIENTOS!$F:$F,MOVIMIENTOS!$A:$A,$A34,MOVIMIENTOS!$B:$B,"REPROCESO")</f>
        <v>0</v>
      </c>
      <c r="M34" s="80" t="str">
        <f>TRIM(IF(SUMIFS(MOVIMIENTOS!$E:$E,MOVIMIENTOS!$A:$A,$A34,MOVIMIENTOS!$B:$B,"ENVÍO A SUPESA")&gt;0,"Supesa ","")&amp;IF(SUMIFS(MOVIMIENTOS!$E:$E,MOVIMIENTOS!$A:$A,$A34,MOVIMIENTOS!$B:$B,"ENVÍO A TOTTUS")+SUMIFS(MOVIMIENTOS!$E:$E,MOVIMIENTOS!$A:$A,$A34,MOVIMIENTOS!$B:$B,"ENVIO A TOTTUS")&gt;0,"Tottus",""))</f>
        <v>Supesa</v>
      </c>
      <c r="N34" s="80" t="str">
        <f>IFERROR(IF(LOOKUP(2,1/((MOVIMIENTOS!$A$5:$A$1017=$A34)*((MOVIMIENTOS!$B$5:$B$1017="ENVÍO A SUPESA")+(MOVIMIENTOS!$B$5:$B$1017="ENVÍO A TOTTUS")+(MOVIMIENTOS!$B$5:$B$1017="ENVIO A TOTTUS"))*(MOVIMIENTOS!$G$5:$G$1017&lt;&gt;"")),MOVIMIENTOS!$G$5:$G$1017)&lt;&gt;"","G-"&amp;LOOKUP(2,1/((MOVIMIENTOS!$A$5:$A$1017=$A34)*((MOVIMIENTOS!$B$5:$B$1017="ENVÍO A SUPESA")+(MOVIMIENTOS!$B$5:$B$1017="ENVÍO A TOTTUS")+(MOVIMIENTOS!$B$5:$B$1017="ENVIO A TOTTUS"))*(MOVIMIENTOS!$G$5:$G$1017&lt;&gt;"")),MOVIMIENTOS!$G$5:$G$1017),""),"")</f>
        <v>G-3040</v>
      </c>
      <c r="O34" s="80">
        <f>SUMIFS(MOVIMIENTOS!$E:$E,MOVIMIENTOS!$A:$A,$A34,MOVIMIENTOS!$B:$B,"ENVÍO A SUPESA",MOVIMIENTOS!$C:$C,"A")+SUMIFS(MOVIMIENTOS!$E:$E,MOVIMIENTOS!$A:$A,$A34,MOVIMIENTOS!$B:$B,"ENVÍO A TOTTUS",MOVIMIENTOS!$C:$C,"A")+SUMIFS(MOVIMIENTOS!$E:$E,MOVIMIENTOS!$A:$A,$A34,MOVIMIENTOS!$B:$B,"ENVIO A TOTTUS",MOVIMIENTOS!$C:$C,"A")</f>
        <v>67</v>
      </c>
      <c r="P34" s="80">
        <f>SUMIFS(MOVIMIENTOS!$E:$E,MOVIMIENTOS!$A:$A,$A34,MOVIMIENTOS!$B:$B,"ENVÍO A SUPESA",MOVIMIENTOS!$C:$C,"P")+SUMIFS(MOVIMIENTOS!$E:$E,MOVIMIENTOS!$A:$A,$A34,MOVIMIENTOS!$B:$B,"ENVÍO A TOTTUS",MOVIMIENTOS!$C:$C,"P")+SUMIFS(MOVIMIENTOS!$E:$E,MOVIMIENTOS!$A:$A,$A34,MOVIMIENTOS!$B:$B,"ENVIO A TOTTUS",MOVIMIENTOS!$C:$C,"P")</f>
        <v>11</v>
      </c>
      <c r="Q34" s="80">
        <f>SUMIFS(MOVIMIENTOS!$E:$E,MOVIMIENTOS!$A:$A,$A34,MOVIMIENTOS!$B:$B,"ENVÍO A SUPESA",MOVIMIENTOS!$C:$C,"C")+SUMIFS(MOVIMIENTOS!$E:$E,MOVIMIENTOS!$A:$A,$A34,MOVIMIENTOS!$B:$B,"ENVÍO A TOTTUS",MOVIMIENTOS!$C:$C,"C")+SUMIFS(MOVIMIENTOS!$E:$E,MOVIMIENTOS!$A:$A,$A34,MOVIMIENTOS!$B:$B,"ENVIO A TOTTUS",MOVIMIENTOS!$C:$C,"C")</f>
        <v>12</v>
      </c>
      <c r="R34" s="80">
        <f>SUMIFS(MOVIMIENTOS!$E:$E,MOVIMIENTOS!$A:$A,$A34,MOVIMIENTOS!$B:$B,"ENVÍO A SUPESA",MOVIMIENTOS!$C:$C,"M")+SUMIFS(MOVIMIENTOS!$E:$E,MOVIMIENTOS!$A:$A,$A34,MOVIMIENTOS!$B:$B,"ENVÍO A TOTTUS",MOVIMIENTOS!$C:$C,"M")+SUMIFS(MOVIMIENTOS!$E:$E,MOVIMIENTOS!$A:$A,$A34,MOVIMIENTOS!$B:$B,"ENVIO A TOTTUS",MOVIMIENTOS!$C:$C,"M")</f>
        <v>32</v>
      </c>
      <c r="S34" s="80">
        <f t="shared" si="2"/>
        <v>122</v>
      </c>
      <c r="T34" s="81">
        <f>SUMIFS(MOVIMIENTOS!$F:$F,MOVIMIENTOS!$A:$A,$A34,MOVIMIENTOS!$B:$B,"ENVÍO A SUPESA",MOVIMIENTOS!$C:$C,"&lt;&gt;Chancho")+SUMIFS(MOVIMIENTOS!$F:$F,MOVIMIENTOS!$A:$A,$A34,MOVIMIENTOS!$B:$B,"ENVÍO A TOTTUS",MOVIMIENTOS!$C:$C,"&lt;&gt;Chancho")+SUMIFS(MOVIMIENTOS!$F:$F,MOVIMIENTOS!$A:$A,$A34,MOVIMIENTOS!$B:$B,"ENVIO A TOTTUS",MOVIMIENTOS!$C:$C,"&lt;&gt;Chancho")</f>
        <v>1951</v>
      </c>
      <c r="U34" s="85">
        <f>IFERROR(INDEX('SALDO DIARIO'!$B:$B,MATCH($A34,'SALDO DIARIO'!$A:$A,0)),0)</f>
        <v>98</v>
      </c>
      <c r="V34" s="85">
        <f>IFERROR(INDEX('SALDO DIARIO'!$C:$C,MATCH($A34,'SALDO DIARIO'!$A:$A,0)),0)</f>
        <v>11</v>
      </c>
      <c r="W34" s="85">
        <f>IFERROR(INDEX('SALDO DIARIO'!$D:$D,MATCH($A34,'SALDO DIARIO'!$A:$A,0)),0)</f>
        <v>11</v>
      </c>
      <c r="X34" s="85">
        <f>IFERROR(INDEX('SALDO DIARIO'!$E:$E,MATCH($A34,'SALDO DIARIO'!$A:$A,0)),0)</f>
        <v>174</v>
      </c>
      <c r="Y34" s="85">
        <f>IFERROR(INDEX('SALDO DIARIO'!$G:$G,MATCH($A34,'SALDO DIARIO'!$A:$A,0)),0)</f>
        <v>294</v>
      </c>
      <c r="Z34" s="80">
        <f>SUMIFS(MOVIMIENTOS!$E:$E,MOVIMIENTOS!$A:$A,$A34,MOVIMIENTOS!$B:$B,"PROCESO",MOVIMIENTOS!$C:$C,"Chancho")</f>
        <v>10.5</v>
      </c>
      <c r="AA34" s="81">
        <f>SUMIFS(MOVIMIENTOS!$F:$F,MOVIMIENTOS!$A:$A,$A34,MOVIMIENTOS!$B:$B,"PROCESO",MOVIMIENTOS!$C:$C,"Chancho")</f>
        <v>1018.5</v>
      </c>
      <c r="AB34" s="80">
        <f>SUMIFS(MOVIMIENTOS!$E:$E,MOVIMIENTOS!$A:$A,$A34,MOVIMIENTOS!$B:$B,"VENTA CHANCHO",MOVIMIENTOS!$C:$C,"Chancho")</f>
        <v>17</v>
      </c>
      <c r="AC34" s="81">
        <f>SUMIFS(MOVIMIENTOS!$F:$F,MOVIMIENTOS!$A:$A,$A34,MOVIMIENTOS!$B:$B,"VENTA CHANCHO",MOVIMIENTOS!$C:$C,"Chancho")</f>
        <v>1649</v>
      </c>
      <c r="AD34" s="80" t="str">
        <f>IFERROR(LOOKUP(2,1/((MOVIMIENTOS!$A$5:$A$1017=$A34)*(MOVIMIENTOS!$B$5:$B$1017="VENTA CHANCHO")*(MOVIMIENTOS!$C$5:$C$1017="Chancho")*(MOVIMIENTOS!$G$5:$G$1017&lt;&gt;"")),MOVIMIENTOS!$G$5:$G$1017),IFERROR(LOOKUP(2,1/((MOVIMIENTOS!$A$5:$A$1017=$A34)*(MOVIMIENTOS!$B$5:$B$1017="VENTA CHANCHO")*(MOVIMIENTOS!$C$5:$C$1017="Chancho")*(MOVIMIENTOS!$H$5:$H$1017&lt;&gt;"")),MOVIMIENTOS!$H$5:$H$1017),""))</f>
        <v>TCK002-737</v>
      </c>
      <c r="AE34" s="85">
        <f>IFERROR(INDEX('SALDO DIARIO'!$F:$F,MATCH($A34,'SALDO DIARIO'!$A:$A,0)),0)</f>
        <v>19.5</v>
      </c>
      <c r="AF34" s="81">
        <f t="shared" si="3"/>
        <v>250.31999999999971</v>
      </c>
      <c r="AG34" s="82">
        <f t="shared" si="4"/>
        <v>4.2</v>
      </c>
      <c r="AI34" s="83">
        <f t="shared" si="5"/>
        <v>46236</v>
      </c>
      <c r="AJ34" s="81">
        <f t="shared" si="6"/>
        <v>5965.82</v>
      </c>
      <c r="AK34" s="81">
        <f t="shared" si="7"/>
        <v>4697</v>
      </c>
      <c r="AL34" s="81">
        <f t="shared" si="8"/>
        <v>1951</v>
      </c>
      <c r="AM34" s="84">
        <f t="shared" si="9"/>
        <v>10.5</v>
      </c>
      <c r="AN34" s="81">
        <f t="shared" si="10"/>
        <v>1018.5</v>
      </c>
      <c r="AO34" s="81">
        <f t="shared" si="11"/>
        <v>250.31999999999971</v>
      </c>
      <c r="AP34" s="82">
        <f t="shared" si="12"/>
        <v>4.2</v>
      </c>
    </row>
    <row r="35" spans="1:42" ht="15" customHeight="1" x14ac:dyDescent="0.2">
      <c r="A35" s="78">
        <v>46237</v>
      </c>
      <c r="B35" s="79" t="s">
        <v>222</v>
      </c>
      <c r="C35" s="79" t="s">
        <v>229</v>
      </c>
      <c r="D35" s="80">
        <f>SUMIFS(MOVIMIENTOS!$E:$E,MOVIMIENTOS!$A:$A,$A35,MOVIMIENTOS!$B:$B,"COMPRA")</f>
        <v>0</v>
      </c>
      <c r="E35" s="81">
        <f>SUMIFS(MOVIMIENTOS!$F:$F,MOVIMIENTOS!$A:$A,$A35,MOVIMIENTOS!$B:$B,"COMPRA")</f>
        <v>0</v>
      </c>
      <c r="F35" s="80">
        <f>SUMIFS(MOVIMIENTOS!$E:$E,MOVIMIENTOS!$A:$A,$A35,MOVIMIENTOS!$B:$B,"PROCESO",MOVIMIENTOS!$C:$C,"A")</f>
        <v>0</v>
      </c>
      <c r="G35" s="80">
        <f>SUMIFS(MOVIMIENTOS!$E:$E,MOVIMIENTOS!$A:$A,$A35,MOVIMIENTOS!$B:$B,"PROCESO",MOVIMIENTOS!$C:$C,"P")</f>
        <v>0</v>
      </c>
      <c r="H35" s="80">
        <f>SUMIFS(MOVIMIENTOS!$E:$E,MOVIMIENTOS!$A:$A,$A35,MOVIMIENTOS!$B:$B,"PROCESO",MOVIMIENTOS!$C:$C,"C")</f>
        <v>0</v>
      </c>
      <c r="I35" s="80">
        <f>SUMIFS(MOVIMIENTOS!$E:$E,MOVIMIENTOS!$A:$A,$A35,MOVIMIENTOS!$B:$B,"PROCESO",MOVIMIENTOS!$C:$C,"M")</f>
        <v>0</v>
      </c>
      <c r="J35" s="80">
        <f t="shared" si="0"/>
        <v>0</v>
      </c>
      <c r="K35" s="81">
        <f t="shared" si="1"/>
        <v>0</v>
      </c>
      <c r="L35" s="81">
        <f>SUMIFS(MOVIMIENTOS!$F:$F,MOVIMIENTOS!$A:$A,$A35,MOVIMIENTOS!$B:$B,"REPROCESO")</f>
        <v>0</v>
      </c>
      <c r="M35" s="80" t="str">
        <f>TRIM(IF(SUMIFS(MOVIMIENTOS!$E:$E,MOVIMIENTOS!$A:$A,$A35,MOVIMIENTOS!$B:$B,"ENVÍO A SUPESA")&gt;0,"Supesa ","")&amp;IF(SUMIFS(MOVIMIENTOS!$E:$E,MOVIMIENTOS!$A:$A,$A35,MOVIMIENTOS!$B:$B,"ENVÍO A TOTTUS")+SUMIFS(MOVIMIENTOS!$E:$E,MOVIMIENTOS!$A:$A,$A35,MOVIMIENTOS!$B:$B,"ENVIO A TOTTUS")&gt;0,"Tottus",""))</f>
        <v>Supesa</v>
      </c>
      <c r="N35" s="80" t="str">
        <f>IFERROR(IF(LOOKUP(2,1/((MOVIMIENTOS!$A$5:$A$1017=$A35)*((MOVIMIENTOS!$B$5:$B$1017="ENVÍO A SUPESA")+(MOVIMIENTOS!$B$5:$B$1017="ENVÍO A TOTTUS")+(MOVIMIENTOS!$B$5:$B$1017="ENVIO A TOTTUS"))*(MOVIMIENTOS!$G$5:$G$1017&lt;&gt;"")),MOVIMIENTOS!$G$5:$G$1017)&lt;&gt;"","G-"&amp;LOOKUP(2,1/((MOVIMIENTOS!$A$5:$A$1017=$A35)*((MOVIMIENTOS!$B$5:$B$1017="ENVÍO A SUPESA")+(MOVIMIENTOS!$B$5:$B$1017="ENVÍO A TOTTUS")+(MOVIMIENTOS!$B$5:$B$1017="ENVIO A TOTTUS"))*(MOVIMIENTOS!$G$5:$G$1017&lt;&gt;"")),MOVIMIENTOS!$G$5:$G$1017),""),"")</f>
        <v>G-3046</v>
      </c>
      <c r="O35" s="80">
        <f>SUMIFS(MOVIMIENTOS!$E:$E,MOVIMIENTOS!$A:$A,$A35,MOVIMIENTOS!$B:$B,"ENVÍO A SUPESA",MOVIMIENTOS!$C:$C,"A")+SUMIFS(MOVIMIENTOS!$E:$E,MOVIMIENTOS!$A:$A,$A35,MOVIMIENTOS!$B:$B,"ENVÍO A TOTTUS",MOVIMIENTOS!$C:$C,"A")+SUMIFS(MOVIMIENTOS!$E:$E,MOVIMIENTOS!$A:$A,$A35,MOVIMIENTOS!$B:$B,"ENVIO A TOTTUS",MOVIMIENTOS!$C:$C,"A")</f>
        <v>67</v>
      </c>
      <c r="P35" s="80">
        <f>SUMIFS(MOVIMIENTOS!$E:$E,MOVIMIENTOS!$A:$A,$A35,MOVIMIENTOS!$B:$B,"ENVÍO A SUPESA",MOVIMIENTOS!$C:$C,"P")+SUMIFS(MOVIMIENTOS!$E:$E,MOVIMIENTOS!$A:$A,$A35,MOVIMIENTOS!$B:$B,"ENVÍO A TOTTUS",MOVIMIENTOS!$C:$C,"P")+SUMIFS(MOVIMIENTOS!$E:$E,MOVIMIENTOS!$A:$A,$A35,MOVIMIENTOS!$B:$B,"ENVIO A TOTTUS",MOVIMIENTOS!$C:$C,"P")</f>
        <v>11</v>
      </c>
      <c r="Q35" s="80">
        <f>SUMIFS(MOVIMIENTOS!$E:$E,MOVIMIENTOS!$A:$A,$A35,MOVIMIENTOS!$B:$B,"ENVÍO A SUPESA",MOVIMIENTOS!$C:$C,"C")+SUMIFS(MOVIMIENTOS!$E:$E,MOVIMIENTOS!$A:$A,$A35,MOVIMIENTOS!$B:$B,"ENVÍO A TOTTUS",MOVIMIENTOS!$C:$C,"C")+SUMIFS(MOVIMIENTOS!$E:$E,MOVIMIENTOS!$A:$A,$A35,MOVIMIENTOS!$B:$B,"ENVIO A TOTTUS",MOVIMIENTOS!$C:$C,"C")</f>
        <v>12</v>
      </c>
      <c r="R35" s="80">
        <f>SUMIFS(MOVIMIENTOS!$E:$E,MOVIMIENTOS!$A:$A,$A35,MOVIMIENTOS!$B:$B,"ENVÍO A SUPESA",MOVIMIENTOS!$C:$C,"M")+SUMIFS(MOVIMIENTOS!$E:$E,MOVIMIENTOS!$A:$A,$A35,MOVIMIENTOS!$B:$B,"ENVÍO A TOTTUS",MOVIMIENTOS!$C:$C,"M")+SUMIFS(MOVIMIENTOS!$E:$E,MOVIMIENTOS!$A:$A,$A35,MOVIMIENTOS!$B:$B,"ENVIO A TOTTUS",MOVIMIENTOS!$C:$C,"M")</f>
        <v>118</v>
      </c>
      <c r="S35" s="80">
        <f t="shared" si="2"/>
        <v>208</v>
      </c>
      <c r="T35" s="81">
        <f>SUMIFS(MOVIMIENTOS!$F:$F,MOVIMIENTOS!$A:$A,$A35,MOVIMIENTOS!$B:$B,"ENVÍO A SUPESA",MOVIMIENTOS!$C:$C,"&lt;&gt;Chancho")+SUMIFS(MOVIMIENTOS!$F:$F,MOVIMIENTOS!$A:$A,$A35,MOVIMIENTOS!$B:$B,"ENVÍO A TOTTUS",MOVIMIENTOS!$C:$C,"&lt;&gt;Chancho")+SUMIFS(MOVIMIENTOS!$F:$F,MOVIMIENTOS!$A:$A,$A35,MOVIMIENTOS!$B:$B,"ENVIO A TOTTUS",MOVIMIENTOS!$C:$C,"&lt;&gt;Chancho")</f>
        <v>3413</v>
      </c>
      <c r="U35" s="85">
        <f>IFERROR(INDEX('SALDO DIARIO'!$B:$B,MATCH($A35,'SALDO DIARIO'!$A:$A,0)),0)</f>
        <v>51</v>
      </c>
      <c r="V35" s="85">
        <f>IFERROR(INDEX('SALDO DIARIO'!$C:$C,MATCH($A35,'SALDO DIARIO'!$A:$A,0)),0)</f>
        <v>0</v>
      </c>
      <c r="W35" s="85">
        <f>IFERROR(INDEX('SALDO DIARIO'!$D:$D,MATCH($A35,'SALDO DIARIO'!$A:$A,0)),0)</f>
        <v>0</v>
      </c>
      <c r="X35" s="85">
        <f>IFERROR(INDEX('SALDO DIARIO'!$E:$E,MATCH($A35,'SALDO DIARIO'!$A:$A,0)),0)</f>
        <v>56</v>
      </c>
      <c r="Y35" s="85">
        <f>IFERROR(INDEX('SALDO DIARIO'!$G:$G,MATCH($A35,'SALDO DIARIO'!$A:$A,0)),0)</f>
        <v>107</v>
      </c>
      <c r="Z35" s="80">
        <f>SUMIFS(MOVIMIENTOS!$E:$E,MOVIMIENTOS!$A:$A,$A35,MOVIMIENTOS!$B:$B,"PROCESO",MOVIMIENTOS!$C:$C,"Chancho")</f>
        <v>0</v>
      </c>
      <c r="AA35" s="81">
        <f>SUMIFS(MOVIMIENTOS!$F:$F,MOVIMIENTOS!$A:$A,$A35,MOVIMIENTOS!$B:$B,"PROCESO",MOVIMIENTOS!$C:$C,"Chancho")</f>
        <v>0</v>
      </c>
      <c r="AB35" s="80">
        <f>SUMIFS(MOVIMIENTOS!$E:$E,MOVIMIENTOS!$A:$A,$A35,MOVIMIENTOS!$B:$B,"VENTA CHANCHO",MOVIMIENTOS!$C:$C,"Chancho")</f>
        <v>0</v>
      </c>
      <c r="AC35" s="81">
        <f>SUMIFS(MOVIMIENTOS!$F:$F,MOVIMIENTOS!$A:$A,$A35,MOVIMIENTOS!$B:$B,"VENTA CHANCHO",MOVIMIENTOS!$C:$C,"Chancho")</f>
        <v>0</v>
      </c>
      <c r="AD35" s="80" t="str">
        <f>IFERROR(LOOKUP(2,1/((MOVIMIENTOS!$A$5:$A$1017=$A35)*(MOVIMIENTOS!$B$5:$B$1017="VENTA CHANCHO")*(MOVIMIENTOS!$C$5:$C$1017="Chancho")*(MOVIMIENTOS!$G$5:$G$1017&lt;&gt;"")),MOVIMIENTOS!$G$5:$G$1017),IFERROR(LOOKUP(2,1/((MOVIMIENTOS!$A$5:$A$1017=$A35)*(MOVIMIENTOS!$B$5:$B$1017="VENTA CHANCHO")*(MOVIMIENTOS!$C$5:$C$1017="Chancho")*(MOVIMIENTOS!$H$5:$H$1017&lt;&gt;"")),MOVIMIENTOS!$H$5:$H$1017),""))</f>
        <v/>
      </c>
      <c r="AE35" s="85">
        <f>IFERROR(INDEX('SALDO DIARIO'!$F:$F,MATCH($A35,'SALDO DIARIO'!$A:$A,0)),0)</f>
        <v>19.5</v>
      </c>
      <c r="AF35" s="81">
        <f t="shared" si="3"/>
        <v>0</v>
      </c>
      <c r="AG35" s="82">
        <f t="shared" si="4"/>
        <v>0</v>
      </c>
      <c r="AI35" s="83">
        <f t="shared" si="5"/>
        <v>46237</v>
      </c>
      <c r="AJ35" s="81">
        <f t="shared" si="6"/>
        <v>0</v>
      </c>
      <c r="AK35" s="81">
        <f t="shared" si="7"/>
        <v>0</v>
      </c>
      <c r="AL35" s="81">
        <f t="shared" si="8"/>
        <v>3413</v>
      </c>
      <c r="AM35" s="84">
        <f t="shared" si="9"/>
        <v>0</v>
      </c>
      <c r="AN35" s="81">
        <f t="shared" si="10"/>
        <v>0</v>
      </c>
      <c r="AO35" s="81">
        <f t="shared" si="11"/>
        <v>0</v>
      </c>
      <c r="AP35" s="82">
        <f t="shared" si="12"/>
        <v>0</v>
      </c>
    </row>
    <row r="36" spans="1:42" ht="15" customHeight="1" x14ac:dyDescent="0.2">
      <c r="A36" s="78">
        <v>46238</v>
      </c>
      <c r="B36" s="79" t="s">
        <v>224</v>
      </c>
      <c r="C36" s="79" t="s">
        <v>229</v>
      </c>
      <c r="D36" s="80">
        <f>SUMIFS(MOVIMIENTOS!$E:$E,MOVIMIENTOS!$A:$A,$A36,MOVIMIENTOS!$B:$B,"COMPRA")</f>
        <v>34</v>
      </c>
      <c r="E36" s="81">
        <f>SUMIFS(MOVIMIENTOS!$F:$F,MOVIMIENTOS!$A:$A,$A36,MOVIMIENTOS!$B:$B,"COMPRA")</f>
        <v>3450</v>
      </c>
      <c r="F36" s="80">
        <f>SUMIFS(MOVIMIENTOS!$E:$E,MOVIMIENTOS!$A:$A,$A36,MOVIMIENTOS!$B:$B,"PROCESO",MOVIMIENTOS!$C:$C,"A")</f>
        <v>37</v>
      </c>
      <c r="G36" s="80">
        <f>SUMIFS(MOVIMIENTOS!$E:$E,MOVIMIENTOS!$A:$A,$A36,MOVIMIENTOS!$B:$B,"PROCESO",MOVIMIENTOS!$C:$C,"P")</f>
        <v>11</v>
      </c>
      <c r="H36" s="80">
        <f>SUMIFS(MOVIMIENTOS!$E:$E,MOVIMIENTOS!$A:$A,$A36,MOVIMIENTOS!$B:$B,"PROCESO",MOVIMIENTOS!$C:$C,"C")</f>
        <v>12</v>
      </c>
      <c r="I36" s="80">
        <f>SUMIFS(MOVIMIENTOS!$E:$E,MOVIMIENTOS!$A:$A,$A36,MOVIMIENTOS!$B:$B,"PROCESO",MOVIMIENTOS!$C:$C,"M")</f>
        <v>78</v>
      </c>
      <c r="J36" s="80">
        <f t="shared" si="0"/>
        <v>138</v>
      </c>
      <c r="K36" s="81">
        <f t="shared" si="1"/>
        <v>2283</v>
      </c>
      <c r="L36" s="81">
        <f>SUMIFS(MOVIMIENTOS!$F:$F,MOVIMIENTOS!$A:$A,$A36,MOVIMIENTOS!$B:$B,"REPROCESO")</f>
        <v>0</v>
      </c>
      <c r="M36" s="80" t="str">
        <f>TRIM(IF(SUMIFS(MOVIMIENTOS!$E:$E,MOVIMIENTOS!$A:$A,$A36,MOVIMIENTOS!$B:$B,"ENVÍO A SUPESA")&gt;0,"Supesa ","")&amp;IF(SUMIFS(MOVIMIENTOS!$E:$E,MOVIMIENTOS!$A:$A,$A36,MOVIMIENTOS!$B:$B,"ENVÍO A TOTTUS")+SUMIFS(MOVIMIENTOS!$E:$E,MOVIMIENTOS!$A:$A,$A36,MOVIMIENTOS!$B:$B,"ENVIO A TOTTUS")&gt;0,"Tottus",""))</f>
        <v>Supesa</v>
      </c>
      <c r="N36" s="80" t="str">
        <f>IFERROR(IF(LOOKUP(2,1/((MOVIMIENTOS!$A$5:$A$1017=$A36)*((MOVIMIENTOS!$B$5:$B$1017="ENVÍO A SUPESA")+(MOVIMIENTOS!$B$5:$B$1017="ENVÍO A TOTTUS")+(MOVIMIENTOS!$B$5:$B$1017="ENVIO A TOTTUS"))*(MOVIMIENTOS!$G$5:$G$1017&lt;&gt;"")),MOVIMIENTOS!$G$5:$G$1017)&lt;&gt;"","G-"&amp;LOOKUP(2,1/((MOVIMIENTOS!$A$5:$A$1017=$A36)*((MOVIMIENTOS!$B$5:$B$1017="ENVÍO A SUPESA")+(MOVIMIENTOS!$B$5:$B$1017="ENVÍO A TOTTUS")+(MOVIMIENTOS!$B$5:$B$1017="ENVIO A TOTTUS"))*(MOVIMIENTOS!$G$5:$G$1017&lt;&gt;"")),MOVIMIENTOS!$G$5:$G$1017),""),"")</f>
        <v>G-3051</v>
      </c>
      <c r="O36" s="80">
        <f>SUMIFS(MOVIMIENTOS!$E:$E,MOVIMIENTOS!$A:$A,$A36,MOVIMIENTOS!$B:$B,"ENVÍO A SUPESA",MOVIMIENTOS!$C:$C,"A")+SUMIFS(MOVIMIENTOS!$E:$E,MOVIMIENTOS!$A:$A,$A36,MOVIMIENTOS!$B:$B,"ENVÍO A TOTTUS",MOVIMIENTOS!$C:$C,"A")+SUMIFS(MOVIMIENTOS!$E:$E,MOVIMIENTOS!$A:$A,$A36,MOVIMIENTOS!$B:$B,"ENVIO A TOTTUS",MOVIMIENTOS!$C:$C,"A")</f>
        <v>67</v>
      </c>
      <c r="P36" s="80">
        <f>SUMIFS(MOVIMIENTOS!$E:$E,MOVIMIENTOS!$A:$A,$A36,MOVIMIENTOS!$B:$B,"ENVÍO A SUPESA",MOVIMIENTOS!$C:$C,"P")+SUMIFS(MOVIMIENTOS!$E:$E,MOVIMIENTOS!$A:$A,$A36,MOVIMIENTOS!$B:$B,"ENVÍO A TOTTUS",MOVIMIENTOS!$C:$C,"P")+SUMIFS(MOVIMIENTOS!$E:$E,MOVIMIENTOS!$A:$A,$A36,MOVIMIENTOS!$B:$B,"ENVIO A TOTTUS",MOVIMIENTOS!$C:$C,"P")</f>
        <v>11</v>
      </c>
      <c r="Q36" s="80">
        <f>SUMIFS(MOVIMIENTOS!$E:$E,MOVIMIENTOS!$A:$A,$A36,MOVIMIENTOS!$B:$B,"ENVÍO A SUPESA",MOVIMIENTOS!$C:$C,"C")+SUMIFS(MOVIMIENTOS!$E:$E,MOVIMIENTOS!$A:$A,$A36,MOVIMIENTOS!$B:$B,"ENVÍO A TOTTUS",MOVIMIENTOS!$C:$C,"C")+SUMIFS(MOVIMIENTOS!$E:$E,MOVIMIENTOS!$A:$A,$A36,MOVIMIENTOS!$B:$B,"ENVIO A TOTTUS",MOVIMIENTOS!$C:$C,"C")</f>
        <v>12</v>
      </c>
      <c r="R36" s="80">
        <f>SUMIFS(MOVIMIENTOS!$E:$E,MOVIMIENTOS!$A:$A,$A36,MOVIMIENTOS!$B:$B,"ENVÍO A SUPESA",MOVIMIENTOS!$C:$C,"M")+SUMIFS(MOVIMIENTOS!$E:$E,MOVIMIENTOS!$A:$A,$A36,MOVIMIENTOS!$B:$B,"ENVÍO A TOTTUS",MOVIMIENTOS!$C:$C,"M")+SUMIFS(MOVIMIENTOS!$E:$E,MOVIMIENTOS!$A:$A,$A36,MOVIMIENTOS!$B:$B,"ENVIO A TOTTUS",MOVIMIENTOS!$C:$C,"M")</f>
        <v>118</v>
      </c>
      <c r="S36" s="80">
        <f t="shared" si="2"/>
        <v>208</v>
      </c>
      <c r="T36" s="81">
        <f>SUMIFS(MOVIMIENTOS!$F:$F,MOVIMIENTOS!$A:$A,$A36,MOVIMIENTOS!$B:$B,"ENVÍO A SUPESA",MOVIMIENTOS!$C:$C,"&lt;&gt;Chancho")+SUMIFS(MOVIMIENTOS!$F:$F,MOVIMIENTOS!$A:$A,$A36,MOVIMIENTOS!$B:$B,"ENVÍO A TOTTUS",MOVIMIENTOS!$C:$C,"&lt;&gt;Chancho")+SUMIFS(MOVIMIENTOS!$F:$F,MOVIMIENTOS!$A:$A,$A36,MOVIMIENTOS!$B:$B,"ENVIO A TOTTUS",MOVIMIENTOS!$C:$C,"&lt;&gt;Chancho")</f>
        <v>3413</v>
      </c>
      <c r="U36" s="85">
        <f>IFERROR(INDEX('SALDO DIARIO'!$B:$B,MATCH($A36,'SALDO DIARIO'!$A:$A,0)),0)</f>
        <v>21</v>
      </c>
      <c r="V36" s="85">
        <f>IFERROR(INDEX('SALDO DIARIO'!$C:$C,MATCH($A36,'SALDO DIARIO'!$A:$A,0)),0)</f>
        <v>0</v>
      </c>
      <c r="W36" s="85">
        <f>IFERROR(INDEX('SALDO DIARIO'!$D:$D,MATCH($A36,'SALDO DIARIO'!$A:$A,0)),0)</f>
        <v>0</v>
      </c>
      <c r="X36" s="85">
        <f>IFERROR(INDEX('SALDO DIARIO'!$E:$E,MATCH($A36,'SALDO DIARIO'!$A:$A,0)),0)</f>
        <v>16</v>
      </c>
      <c r="Y36" s="85">
        <f>IFERROR(INDEX('SALDO DIARIO'!$G:$G,MATCH($A36,'SALDO DIARIO'!$A:$A,0)),0)</f>
        <v>37</v>
      </c>
      <c r="Z36" s="80">
        <f>SUMIFS(MOVIMIENTOS!$E:$E,MOVIMIENTOS!$A:$A,$A36,MOVIMIENTOS!$B:$B,"PROCESO",MOVIMIENTOS!$C:$C,"Chancho")</f>
        <v>12</v>
      </c>
      <c r="AA36" s="81">
        <f>SUMIFS(MOVIMIENTOS!$F:$F,MOVIMIENTOS!$A:$A,$A36,MOVIMIENTOS!$B:$B,"PROCESO",MOVIMIENTOS!$C:$C,"Chancho")</f>
        <v>1164</v>
      </c>
      <c r="AB36" s="80">
        <f>SUMIFS(MOVIMIENTOS!$E:$E,MOVIMIENTOS!$A:$A,$A36,MOVIMIENTOS!$B:$B,"VENTA CHANCHO",MOVIMIENTOS!$C:$C,"Chancho")</f>
        <v>0</v>
      </c>
      <c r="AC36" s="81">
        <f>SUMIFS(MOVIMIENTOS!$F:$F,MOVIMIENTOS!$A:$A,$A36,MOVIMIENTOS!$B:$B,"VENTA CHANCHO",MOVIMIENTOS!$C:$C,"Chancho")</f>
        <v>0</v>
      </c>
      <c r="AD36" s="80" t="str">
        <f>IFERROR(LOOKUP(2,1/((MOVIMIENTOS!$A$5:$A$1017=$A36)*(MOVIMIENTOS!$B$5:$B$1017="VENTA CHANCHO")*(MOVIMIENTOS!$C$5:$C$1017="Chancho")*(MOVIMIENTOS!$G$5:$G$1017&lt;&gt;"")),MOVIMIENTOS!$G$5:$G$1017),IFERROR(LOOKUP(2,1/((MOVIMIENTOS!$A$5:$A$1017=$A36)*(MOVIMIENTOS!$B$5:$B$1017="VENTA CHANCHO")*(MOVIMIENTOS!$C$5:$C$1017="Chancho")*(MOVIMIENTOS!$H$5:$H$1017&lt;&gt;"")),MOVIMIENTOS!$H$5:$H$1017),""))</f>
        <v/>
      </c>
      <c r="AE36" s="85">
        <f>IFERROR(INDEX('SALDO DIARIO'!$F:$F,MATCH($A36,'SALDO DIARIO'!$A:$A,0)),0)</f>
        <v>31.5</v>
      </c>
      <c r="AF36" s="81">
        <f t="shared" si="3"/>
        <v>3</v>
      </c>
      <c r="AG36" s="82">
        <f t="shared" si="4"/>
        <v>0.1</v>
      </c>
      <c r="AI36" s="83">
        <f t="shared" si="5"/>
        <v>46238</v>
      </c>
      <c r="AJ36" s="81">
        <f t="shared" si="6"/>
        <v>3450</v>
      </c>
      <c r="AK36" s="81">
        <f t="shared" si="7"/>
        <v>2283</v>
      </c>
      <c r="AL36" s="81">
        <f t="shared" si="8"/>
        <v>3413</v>
      </c>
      <c r="AM36" s="84">
        <f t="shared" si="9"/>
        <v>12</v>
      </c>
      <c r="AN36" s="81">
        <f t="shared" si="10"/>
        <v>1164</v>
      </c>
      <c r="AO36" s="81">
        <f t="shared" si="11"/>
        <v>3</v>
      </c>
      <c r="AP36" s="82">
        <f t="shared" si="12"/>
        <v>0.1</v>
      </c>
    </row>
    <row r="37" spans="1:42" ht="15" customHeight="1" x14ac:dyDescent="0.2">
      <c r="A37" s="78">
        <v>46239</v>
      </c>
      <c r="B37" s="79" t="s">
        <v>226</v>
      </c>
      <c r="C37" s="79" t="s">
        <v>229</v>
      </c>
      <c r="D37" s="80">
        <f>SUMIFS(MOVIMIENTOS!$E:$E,MOVIMIENTOS!$A:$A,$A37,MOVIMIENTOS!$B:$B,"COMPRA")</f>
        <v>52</v>
      </c>
      <c r="E37" s="81">
        <f>SUMIFS(MOVIMIENTOS!$F:$F,MOVIMIENTOS!$A:$A,$A37,MOVIMIENTOS!$B:$B,"COMPRA")</f>
        <v>5044</v>
      </c>
      <c r="F37" s="80">
        <f>SUMIFS(MOVIMIENTOS!$E:$E,MOVIMIENTOS!$A:$A,$A37,MOVIMIENTOS!$B:$B,"PROCESO",MOVIMIENTOS!$C:$C,"A")</f>
        <v>96</v>
      </c>
      <c r="G37" s="80">
        <f>SUMIFS(MOVIMIENTOS!$E:$E,MOVIMIENTOS!$A:$A,$A37,MOVIMIENTOS!$B:$B,"PROCESO",MOVIMIENTOS!$C:$C,"P")</f>
        <v>22</v>
      </c>
      <c r="H37" s="80">
        <f>SUMIFS(MOVIMIENTOS!$E:$E,MOVIMIENTOS!$A:$A,$A37,MOVIMIENTOS!$B:$B,"PROCESO",MOVIMIENTOS!$C:$C,"C")</f>
        <v>23</v>
      </c>
      <c r="I37" s="80">
        <f>SUMIFS(MOVIMIENTOS!$E:$E,MOVIMIENTOS!$A:$A,$A37,MOVIMIENTOS!$B:$B,"PROCESO",MOVIMIENTOS!$C:$C,"M")</f>
        <v>153</v>
      </c>
      <c r="J37" s="80">
        <f t="shared" si="0"/>
        <v>294</v>
      </c>
      <c r="K37" s="81">
        <f t="shared" si="1"/>
        <v>4828</v>
      </c>
      <c r="L37" s="81">
        <f>SUMIFS(MOVIMIENTOS!$F:$F,MOVIMIENTOS!$A:$A,$A37,MOVIMIENTOS!$B:$B,"REPROCESO")</f>
        <v>5</v>
      </c>
      <c r="M37" s="80" t="str">
        <f>TRIM(IF(SUMIFS(MOVIMIENTOS!$E:$E,MOVIMIENTOS!$A:$A,$A37,MOVIMIENTOS!$B:$B,"ENVÍO A SUPESA")&gt;0,"Supesa ","")&amp;IF(SUMIFS(MOVIMIENTOS!$E:$E,MOVIMIENTOS!$A:$A,$A37,MOVIMIENTOS!$B:$B,"ENVÍO A TOTTUS")+SUMIFS(MOVIMIENTOS!$E:$E,MOVIMIENTOS!$A:$A,$A37,MOVIMIENTOS!$B:$B,"ENVIO A TOTTUS")&gt;0,"Tottus",""))</f>
        <v>Supesa</v>
      </c>
      <c r="N37" s="80" t="str">
        <f>IFERROR(IF(LOOKUP(2,1/((MOVIMIENTOS!$A$5:$A$1017=$A37)*((MOVIMIENTOS!$B$5:$B$1017="ENVÍO A SUPESA")+(MOVIMIENTOS!$B$5:$B$1017="ENVÍO A TOTTUS")+(MOVIMIENTOS!$B$5:$B$1017="ENVIO A TOTTUS"))*(MOVIMIENTOS!$G$5:$G$1017&lt;&gt;"")),MOVIMIENTOS!$G$5:$G$1017)&lt;&gt;"","G-"&amp;LOOKUP(2,1/((MOVIMIENTOS!$A$5:$A$1017=$A37)*((MOVIMIENTOS!$B$5:$B$1017="ENVÍO A SUPESA")+(MOVIMIENTOS!$B$5:$B$1017="ENVÍO A TOTTUS")+(MOVIMIENTOS!$B$5:$B$1017="ENVIO A TOTTUS"))*(MOVIMIENTOS!$G$5:$G$1017&lt;&gt;"")),MOVIMIENTOS!$G$5:$G$1017),""),"")</f>
        <v>G-3054</v>
      </c>
      <c r="O37" s="80">
        <f>SUMIFS(MOVIMIENTOS!$E:$E,MOVIMIENTOS!$A:$A,$A37,MOVIMIENTOS!$B:$B,"ENVÍO A SUPESA",MOVIMIENTOS!$C:$C,"A")+SUMIFS(MOVIMIENTOS!$E:$E,MOVIMIENTOS!$A:$A,$A37,MOVIMIENTOS!$B:$B,"ENVÍO A TOTTUS",MOVIMIENTOS!$C:$C,"A")+SUMIFS(MOVIMIENTOS!$E:$E,MOVIMIENTOS!$A:$A,$A37,MOVIMIENTOS!$B:$B,"ENVIO A TOTTUS",MOVIMIENTOS!$C:$C,"A")</f>
        <v>67</v>
      </c>
      <c r="P37" s="80">
        <f>SUMIFS(MOVIMIENTOS!$E:$E,MOVIMIENTOS!$A:$A,$A37,MOVIMIENTOS!$B:$B,"ENVÍO A SUPESA",MOVIMIENTOS!$C:$C,"P")+SUMIFS(MOVIMIENTOS!$E:$E,MOVIMIENTOS!$A:$A,$A37,MOVIMIENTOS!$B:$B,"ENVÍO A TOTTUS",MOVIMIENTOS!$C:$C,"P")+SUMIFS(MOVIMIENTOS!$E:$E,MOVIMIENTOS!$A:$A,$A37,MOVIMIENTOS!$B:$B,"ENVIO A TOTTUS",MOVIMIENTOS!$C:$C,"P")</f>
        <v>11</v>
      </c>
      <c r="Q37" s="80">
        <f>SUMIFS(MOVIMIENTOS!$E:$E,MOVIMIENTOS!$A:$A,$A37,MOVIMIENTOS!$B:$B,"ENVÍO A SUPESA",MOVIMIENTOS!$C:$C,"C")+SUMIFS(MOVIMIENTOS!$E:$E,MOVIMIENTOS!$A:$A,$A37,MOVIMIENTOS!$B:$B,"ENVÍO A TOTTUS",MOVIMIENTOS!$C:$C,"C")+SUMIFS(MOVIMIENTOS!$E:$E,MOVIMIENTOS!$A:$A,$A37,MOVIMIENTOS!$B:$B,"ENVIO A TOTTUS",MOVIMIENTOS!$C:$C,"C")</f>
        <v>11</v>
      </c>
      <c r="R37" s="80">
        <f>SUMIFS(MOVIMIENTOS!$E:$E,MOVIMIENTOS!$A:$A,$A37,MOVIMIENTOS!$B:$B,"ENVÍO A SUPESA",MOVIMIENTOS!$C:$C,"M")+SUMIFS(MOVIMIENTOS!$E:$E,MOVIMIENTOS!$A:$A,$A37,MOVIMIENTOS!$B:$B,"ENVÍO A TOTTUS",MOVIMIENTOS!$C:$C,"M")+SUMIFS(MOVIMIENTOS!$E:$E,MOVIMIENTOS!$A:$A,$A37,MOVIMIENTOS!$B:$B,"ENVIO A TOTTUS",MOVIMIENTOS!$C:$C,"M")</f>
        <v>104</v>
      </c>
      <c r="S37" s="80">
        <f t="shared" si="2"/>
        <v>193</v>
      </c>
      <c r="T37" s="81">
        <f>SUMIFS(MOVIMIENTOS!$F:$F,MOVIMIENTOS!$A:$A,$A37,MOVIMIENTOS!$B:$B,"ENVÍO A SUPESA",MOVIMIENTOS!$C:$C,"&lt;&gt;Chancho")+SUMIFS(MOVIMIENTOS!$F:$F,MOVIMIENTOS!$A:$A,$A37,MOVIMIENTOS!$B:$B,"ENVÍO A TOTTUS",MOVIMIENTOS!$C:$C,"&lt;&gt;Chancho")+SUMIFS(MOVIMIENTOS!$F:$F,MOVIMIENTOS!$A:$A,$A37,MOVIMIENTOS!$B:$B,"ENVIO A TOTTUS",MOVIMIENTOS!$C:$C,"&lt;&gt;Chancho")</f>
        <v>3158</v>
      </c>
      <c r="U37" s="85">
        <f>IFERROR(INDEX('SALDO DIARIO'!$B:$B,MATCH($A37,'SALDO DIARIO'!$A:$A,0)),0)</f>
        <v>50</v>
      </c>
      <c r="V37" s="85">
        <f>IFERROR(INDEX('SALDO DIARIO'!$C:$C,MATCH($A37,'SALDO DIARIO'!$A:$A,0)),0)</f>
        <v>11</v>
      </c>
      <c r="W37" s="85">
        <f>IFERROR(INDEX('SALDO DIARIO'!$D:$D,MATCH($A37,'SALDO DIARIO'!$A:$A,0)),0)</f>
        <v>12</v>
      </c>
      <c r="X37" s="85">
        <f>IFERROR(INDEX('SALDO DIARIO'!$E:$E,MATCH($A37,'SALDO DIARIO'!$A:$A,0)),0)</f>
        <v>65</v>
      </c>
      <c r="Y37" s="85">
        <f>IFERROR(INDEX('SALDO DIARIO'!$G:$G,MATCH($A37,'SALDO DIARIO'!$A:$A,0)),0)</f>
        <v>138</v>
      </c>
      <c r="Z37" s="80">
        <f>SUMIFS(MOVIMIENTOS!$E:$E,MOVIMIENTOS!$A:$A,$A37,MOVIMIENTOS!$B:$B,"PROCESO",MOVIMIENTOS!$C:$C,"Chancho")</f>
        <v>5.5</v>
      </c>
      <c r="AA37" s="81">
        <f>SUMIFS(MOVIMIENTOS!$F:$F,MOVIMIENTOS!$A:$A,$A37,MOVIMIENTOS!$B:$B,"PROCESO",MOVIMIENTOS!$C:$C,"Chancho")</f>
        <v>533.5</v>
      </c>
      <c r="AB37" s="80">
        <f>SUMIFS(MOVIMIENTOS!$E:$E,MOVIMIENTOS!$A:$A,$A37,MOVIMIENTOS!$B:$B,"VENTA CHANCHO",MOVIMIENTOS!$C:$C,"Chancho")</f>
        <v>20</v>
      </c>
      <c r="AC37" s="81">
        <f>SUMIFS(MOVIMIENTOS!$F:$F,MOVIMIENTOS!$A:$A,$A37,MOVIMIENTOS!$B:$B,"VENTA CHANCHO",MOVIMIENTOS!$C:$C,"Chancho")</f>
        <v>1940</v>
      </c>
      <c r="AD37" s="80" t="str">
        <f>IFERROR(LOOKUP(2,1/((MOVIMIENTOS!$A$5:$A$1017=$A37)*(MOVIMIENTOS!$B$5:$B$1017="VENTA CHANCHO")*(MOVIMIENTOS!$C$5:$C$1017="Chancho")*(MOVIMIENTOS!$G$5:$G$1017&lt;&gt;"")),MOVIMIENTOS!$G$5:$G$1017),IFERROR(LOOKUP(2,1/((MOVIMIENTOS!$A$5:$A$1017=$A37)*(MOVIMIENTOS!$B$5:$B$1017="VENTA CHANCHO")*(MOVIMIENTOS!$C$5:$C$1017="Chancho")*(MOVIMIENTOS!$H$5:$H$1017&lt;&gt;"")),MOVIMIENTOS!$H$5:$H$1017),""))</f>
        <v>TCK002-741</v>
      </c>
      <c r="AE37" s="85">
        <f>IFERROR(INDEX('SALDO DIARIO'!$F:$F,MATCH($A37,'SALDO DIARIO'!$A:$A,0)),0)</f>
        <v>17</v>
      </c>
      <c r="AF37" s="81">
        <f t="shared" si="3"/>
        <v>-317.5</v>
      </c>
      <c r="AG37" s="82">
        <f t="shared" si="4"/>
        <v>-6.3</v>
      </c>
      <c r="AI37" s="83">
        <f t="shared" si="5"/>
        <v>46239</v>
      </c>
      <c r="AJ37" s="81">
        <f t="shared" si="6"/>
        <v>5044</v>
      </c>
      <c r="AK37" s="81">
        <f t="shared" si="7"/>
        <v>4828</v>
      </c>
      <c r="AL37" s="81">
        <f t="shared" si="8"/>
        <v>3158</v>
      </c>
      <c r="AM37" s="84">
        <f t="shared" si="9"/>
        <v>5.5</v>
      </c>
      <c r="AN37" s="81">
        <f t="shared" si="10"/>
        <v>533.5</v>
      </c>
      <c r="AO37" s="81">
        <f t="shared" si="11"/>
        <v>-317.5</v>
      </c>
      <c r="AP37" s="82">
        <f t="shared" si="12"/>
        <v>-6.3</v>
      </c>
    </row>
    <row r="38" spans="1:42" ht="15" customHeight="1" x14ac:dyDescent="0.2">
      <c r="A38" s="78">
        <v>46240</v>
      </c>
      <c r="B38" s="79" t="s">
        <v>233</v>
      </c>
      <c r="C38" s="79" t="s">
        <v>229</v>
      </c>
      <c r="D38" s="80">
        <f>SUMIFS(MOVIMIENTOS!$E:$E,MOVIMIENTOS!$A:$A,$A38,MOVIMIENTOS!$B:$B,"COMPRA")</f>
        <v>48</v>
      </c>
      <c r="E38" s="81">
        <f>SUMIFS(MOVIMIENTOS!$F:$F,MOVIMIENTOS!$A:$A,$A38,MOVIMIENTOS!$B:$B,"COMPRA")</f>
        <v>4656</v>
      </c>
      <c r="F38" s="80">
        <f>SUMIFS(MOVIMIENTOS!$E:$E,MOVIMIENTOS!$A:$A,$A38,MOVIMIENTOS!$B:$B,"PROCESO",MOVIMIENTOS!$C:$C,"A")</f>
        <v>79</v>
      </c>
      <c r="G38" s="80">
        <f>SUMIFS(MOVIMIENTOS!$E:$E,MOVIMIENTOS!$A:$A,$A38,MOVIMIENTOS!$B:$B,"PROCESO",MOVIMIENTOS!$C:$C,"P")</f>
        <v>11</v>
      </c>
      <c r="H38" s="80">
        <f>SUMIFS(MOVIMIENTOS!$E:$E,MOVIMIENTOS!$A:$A,$A38,MOVIMIENTOS!$B:$B,"PROCESO",MOVIMIENTOS!$C:$C,"C")</f>
        <v>12</v>
      </c>
      <c r="I38" s="80">
        <f>SUMIFS(MOVIMIENTOS!$E:$E,MOVIMIENTOS!$A:$A,$A38,MOVIMIENTOS!$B:$B,"PROCESO",MOVIMIENTOS!$C:$C,"M")</f>
        <v>147</v>
      </c>
      <c r="J38" s="80">
        <f t="shared" si="0"/>
        <v>249</v>
      </c>
      <c r="K38" s="81">
        <f t="shared" si="1"/>
        <v>4086</v>
      </c>
      <c r="L38" s="81">
        <f>SUMIFS(MOVIMIENTOS!$F:$F,MOVIMIENTOS!$A:$A,$A38,MOVIMIENTOS!$B:$B,"REPROCESO")</f>
        <v>0</v>
      </c>
      <c r="M38" s="80" t="str">
        <f>TRIM(IF(SUMIFS(MOVIMIENTOS!$E:$E,MOVIMIENTOS!$A:$A,$A38,MOVIMIENTOS!$B:$B,"ENVÍO A SUPESA")&gt;0,"Supesa ","")&amp;IF(SUMIFS(MOVIMIENTOS!$E:$E,MOVIMIENTOS!$A:$A,$A38,MOVIMIENTOS!$B:$B,"ENVÍO A TOTTUS")+SUMIFS(MOVIMIENTOS!$E:$E,MOVIMIENTOS!$A:$A,$A38,MOVIMIENTOS!$B:$B,"ENVIO A TOTTUS")&gt;0,"Tottus",""))</f>
        <v>Supesa</v>
      </c>
      <c r="N38" s="80" t="str">
        <f>IFERROR(IF(LOOKUP(2,1/((MOVIMIENTOS!$A$5:$A$1017=$A38)*((MOVIMIENTOS!$B$5:$B$1017="ENVÍO A SUPESA")+(MOVIMIENTOS!$B$5:$B$1017="ENVÍO A TOTTUS")+(MOVIMIENTOS!$B$5:$B$1017="ENVIO A TOTTUS"))*(MOVIMIENTOS!$G$5:$G$1017&lt;&gt;"")),MOVIMIENTOS!$G$5:$G$1017)&lt;&gt;"","G-"&amp;LOOKUP(2,1/((MOVIMIENTOS!$A$5:$A$1017=$A38)*((MOVIMIENTOS!$B$5:$B$1017="ENVÍO A SUPESA")+(MOVIMIENTOS!$B$5:$B$1017="ENVÍO A TOTTUS")+(MOVIMIENTOS!$B$5:$B$1017="ENVIO A TOTTUS"))*(MOVIMIENTOS!$G$5:$G$1017&lt;&gt;"")),MOVIMIENTOS!$G$5:$G$1017),""),"")</f>
        <v>G-3058</v>
      </c>
      <c r="O38" s="80">
        <f>SUMIFS(MOVIMIENTOS!$E:$E,MOVIMIENTOS!$A:$A,$A38,MOVIMIENTOS!$B:$B,"ENVÍO A SUPESA",MOVIMIENTOS!$C:$C,"A")+SUMIFS(MOVIMIENTOS!$E:$E,MOVIMIENTOS!$A:$A,$A38,MOVIMIENTOS!$B:$B,"ENVÍO A TOTTUS",MOVIMIENTOS!$C:$C,"A")+SUMIFS(MOVIMIENTOS!$E:$E,MOVIMIENTOS!$A:$A,$A38,MOVIMIENTOS!$B:$B,"ENVIO A TOTTUS",MOVIMIENTOS!$C:$C,"A")</f>
        <v>67</v>
      </c>
      <c r="P38" s="80">
        <f>SUMIFS(MOVIMIENTOS!$E:$E,MOVIMIENTOS!$A:$A,$A38,MOVIMIENTOS!$B:$B,"ENVÍO A SUPESA",MOVIMIENTOS!$C:$C,"P")+SUMIFS(MOVIMIENTOS!$E:$E,MOVIMIENTOS!$A:$A,$A38,MOVIMIENTOS!$B:$B,"ENVÍO A TOTTUS",MOVIMIENTOS!$C:$C,"P")+SUMIFS(MOVIMIENTOS!$E:$E,MOVIMIENTOS!$A:$A,$A38,MOVIMIENTOS!$B:$B,"ENVIO A TOTTUS",MOVIMIENTOS!$C:$C,"P")</f>
        <v>11</v>
      </c>
      <c r="Q38" s="80">
        <f>SUMIFS(MOVIMIENTOS!$E:$E,MOVIMIENTOS!$A:$A,$A38,MOVIMIENTOS!$B:$B,"ENVÍO A SUPESA",MOVIMIENTOS!$C:$C,"C")+SUMIFS(MOVIMIENTOS!$E:$E,MOVIMIENTOS!$A:$A,$A38,MOVIMIENTOS!$B:$B,"ENVÍO A TOTTUS",MOVIMIENTOS!$C:$C,"C")+SUMIFS(MOVIMIENTOS!$E:$E,MOVIMIENTOS!$A:$A,$A38,MOVIMIENTOS!$B:$B,"ENVIO A TOTTUS",MOVIMIENTOS!$C:$C,"C")</f>
        <v>12</v>
      </c>
      <c r="R38" s="80">
        <f>SUMIFS(MOVIMIENTOS!$E:$E,MOVIMIENTOS!$A:$A,$A38,MOVIMIENTOS!$B:$B,"ENVÍO A SUPESA",MOVIMIENTOS!$C:$C,"M")+SUMIFS(MOVIMIENTOS!$E:$E,MOVIMIENTOS!$A:$A,$A38,MOVIMIENTOS!$B:$B,"ENVÍO A TOTTUS",MOVIMIENTOS!$C:$C,"M")+SUMIFS(MOVIMIENTOS!$E:$E,MOVIMIENTOS!$A:$A,$A38,MOVIMIENTOS!$B:$B,"ENVIO A TOTTUS",MOVIMIENTOS!$C:$C,"M")</f>
        <v>118</v>
      </c>
      <c r="S38" s="80">
        <f t="shared" si="2"/>
        <v>208</v>
      </c>
      <c r="T38" s="81">
        <f>SUMIFS(MOVIMIENTOS!$F:$F,MOVIMIENTOS!$A:$A,$A38,MOVIMIENTOS!$B:$B,"ENVÍO A SUPESA",MOVIMIENTOS!$C:$C,"&lt;&gt;Chancho")+SUMIFS(MOVIMIENTOS!$F:$F,MOVIMIENTOS!$A:$A,$A38,MOVIMIENTOS!$B:$B,"ENVÍO A TOTTUS",MOVIMIENTOS!$C:$C,"&lt;&gt;Chancho")+SUMIFS(MOVIMIENTOS!$F:$F,MOVIMIENTOS!$A:$A,$A38,MOVIMIENTOS!$B:$B,"ENVIO A TOTTUS",MOVIMIENTOS!$C:$C,"&lt;&gt;Chancho")</f>
        <v>3413</v>
      </c>
      <c r="U38" s="85">
        <f>IFERROR(INDEX('SALDO DIARIO'!$B:$B,MATCH($A38,'SALDO DIARIO'!$A:$A,0)),0)</f>
        <v>62</v>
      </c>
      <c r="V38" s="85">
        <f>IFERROR(INDEX('SALDO DIARIO'!$C:$C,MATCH($A38,'SALDO DIARIO'!$A:$A,0)),0)</f>
        <v>11</v>
      </c>
      <c r="W38" s="85">
        <f>IFERROR(INDEX('SALDO DIARIO'!$D:$D,MATCH($A38,'SALDO DIARIO'!$A:$A,0)),0)</f>
        <v>12</v>
      </c>
      <c r="X38" s="85">
        <f>IFERROR(INDEX('SALDO DIARIO'!$E:$E,MATCH($A38,'SALDO DIARIO'!$A:$A,0)),0)</f>
        <v>94</v>
      </c>
      <c r="Y38" s="85">
        <f>IFERROR(INDEX('SALDO DIARIO'!$G:$G,MATCH($A38,'SALDO DIARIO'!$A:$A,0)),0)</f>
        <v>179</v>
      </c>
      <c r="Z38" s="80">
        <f>SUMIFS(MOVIMIENTOS!$E:$E,MOVIMIENTOS!$A:$A,$A38,MOVIMIENTOS!$B:$B,"PROCESO",MOVIMIENTOS!$C:$C,"Chancho")</f>
        <v>6.5</v>
      </c>
      <c r="AA38" s="81">
        <f>SUMIFS(MOVIMIENTOS!$F:$F,MOVIMIENTOS!$A:$A,$A38,MOVIMIENTOS!$B:$B,"PROCESO",MOVIMIENTOS!$C:$C,"Chancho")</f>
        <v>630.5</v>
      </c>
      <c r="AB38" s="80">
        <f>SUMIFS(MOVIMIENTOS!$E:$E,MOVIMIENTOS!$A:$A,$A38,MOVIMIENTOS!$B:$B,"VENTA CHANCHO",MOVIMIENTOS!$C:$C,"Chancho")</f>
        <v>17</v>
      </c>
      <c r="AC38" s="81">
        <f>SUMIFS(MOVIMIENTOS!$F:$F,MOVIMIENTOS!$A:$A,$A38,MOVIMIENTOS!$B:$B,"VENTA CHANCHO",MOVIMIENTOS!$C:$C,"Chancho")</f>
        <v>1649</v>
      </c>
      <c r="AD38" s="80" t="str">
        <f>IFERROR(LOOKUP(2,1/((MOVIMIENTOS!$A$5:$A$1017=$A38)*(MOVIMIENTOS!$B$5:$B$1017="VENTA CHANCHO")*(MOVIMIENTOS!$C$5:$C$1017="Chancho")*(MOVIMIENTOS!$G$5:$G$1017&lt;&gt;"")),MOVIMIENTOS!$G$5:$G$1017),IFERROR(LOOKUP(2,1/((MOVIMIENTOS!$A$5:$A$1017=$A38)*(MOVIMIENTOS!$B$5:$B$1017="VENTA CHANCHO")*(MOVIMIENTOS!$C$5:$C$1017="Chancho")*(MOVIMIENTOS!$H$5:$H$1017&lt;&gt;"")),MOVIMIENTOS!$H$5:$H$1017),""))</f>
        <v>TCK002-740</v>
      </c>
      <c r="AE38" s="85">
        <f>IFERROR(INDEX('SALDO DIARIO'!$F:$F,MATCH($A38,'SALDO DIARIO'!$A:$A,0)),0)</f>
        <v>6.5</v>
      </c>
      <c r="AF38" s="81">
        <f t="shared" si="3"/>
        <v>-60.5</v>
      </c>
      <c r="AG38" s="82">
        <f t="shared" si="4"/>
        <v>-1.3</v>
      </c>
      <c r="AI38" s="83">
        <f t="shared" si="5"/>
        <v>46240</v>
      </c>
      <c r="AJ38" s="81">
        <f t="shared" si="6"/>
        <v>4656</v>
      </c>
      <c r="AK38" s="81">
        <f t="shared" si="7"/>
        <v>4086</v>
      </c>
      <c r="AL38" s="81">
        <f t="shared" si="8"/>
        <v>3413</v>
      </c>
      <c r="AM38" s="84">
        <f t="shared" si="9"/>
        <v>6.5</v>
      </c>
      <c r="AN38" s="81">
        <f t="shared" si="10"/>
        <v>630.5</v>
      </c>
      <c r="AO38" s="81">
        <f t="shared" si="11"/>
        <v>-60.5</v>
      </c>
      <c r="AP38" s="82">
        <f t="shared" si="12"/>
        <v>-1.3</v>
      </c>
    </row>
    <row r="39" spans="1:42" ht="15" customHeight="1" x14ac:dyDescent="0.2">
      <c r="A39" s="78">
        <v>46241</v>
      </c>
      <c r="B39" s="79" t="s">
        <v>230</v>
      </c>
      <c r="C39" s="79" t="s">
        <v>229</v>
      </c>
      <c r="D39" s="80">
        <f>SUMIFS(MOVIMIENTOS!$E:$E,MOVIMIENTOS!$A:$A,$A39,MOVIMIENTOS!$B:$B,"COMPRA")</f>
        <v>12</v>
      </c>
      <c r="E39" s="81">
        <f>SUMIFS(MOVIMIENTOS!$F:$F,MOVIMIENTOS!$A:$A,$A39,MOVIMIENTOS!$B:$B,"COMPRA")</f>
        <v>1164</v>
      </c>
      <c r="F39" s="80">
        <f>SUMIFS(MOVIMIENTOS!$E:$E,MOVIMIENTOS!$A:$A,$A39,MOVIMIENTOS!$B:$B,"PROCESO",MOVIMIENTOS!$C:$C,"A")</f>
        <v>17</v>
      </c>
      <c r="G39" s="80">
        <f>SUMIFS(MOVIMIENTOS!$E:$E,MOVIMIENTOS!$A:$A,$A39,MOVIMIENTOS!$B:$B,"PROCESO",MOVIMIENTOS!$C:$C,"P")</f>
        <v>0</v>
      </c>
      <c r="H39" s="80">
        <f>SUMIFS(MOVIMIENTOS!$E:$E,MOVIMIENTOS!$A:$A,$A39,MOVIMIENTOS!$B:$B,"PROCESO",MOVIMIENTOS!$C:$C,"C")</f>
        <v>0</v>
      </c>
      <c r="I39" s="80">
        <f>SUMIFS(MOVIMIENTOS!$E:$E,MOVIMIENTOS!$A:$A,$A39,MOVIMIENTOS!$B:$B,"PROCESO",MOVIMIENTOS!$C:$C,"M")</f>
        <v>37</v>
      </c>
      <c r="J39" s="80">
        <f t="shared" si="0"/>
        <v>54</v>
      </c>
      <c r="K39" s="81">
        <f t="shared" si="1"/>
        <v>884</v>
      </c>
      <c r="L39" s="81">
        <f>SUMIFS(MOVIMIENTOS!$F:$F,MOVIMIENTOS!$A:$A,$A39,MOVIMIENTOS!$B:$B,"REPROCESO")</f>
        <v>0</v>
      </c>
      <c r="M39" s="80" t="str">
        <f>TRIM(IF(SUMIFS(MOVIMIENTOS!$E:$E,MOVIMIENTOS!$A:$A,$A39,MOVIMIENTOS!$B:$B,"ENVÍO A SUPESA")&gt;0,"Supesa ","")&amp;IF(SUMIFS(MOVIMIENTOS!$E:$E,MOVIMIENTOS!$A:$A,$A39,MOVIMIENTOS!$B:$B,"ENVÍO A TOTTUS")+SUMIFS(MOVIMIENTOS!$E:$E,MOVIMIENTOS!$A:$A,$A39,MOVIMIENTOS!$B:$B,"ENVIO A TOTTUS")&gt;0,"Tottus",""))</f>
        <v>Supesa</v>
      </c>
      <c r="N39" s="80" t="str">
        <f>IFERROR(IF(LOOKUP(2,1/((MOVIMIENTOS!$A$5:$A$1017=$A39)*((MOVIMIENTOS!$B$5:$B$1017="ENVÍO A SUPESA")+(MOVIMIENTOS!$B$5:$B$1017="ENVÍO A TOTTUS")+(MOVIMIENTOS!$B$5:$B$1017="ENVIO A TOTTUS"))*(MOVIMIENTOS!$G$5:$G$1017&lt;&gt;"")),MOVIMIENTOS!$G$5:$G$1017)&lt;&gt;"","G-"&amp;LOOKUP(2,1/((MOVIMIENTOS!$A$5:$A$1017=$A39)*((MOVIMIENTOS!$B$5:$B$1017="ENVÍO A SUPESA")+(MOVIMIENTOS!$B$5:$B$1017="ENVÍO A TOTTUS")+(MOVIMIENTOS!$B$5:$B$1017="ENVIO A TOTTUS"))*(MOVIMIENTOS!$G$5:$G$1017&lt;&gt;"")),MOVIMIENTOS!$G$5:$G$1017),""),"")</f>
        <v>G-3060</v>
      </c>
      <c r="O39" s="80">
        <f>SUMIFS(MOVIMIENTOS!$E:$E,MOVIMIENTOS!$A:$A,$A39,MOVIMIENTOS!$B:$B,"ENVÍO A SUPESA",MOVIMIENTOS!$C:$C,"A")+SUMIFS(MOVIMIENTOS!$E:$E,MOVIMIENTOS!$A:$A,$A39,MOVIMIENTOS!$B:$B,"ENVÍO A TOTTUS",MOVIMIENTOS!$C:$C,"A")+SUMIFS(MOVIMIENTOS!$E:$E,MOVIMIENTOS!$A:$A,$A39,MOVIMIENTOS!$B:$B,"ENVIO A TOTTUS",MOVIMIENTOS!$C:$C,"A")</f>
        <v>67</v>
      </c>
      <c r="P39" s="80">
        <f>SUMIFS(MOVIMIENTOS!$E:$E,MOVIMIENTOS!$A:$A,$A39,MOVIMIENTOS!$B:$B,"ENVÍO A SUPESA",MOVIMIENTOS!$C:$C,"P")+SUMIFS(MOVIMIENTOS!$E:$E,MOVIMIENTOS!$A:$A,$A39,MOVIMIENTOS!$B:$B,"ENVÍO A TOTTUS",MOVIMIENTOS!$C:$C,"P")+SUMIFS(MOVIMIENTOS!$E:$E,MOVIMIENTOS!$A:$A,$A39,MOVIMIENTOS!$B:$B,"ENVIO A TOTTUS",MOVIMIENTOS!$C:$C,"P")</f>
        <v>11</v>
      </c>
      <c r="Q39" s="80">
        <f>SUMIFS(MOVIMIENTOS!$E:$E,MOVIMIENTOS!$A:$A,$A39,MOVIMIENTOS!$B:$B,"ENVÍO A SUPESA",MOVIMIENTOS!$C:$C,"C")+SUMIFS(MOVIMIENTOS!$E:$E,MOVIMIENTOS!$A:$A,$A39,MOVIMIENTOS!$B:$B,"ENVÍO A TOTTUS",MOVIMIENTOS!$C:$C,"C")+SUMIFS(MOVIMIENTOS!$E:$E,MOVIMIENTOS!$A:$A,$A39,MOVIMIENTOS!$B:$B,"ENVIO A TOTTUS",MOVIMIENTOS!$C:$C,"C")</f>
        <v>12</v>
      </c>
      <c r="R39" s="80">
        <f>SUMIFS(MOVIMIENTOS!$E:$E,MOVIMIENTOS!$A:$A,$A39,MOVIMIENTOS!$B:$B,"ENVÍO A SUPESA",MOVIMIENTOS!$C:$C,"M")+SUMIFS(MOVIMIENTOS!$E:$E,MOVIMIENTOS!$A:$A,$A39,MOVIMIENTOS!$B:$B,"ENVÍO A TOTTUS",MOVIMIENTOS!$C:$C,"M")+SUMIFS(MOVIMIENTOS!$E:$E,MOVIMIENTOS!$A:$A,$A39,MOVIMIENTOS!$B:$B,"ENVIO A TOTTUS",MOVIMIENTOS!$C:$C,"M")</f>
        <v>118</v>
      </c>
      <c r="S39" s="80">
        <f t="shared" si="2"/>
        <v>208</v>
      </c>
      <c r="T39" s="81">
        <f>SUMIFS(MOVIMIENTOS!$F:$F,MOVIMIENTOS!$A:$A,$A39,MOVIMIENTOS!$B:$B,"ENVÍO A SUPESA",MOVIMIENTOS!$C:$C,"&lt;&gt;Chancho")+SUMIFS(MOVIMIENTOS!$F:$F,MOVIMIENTOS!$A:$A,$A39,MOVIMIENTOS!$B:$B,"ENVÍO A TOTTUS",MOVIMIENTOS!$C:$C,"&lt;&gt;Chancho")+SUMIFS(MOVIMIENTOS!$F:$F,MOVIMIENTOS!$A:$A,$A39,MOVIMIENTOS!$B:$B,"ENVIO A TOTTUS",MOVIMIENTOS!$C:$C,"&lt;&gt;Chancho")</f>
        <v>3413</v>
      </c>
      <c r="U39" s="85">
        <f>IFERROR(INDEX('SALDO DIARIO'!$B:$B,MATCH($A39,'SALDO DIARIO'!$A:$A,0)),0)</f>
        <v>12</v>
      </c>
      <c r="V39" s="85">
        <f>IFERROR(INDEX('SALDO DIARIO'!$C:$C,MATCH($A39,'SALDO DIARIO'!$A:$A,0)),0)</f>
        <v>0</v>
      </c>
      <c r="W39" s="85">
        <f>IFERROR(INDEX('SALDO DIARIO'!$D:$D,MATCH($A39,'SALDO DIARIO'!$A:$A,0)),0)</f>
        <v>0</v>
      </c>
      <c r="X39" s="85">
        <f>IFERROR(INDEX('SALDO DIARIO'!$E:$E,MATCH($A39,'SALDO DIARIO'!$A:$A,0)),0)</f>
        <v>13</v>
      </c>
      <c r="Y39" s="85">
        <f>IFERROR(INDEX('SALDO DIARIO'!$G:$G,MATCH($A39,'SALDO DIARIO'!$A:$A,0)),0)</f>
        <v>25</v>
      </c>
      <c r="Z39" s="80">
        <f>SUMIFS(MOVIMIENTOS!$E:$E,MOVIMIENTOS!$A:$A,$A39,MOVIMIENTOS!$B:$B,"PROCESO",MOVIMIENTOS!$C:$C,"Chancho")</f>
        <v>4</v>
      </c>
      <c r="AA39" s="81">
        <f>SUMIFS(MOVIMIENTOS!$F:$F,MOVIMIENTOS!$A:$A,$A39,MOVIMIENTOS!$B:$B,"PROCESO",MOVIMIENTOS!$C:$C,"Chancho")</f>
        <v>388</v>
      </c>
      <c r="AB39" s="80">
        <f>SUMIFS(MOVIMIENTOS!$E:$E,MOVIMIENTOS!$A:$A,$A39,MOVIMIENTOS!$B:$B,"VENTA CHANCHO",MOVIMIENTOS!$C:$C,"Chancho")</f>
        <v>6</v>
      </c>
      <c r="AC39" s="81">
        <f>SUMIFS(MOVIMIENTOS!$F:$F,MOVIMIENTOS!$A:$A,$A39,MOVIMIENTOS!$B:$B,"VENTA CHANCHO",MOVIMIENTOS!$C:$C,"Chancho")</f>
        <v>582</v>
      </c>
      <c r="AD39" s="80" t="str">
        <f>IFERROR(LOOKUP(2,1/((MOVIMIENTOS!$A$5:$A$1017=$A39)*(MOVIMIENTOS!$B$5:$B$1017="VENTA CHANCHO")*(MOVIMIENTOS!$C$5:$C$1017="Chancho")*(MOVIMIENTOS!$G$5:$G$1017&lt;&gt;"")),MOVIMIENTOS!$G$5:$G$1017),IFERROR(LOOKUP(2,1/((MOVIMIENTOS!$A$5:$A$1017=$A39)*(MOVIMIENTOS!$B$5:$B$1017="VENTA CHANCHO")*(MOVIMIENTOS!$C$5:$C$1017="Chancho")*(MOVIMIENTOS!$H$5:$H$1017&lt;&gt;"")),MOVIMIENTOS!$H$5:$H$1017),""))</f>
        <v>TCK002-741</v>
      </c>
      <c r="AE39" s="85">
        <f>IFERROR(INDEX('SALDO DIARIO'!$F:$F,MATCH($A39,'SALDO DIARIO'!$A:$A,0)),0)</f>
        <v>4.5</v>
      </c>
      <c r="AF39" s="81"/>
      <c r="AG39" s="82"/>
    </row>
    <row r="40" spans="1:42" ht="15" customHeight="1" x14ac:dyDescent="0.2">
      <c r="AA40" s="81"/>
      <c r="AB40" s="80"/>
      <c r="AC40" s="81"/>
      <c r="AD40" s="80"/>
      <c r="AE40" s="85"/>
      <c r="AF40" s="81"/>
      <c r="AG40" s="82"/>
    </row>
    <row r="41" spans="1:42" ht="15" customHeight="1" x14ac:dyDescent="0.2">
      <c r="AA41" s="81"/>
      <c r="AB41" s="80"/>
      <c r="AC41" s="81"/>
      <c r="AD41" s="80"/>
      <c r="AE41" s="85"/>
      <c r="AF41" s="81"/>
      <c r="AG41" s="82"/>
    </row>
    <row r="42" spans="1:42" ht="15" customHeight="1" x14ac:dyDescent="0.2">
      <c r="AA42" s="81"/>
      <c r="AB42" s="80"/>
      <c r="AC42" s="81"/>
      <c r="AD42" s="80"/>
      <c r="AE42" s="85"/>
      <c r="AF42" s="81"/>
      <c r="AG42" s="82"/>
    </row>
    <row r="43" spans="1:42" ht="15" customHeight="1" x14ac:dyDescent="0.2">
      <c r="AA43" s="81"/>
      <c r="AB43" s="80"/>
      <c r="AC43" s="81"/>
      <c r="AD43" s="80"/>
      <c r="AE43" s="85"/>
      <c r="AF43" s="81"/>
      <c r="AG43" s="82"/>
    </row>
    <row r="44" spans="1:42" ht="15" customHeight="1" x14ac:dyDescent="0.2">
      <c r="AA44" s="81"/>
      <c r="AB44" s="80"/>
      <c r="AC44" s="81"/>
      <c r="AD44" s="80"/>
      <c r="AE44" s="85"/>
      <c r="AF44" s="81"/>
      <c r="AG44" s="82"/>
    </row>
  </sheetData>
  <autoFilter ref="A5:AG33" xr:uid="{00000000-0009-0000-0000-000004000000}"/>
  <mergeCells count="7">
    <mergeCell ref="AI4:AP4"/>
    <mergeCell ref="AR4:AY4"/>
    <mergeCell ref="F4:J4"/>
    <mergeCell ref="M4:T4"/>
    <mergeCell ref="U4:Y4"/>
    <mergeCell ref="Z4:AE4"/>
    <mergeCell ref="AF4:A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MOVIMIENTOS</vt:lpstr>
      <vt:lpstr>SALDO DIARIO</vt:lpstr>
      <vt:lpstr>KARDEX</vt:lpstr>
      <vt:lpstr>LISTAS</vt:lpstr>
      <vt:lpstr>BALANCE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Mirian Martinez Paredes</cp:lastModifiedBy>
  <cp:revision>0</cp:revision>
  <dcterms:created xsi:type="dcterms:W3CDTF">2026-07-25T02:09:50Z</dcterms:created>
  <dcterms:modified xsi:type="dcterms:W3CDTF">2026-08-08T00:39:53Z</dcterms:modified>
  <dc:language>en-US</dc:language>
</cp:coreProperties>
</file>